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jacobradke/Documents/GitHub/jacobradke/Project/"/>
    </mc:Choice>
  </mc:AlternateContent>
  <xr:revisionPtr revIDLastSave="0" documentId="13_ncr:1_{27298F86-C5DB-374B-83D1-38C49635B993}" xr6:coauthVersionLast="47" xr6:coauthVersionMax="47" xr10:uidLastSave="{00000000-0000-0000-0000-000000000000}"/>
  <bookViews>
    <workbookView xWindow="0" yWindow="0" windowWidth="28800" windowHeight="18000" activeTab="5" xr2:uid="{9065C16E-4AFC-8647-94AA-5DA3492C418C}"/>
  </bookViews>
  <sheets>
    <sheet name="Question 1" sheetId="1" r:id="rId1"/>
    <sheet name="Question 2" sheetId="2" r:id="rId2"/>
    <sheet name="Question 3 Case 1" sheetId="3" r:id="rId3"/>
    <sheet name="Question 3 Case 2" sheetId="4" r:id="rId4"/>
    <sheet name="Question 3 Case 3" sheetId="5" r:id="rId5"/>
    <sheet name="VBA Extension" sheetId="6" r:id="rId6"/>
  </sheets>
  <definedNames>
    <definedName name="_ftn1" localSheetId="2">'Question 3 Case 1'!$A$45</definedName>
    <definedName name="_ftnref1" localSheetId="2">'Question 3 Case 1'!$A$24</definedName>
    <definedName name="_Hlk524632987" localSheetId="2">'Question 3 Case 1'!$A$20</definedName>
    <definedName name="OLE_LINK1" localSheetId="2">'Question 3 Case 1'!$A$15</definedName>
    <definedName name="OLE_LINK2" localSheetId="2">'Question 3 Case 1'!$A$36</definedName>
    <definedName name="solver_adj" localSheetId="1" hidden="1">'Question 2'!$Q$8:$Q$11</definedName>
    <definedName name="solver_cvg" localSheetId="1" hidden="1">0.0001</definedName>
    <definedName name="solver_drv" localSheetId="1" hidden="1">1</definedName>
    <definedName name="solver_eng" localSheetId="1" hidden="1">1</definedName>
    <definedName name="solver_itr" localSheetId="1" hidden="1">2147483647</definedName>
    <definedName name="solver_lhs1" localSheetId="1" hidden="1">'Question 2'!$R$13</definedName>
    <definedName name="solver_lhs2" localSheetId="1" hidden="1">'Question 2'!$R$14</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'Question 2'!$U$13</definedName>
    <definedName name="solver_rhs2" localSheetId="1" hidden="1">'Question 2'!$U$14</definedName>
    <definedName name="solver_rlx" localSheetId="1" hidden="1">1</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15</definedName>
    <definedName name="solver_ver" localSheetId="1"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6" l="1"/>
  <c r="C9" i="5"/>
  <c r="D12" i="5"/>
  <c r="E12" i="5" s="1"/>
  <c r="D13" i="5"/>
  <c r="E13" i="5" s="1"/>
  <c r="D14" i="5"/>
  <c r="E14" i="5" s="1"/>
  <c r="F14" i="5" s="1"/>
  <c r="D15" i="5"/>
  <c r="E15" i="5" s="1"/>
  <c r="D16" i="5"/>
  <c r="E16" i="5" s="1"/>
  <c r="D17" i="5"/>
  <c r="E17" i="5" s="1"/>
  <c r="D18" i="5"/>
  <c r="E18" i="5" s="1"/>
  <c r="D19" i="5"/>
  <c r="E19" i="5" s="1"/>
  <c r="D20" i="5"/>
  <c r="E20" i="5" s="1"/>
  <c r="D21" i="5"/>
  <c r="E21" i="5" s="1"/>
  <c r="D22" i="5"/>
  <c r="E22" i="5" s="1"/>
  <c r="D23" i="5"/>
  <c r="E23" i="5" s="1"/>
  <c r="D24" i="5"/>
  <c r="E24" i="5" s="1"/>
  <c r="D25" i="5"/>
  <c r="E25" i="5" s="1"/>
  <c r="D26" i="5"/>
  <c r="E26" i="5" s="1"/>
  <c r="D27" i="5"/>
  <c r="E27" i="5" s="1"/>
  <c r="D28" i="5"/>
  <c r="E28" i="5" s="1"/>
  <c r="D29" i="5"/>
  <c r="E29" i="5" s="1"/>
  <c r="D30" i="5"/>
  <c r="E30" i="5" s="1"/>
  <c r="D31" i="5"/>
  <c r="E31" i="5" s="1"/>
  <c r="D32" i="5"/>
  <c r="E32" i="5" s="1"/>
  <c r="D33" i="5"/>
  <c r="E33" i="5" s="1"/>
  <c r="D34" i="5"/>
  <c r="E34" i="5" s="1"/>
  <c r="D35" i="5"/>
  <c r="E35" i="5" s="1"/>
  <c r="D36" i="5"/>
  <c r="E36" i="5" s="1"/>
  <c r="D37" i="5"/>
  <c r="E37" i="5" s="1"/>
  <c r="D38" i="5"/>
  <c r="E38" i="5" s="1"/>
  <c r="D39" i="5"/>
  <c r="E39" i="5" s="1"/>
  <c r="D40" i="5"/>
  <c r="E40" i="5" s="1"/>
  <c r="D41" i="5"/>
  <c r="E41" i="5" s="1"/>
  <c r="D42" i="5"/>
  <c r="E42" i="5" s="1"/>
  <c r="D43" i="5"/>
  <c r="E43" i="5" s="1"/>
  <c r="D44" i="5"/>
  <c r="E44" i="5" s="1"/>
  <c r="D45" i="5"/>
  <c r="E45" i="5" s="1"/>
  <c r="D46" i="5"/>
  <c r="E46" i="5" s="1"/>
  <c r="D47" i="5"/>
  <c r="E47" i="5" s="1"/>
  <c r="D48" i="5"/>
  <c r="E48" i="5" s="1"/>
  <c r="D49" i="5"/>
  <c r="E49" i="5" s="1"/>
  <c r="D50" i="5"/>
  <c r="E50" i="5" s="1"/>
  <c r="D51" i="5"/>
  <c r="E51" i="5" s="1"/>
  <c r="D52" i="5"/>
  <c r="E52" i="5" s="1"/>
  <c r="D53" i="5"/>
  <c r="E53" i="5" s="1"/>
  <c r="D54" i="5"/>
  <c r="E54" i="5" s="1"/>
  <c r="D55" i="5"/>
  <c r="E55" i="5" s="1"/>
  <c r="D56" i="5"/>
  <c r="E56" i="5" s="1"/>
  <c r="D57" i="5"/>
  <c r="E57" i="5" s="1"/>
  <c r="D58" i="5"/>
  <c r="E58" i="5" s="1"/>
  <c r="D59" i="5"/>
  <c r="E59" i="5" s="1"/>
  <c r="D60" i="5"/>
  <c r="E60" i="5" s="1"/>
  <c r="D61" i="5"/>
  <c r="E61" i="5" s="1"/>
  <c r="D62" i="5"/>
  <c r="E62" i="5" s="1"/>
  <c r="D63" i="5"/>
  <c r="E63" i="5" s="1"/>
  <c r="D64" i="5"/>
  <c r="E64" i="5" s="1"/>
  <c r="D65" i="5"/>
  <c r="E65" i="5" s="1"/>
  <c r="D66" i="5"/>
  <c r="E66" i="5" s="1"/>
  <c r="D67" i="5"/>
  <c r="E67" i="5" s="1"/>
  <c r="D68" i="5"/>
  <c r="E68" i="5" s="1"/>
  <c r="D69" i="5"/>
  <c r="E69" i="5" s="1"/>
  <c r="D70" i="5"/>
  <c r="E70" i="5" s="1"/>
  <c r="D71" i="5"/>
  <c r="E71" i="5" s="1"/>
  <c r="D72" i="5"/>
  <c r="E72" i="5" s="1"/>
  <c r="D73" i="5"/>
  <c r="E73" i="5" s="1"/>
  <c r="D74" i="5"/>
  <c r="E74" i="5" s="1"/>
  <c r="D75" i="5"/>
  <c r="E75" i="5" s="1"/>
  <c r="D76" i="5"/>
  <c r="E76" i="5" s="1"/>
  <c r="D77" i="5"/>
  <c r="E77" i="5" s="1"/>
  <c r="D78" i="5"/>
  <c r="E78" i="5" s="1"/>
  <c r="D79" i="5"/>
  <c r="E79" i="5" s="1"/>
  <c r="D80" i="5"/>
  <c r="E80" i="5" s="1"/>
  <c r="D81" i="5"/>
  <c r="E81" i="5" s="1"/>
  <c r="D82" i="5"/>
  <c r="E82" i="5" s="1"/>
  <c r="D83" i="5"/>
  <c r="E83" i="5" s="1"/>
  <c r="D84" i="5"/>
  <c r="E84" i="5" s="1"/>
  <c r="D85" i="5"/>
  <c r="E85" i="5" s="1"/>
  <c r="D86" i="5"/>
  <c r="E86" i="5" s="1"/>
  <c r="D87" i="5"/>
  <c r="E87" i="5" s="1"/>
  <c r="D88" i="5"/>
  <c r="E88" i="5" s="1"/>
  <c r="D89" i="5"/>
  <c r="E89" i="5" s="1"/>
  <c r="D90" i="5"/>
  <c r="E90" i="5" s="1"/>
  <c r="D91" i="5"/>
  <c r="E91" i="5" s="1"/>
  <c r="D92" i="5"/>
  <c r="E92" i="5" s="1"/>
  <c r="D93" i="5"/>
  <c r="E93" i="5" s="1"/>
  <c r="D94" i="5"/>
  <c r="E94" i="5" s="1"/>
  <c r="D95" i="5"/>
  <c r="E95" i="5" s="1"/>
  <c r="D96" i="5"/>
  <c r="E96" i="5" s="1"/>
  <c r="D97" i="5"/>
  <c r="E97" i="5" s="1"/>
  <c r="D98" i="5"/>
  <c r="E98" i="5" s="1"/>
  <c r="D99" i="5"/>
  <c r="E99" i="5" s="1"/>
  <c r="D100" i="5"/>
  <c r="E100" i="5" s="1"/>
  <c r="D101" i="5"/>
  <c r="E101" i="5" s="1"/>
  <c r="D102" i="5"/>
  <c r="E102" i="5" s="1"/>
  <c r="D103" i="5"/>
  <c r="E103" i="5" s="1"/>
  <c r="D104" i="5"/>
  <c r="E104" i="5" s="1"/>
  <c r="D105" i="5"/>
  <c r="E105" i="5" s="1"/>
  <c r="D106" i="5"/>
  <c r="E106" i="5" s="1"/>
  <c r="D107" i="5"/>
  <c r="E107" i="5" s="1"/>
  <c r="D108" i="5"/>
  <c r="E108" i="5" s="1"/>
  <c r="D109" i="5"/>
  <c r="E109" i="5" s="1"/>
  <c r="D110" i="5"/>
  <c r="E110" i="5" s="1"/>
  <c r="D11" i="5"/>
  <c r="E11" i="5" s="1"/>
  <c r="F11" i="5" s="1"/>
  <c r="G11" i="5" s="1"/>
  <c r="H11" i="5" s="1"/>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CT11" i="5" s="1"/>
  <c r="CU11" i="5" s="1"/>
  <c r="CV11" i="5" s="1"/>
  <c r="CW11" i="5" s="1"/>
  <c r="CX11" i="5" s="1"/>
  <c r="CY11" i="5" s="1"/>
  <c r="CZ11" i="5" s="1"/>
  <c r="DA11" i="5" s="1"/>
  <c r="DB11" i="5" s="1"/>
  <c r="DC11" i="5" s="1"/>
  <c r="DD11" i="5" s="1"/>
  <c r="DE11" i="5" s="1"/>
  <c r="DF11" i="5" s="1"/>
  <c r="DG11" i="5" s="1"/>
  <c r="DH11" i="5" s="1"/>
  <c r="DI11" i="5" s="1"/>
  <c r="DJ11" i="5" s="1"/>
  <c r="DK11" i="5" s="1"/>
  <c r="DL11" i="5" s="1"/>
  <c r="DM11" i="5" s="1"/>
  <c r="DN11" i="5" s="1"/>
  <c r="DO11" i="5" s="1"/>
  <c r="DP11" i="5" s="1"/>
  <c r="DQ11" i="5" s="1"/>
  <c r="DR11" i="5" s="1"/>
  <c r="DS11" i="5" s="1"/>
  <c r="DT11" i="5" s="1"/>
  <c r="DU11" i="5" s="1"/>
  <c r="DV11" i="5" s="1"/>
  <c r="DW11" i="5" s="1"/>
  <c r="DX11" i="5" s="1"/>
  <c r="DY11" i="5" s="1"/>
  <c r="DZ11" i="5" s="1"/>
  <c r="EA11" i="5" s="1"/>
  <c r="EB11" i="5" s="1"/>
  <c r="EC11" i="5" s="1"/>
  <c r="ED11" i="5" s="1"/>
  <c r="EE11" i="5" s="1"/>
  <c r="EF11" i="5" s="1"/>
  <c r="EG11" i="5" s="1"/>
  <c r="EH11" i="5" s="1"/>
  <c r="EI11" i="5" s="1"/>
  <c r="EJ11" i="5" s="1"/>
  <c r="EK11" i="5" s="1"/>
  <c r="EL11" i="5" s="1"/>
  <c r="EM11" i="5" s="1"/>
  <c r="EN11" i="5" s="1"/>
  <c r="EO11" i="5" s="1"/>
  <c r="EP11" i="5" s="1"/>
  <c r="EQ11" i="5" s="1"/>
  <c r="ER11" i="5" s="1"/>
  <c r="ES11" i="5" s="1"/>
  <c r="ET11" i="5" s="1"/>
  <c r="EU11" i="5" s="1"/>
  <c r="EV11" i="5" s="1"/>
  <c r="EW11" i="5" s="1"/>
  <c r="EX11" i="5" s="1"/>
  <c r="EY11" i="5" s="1"/>
  <c r="EZ11" i="5" s="1"/>
  <c r="FA11" i="5" s="1"/>
  <c r="FB11" i="5" s="1"/>
  <c r="FC11" i="5" s="1"/>
  <c r="FD11" i="5" s="1"/>
  <c r="FE11" i="5" s="1"/>
  <c r="FF11" i="5" s="1"/>
  <c r="FG11" i="5" s="1"/>
  <c r="FH11" i="5" s="1"/>
  <c r="FI11" i="5" s="1"/>
  <c r="FJ11" i="5" s="1"/>
  <c r="FK11" i="5" s="1"/>
  <c r="FL11" i="5" s="1"/>
  <c r="FM11" i="5" s="1"/>
  <c r="FN11" i="5" s="1"/>
  <c r="FO11" i="5" s="1"/>
  <c r="FP11" i="5" s="1"/>
  <c r="FQ11" i="5" s="1"/>
  <c r="FR11" i="5" s="1"/>
  <c r="FS11" i="5" s="1"/>
  <c r="FT11" i="5" s="1"/>
  <c r="FU11" i="5" s="1"/>
  <c r="FV11" i="5" s="1"/>
  <c r="FW11" i="5" s="1"/>
  <c r="FX11" i="5" s="1"/>
  <c r="FY11" i="5" s="1"/>
  <c r="FZ11" i="5" s="1"/>
  <c r="GA11" i="5" s="1"/>
  <c r="GB11" i="5" s="1"/>
  <c r="GC11" i="5" s="1"/>
  <c r="GD11" i="5" s="1"/>
  <c r="GE11" i="5" s="1"/>
  <c r="GF11" i="5" s="1"/>
  <c r="GG11" i="5" s="1"/>
  <c r="GH11" i="5" s="1"/>
  <c r="GI11" i="5" s="1"/>
  <c r="GJ11" i="5" s="1"/>
  <c r="GK11" i="5" s="1"/>
  <c r="GL11" i="5" s="1"/>
  <c r="GM11" i="5" s="1"/>
  <c r="GN11" i="5" s="1"/>
  <c r="GO11" i="5" s="1"/>
  <c r="GP11" i="5" s="1"/>
  <c r="GQ11" i="5" s="1"/>
  <c r="GR11" i="5" s="1"/>
  <c r="GS11" i="5" s="1"/>
  <c r="GT11" i="5" s="1"/>
  <c r="GU11" i="5" s="1"/>
  <c r="GV11" i="5" s="1"/>
  <c r="GW11" i="5" s="1"/>
  <c r="GX11" i="5" s="1"/>
  <c r="GY11" i="5" s="1"/>
  <c r="GZ11" i="5" s="1"/>
  <c r="HA11" i="5" s="1"/>
  <c r="HB11" i="5" s="1"/>
  <c r="HC11" i="5" s="1"/>
  <c r="HD11" i="5" s="1"/>
  <c r="HE11" i="5" s="1"/>
  <c r="HF11" i="5" s="1"/>
  <c r="HG11" i="5" s="1"/>
  <c r="HH11" i="5" s="1"/>
  <c r="HI11" i="5" s="1"/>
  <c r="HJ11" i="5" s="1"/>
  <c r="HK11" i="5" s="1"/>
  <c r="HL11" i="5" s="1"/>
  <c r="HM11" i="5" s="1"/>
  <c r="HN11" i="5" s="1"/>
  <c r="HO11" i="5" s="1"/>
  <c r="HP11" i="5" s="1"/>
  <c r="HQ11" i="5" s="1"/>
  <c r="HR11" i="5" s="1"/>
  <c r="HS11" i="5" s="1"/>
  <c r="HT11" i="5" s="1"/>
  <c r="HU11" i="5" s="1"/>
  <c r="HV11" i="5" s="1"/>
  <c r="HW11" i="5" s="1"/>
  <c r="HX11" i="5" s="1"/>
  <c r="HY11" i="5" s="1"/>
  <c r="HZ11" i="5" s="1"/>
  <c r="IA11" i="5" s="1"/>
  <c r="IB11" i="5" s="1"/>
  <c r="IC11" i="5" s="1"/>
  <c r="ID11" i="5" s="1"/>
  <c r="IE11" i="5" s="1"/>
  <c r="IF11" i="5" s="1"/>
  <c r="IG11" i="5" s="1"/>
  <c r="IH11" i="5" s="1"/>
  <c r="II11" i="5" s="1"/>
  <c r="IJ11" i="5" s="1"/>
  <c r="IK11" i="5" s="1"/>
  <c r="IL11" i="5" s="1"/>
  <c r="IM11" i="5" s="1"/>
  <c r="IN11" i="5" s="1"/>
  <c r="IO11" i="5" s="1"/>
  <c r="IP11" i="5" s="1"/>
  <c r="IQ11" i="5" s="1"/>
  <c r="IR11" i="5" s="1"/>
  <c r="IS11" i="5" s="1"/>
  <c r="IT11" i="5" s="1"/>
  <c r="IU11" i="5" s="1"/>
  <c r="A99" i="4"/>
  <c r="B99" i="4"/>
  <c r="C99" i="4"/>
  <c r="D99" i="4"/>
  <c r="E99" i="4"/>
  <c r="F99" i="4"/>
  <c r="G99" i="4"/>
  <c r="H99" i="4"/>
  <c r="I99" i="4"/>
  <c r="J99" i="4"/>
  <c r="K99" i="4"/>
  <c r="L99" i="4"/>
  <c r="M99" i="4"/>
  <c r="N99" i="4"/>
  <c r="O99" i="4"/>
  <c r="P99" i="4"/>
  <c r="Q99" i="4"/>
  <c r="R99" i="4"/>
  <c r="S99" i="4"/>
  <c r="T99" i="4"/>
  <c r="U99" i="4"/>
  <c r="V99" i="4"/>
  <c r="W99" i="4"/>
  <c r="X99" i="4"/>
  <c r="Y99" i="4"/>
  <c r="Z99" i="4"/>
  <c r="AA99" i="4"/>
  <c r="AB99" i="4"/>
  <c r="AC99" i="4"/>
  <c r="AD99" i="4"/>
  <c r="AE99" i="4"/>
  <c r="AF99" i="4"/>
  <c r="AG99" i="4"/>
  <c r="AH99" i="4"/>
  <c r="AI99" i="4"/>
  <c r="AJ99" i="4"/>
  <c r="AK99" i="4"/>
  <c r="AL99" i="4"/>
  <c r="AM99" i="4"/>
  <c r="AN99" i="4"/>
  <c r="AO99" i="4"/>
  <c r="AP99" i="4"/>
  <c r="AQ99" i="4"/>
  <c r="AR99" i="4"/>
  <c r="AS99" i="4"/>
  <c r="AT99" i="4"/>
  <c r="AU99" i="4"/>
  <c r="AV99" i="4"/>
  <c r="AW99" i="4"/>
  <c r="AX99" i="4"/>
  <c r="A100" i="4"/>
  <c r="B100" i="4"/>
  <c r="C100" i="4"/>
  <c r="D100" i="4"/>
  <c r="E100" i="4"/>
  <c r="F100" i="4"/>
  <c r="G100" i="4"/>
  <c r="H100" i="4"/>
  <c r="I100" i="4"/>
  <c r="J100" i="4"/>
  <c r="K100" i="4"/>
  <c r="L100" i="4"/>
  <c r="M100" i="4"/>
  <c r="N100" i="4"/>
  <c r="O100" i="4"/>
  <c r="P100" i="4"/>
  <c r="Q100" i="4"/>
  <c r="R100" i="4"/>
  <c r="S100" i="4"/>
  <c r="T100" i="4"/>
  <c r="U100" i="4"/>
  <c r="V100" i="4"/>
  <c r="W100" i="4"/>
  <c r="X100" i="4"/>
  <c r="Y100" i="4"/>
  <c r="Z100" i="4"/>
  <c r="AA100" i="4"/>
  <c r="AB100" i="4"/>
  <c r="AC100" i="4"/>
  <c r="AD100" i="4"/>
  <c r="AE100" i="4"/>
  <c r="AF100" i="4"/>
  <c r="AG100" i="4"/>
  <c r="AH100" i="4"/>
  <c r="AI100" i="4"/>
  <c r="AJ100" i="4"/>
  <c r="AK100" i="4"/>
  <c r="AL100" i="4"/>
  <c r="AM100" i="4"/>
  <c r="AN100" i="4"/>
  <c r="AO100" i="4"/>
  <c r="AP100" i="4"/>
  <c r="AQ100" i="4"/>
  <c r="AR100" i="4"/>
  <c r="AS100" i="4"/>
  <c r="AT100" i="4"/>
  <c r="AU100" i="4"/>
  <c r="AV100" i="4"/>
  <c r="AW100" i="4"/>
  <c r="AX100" i="4"/>
  <c r="A101" i="4"/>
  <c r="B101" i="4"/>
  <c r="C101" i="4"/>
  <c r="D101" i="4"/>
  <c r="E101" i="4"/>
  <c r="F101" i="4"/>
  <c r="G101" i="4"/>
  <c r="H101" i="4"/>
  <c r="I101" i="4"/>
  <c r="J101" i="4"/>
  <c r="K101" i="4"/>
  <c r="L101" i="4"/>
  <c r="M101" i="4"/>
  <c r="N101" i="4"/>
  <c r="O101" i="4"/>
  <c r="P101" i="4"/>
  <c r="Q101" i="4"/>
  <c r="R101" i="4"/>
  <c r="S101" i="4"/>
  <c r="T101" i="4"/>
  <c r="U101" i="4"/>
  <c r="V101" i="4"/>
  <c r="W101" i="4"/>
  <c r="X101" i="4"/>
  <c r="Y101" i="4"/>
  <c r="Z101" i="4"/>
  <c r="AA101" i="4"/>
  <c r="AB101" i="4"/>
  <c r="AC101" i="4"/>
  <c r="AD101" i="4"/>
  <c r="AE101" i="4"/>
  <c r="AF101" i="4"/>
  <c r="AG101" i="4"/>
  <c r="AH101" i="4"/>
  <c r="AI101" i="4"/>
  <c r="AJ101" i="4"/>
  <c r="AK101" i="4"/>
  <c r="AL101" i="4"/>
  <c r="AM101" i="4"/>
  <c r="AN101" i="4"/>
  <c r="AO101" i="4"/>
  <c r="AP101" i="4"/>
  <c r="AQ101" i="4"/>
  <c r="AR101" i="4"/>
  <c r="AS101" i="4"/>
  <c r="AT101" i="4"/>
  <c r="AU101" i="4"/>
  <c r="AV101" i="4"/>
  <c r="AW101" i="4"/>
  <c r="AX101" i="4"/>
  <c r="A97" i="4"/>
  <c r="B97" i="4"/>
  <c r="C97" i="4"/>
  <c r="D97" i="4"/>
  <c r="E97" i="4"/>
  <c r="F97" i="4"/>
  <c r="G97" i="4"/>
  <c r="H97" i="4"/>
  <c r="I97" i="4"/>
  <c r="J97" i="4"/>
  <c r="K97" i="4"/>
  <c r="L97" i="4"/>
  <c r="M97" i="4"/>
  <c r="N97" i="4"/>
  <c r="O97" i="4"/>
  <c r="P97" i="4"/>
  <c r="Q97" i="4"/>
  <c r="R97" i="4"/>
  <c r="S97" i="4"/>
  <c r="T97" i="4"/>
  <c r="U97" i="4"/>
  <c r="V97" i="4"/>
  <c r="W97" i="4"/>
  <c r="X97" i="4"/>
  <c r="Y97" i="4"/>
  <c r="Z97" i="4"/>
  <c r="AA97" i="4"/>
  <c r="AB97" i="4"/>
  <c r="AC97" i="4"/>
  <c r="AD97" i="4"/>
  <c r="AE97" i="4"/>
  <c r="AF97" i="4"/>
  <c r="AG97" i="4"/>
  <c r="AH97" i="4"/>
  <c r="AI97" i="4"/>
  <c r="AJ97" i="4"/>
  <c r="AK97" i="4"/>
  <c r="AL97" i="4"/>
  <c r="AM97" i="4"/>
  <c r="AN97" i="4"/>
  <c r="AO97" i="4"/>
  <c r="AP97" i="4"/>
  <c r="AQ97" i="4"/>
  <c r="AR97" i="4"/>
  <c r="AS97" i="4"/>
  <c r="AT97" i="4"/>
  <c r="AU97" i="4"/>
  <c r="AV97" i="4"/>
  <c r="AW97" i="4"/>
  <c r="AX97" i="4"/>
  <c r="A98" i="4"/>
  <c r="B98" i="4"/>
  <c r="C98" i="4"/>
  <c r="D98" i="4"/>
  <c r="E98" i="4"/>
  <c r="F98" i="4"/>
  <c r="G98" i="4"/>
  <c r="H98" i="4"/>
  <c r="I98" i="4"/>
  <c r="J98" i="4"/>
  <c r="K98" i="4"/>
  <c r="L98" i="4"/>
  <c r="M98" i="4"/>
  <c r="N98" i="4"/>
  <c r="O98" i="4"/>
  <c r="P98" i="4"/>
  <c r="Q98" i="4"/>
  <c r="R98" i="4"/>
  <c r="S98" i="4"/>
  <c r="T98" i="4"/>
  <c r="U98" i="4"/>
  <c r="V98" i="4"/>
  <c r="W98" i="4"/>
  <c r="X98" i="4"/>
  <c r="Y98" i="4"/>
  <c r="Z98" i="4"/>
  <c r="AA98" i="4"/>
  <c r="AB98" i="4"/>
  <c r="AC98" i="4"/>
  <c r="AD98" i="4"/>
  <c r="AE98" i="4"/>
  <c r="AF98" i="4"/>
  <c r="AG98" i="4"/>
  <c r="AH98" i="4"/>
  <c r="AI98" i="4"/>
  <c r="AJ98" i="4"/>
  <c r="AK98" i="4"/>
  <c r="AL98" i="4"/>
  <c r="AM98" i="4"/>
  <c r="AN98" i="4"/>
  <c r="AO98" i="4"/>
  <c r="AP98" i="4"/>
  <c r="AQ98" i="4"/>
  <c r="AR98" i="4"/>
  <c r="AS98" i="4"/>
  <c r="AT98" i="4"/>
  <c r="AU98" i="4"/>
  <c r="AV98" i="4"/>
  <c r="AW98" i="4"/>
  <c r="AX98" i="4"/>
  <c r="A94" i="4"/>
  <c r="B94" i="4"/>
  <c r="C94" i="4"/>
  <c r="D94" i="4"/>
  <c r="E94" i="4"/>
  <c r="F94" i="4"/>
  <c r="G94" i="4"/>
  <c r="H94" i="4"/>
  <c r="I94" i="4"/>
  <c r="J94" i="4"/>
  <c r="K94" i="4"/>
  <c r="L94" i="4"/>
  <c r="M94" i="4"/>
  <c r="N94" i="4"/>
  <c r="O94" i="4"/>
  <c r="P94" i="4"/>
  <c r="Q94" i="4"/>
  <c r="R94" i="4"/>
  <c r="S94" i="4"/>
  <c r="T94" i="4"/>
  <c r="U94" i="4"/>
  <c r="V94" i="4"/>
  <c r="W94" i="4"/>
  <c r="X94" i="4"/>
  <c r="Y94" i="4"/>
  <c r="Z94" i="4"/>
  <c r="AA94" i="4"/>
  <c r="AB94" i="4"/>
  <c r="AC94" i="4"/>
  <c r="AD94" i="4"/>
  <c r="AE94" i="4"/>
  <c r="AF94" i="4"/>
  <c r="AG94" i="4"/>
  <c r="AH94" i="4"/>
  <c r="AI94" i="4"/>
  <c r="AJ94" i="4"/>
  <c r="AK94" i="4"/>
  <c r="AL94" i="4"/>
  <c r="AM94" i="4"/>
  <c r="AN94" i="4"/>
  <c r="AO94" i="4"/>
  <c r="AP94" i="4"/>
  <c r="AQ94" i="4"/>
  <c r="AR94" i="4"/>
  <c r="AS94" i="4"/>
  <c r="AT94" i="4"/>
  <c r="AU94" i="4"/>
  <c r="AV94" i="4"/>
  <c r="AW94" i="4"/>
  <c r="AX94" i="4"/>
  <c r="A95" i="4"/>
  <c r="B95" i="4"/>
  <c r="C95" i="4"/>
  <c r="D95" i="4"/>
  <c r="E95" i="4"/>
  <c r="F95" i="4"/>
  <c r="G95" i="4"/>
  <c r="H95" i="4"/>
  <c r="I95" i="4"/>
  <c r="J95" i="4"/>
  <c r="K95" i="4"/>
  <c r="L95" i="4"/>
  <c r="M95" i="4"/>
  <c r="N95" i="4"/>
  <c r="O95" i="4"/>
  <c r="P95" i="4"/>
  <c r="Q95" i="4"/>
  <c r="R95" i="4"/>
  <c r="S95" i="4"/>
  <c r="T95" i="4"/>
  <c r="U95" i="4"/>
  <c r="V95" i="4"/>
  <c r="W95" i="4"/>
  <c r="X95" i="4"/>
  <c r="Y95" i="4"/>
  <c r="Z95" i="4"/>
  <c r="AA95" i="4"/>
  <c r="AB95" i="4"/>
  <c r="AC95" i="4"/>
  <c r="AD95" i="4"/>
  <c r="AE95" i="4"/>
  <c r="AF95" i="4"/>
  <c r="AG95" i="4"/>
  <c r="AH95" i="4"/>
  <c r="AI95" i="4"/>
  <c r="AJ95" i="4"/>
  <c r="AK95" i="4"/>
  <c r="AL95" i="4"/>
  <c r="AM95" i="4"/>
  <c r="AN95" i="4"/>
  <c r="AO95" i="4"/>
  <c r="AP95" i="4"/>
  <c r="AQ95" i="4"/>
  <c r="AR95" i="4"/>
  <c r="AS95" i="4"/>
  <c r="AT95" i="4"/>
  <c r="AU95" i="4"/>
  <c r="AV95" i="4"/>
  <c r="AW95" i="4"/>
  <c r="AX95" i="4"/>
  <c r="A96" i="4"/>
  <c r="B96" i="4"/>
  <c r="C96" i="4"/>
  <c r="D96" i="4"/>
  <c r="E96" i="4"/>
  <c r="F96" i="4"/>
  <c r="G96" i="4"/>
  <c r="H96" i="4"/>
  <c r="I96" i="4"/>
  <c r="J96" i="4"/>
  <c r="K96" i="4"/>
  <c r="L96" i="4"/>
  <c r="M96" i="4"/>
  <c r="N96" i="4"/>
  <c r="O96" i="4"/>
  <c r="P96" i="4"/>
  <c r="Q96" i="4"/>
  <c r="R96" i="4"/>
  <c r="S96" i="4"/>
  <c r="T96" i="4"/>
  <c r="U96" i="4"/>
  <c r="V96" i="4"/>
  <c r="W96" i="4"/>
  <c r="X96" i="4"/>
  <c r="Y96" i="4"/>
  <c r="Z96" i="4"/>
  <c r="AA96" i="4"/>
  <c r="AB96" i="4"/>
  <c r="AC96" i="4"/>
  <c r="AD96" i="4"/>
  <c r="AE96" i="4"/>
  <c r="AF96" i="4"/>
  <c r="AG96" i="4"/>
  <c r="AH96" i="4"/>
  <c r="AI96" i="4"/>
  <c r="AJ96" i="4"/>
  <c r="AK96" i="4"/>
  <c r="AL96" i="4"/>
  <c r="AM96" i="4"/>
  <c r="AN96" i="4"/>
  <c r="AO96" i="4"/>
  <c r="AP96" i="4"/>
  <c r="AQ96" i="4"/>
  <c r="AR96" i="4"/>
  <c r="AS96" i="4"/>
  <c r="AT96" i="4"/>
  <c r="AU96" i="4"/>
  <c r="AV96" i="4"/>
  <c r="AW96" i="4"/>
  <c r="AX96" i="4"/>
  <c r="A90" i="4"/>
  <c r="B90" i="4"/>
  <c r="C90" i="4"/>
  <c r="D90" i="4"/>
  <c r="E90" i="4"/>
  <c r="F90" i="4"/>
  <c r="G90" i="4"/>
  <c r="H90" i="4"/>
  <c r="I90" i="4"/>
  <c r="J90" i="4"/>
  <c r="K90" i="4"/>
  <c r="L90" i="4"/>
  <c r="M90" i="4"/>
  <c r="N90" i="4"/>
  <c r="O90" i="4"/>
  <c r="P90" i="4"/>
  <c r="Q90" i="4"/>
  <c r="R90" i="4"/>
  <c r="S90" i="4"/>
  <c r="T90" i="4"/>
  <c r="U90" i="4"/>
  <c r="V90" i="4"/>
  <c r="W90" i="4"/>
  <c r="X90" i="4"/>
  <c r="Y90" i="4"/>
  <c r="Z90" i="4"/>
  <c r="AA90" i="4"/>
  <c r="AB90" i="4"/>
  <c r="AC90" i="4"/>
  <c r="AD90" i="4"/>
  <c r="AE90" i="4"/>
  <c r="AF90" i="4"/>
  <c r="AG90" i="4"/>
  <c r="AH90" i="4"/>
  <c r="AI90" i="4"/>
  <c r="AJ90" i="4"/>
  <c r="AK90" i="4"/>
  <c r="AL90" i="4"/>
  <c r="AM90" i="4"/>
  <c r="AN90" i="4"/>
  <c r="AO90" i="4"/>
  <c r="AP90" i="4"/>
  <c r="AQ90" i="4"/>
  <c r="AR90" i="4"/>
  <c r="AS90" i="4"/>
  <c r="AT90" i="4"/>
  <c r="AU90" i="4"/>
  <c r="AV90" i="4"/>
  <c r="AW90" i="4"/>
  <c r="AX90" i="4"/>
  <c r="A91" i="4"/>
  <c r="B91" i="4"/>
  <c r="C91" i="4"/>
  <c r="D91" i="4"/>
  <c r="E91" i="4"/>
  <c r="F91" i="4"/>
  <c r="G91" i="4"/>
  <c r="H91" i="4"/>
  <c r="I91" i="4"/>
  <c r="J91" i="4"/>
  <c r="K91" i="4"/>
  <c r="L91" i="4"/>
  <c r="M91" i="4"/>
  <c r="N91" i="4"/>
  <c r="O91" i="4"/>
  <c r="P91" i="4"/>
  <c r="Q91" i="4"/>
  <c r="R91" i="4"/>
  <c r="S91" i="4"/>
  <c r="T91" i="4"/>
  <c r="U91" i="4"/>
  <c r="V91" i="4"/>
  <c r="W91" i="4"/>
  <c r="X91" i="4"/>
  <c r="Y91" i="4"/>
  <c r="Z91" i="4"/>
  <c r="AA91" i="4"/>
  <c r="AB91" i="4"/>
  <c r="AC91" i="4"/>
  <c r="AD91" i="4"/>
  <c r="AE91" i="4"/>
  <c r="AF91" i="4"/>
  <c r="AG91" i="4"/>
  <c r="AH91" i="4"/>
  <c r="AI91" i="4"/>
  <c r="AJ91" i="4"/>
  <c r="AK91" i="4"/>
  <c r="AL91" i="4"/>
  <c r="AM91" i="4"/>
  <c r="AN91" i="4"/>
  <c r="AO91" i="4"/>
  <c r="AP91" i="4"/>
  <c r="AQ91" i="4"/>
  <c r="AR91" i="4"/>
  <c r="AS91" i="4"/>
  <c r="AT91" i="4"/>
  <c r="AU91" i="4"/>
  <c r="AV91" i="4"/>
  <c r="AW91" i="4"/>
  <c r="AX91" i="4"/>
  <c r="A92" i="4"/>
  <c r="B92" i="4"/>
  <c r="C92" i="4"/>
  <c r="D92" i="4"/>
  <c r="E92" i="4"/>
  <c r="F92" i="4"/>
  <c r="G92" i="4"/>
  <c r="H92" i="4"/>
  <c r="I92" i="4"/>
  <c r="J92" i="4"/>
  <c r="K92" i="4"/>
  <c r="L92" i="4"/>
  <c r="M92" i="4"/>
  <c r="N92" i="4"/>
  <c r="O92" i="4"/>
  <c r="P92" i="4"/>
  <c r="Q92" i="4"/>
  <c r="R92" i="4"/>
  <c r="S92" i="4"/>
  <c r="T92" i="4"/>
  <c r="U92" i="4"/>
  <c r="V92" i="4"/>
  <c r="W92" i="4"/>
  <c r="X92" i="4"/>
  <c r="Y92" i="4"/>
  <c r="Z92" i="4"/>
  <c r="AA92" i="4"/>
  <c r="AB92" i="4"/>
  <c r="AC92" i="4"/>
  <c r="AD92" i="4"/>
  <c r="AE92" i="4"/>
  <c r="AF92" i="4"/>
  <c r="AG92" i="4"/>
  <c r="AH92" i="4"/>
  <c r="AI92" i="4"/>
  <c r="AJ92" i="4"/>
  <c r="AK92" i="4"/>
  <c r="AL92" i="4"/>
  <c r="AM92" i="4"/>
  <c r="AN92" i="4"/>
  <c r="AO92" i="4"/>
  <c r="AP92" i="4"/>
  <c r="AQ92" i="4"/>
  <c r="AR92" i="4"/>
  <c r="AS92" i="4"/>
  <c r="AT92" i="4"/>
  <c r="AU92" i="4"/>
  <c r="AV92" i="4"/>
  <c r="AW92" i="4"/>
  <c r="AX92" i="4"/>
  <c r="A93" i="4"/>
  <c r="B93" i="4"/>
  <c r="C93" i="4"/>
  <c r="D93" i="4"/>
  <c r="E93" i="4"/>
  <c r="F93" i="4"/>
  <c r="G93" i="4"/>
  <c r="H93" i="4"/>
  <c r="I93" i="4"/>
  <c r="J93" i="4"/>
  <c r="K93" i="4"/>
  <c r="L93" i="4"/>
  <c r="M93" i="4"/>
  <c r="N93" i="4"/>
  <c r="O93" i="4"/>
  <c r="P93" i="4"/>
  <c r="Q93" i="4"/>
  <c r="R93" i="4"/>
  <c r="S93" i="4"/>
  <c r="T93" i="4"/>
  <c r="U93" i="4"/>
  <c r="V93" i="4"/>
  <c r="W93" i="4"/>
  <c r="X93" i="4"/>
  <c r="Y93" i="4"/>
  <c r="Z93" i="4"/>
  <c r="AA93" i="4"/>
  <c r="AB93" i="4"/>
  <c r="AC93" i="4"/>
  <c r="AD93" i="4"/>
  <c r="AE93" i="4"/>
  <c r="AF93" i="4"/>
  <c r="AG93" i="4"/>
  <c r="AH93" i="4"/>
  <c r="AI93" i="4"/>
  <c r="AJ93" i="4"/>
  <c r="AK93" i="4"/>
  <c r="AL93" i="4"/>
  <c r="AM93" i="4"/>
  <c r="AN93" i="4"/>
  <c r="AO93" i="4"/>
  <c r="AP93" i="4"/>
  <c r="AQ93" i="4"/>
  <c r="AR93" i="4"/>
  <c r="AS93" i="4"/>
  <c r="AT93" i="4"/>
  <c r="AU93" i="4"/>
  <c r="AV93" i="4"/>
  <c r="AW93" i="4"/>
  <c r="AX93" i="4"/>
  <c r="A83" i="4"/>
  <c r="B83" i="4"/>
  <c r="C83" i="4"/>
  <c r="D83" i="4"/>
  <c r="E83" i="4"/>
  <c r="F83" i="4"/>
  <c r="G83" i="4"/>
  <c r="H83" i="4"/>
  <c r="I83" i="4"/>
  <c r="J83" i="4"/>
  <c r="K83" i="4"/>
  <c r="L83" i="4"/>
  <c r="M83" i="4"/>
  <c r="N83" i="4"/>
  <c r="O83" i="4"/>
  <c r="P83" i="4"/>
  <c r="Q83" i="4"/>
  <c r="R83" i="4"/>
  <c r="S83" i="4"/>
  <c r="T83" i="4"/>
  <c r="U83" i="4"/>
  <c r="V83" i="4"/>
  <c r="W83" i="4"/>
  <c r="X83" i="4"/>
  <c r="Y83" i="4"/>
  <c r="Z83" i="4"/>
  <c r="AA83" i="4"/>
  <c r="AB83" i="4"/>
  <c r="AC83" i="4"/>
  <c r="AD83" i="4"/>
  <c r="AE83" i="4"/>
  <c r="AF83" i="4"/>
  <c r="AG83" i="4"/>
  <c r="AH83" i="4"/>
  <c r="AI83" i="4"/>
  <c r="AJ83" i="4"/>
  <c r="AK83" i="4"/>
  <c r="AL83" i="4"/>
  <c r="AM83" i="4"/>
  <c r="AN83" i="4"/>
  <c r="AO83" i="4"/>
  <c r="AP83" i="4"/>
  <c r="AQ83" i="4"/>
  <c r="AR83" i="4"/>
  <c r="AS83" i="4"/>
  <c r="AT83" i="4"/>
  <c r="AU83" i="4"/>
  <c r="AV83" i="4"/>
  <c r="AW83" i="4"/>
  <c r="AX83" i="4"/>
  <c r="A84" i="4"/>
  <c r="B84" i="4"/>
  <c r="C84" i="4"/>
  <c r="D84" i="4"/>
  <c r="E84" i="4"/>
  <c r="F84" i="4"/>
  <c r="G84" i="4"/>
  <c r="H84" i="4"/>
  <c r="I84" i="4"/>
  <c r="J84" i="4"/>
  <c r="K84" i="4"/>
  <c r="L84" i="4"/>
  <c r="M84" i="4"/>
  <c r="N84" i="4"/>
  <c r="O84" i="4"/>
  <c r="P84" i="4"/>
  <c r="Q84" i="4"/>
  <c r="R84" i="4"/>
  <c r="S84" i="4"/>
  <c r="T84" i="4"/>
  <c r="U84" i="4"/>
  <c r="V84" i="4"/>
  <c r="W84" i="4"/>
  <c r="X84" i="4"/>
  <c r="Y84" i="4"/>
  <c r="Z84" i="4"/>
  <c r="AA84" i="4"/>
  <c r="AB84" i="4"/>
  <c r="AC84" i="4"/>
  <c r="AD84" i="4"/>
  <c r="AE84" i="4"/>
  <c r="AF84" i="4"/>
  <c r="AG84" i="4"/>
  <c r="AH84" i="4"/>
  <c r="AI84" i="4"/>
  <c r="AJ84" i="4"/>
  <c r="AK84" i="4"/>
  <c r="AL84" i="4"/>
  <c r="AM84" i="4"/>
  <c r="AN84" i="4"/>
  <c r="AO84" i="4"/>
  <c r="AP84" i="4"/>
  <c r="AQ84" i="4"/>
  <c r="AR84" i="4"/>
  <c r="AS84" i="4"/>
  <c r="AT84" i="4"/>
  <c r="AU84" i="4"/>
  <c r="AV84" i="4"/>
  <c r="AW84" i="4"/>
  <c r="AX84" i="4"/>
  <c r="A85" i="4"/>
  <c r="B85" i="4"/>
  <c r="C85" i="4"/>
  <c r="D85" i="4"/>
  <c r="E85" i="4"/>
  <c r="F85" i="4"/>
  <c r="G85" i="4"/>
  <c r="H85" i="4"/>
  <c r="I85" i="4"/>
  <c r="J85" i="4"/>
  <c r="K85" i="4"/>
  <c r="L85" i="4"/>
  <c r="M85" i="4"/>
  <c r="N85" i="4"/>
  <c r="O85" i="4"/>
  <c r="P85" i="4"/>
  <c r="Q85" i="4"/>
  <c r="R85" i="4"/>
  <c r="S85" i="4"/>
  <c r="T85" i="4"/>
  <c r="U85" i="4"/>
  <c r="V85" i="4"/>
  <c r="W85" i="4"/>
  <c r="X85" i="4"/>
  <c r="Y85" i="4"/>
  <c r="Z85" i="4"/>
  <c r="AA85" i="4"/>
  <c r="AB85" i="4"/>
  <c r="AC85" i="4"/>
  <c r="AD85" i="4"/>
  <c r="AE85" i="4"/>
  <c r="AF85" i="4"/>
  <c r="AG85" i="4"/>
  <c r="AH85" i="4"/>
  <c r="AI85" i="4"/>
  <c r="AJ85" i="4"/>
  <c r="AK85" i="4"/>
  <c r="AL85" i="4"/>
  <c r="AM85" i="4"/>
  <c r="AN85" i="4"/>
  <c r="AO85" i="4"/>
  <c r="AP85" i="4"/>
  <c r="AQ85" i="4"/>
  <c r="AR85" i="4"/>
  <c r="AS85" i="4"/>
  <c r="AT85" i="4"/>
  <c r="AU85" i="4"/>
  <c r="AV85" i="4"/>
  <c r="AW85" i="4"/>
  <c r="AX85" i="4"/>
  <c r="A86" i="4"/>
  <c r="B86" i="4"/>
  <c r="C86" i="4"/>
  <c r="D86" i="4"/>
  <c r="E86" i="4"/>
  <c r="F86" i="4"/>
  <c r="G86" i="4"/>
  <c r="H86" i="4"/>
  <c r="I86" i="4"/>
  <c r="J86" i="4"/>
  <c r="K86" i="4"/>
  <c r="L86" i="4"/>
  <c r="M86" i="4"/>
  <c r="N86" i="4"/>
  <c r="O86" i="4"/>
  <c r="P86" i="4"/>
  <c r="Q86" i="4"/>
  <c r="R86" i="4"/>
  <c r="S86" i="4"/>
  <c r="T86" i="4"/>
  <c r="U86" i="4"/>
  <c r="V86" i="4"/>
  <c r="W86" i="4"/>
  <c r="X86" i="4"/>
  <c r="Y86" i="4"/>
  <c r="Z86" i="4"/>
  <c r="AA86" i="4"/>
  <c r="AB86" i="4"/>
  <c r="AC86" i="4"/>
  <c r="AD86" i="4"/>
  <c r="AE86" i="4"/>
  <c r="AF86" i="4"/>
  <c r="AG86" i="4"/>
  <c r="AH86" i="4"/>
  <c r="AI86" i="4"/>
  <c r="AJ86" i="4"/>
  <c r="AK86" i="4"/>
  <c r="AL86" i="4"/>
  <c r="AM86" i="4"/>
  <c r="AN86" i="4"/>
  <c r="AO86" i="4"/>
  <c r="AP86" i="4"/>
  <c r="AQ86" i="4"/>
  <c r="AR86" i="4"/>
  <c r="AS86" i="4"/>
  <c r="AT86" i="4"/>
  <c r="AU86" i="4"/>
  <c r="AV86" i="4"/>
  <c r="AW86" i="4"/>
  <c r="AX86" i="4"/>
  <c r="A87" i="4"/>
  <c r="B87" i="4"/>
  <c r="C87" i="4"/>
  <c r="D87" i="4"/>
  <c r="E87" i="4"/>
  <c r="F87" i="4"/>
  <c r="G87" i="4"/>
  <c r="H87" i="4"/>
  <c r="I87" i="4"/>
  <c r="J87" i="4"/>
  <c r="K87" i="4"/>
  <c r="L87" i="4"/>
  <c r="M87" i="4"/>
  <c r="N87" i="4"/>
  <c r="O87" i="4"/>
  <c r="P87" i="4"/>
  <c r="Q87" i="4"/>
  <c r="R87" i="4"/>
  <c r="S87" i="4"/>
  <c r="T87" i="4"/>
  <c r="U87" i="4"/>
  <c r="V87" i="4"/>
  <c r="W87" i="4"/>
  <c r="X87" i="4"/>
  <c r="Y87" i="4"/>
  <c r="Z87" i="4"/>
  <c r="AA87" i="4"/>
  <c r="AB87" i="4"/>
  <c r="AC87" i="4"/>
  <c r="AD87" i="4"/>
  <c r="AE87" i="4"/>
  <c r="AF87" i="4"/>
  <c r="AG87" i="4"/>
  <c r="AH87" i="4"/>
  <c r="AI87" i="4"/>
  <c r="AJ87" i="4"/>
  <c r="AK87" i="4"/>
  <c r="AL87" i="4"/>
  <c r="AM87" i="4"/>
  <c r="AN87" i="4"/>
  <c r="AO87" i="4"/>
  <c r="AP87" i="4"/>
  <c r="AQ87" i="4"/>
  <c r="AR87" i="4"/>
  <c r="AS87" i="4"/>
  <c r="AT87" i="4"/>
  <c r="AU87" i="4"/>
  <c r="AV87" i="4"/>
  <c r="AW87" i="4"/>
  <c r="AX87" i="4"/>
  <c r="A88" i="4"/>
  <c r="B88" i="4"/>
  <c r="C88" i="4"/>
  <c r="D88" i="4"/>
  <c r="E88" i="4"/>
  <c r="F88" i="4"/>
  <c r="G88" i="4"/>
  <c r="H88" i="4"/>
  <c r="I88" i="4"/>
  <c r="J88" i="4"/>
  <c r="K88" i="4"/>
  <c r="L88" i="4"/>
  <c r="M88" i="4"/>
  <c r="N88" i="4"/>
  <c r="O88" i="4"/>
  <c r="P88" i="4"/>
  <c r="Q88" i="4"/>
  <c r="R88" i="4"/>
  <c r="S88" i="4"/>
  <c r="T88" i="4"/>
  <c r="U88" i="4"/>
  <c r="V88" i="4"/>
  <c r="W88" i="4"/>
  <c r="X88" i="4"/>
  <c r="Y88" i="4"/>
  <c r="Z88" i="4"/>
  <c r="AA88" i="4"/>
  <c r="AB88" i="4"/>
  <c r="AC88" i="4"/>
  <c r="AD88" i="4"/>
  <c r="AE88" i="4"/>
  <c r="AF88" i="4"/>
  <c r="AG88" i="4"/>
  <c r="AH88" i="4"/>
  <c r="AI88" i="4"/>
  <c r="AJ88" i="4"/>
  <c r="AK88" i="4"/>
  <c r="AL88" i="4"/>
  <c r="AM88" i="4"/>
  <c r="AN88" i="4"/>
  <c r="AO88" i="4"/>
  <c r="AP88" i="4"/>
  <c r="AQ88" i="4"/>
  <c r="AR88" i="4"/>
  <c r="AS88" i="4"/>
  <c r="AT88" i="4"/>
  <c r="AU88" i="4"/>
  <c r="AV88" i="4"/>
  <c r="AW88" i="4"/>
  <c r="AX88" i="4"/>
  <c r="A89" i="4"/>
  <c r="B89" i="4"/>
  <c r="C89" i="4"/>
  <c r="D89" i="4"/>
  <c r="E89" i="4"/>
  <c r="F89" i="4"/>
  <c r="G89" i="4"/>
  <c r="H89" i="4"/>
  <c r="I89" i="4"/>
  <c r="J89" i="4"/>
  <c r="K89" i="4"/>
  <c r="L89" i="4"/>
  <c r="M89" i="4"/>
  <c r="N89" i="4"/>
  <c r="O89" i="4"/>
  <c r="P89" i="4"/>
  <c r="Q89" i="4"/>
  <c r="R89" i="4"/>
  <c r="S89" i="4"/>
  <c r="T89" i="4"/>
  <c r="U89" i="4"/>
  <c r="V89" i="4"/>
  <c r="W89" i="4"/>
  <c r="X89" i="4"/>
  <c r="Y89" i="4"/>
  <c r="Z89" i="4"/>
  <c r="AA89" i="4"/>
  <c r="AB89" i="4"/>
  <c r="AC89" i="4"/>
  <c r="AD89" i="4"/>
  <c r="AE89" i="4"/>
  <c r="AF89" i="4"/>
  <c r="AG89" i="4"/>
  <c r="AH89" i="4"/>
  <c r="AI89" i="4"/>
  <c r="AJ89" i="4"/>
  <c r="AK89" i="4"/>
  <c r="AL89" i="4"/>
  <c r="AM89" i="4"/>
  <c r="AN89" i="4"/>
  <c r="AO89" i="4"/>
  <c r="AP89" i="4"/>
  <c r="AQ89" i="4"/>
  <c r="AR89" i="4"/>
  <c r="AS89" i="4"/>
  <c r="AT89" i="4"/>
  <c r="AU89" i="4"/>
  <c r="AV89" i="4"/>
  <c r="AW89" i="4"/>
  <c r="AX89" i="4"/>
  <c r="A76" i="4"/>
  <c r="B76" i="4"/>
  <c r="C76" i="4"/>
  <c r="D76" i="4"/>
  <c r="E76" i="4"/>
  <c r="F76" i="4"/>
  <c r="G76" i="4"/>
  <c r="H76" i="4"/>
  <c r="I76" i="4"/>
  <c r="J76" i="4"/>
  <c r="K76" i="4"/>
  <c r="L76" i="4"/>
  <c r="M76" i="4"/>
  <c r="N76" i="4"/>
  <c r="O76" i="4"/>
  <c r="P76" i="4"/>
  <c r="Q76" i="4"/>
  <c r="R76" i="4"/>
  <c r="S76" i="4"/>
  <c r="T76" i="4"/>
  <c r="U76" i="4"/>
  <c r="V76" i="4"/>
  <c r="W76" i="4"/>
  <c r="X76" i="4"/>
  <c r="Y76" i="4"/>
  <c r="Z76" i="4"/>
  <c r="AA76" i="4"/>
  <c r="AB76" i="4"/>
  <c r="AC76" i="4"/>
  <c r="AD76" i="4"/>
  <c r="AE76" i="4"/>
  <c r="AF76" i="4"/>
  <c r="AG76" i="4"/>
  <c r="AH76" i="4"/>
  <c r="AI76" i="4"/>
  <c r="AJ76" i="4"/>
  <c r="AK76" i="4"/>
  <c r="AL76" i="4"/>
  <c r="AM76" i="4"/>
  <c r="AN76" i="4"/>
  <c r="AO76" i="4"/>
  <c r="AP76" i="4"/>
  <c r="AQ76" i="4"/>
  <c r="AR76" i="4"/>
  <c r="AS76" i="4"/>
  <c r="AT76" i="4"/>
  <c r="AU76" i="4"/>
  <c r="AV76" i="4"/>
  <c r="AW76" i="4"/>
  <c r="AX76" i="4"/>
  <c r="A77" i="4"/>
  <c r="B77" i="4"/>
  <c r="C77" i="4"/>
  <c r="D77" i="4"/>
  <c r="E77" i="4"/>
  <c r="F77" i="4"/>
  <c r="G77" i="4"/>
  <c r="H77" i="4"/>
  <c r="I77" i="4"/>
  <c r="J77" i="4"/>
  <c r="K77" i="4"/>
  <c r="L77" i="4"/>
  <c r="M77" i="4"/>
  <c r="N77" i="4"/>
  <c r="O77" i="4"/>
  <c r="P77" i="4"/>
  <c r="Q77" i="4"/>
  <c r="R77" i="4"/>
  <c r="S77" i="4"/>
  <c r="T77" i="4"/>
  <c r="U77" i="4"/>
  <c r="V77" i="4"/>
  <c r="W77" i="4"/>
  <c r="X77" i="4"/>
  <c r="Y77" i="4"/>
  <c r="Z77" i="4"/>
  <c r="AA77" i="4"/>
  <c r="AB77" i="4"/>
  <c r="AC77" i="4"/>
  <c r="AD77" i="4"/>
  <c r="AE77" i="4"/>
  <c r="AF77" i="4"/>
  <c r="AG77" i="4"/>
  <c r="AH77" i="4"/>
  <c r="AI77" i="4"/>
  <c r="AJ77" i="4"/>
  <c r="AK77" i="4"/>
  <c r="AL77" i="4"/>
  <c r="AM77" i="4"/>
  <c r="AN77" i="4"/>
  <c r="AO77" i="4"/>
  <c r="AP77" i="4"/>
  <c r="AQ77" i="4"/>
  <c r="AR77" i="4"/>
  <c r="AS77" i="4"/>
  <c r="AT77" i="4"/>
  <c r="AU77" i="4"/>
  <c r="AV77" i="4"/>
  <c r="AW77" i="4"/>
  <c r="AX77" i="4"/>
  <c r="A78" i="4"/>
  <c r="B78" i="4"/>
  <c r="C78" i="4"/>
  <c r="D78" i="4"/>
  <c r="E78" i="4"/>
  <c r="F78" i="4"/>
  <c r="G78" i="4"/>
  <c r="H78" i="4"/>
  <c r="I78" i="4"/>
  <c r="J78" i="4"/>
  <c r="K78" i="4"/>
  <c r="L78" i="4"/>
  <c r="M78" i="4"/>
  <c r="N78" i="4"/>
  <c r="O78" i="4"/>
  <c r="P78" i="4"/>
  <c r="Q78" i="4"/>
  <c r="R78" i="4"/>
  <c r="S78" i="4"/>
  <c r="T78" i="4"/>
  <c r="U78" i="4"/>
  <c r="V78" i="4"/>
  <c r="W78" i="4"/>
  <c r="X78" i="4"/>
  <c r="Y78" i="4"/>
  <c r="Z78" i="4"/>
  <c r="AA78" i="4"/>
  <c r="AB78" i="4"/>
  <c r="AC78" i="4"/>
  <c r="AD78" i="4"/>
  <c r="AE78" i="4"/>
  <c r="AF78" i="4"/>
  <c r="AG78" i="4"/>
  <c r="AH78" i="4"/>
  <c r="AI78" i="4"/>
  <c r="AJ78" i="4"/>
  <c r="AK78" i="4"/>
  <c r="AL78" i="4"/>
  <c r="AM78" i="4"/>
  <c r="AN78" i="4"/>
  <c r="AO78" i="4"/>
  <c r="AP78" i="4"/>
  <c r="AQ78" i="4"/>
  <c r="AR78" i="4"/>
  <c r="AS78" i="4"/>
  <c r="AT78" i="4"/>
  <c r="AU78" i="4"/>
  <c r="AV78" i="4"/>
  <c r="AW78" i="4"/>
  <c r="AX78" i="4"/>
  <c r="A79" i="4"/>
  <c r="B79" i="4"/>
  <c r="C79" i="4"/>
  <c r="D79" i="4"/>
  <c r="E79" i="4"/>
  <c r="F79" i="4"/>
  <c r="G79" i="4"/>
  <c r="H79" i="4"/>
  <c r="I79" i="4"/>
  <c r="J79" i="4"/>
  <c r="K79" i="4"/>
  <c r="L79" i="4"/>
  <c r="M79" i="4"/>
  <c r="N79" i="4"/>
  <c r="O79" i="4"/>
  <c r="P79" i="4"/>
  <c r="Q79" i="4"/>
  <c r="R79" i="4"/>
  <c r="S79" i="4"/>
  <c r="T79" i="4"/>
  <c r="U79" i="4"/>
  <c r="V79" i="4"/>
  <c r="W79" i="4"/>
  <c r="X79" i="4"/>
  <c r="Y79" i="4"/>
  <c r="Z79" i="4"/>
  <c r="AA79" i="4"/>
  <c r="AB79" i="4"/>
  <c r="AC79" i="4"/>
  <c r="AD79" i="4"/>
  <c r="AE79" i="4"/>
  <c r="AF79" i="4"/>
  <c r="AG79" i="4"/>
  <c r="AH79" i="4"/>
  <c r="AI79" i="4"/>
  <c r="AJ79" i="4"/>
  <c r="AK79" i="4"/>
  <c r="AL79" i="4"/>
  <c r="AM79" i="4"/>
  <c r="AN79" i="4"/>
  <c r="AO79" i="4"/>
  <c r="AP79" i="4"/>
  <c r="AQ79" i="4"/>
  <c r="AR79" i="4"/>
  <c r="AS79" i="4"/>
  <c r="AT79" i="4"/>
  <c r="AU79" i="4"/>
  <c r="AV79" i="4"/>
  <c r="AW79" i="4"/>
  <c r="AX79" i="4"/>
  <c r="A80" i="4"/>
  <c r="B80" i="4"/>
  <c r="C80" i="4"/>
  <c r="D80" i="4"/>
  <c r="E80" i="4"/>
  <c r="F80" i="4"/>
  <c r="G80" i="4"/>
  <c r="H80" i="4"/>
  <c r="I80" i="4"/>
  <c r="J80" i="4"/>
  <c r="K80" i="4"/>
  <c r="L80" i="4"/>
  <c r="M80" i="4"/>
  <c r="N80" i="4"/>
  <c r="O80" i="4"/>
  <c r="P80" i="4"/>
  <c r="Q80" i="4"/>
  <c r="R80" i="4"/>
  <c r="S80" i="4"/>
  <c r="T80" i="4"/>
  <c r="U80" i="4"/>
  <c r="V80" i="4"/>
  <c r="W80" i="4"/>
  <c r="X80" i="4"/>
  <c r="Y80" i="4"/>
  <c r="Z80" i="4"/>
  <c r="AA80" i="4"/>
  <c r="AB80" i="4"/>
  <c r="AC80" i="4"/>
  <c r="AD80" i="4"/>
  <c r="AE80" i="4"/>
  <c r="AF80" i="4"/>
  <c r="AG80" i="4"/>
  <c r="AH80" i="4"/>
  <c r="AI80" i="4"/>
  <c r="AJ80" i="4"/>
  <c r="AK80" i="4"/>
  <c r="AL80" i="4"/>
  <c r="AM80" i="4"/>
  <c r="AN80" i="4"/>
  <c r="AO80" i="4"/>
  <c r="AP80" i="4"/>
  <c r="AQ80" i="4"/>
  <c r="AR80" i="4"/>
  <c r="AS80" i="4"/>
  <c r="AT80" i="4"/>
  <c r="AU80" i="4"/>
  <c r="AV80" i="4"/>
  <c r="AW80" i="4"/>
  <c r="AX80" i="4"/>
  <c r="A81" i="4"/>
  <c r="B81" i="4"/>
  <c r="C81" i="4"/>
  <c r="D81" i="4"/>
  <c r="E81" i="4"/>
  <c r="F81" i="4"/>
  <c r="G81" i="4"/>
  <c r="H81" i="4"/>
  <c r="I81" i="4"/>
  <c r="J81" i="4"/>
  <c r="K81" i="4"/>
  <c r="L81" i="4"/>
  <c r="M81" i="4"/>
  <c r="N81" i="4"/>
  <c r="O81" i="4"/>
  <c r="P81" i="4"/>
  <c r="Q81" i="4"/>
  <c r="R81" i="4"/>
  <c r="S81" i="4"/>
  <c r="T81" i="4"/>
  <c r="U81" i="4"/>
  <c r="V81" i="4"/>
  <c r="W81" i="4"/>
  <c r="X81" i="4"/>
  <c r="Y81" i="4"/>
  <c r="Z81" i="4"/>
  <c r="AA81" i="4"/>
  <c r="AB81" i="4"/>
  <c r="AC81" i="4"/>
  <c r="AD81" i="4"/>
  <c r="AE81" i="4"/>
  <c r="AF81" i="4"/>
  <c r="AG81" i="4"/>
  <c r="AH81" i="4"/>
  <c r="AI81" i="4"/>
  <c r="AJ81" i="4"/>
  <c r="AK81" i="4"/>
  <c r="AL81" i="4"/>
  <c r="AM81" i="4"/>
  <c r="AN81" i="4"/>
  <c r="AO81" i="4"/>
  <c r="AP81" i="4"/>
  <c r="AQ81" i="4"/>
  <c r="AR81" i="4"/>
  <c r="AS81" i="4"/>
  <c r="AT81" i="4"/>
  <c r="AU81" i="4"/>
  <c r="AV81" i="4"/>
  <c r="AW81" i="4"/>
  <c r="AX81" i="4"/>
  <c r="A82" i="4"/>
  <c r="B82" i="4"/>
  <c r="C82" i="4"/>
  <c r="D82" i="4"/>
  <c r="E82" i="4"/>
  <c r="F82" i="4"/>
  <c r="G82" i="4"/>
  <c r="H82" i="4"/>
  <c r="I82" i="4"/>
  <c r="J82" i="4"/>
  <c r="K82" i="4"/>
  <c r="L82" i="4"/>
  <c r="M82" i="4"/>
  <c r="N82" i="4"/>
  <c r="O82" i="4"/>
  <c r="P82" i="4"/>
  <c r="Q82" i="4"/>
  <c r="R82" i="4"/>
  <c r="S82" i="4"/>
  <c r="T82" i="4"/>
  <c r="U82" i="4"/>
  <c r="V82" i="4"/>
  <c r="W82" i="4"/>
  <c r="X82" i="4"/>
  <c r="Y82" i="4"/>
  <c r="Z82" i="4"/>
  <c r="AA82" i="4"/>
  <c r="AB82" i="4"/>
  <c r="AC82" i="4"/>
  <c r="AD82" i="4"/>
  <c r="AE82" i="4"/>
  <c r="AF82" i="4"/>
  <c r="AG82" i="4"/>
  <c r="AH82" i="4"/>
  <c r="AI82" i="4"/>
  <c r="AJ82" i="4"/>
  <c r="AK82" i="4"/>
  <c r="AL82" i="4"/>
  <c r="AM82" i="4"/>
  <c r="AN82" i="4"/>
  <c r="AO82" i="4"/>
  <c r="AP82" i="4"/>
  <c r="AQ82" i="4"/>
  <c r="AR82" i="4"/>
  <c r="AS82" i="4"/>
  <c r="AT82" i="4"/>
  <c r="AU82" i="4"/>
  <c r="AV82" i="4"/>
  <c r="AW82" i="4"/>
  <c r="AX82" i="4"/>
  <c r="A3" i="4"/>
  <c r="B3" i="4"/>
  <c r="C3" i="4"/>
  <c r="D3" i="4"/>
  <c r="E3" i="4"/>
  <c r="F3" i="4"/>
  <c r="G3" i="4"/>
  <c r="H3" i="4"/>
  <c r="I3" i="4"/>
  <c r="J3" i="4"/>
  <c r="K3" i="4"/>
  <c r="L3" i="4"/>
  <c r="M3" i="4"/>
  <c r="N3" i="4"/>
  <c r="O3" i="4"/>
  <c r="P3" i="4"/>
  <c r="Q3" i="4"/>
  <c r="R3" i="4"/>
  <c r="S3" i="4"/>
  <c r="T3" i="4"/>
  <c r="U3" i="4"/>
  <c r="V3" i="4"/>
  <c r="W3" i="4"/>
  <c r="X3" i="4"/>
  <c r="Y3" i="4"/>
  <c r="Z3" i="4"/>
  <c r="AA3" i="4"/>
  <c r="AB3" i="4"/>
  <c r="AC3" i="4"/>
  <c r="AD3" i="4"/>
  <c r="AE3" i="4"/>
  <c r="AF3" i="4"/>
  <c r="AG3" i="4"/>
  <c r="AH3" i="4"/>
  <c r="AI3" i="4"/>
  <c r="AJ3" i="4"/>
  <c r="AK3" i="4"/>
  <c r="AL3" i="4"/>
  <c r="AM3" i="4"/>
  <c r="AN3" i="4"/>
  <c r="AO3" i="4"/>
  <c r="AP3" i="4"/>
  <c r="AQ3" i="4"/>
  <c r="AR3" i="4"/>
  <c r="AS3" i="4"/>
  <c r="AT3" i="4"/>
  <c r="AU3" i="4"/>
  <c r="AV3" i="4"/>
  <c r="AW3" i="4"/>
  <c r="AX3" i="4"/>
  <c r="A4" i="4"/>
  <c r="B4" i="4"/>
  <c r="C4" i="4"/>
  <c r="D4" i="4"/>
  <c r="E4" i="4"/>
  <c r="F4" i="4"/>
  <c r="G4" i="4"/>
  <c r="H4" i="4"/>
  <c r="I4" i="4"/>
  <c r="J4" i="4"/>
  <c r="K4" i="4"/>
  <c r="L4" i="4"/>
  <c r="M4" i="4"/>
  <c r="N4" i="4"/>
  <c r="O4" i="4"/>
  <c r="P4" i="4"/>
  <c r="Q4" i="4"/>
  <c r="R4" i="4"/>
  <c r="S4" i="4"/>
  <c r="T4" i="4"/>
  <c r="U4" i="4"/>
  <c r="V4" i="4"/>
  <c r="W4" i="4"/>
  <c r="X4" i="4"/>
  <c r="Y4" i="4"/>
  <c r="Z4" i="4"/>
  <c r="AA4" i="4"/>
  <c r="AB4" i="4"/>
  <c r="AC4" i="4"/>
  <c r="AD4" i="4"/>
  <c r="AE4" i="4"/>
  <c r="AF4" i="4"/>
  <c r="AG4" i="4"/>
  <c r="AH4" i="4"/>
  <c r="AI4" i="4"/>
  <c r="AJ4" i="4"/>
  <c r="AK4" i="4"/>
  <c r="AL4" i="4"/>
  <c r="AM4" i="4"/>
  <c r="AN4" i="4"/>
  <c r="AO4" i="4"/>
  <c r="AP4" i="4"/>
  <c r="AQ4" i="4"/>
  <c r="AR4" i="4"/>
  <c r="AS4" i="4"/>
  <c r="AT4" i="4"/>
  <c r="AU4" i="4"/>
  <c r="AV4" i="4"/>
  <c r="AW4" i="4"/>
  <c r="AX4" i="4"/>
  <c r="A5" i="4"/>
  <c r="B5" i="4"/>
  <c r="C5" i="4"/>
  <c r="D5" i="4"/>
  <c r="E5" i="4"/>
  <c r="F5" i="4"/>
  <c r="G5" i="4"/>
  <c r="H5" i="4"/>
  <c r="I5" i="4"/>
  <c r="J5" i="4"/>
  <c r="K5" i="4"/>
  <c r="L5" i="4"/>
  <c r="M5" i="4"/>
  <c r="N5" i="4"/>
  <c r="O5" i="4"/>
  <c r="P5" i="4"/>
  <c r="Q5" i="4"/>
  <c r="R5" i="4"/>
  <c r="S5" i="4"/>
  <c r="T5" i="4"/>
  <c r="U5" i="4"/>
  <c r="V5" i="4"/>
  <c r="W5" i="4"/>
  <c r="X5" i="4"/>
  <c r="Y5" i="4"/>
  <c r="Z5" i="4"/>
  <c r="AA5" i="4"/>
  <c r="AB5" i="4"/>
  <c r="AC5" i="4"/>
  <c r="AD5" i="4"/>
  <c r="AE5" i="4"/>
  <c r="AF5" i="4"/>
  <c r="AG5" i="4"/>
  <c r="AH5" i="4"/>
  <c r="AI5" i="4"/>
  <c r="AJ5" i="4"/>
  <c r="AK5" i="4"/>
  <c r="AL5" i="4"/>
  <c r="AM5" i="4"/>
  <c r="AN5" i="4"/>
  <c r="AO5" i="4"/>
  <c r="AP5" i="4"/>
  <c r="AQ5" i="4"/>
  <c r="AR5" i="4"/>
  <c r="AS5" i="4"/>
  <c r="AT5" i="4"/>
  <c r="AU5" i="4"/>
  <c r="AV5" i="4"/>
  <c r="AW5" i="4"/>
  <c r="AX5" i="4"/>
  <c r="A6" i="4"/>
  <c r="B6" i="4"/>
  <c r="C6" i="4"/>
  <c r="D6" i="4"/>
  <c r="E6" i="4"/>
  <c r="F6" i="4"/>
  <c r="G6" i="4"/>
  <c r="H6" i="4"/>
  <c r="I6" i="4"/>
  <c r="J6" i="4"/>
  <c r="K6" i="4"/>
  <c r="L6" i="4"/>
  <c r="M6" i="4"/>
  <c r="N6" i="4"/>
  <c r="O6" i="4"/>
  <c r="P6" i="4"/>
  <c r="Q6" i="4"/>
  <c r="R6" i="4"/>
  <c r="S6" i="4"/>
  <c r="T6" i="4"/>
  <c r="U6" i="4"/>
  <c r="V6" i="4"/>
  <c r="W6" i="4"/>
  <c r="X6" i="4"/>
  <c r="Y6" i="4"/>
  <c r="Z6" i="4"/>
  <c r="AA6" i="4"/>
  <c r="AB6" i="4"/>
  <c r="AC6" i="4"/>
  <c r="AD6" i="4"/>
  <c r="AE6" i="4"/>
  <c r="AF6" i="4"/>
  <c r="AG6" i="4"/>
  <c r="AH6" i="4"/>
  <c r="AI6" i="4"/>
  <c r="AJ6" i="4"/>
  <c r="AK6" i="4"/>
  <c r="AL6" i="4"/>
  <c r="AM6" i="4"/>
  <c r="AN6" i="4"/>
  <c r="AO6" i="4"/>
  <c r="AP6" i="4"/>
  <c r="AQ6" i="4"/>
  <c r="AR6" i="4"/>
  <c r="AS6" i="4"/>
  <c r="AT6" i="4"/>
  <c r="AU6" i="4"/>
  <c r="AV6" i="4"/>
  <c r="AW6" i="4"/>
  <c r="AX6" i="4"/>
  <c r="A7" i="4"/>
  <c r="B7" i="4"/>
  <c r="C7" i="4"/>
  <c r="D7" i="4"/>
  <c r="E7" i="4"/>
  <c r="F7" i="4"/>
  <c r="G7" i="4"/>
  <c r="H7" i="4"/>
  <c r="I7" i="4"/>
  <c r="J7" i="4"/>
  <c r="K7" i="4"/>
  <c r="L7" i="4"/>
  <c r="M7" i="4"/>
  <c r="N7" i="4"/>
  <c r="O7" i="4"/>
  <c r="P7" i="4"/>
  <c r="Q7" i="4"/>
  <c r="R7" i="4"/>
  <c r="S7" i="4"/>
  <c r="T7" i="4"/>
  <c r="U7" i="4"/>
  <c r="V7" i="4"/>
  <c r="W7" i="4"/>
  <c r="X7" i="4"/>
  <c r="Y7" i="4"/>
  <c r="Z7" i="4"/>
  <c r="AA7" i="4"/>
  <c r="AB7" i="4"/>
  <c r="AC7" i="4"/>
  <c r="AD7" i="4"/>
  <c r="AE7" i="4"/>
  <c r="AF7" i="4"/>
  <c r="AG7" i="4"/>
  <c r="AH7" i="4"/>
  <c r="AI7" i="4"/>
  <c r="AJ7" i="4"/>
  <c r="AK7" i="4"/>
  <c r="AL7" i="4"/>
  <c r="AM7" i="4"/>
  <c r="AN7" i="4"/>
  <c r="AO7" i="4"/>
  <c r="AP7" i="4"/>
  <c r="AQ7" i="4"/>
  <c r="AR7" i="4"/>
  <c r="AS7" i="4"/>
  <c r="AT7" i="4"/>
  <c r="AU7" i="4"/>
  <c r="AV7" i="4"/>
  <c r="AW7" i="4"/>
  <c r="AX7" i="4"/>
  <c r="A8" i="4"/>
  <c r="B8" i="4"/>
  <c r="C8" i="4"/>
  <c r="D8" i="4"/>
  <c r="E8" i="4"/>
  <c r="F8" i="4"/>
  <c r="G8" i="4"/>
  <c r="H8" i="4"/>
  <c r="I8" i="4"/>
  <c r="J8" i="4"/>
  <c r="K8" i="4"/>
  <c r="L8" i="4"/>
  <c r="M8" i="4"/>
  <c r="N8" i="4"/>
  <c r="O8" i="4"/>
  <c r="P8" i="4"/>
  <c r="Q8" i="4"/>
  <c r="R8" i="4"/>
  <c r="S8" i="4"/>
  <c r="T8" i="4"/>
  <c r="U8" i="4"/>
  <c r="V8" i="4"/>
  <c r="W8" i="4"/>
  <c r="X8" i="4"/>
  <c r="Y8" i="4"/>
  <c r="Z8" i="4"/>
  <c r="AA8" i="4"/>
  <c r="AB8" i="4"/>
  <c r="AC8" i="4"/>
  <c r="AD8" i="4"/>
  <c r="AE8" i="4"/>
  <c r="AF8" i="4"/>
  <c r="AG8" i="4"/>
  <c r="AH8" i="4"/>
  <c r="AI8" i="4"/>
  <c r="AJ8" i="4"/>
  <c r="AK8" i="4"/>
  <c r="AL8" i="4"/>
  <c r="AM8" i="4"/>
  <c r="AN8" i="4"/>
  <c r="AO8" i="4"/>
  <c r="AP8" i="4"/>
  <c r="AQ8" i="4"/>
  <c r="AR8" i="4"/>
  <c r="AS8" i="4"/>
  <c r="AT8" i="4"/>
  <c r="AU8" i="4"/>
  <c r="AV8" i="4"/>
  <c r="AW8" i="4"/>
  <c r="AX8" i="4"/>
  <c r="A9" i="4"/>
  <c r="B9" i="4"/>
  <c r="C9" i="4"/>
  <c r="D9" i="4"/>
  <c r="E9" i="4"/>
  <c r="F9" i="4"/>
  <c r="G9" i="4"/>
  <c r="H9" i="4"/>
  <c r="I9" i="4"/>
  <c r="J9" i="4"/>
  <c r="K9" i="4"/>
  <c r="L9" i="4"/>
  <c r="M9" i="4"/>
  <c r="N9" i="4"/>
  <c r="O9" i="4"/>
  <c r="P9" i="4"/>
  <c r="Q9" i="4"/>
  <c r="R9" i="4"/>
  <c r="S9" i="4"/>
  <c r="T9" i="4"/>
  <c r="U9" i="4"/>
  <c r="V9" i="4"/>
  <c r="W9" i="4"/>
  <c r="X9" i="4"/>
  <c r="Y9" i="4"/>
  <c r="Z9" i="4"/>
  <c r="AA9" i="4"/>
  <c r="AB9" i="4"/>
  <c r="AC9" i="4"/>
  <c r="AD9" i="4"/>
  <c r="AE9" i="4"/>
  <c r="AF9" i="4"/>
  <c r="AG9" i="4"/>
  <c r="AH9" i="4"/>
  <c r="AI9" i="4"/>
  <c r="AJ9" i="4"/>
  <c r="AK9" i="4"/>
  <c r="AL9" i="4"/>
  <c r="AM9" i="4"/>
  <c r="AN9" i="4"/>
  <c r="AO9" i="4"/>
  <c r="AP9" i="4"/>
  <c r="AQ9" i="4"/>
  <c r="AR9" i="4"/>
  <c r="AS9" i="4"/>
  <c r="AT9" i="4"/>
  <c r="AU9" i="4"/>
  <c r="AV9" i="4"/>
  <c r="AW9" i="4"/>
  <c r="AX9" i="4"/>
  <c r="A10" i="4"/>
  <c r="B10" i="4"/>
  <c r="C10" i="4"/>
  <c r="D10" i="4"/>
  <c r="E10" i="4"/>
  <c r="F10" i="4"/>
  <c r="G10" i="4"/>
  <c r="H10" i="4"/>
  <c r="I10" i="4"/>
  <c r="J10" i="4"/>
  <c r="K10" i="4"/>
  <c r="L10" i="4"/>
  <c r="M10" i="4"/>
  <c r="N10" i="4"/>
  <c r="O10" i="4"/>
  <c r="P10" i="4"/>
  <c r="Q10" i="4"/>
  <c r="R10" i="4"/>
  <c r="S10" i="4"/>
  <c r="T10" i="4"/>
  <c r="U10" i="4"/>
  <c r="V10" i="4"/>
  <c r="W10" i="4"/>
  <c r="X10" i="4"/>
  <c r="Y10" i="4"/>
  <c r="Z10" i="4"/>
  <c r="AA10" i="4"/>
  <c r="AB10" i="4"/>
  <c r="AC10" i="4"/>
  <c r="AD10" i="4"/>
  <c r="AE10" i="4"/>
  <c r="AF10" i="4"/>
  <c r="AG10" i="4"/>
  <c r="AH10" i="4"/>
  <c r="AI10" i="4"/>
  <c r="AJ10" i="4"/>
  <c r="AK10" i="4"/>
  <c r="AL10" i="4"/>
  <c r="AM10" i="4"/>
  <c r="AN10" i="4"/>
  <c r="AO10" i="4"/>
  <c r="AP10" i="4"/>
  <c r="AQ10" i="4"/>
  <c r="AR10" i="4"/>
  <c r="AS10" i="4"/>
  <c r="AT10" i="4"/>
  <c r="AU10" i="4"/>
  <c r="AV10" i="4"/>
  <c r="AW10" i="4"/>
  <c r="AX10" i="4"/>
  <c r="A11" i="4"/>
  <c r="B11" i="4"/>
  <c r="C11" i="4"/>
  <c r="D11" i="4"/>
  <c r="E11" i="4"/>
  <c r="F11" i="4"/>
  <c r="G11" i="4"/>
  <c r="H11" i="4"/>
  <c r="I11" i="4"/>
  <c r="J11" i="4"/>
  <c r="K11" i="4"/>
  <c r="L11" i="4"/>
  <c r="M11" i="4"/>
  <c r="N11" i="4"/>
  <c r="O11" i="4"/>
  <c r="P11" i="4"/>
  <c r="Q11" i="4"/>
  <c r="R11" i="4"/>
  <c r="S11" i="4"/>
  <c r="T11" i="4"/>
  <c r="U11" i="4"/>
  <c r="V11" i="4"/>
  <c r="W11" i="4"/>
  <c r="X11" i="4"/>
  <c r="Y11" i="4"/>
  <c r="Z11" i="4"/>
  <c r="AA11" i="4"/>
  <c r="AB11" i="4"/>
  <c r="AC11" i="4"/>
  <c r="AD11" i="4"/>
  <c r="AE11" i="4"/>
  <c r="AF11" i="4"/>
  <c r="AG11" i="4"/>
  <c r="AH11" i="4"/>
  <c r="AI11" i="4"/>
  <c r="AJ11" i="4"/>
  <c r="AK11" i="4"/>
  <c r="AL11" i="4"/>
  <c r="AM11" i="4"/>
  <c r="AN11" i="4"/>
  <c r="AO11" i="4"/>
  <c r="AP11" i="4"/>
  <c r="AQ11" i="4"/>
  <c r="AR11" i="4"/>
  <c r="AS11" i="4"/>
  <c r="AT11" i="4"/>
  <c r="AU11" i="4"/>
  <c r="AV11" i="4"/>
  <c r="AW11" i="4"/>
  <c r="AX11" i="4"/>
  <c r="A12" i="4"/>
  <c r="B12" i="4"/>
  <c r="C12" i="4"/>
  <c r="D12" i="4"/>
  <c r="E12" i="4"/>
  <c r="F12" i="4"/>
  <c r="G12" i="4"/>
  <c r="H12" i="4"/>
  <c r="I12" i="4"/>
  <c r="J12" i="4"/>
  <c r="K12" i="4"/>
  <c r="L12" i="4"/>
  <c r="M12" i="4"/>
  <c r="N12" i="4"/>
  <c r="O12" i="4"/>
  <c r="P12" i="4"/>
  <c r="Q12" i="4"/>
  <c r="R12" i="4"/>
  <c r="S12" i="4"/>
  <c r="T12" i="4"/>
  <c r="U12" i="4"/>
  <c r="V12" i="4"/>
  <c r="W12" i="4"/>
  <c r="X12" i="4"/>
  <c r="Y12" i="4"/>
  <c r="Z12" i="4"/>
  <c r="AA12" i="4"/>
  <c r="AB12" i="4"/>
  <c r="AC12" i="4"/>
  <c r="AD12" i="4"/>
  <c r="AE12" i="4"/>
  <c r="AF12" i="4"/>
  <c r="AG12" i="4"/>
  <c r="AH12" i="4"/>
  <c r="AI12" i="4"/>
  <c r="AJ12" i="4"/>
  <c r="AK12" i="4"/>
  <c r="AL12" i="4"/>
  <c r="AM12" i="4"/>
  <c r="AN12" i="4"/>
  <c r="AO12" i="4"/>
  <c r="AP12" i="4"/>
  <c r="AQ12" i="4"/>
  <c r="AR12" i="4"/>
  <c r="AS12" i="4"/>
  <c r="AT12" i="4"/>
  <c r="AU12" i="4"/>
  <c r="AV12" i="4"/>
  <c r="AW12" i="4"/>
  <c r="AX12" i="4"/>
  <c r="A13" i="4"/>
  <c r="B13" i="4"/>
  <c r="C13" i="4"/>
  <c r="D13" i="4"/>
  <c r="E13" i="4"/>
  <c r="F13" i="4"/>
  <c r="G13" i="4"/>
  <c r="H13" i="4"/>
  <c r="I13" i="4"/>
  <c r="J13" i="4"/>
  <c r="K13" i="4"/>
  <c r="L13" i="4"/>
  <c r="M13" i="4"/>
  <c r="N13" i="4"/>
  <c r="O13" i="4"/>
  <c r="P13" i="4"/>
  <c r="Q13" i="4"/>
  <c r="R13"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14" i="4"/>
  <c r="B14" i="4"/>
  <c r="C14" i="4"/>
  <c r="D14" i="4"/>
  <c r="E14" i="4"/>
  <c r="F14" i="4"/>
  <c r="G14" i="4"/>
  <c r="H14" i="4"/>
  <c r="I14" i="4"/>
  <c r="J14" i="4"/>
  <c r="K14" i="4"/>
  <c r="L14" i="4"/>
  <c r="M14" i="4"/>
  <c r="N14" i="4"/>
  <c r="O14" i="4"/>
  <c r="P14" i="4"/>
  <c r="Q14" i="4"/>
  <c r="R14"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15" i="4"/>
  <c r="B15" i="4"/>
  <c r="C15" i="4"/>
  <c r="D15" i="4"/>
  <c r="E15" i="4"/>
  <c r="F15" i="4"/>
  <c r="G15" i="4"/>
  <c r="H15" i="4"/>
  <c r="I15" i="4"/>
  <c r="J15" i="4"/>
  <c r="K15" i="4"/>
  <c r="L15" i="4"/>
  <c r="M15" i="4"/>
  <c r="N15" i="4"/>
  <c r="O15" i="4"/>
  <c r="P15" i="4"/>
  <c r="Q15" i="4"/>
  <c r="R15" i="4"/>
  <c r="S15" i="4"/>
  <c r="T15" i="4"/>
  <c r="U15" i="4"/>
  <c r="V15" i="4"/>
  <c r="W15" i="4"/>
  <c r="X15" i="4"/>
  <c r="Y15" i="4"/>
  <c r="Z15" i="4"/>
  <c r="AA15" i="4"/>
  <c r="AB15" i="4"/>
  <c r="AC15" i="4"/>
  <c r="AD15" i="4"/>
  <c r="AE15" i="4"/>
  <c r="AF15" i="4"/>
  <c r="AG15" i="4"/>
  <c r="AH15" i="4"/>
  <c r="AI15" i="4"/>
  <c r="AJ15" i="4"/>
  <c r="AK15" i="4"/>
  <c r="AL15" i="4"/>
  <c r="AM15" i="4"/>
  <c r="AN15" i="4"/>
  <c r="AO15" i="4"/>
  <c r="AP15" i="4"/>
  <c r="AQ15" i="4"/>
  <c r="AR15" i="4"/>
  <c r="AS15" i="4"/>
  <c r="AT15" i="4"/>
  <c r="AU15" i="4"/>
  <c r="AV15" i="4"/>
  <c r="AW15" i="4"/>
  <c r="AX15" i="4"/>
  <c r="A16" i="4"/>
  <c r="B16" i="4"/>
  <c r="C16" i="4"/>
  <c r="D16" i="4"/>
  <c r="E16" i="4"/>
  <c r="F16" i="4"/>
  <c r="G16" i="4"/>
  <c r="H16" i="4"/>
  <c r="I16" i="4"/>
  <c r="J16" i="4"/>
  <c r="K16" i="4"/>
  <c r="L16" i="4"/>
  <c r="M16" i="4"/>
  <c r="N16" i="4"/>
  <c r="O16" i="4"/>
  <c r="P16" i="4"/>
  <c r="Q16" i="4"/>
  <c r="R16" i="4"/>
  <c r="S16" i="4"/>
  <c r="T16" i="4"/>
  <c r="U16" i="4"/>
  <c r="V16" i="4"/>
  <c r="W16" i="4"/>
  <c r="X16" i="4"/>
  <c r="Y16" i="4"/>
  <c r="Z16" i="4"/>
  <c r="AA16" i="4"/>
  <c r="AB16" i="4"/>
  <c r="AC16" i="4"/>
  <c r="AD16" i="4"/>
  <c r="AE16" i="4"/>
  <c r="AF16" i="4"/>
  <c r="AG16" i="4"/>
  <c r="AH16" i="4"/>
  <c r="AI16" i="4"/>
  <c r="AJ16" i="4"/>
  <c r="AK16" i="4"/>
  <c r="AL16" i="4"/>
  <c r="AM16" i="4"/>
  <c r="AN16" i="4"/>
  <c r="AO16" i="4"/>
  <c r="AP16" i="4"/>
  <c r="AQ16" i="4"/>
  <c r="AR16" i="4"/>
  <c r="AS16" i="4"/>
  <c r="AT16" i="4"/>
  <c r="AU16" i="4"/>
  <c r="AV16" i="4"/>
  <c r="AW16" i="4"/>
  <c r="AX16" i="4"/>
  <c r="A17" i="4"/>
  <c r="B17" i="4"/>
  <c r="C17" i="4"/>
  <c r="D17" i="4"/>
  <c r="E17" i="4"/>
  <c r="F17" i="4"/>
  <c r="G17" i="4"/>
  <c r="H17" i="4"/>
  <c r="I17" i="4"/>
  <c r="J17" i="4"/>
  <c r="K17" i="4"/>
  <c r="L17" i="4"/>
  <c r="M17" i="4"/>
  <c r="N17" i="4"/>
  <c r="O17" i="4"/>
  <c r="P17" i="4"/>
  <c r="Q17" i="4"/>
  <c r="R17" i="4"/>
  <c r="S17" i="4"/>
  <c r="T17" i="4"/>
  <c r="U17" i="4"/>
  <c r="V17" i="4"/>
  <c r="W17" i="4"/>
  <c r="X17" i="4"/>
  <c r="Y17" i="4"/>
  <c r="Z17" i="4"/>
  <c r="AA17" i="4"/>
  <c r="AB17" i="4"/>
  <c r="AC17" i="4"/>
  <c r="AD17" i="4"/>
  <c r="AE17" i="4"/>
  <c r="AF17" i="4"/>
  <c r="AG17" i="4"/>
  <c r="AH17" i="4"/>
  <c r="AI17" i="4"/>
  <c r="AJ17" i="4"/>
  <c r="AK17" i="4"/>
  <c r="AL17" i="4"/>
  <c r="AM17" i="4"/>
  <c r="AN17" i="4"/>
  <c r="AO17" i="4"/>
  <c r="AP17" i="4"/>
  <c r="AQ17" i="4"/>
  <c r="AR17" i="4"/>
  <c r="AS17" i="4"/>
  <c r="AT17" i="4"/>
  <c r="AU17" i="4"/>
  <c r="AV17" i="4"/>
  <c r="AW17" i="4"/>
  <c r="AX17" i="4"/>
  <c r="A18" i="4"/>
  <c r="B18" i="4"/>
  <c r="C18" i="4"/>
  <c r="D18" i="4"/>
  <c r="E18" i="4"/>
  <c r="F18" i="4"/>
  <c r="G18" i="4"/>
  <c r="H18" i="4"/>
  <c r="I18" i="4"/>
  <c r="J18" i="4"/>
  <c r="K18" i="4"/>
  <c r="L18" i="4"/>
  <c r="M18" i="4"/>
  <c r="N18" i="4"/>
  <c r="O18" i="4"/>
  <c r="P18" i="4"/>
  <c r="Q18" i="4"/>
  <c r="R18" i="4"/>
  <c r="S18" i="4"/>
  <c r="T18" i="4"/>
  <c r="U18" i="4"/>
  <c r="V18" i="4"/>
  <c r="W18" i="4"/>
  <c r="X18" i="4"/>
  <c r="Y18" i="4"/>
  <c r="Z18" i="4"/>
  <c r="AA18" i="4"/>
  <c r="AB18" i="4"/>
  <c r="AC18" i="4"/>
  <c r="AD18" i="4"/>
  <c r="AE18" i="4"/>
  <c r="AF18" i="4"/>
  <c r="AG18" i="4"/>
  <c r="AH18" i="4"/>
  <c r="AI18" i="4"/>
  <c r="AJ18" i="4"/>
  <c r="AK18" i="4"/>
  <c r="AL18" i="4"/>
  <c r="AM18" i="4"/>
  <c r="AN18" i="4"/>
  <c r="AO18" i="4"/>
  <c r="AP18" i="4"/>
  <c r="AQ18" i="4"/>
  <c r="AR18" i="4"/>
  <c r="AS18" i="4"/>
  <c r="AT18" i="4"/>
  <c r="AU18" i="4"/>
  <c r="AV18" i="4"/>
  <c r="AW18" i="4"/>
  <c r="AX18" i="4"/>
  <c r="A19" i="4"/>
  <c r="B19" i="4"/>
  <c r="C19" i="4"/>
  <c r="D19" i="4"/>
  <c r="E19" i="4"/>
  <c r="F19" i="4"/>
  <c r="G19" i="4"/>
  <c r="H19" i="4"/>
  <c r="I19" i="4"/>
  <c r="J19" i="4"/>
  <c r="K19" i="4"/>
  <c r="L19" i="4"/>
  <c r="M19" i="4"/>
  <c r="N19" i="4"/>
  <c r="O19" i="4"/>
  <c r="P19" i="4"/>
  <c r="Q19" i="4"/>
  <c r="R19" i="4"/>
  <c r="S19" i="4"/>
  <c r="T19" i="4"/>
  <c r="U19" i="4"/>
  <c r="V19" i="4"/>
  <c r="W19" i="4"/>
  <c r="X19" i="4"/>
  <c r="Y19" i="4"/>
  <c r="Z19" i="4"/>
  <c r="AA19" i="4"/>
  <c r="AB19" i="4"/>
  <c r="AC19" i="4"/>
  <c r="AD19" i="4"/>
  <c r="AE19" i="4"/>
  <c r="AF19" i="4"/>
  <c r="AG19" i="4"/>
  <c r="AH19" i="4"/>
  <c r="AI19" i="4"/>
  <c r="AJ19" i="4"/>
  <c r="AK19" i="4"/>
  <c r="AL19" i="4"/>
  <c r="AM19" i="4"/>
  <c r="AN19" i="4"/>
  <c r="AO19" i="4"/>
  <c r="AP19" i="4"/>
  <c r="AQ19" i="4"/>
  <c r="AR19" i="4"/>
  <c r="AS19" i="4"/>
  <c r="AT19" i="4"/>
  <c r="AU19" i="4"/>
  <c r="AV19" i="4"/>
  <c r="AW19" i="4"/>
  <c r="AX19" i="4"/>
  <c r="A20" i="4"/>
  <c r="B20" i="4"/>
  <c r="C20" i="4"/>
  <c r="D20" i="4"/>
  <c r="E20" i="4"/>
  <c r="F20" i="4"/>
  <c r="G20" i="4"/>
  <c r="H20" i="4"/>
  <c r="I20" i="4"/>
  <c r="J20" i="4"/>
  <c r="K20" i="4"/>
  <c r="L20" i="4"/>
  <c r="M20" i="4"/>
  <c r="N20" i="4"/>
  <c r="O20" i="4"/>
  <c r="P20" i="4"/>
  <c r="Q20" i="4"/>
  <c r="R20" i="4"/>
  <c r="S20" i="4"/>
  <c r="T20" i="4"/>
  <c r="U20" i="4"/>
  <c r="V20" i="4"/>
  <c r="W20" i="4"/>
  <c r="X20" i="4"/>
  <c r="Y20" i="4"/>
  <c r="Z20" i="4"/>
  <c r="AA20" i="4"/>
  <c r="AB20" i="4"/>
  <c r="AC20" i="4"/>
  <c r="AD20" i="4"/>
  <c r="AE20" i="4"/>
  <c r="AF20" i="4"/>
  <c r="AG20" i="4"/>
  <c r="AH20" i="4"/>
  <c r="AI20" i="4"/>
  <c r="AJ20" i="4"/>
  <c r="AK20" i="4"/>
  <c r="AL20" i="4"/>
  <c r="AM20" i="4"/>
  <c r="AN20" i="4"/>
  <c r="AO20" i="4"/>
  <c r="AP20" i="4"/>
  <c r="AQ20" i="4"/>
  <c r="AR20" i="4"/>
  <c r="AS20" i="4"/>
  <c r="AT20" i="4"/>
  <c r="AU20" i="4"/>
  <c r="AV20" i="4"/>
  <c r="AW20" i="4"/>
  <c r="AX20" i="4"/>
  <c r="A21" i="4"/>
  <c r="B21" i="4"/>
  <c r="C21" i="4"/>
  <c r="D21" i="4"/>
  <c r="E21" i="4"/>
  <c r="F21" i="4"/>
  <c r="G21" i="4"/>
  <c r="H21" i="4"/>
  <c r="I21" i="4"/>
  <c r="J21" i="4"/>
  <c r="K21" i="4"/>
  <c r="L21" i="4"/>
  <c r="M21" i="4"/>
  <c r="N21" i="4"/>
  <c r="O21" i="4"/>
  <c r="P21" i="4"/>
  <c r="Q21" i="4"/>
  <c r="R21" i="4"/>
  <c r="S21" i="4"/>
  <c r="T21" i="4"/>
  <c r="U21" i="4"/>
  <c r="V21" i="4"/>
  <c r="W21" i="4"/>
  <c r="X21" i="4"/>
  <c r="Y21" i="4"/>
  <c r="Z21" i="4"/>
  <c r="AA21" i="4"/>
  <c r="AB21" i="4"/>
  <c r="AC21" i="4"/>
  <c r="AD21" i="4"/>
  <c r="AE21" i="4"/>
  <c r="AF21" i="4"/>
  <c r="AG21" i="4"/>
  <c r="AH21" i="4"/>
  <c r="AI21" i="4"/>
  <c r="AJ21" i="4"/>
  <c r="AK21" i="4"/>
  <c r="AL21" i="4"/>
  <c r="AM21" i="4"/>
  <c r="AN21" i="4"/>
  <c r="AO21" i="4"/>
  <c r="AP21" i="4"/>
  <c r="AQ21" i="4"/>
  <c r="AR21" i="4"/>
  <c r="AS21" i="4"/>
  <c r="AT21" i="4"/>
  <c r="AU21" i="4"/>
  <c r="AV21" i="4"/>
  <c r="AW21" i="4"/>
  <c r="AX21" i="4"/>
  <c r="A22" i="4"/>
  <c r="B22" i="4"/>
  <c r="C22" i="4"/>
  <c r="D22" i="4"/>
  <c r="E22" i="4"/>
  <c r="F22" i="4"/>
  <c r="G22" i="4"/>
  <c r="H22" i="4"/>
  <c r="I22" i="4"/>
  <c r="J22" i="4"/>
  <c r="K22" i="4"/>
  <c r="L22" i="4"/>
  <c r="M22" i="4"/>
  <c r="N22" i="4"/>
  <c r="O22" i="4"/>
  <c r="P22" i="4"/>
  <c r="Q22" i="4"/>
  <c r="R22" i="4"/>
  <c r="S22" i="4"/>
  <c r="T22" i="4"/>
  <c r="U22" i="4"/>
  <c r="V22" i="4"/>
  <c r="W22" i="4"/>
  <c r="X22" i="4"/>
  <c r="Y22" i="4"/>
  <c r="Z22" i="4"/>
  <c r="AA22" i="4"/>
  <c r="AB22" i="4"/>
  <c r="AC22" i="4"/>
  <c r="AD22" i="4"/>
  <c r="AE22" i="4"/>
  <c r="AF22" i="4"/>
  <c r="AG22" i="4"/>
  <c r="AH22" i="4"/>
  <c r="AI22" i="4"/>
  <c r="AJ22" i="4"/>
  <c r="AK22" i="4"/>
  <c r="AL22" i="4"/>
  <c r="AM22" i="4"/>
  <c r="AN22" i="4"/>
  <c r="AO22" i="4"/>
  <c r="AP22" i="4"/>
  <c r="AQ22" i="4"/>
  <c r="AR22" i="4"/>
  <c r="AS22" i="4"/>
  <c r="AT22" i="4"/>
  <c r="AU22" i="4"/>
  <c r="AV22" i="4"/>
  <c r="AW22" i="4"/>
  <c r="AX22" i="4"/>
  <c r="A23" i="4"/>
  <c r="B23" i="4"/>
  <c r="C23" i="4"/>
  <c r="D23" i="4"/>
  <c r="E23" i="4"/>
  <c r="F23" i="4"/>
  <c r="G23" i="4"/>
  <c r="H23" i="4"/>
  <c r="I23" i="4"/>
  <c r="J23" i="4"/>
  <c r="K23" i="4"/>
  <c r="L23" i="4"/>
  <c r="M23" i="4"/>
  <c r="N23" i="4"/>
  <c r="O23" i="4"/>
  <c r="P23" i="4"/>
  <c r="Q23" i="4"/>
  <c r="R23" i="4"/>
  <c r="S23" i="4"/>
  <c r="T23" i="4"/>
  <c r="U23" i="4"/>
  <c r="V23" i="4"/>
  <c r="W23" i="4"/>
  <c r="X23" i="4"/>
  <c r="Y23" i="4"/>
  <c r="Z23" i="4"/>
  <c r="AA23" i="4"/>
  <c r="AB23" i="4"/>
  <c r="AC23" i="4"/>
  <c r="AD23" i="4"/>
  <c r="AE23" i="4"/>
  <c r="AF23" i="4"/>
  <c r="AG23" i="4"/>
  <c r="AH23" i="4"/>
  <c r="AI23" i="4"/>
  <c r="AJ23" i="4"/>
  <c r="AK23" i="4"/>
  <c r="AL23" i="4"/>
  <c r="AM23" i="4"/>
  <c r="AN23" i="4"/>
  <c r="AO23" i="4"/>
  <c r="AP23" i="4"/>
  <c r="AQ23" i="4"/>
  <c r="AR23" i="4"/>
  <c r="AS23" i="4"/>
  <c r="AT23" i="4"/>
  <c r="AU23" i="4"/>
  <c r="AV23" i="4"/>
  <c r="AW23" i="4"/>
  <c r="AX23" i="4"/>
  <c r="A24" i="4"/>
  <c r="B24" i="4"/>
  <c r="C24" i="4"/>
  <c r="D24" i="4"/>
  <c r="E24" i="4"/>
  <c r="F24" i="4"/>
  <c r="G24" i="4"/>
  <c r="H24" i="4"/>
  <c r="I24" i="4"/>
  <c r="J24" i="4"/>
  <c r="K24" i="4"/>
  <c r="L24" i="4"/>
  <c r="M24" i="4"/>
  <c r="N24" i="4"/>
  <c r="O24" i="4"/>
  <c r="P24" i="4"/>
  <c r="Q24" i="4"/>
  <c r="R24"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25" i="4"/>
  <c r="B25" i="4"/>
  <c r="C25" i="4"/>
  <c r="D25" i="4"/>
  <c r="E25" i="4"/>
  <c r="F25" i="4"/>
  <c r="G25" i="4"/>
  <c r="H25" i="4"/>
  <c r="I25" i="4"/>
  <c r="J25" i="4"/>
  <c r="K25" i="4"/>
  <c r="L25" i="4"/>
  <c r="M25" i="4"/>
  <c r="N25" i="4"/>
  <c r="O25" i="4"/>
  <c r="P25" i="4"/>
  <c r="Q25" i="4"/>
  <c r="R25" i="4"/>
  <c r="S25" i="4"/>
  <c r="T25" i="4"/>
  <c r="U25" i="4"/>
  <c r="V25" i="4"/>
  <c r="W25" i="4"/>
  <c r="X25" i="4"/>
  <c r="Y25" i="4"/>
  <c r="Z25" i="4"/>
  <c r="AA25" i="4"/>
  <c r="AB25" i="4"/>
  <c r="AC25" i="4"/>
  <c r="AD25" i="4"/>
  <c r="AE25" i="4"/>
  <c r="AF25" i="4"/>
  <c r="AG25" i="4"/>
  <c r="AH25" i="4"/>
  <c r="AI25" i="4"/>
  <c r="AJ25" i="4"/>
  <c r="AK25" i="4"/>
  <c r="AL25" i="4"/>
  <c r="AM25" i="4"/>
  <c r="AN25" i="4"/>
  <c r="AO25" i="4"/>
  <c r="AP25" i="4"/>
  <c r="AQ25" i="4"/>
  <c r="AR25" i="4"/>
  <c r="AS25" i="4"/>
  <c r="AT25" i="4"/>
  <c r="AU25" i="4"/>
  <c r="AV25" i="4"/>
  <c r="AW25" i="4"/>
  <c r="AX25" i="4"/>
  <c r="A26" i="4"/>
  <c r="B26" i="4"/>
  <c r="C26" i="4"/>
  <c r="D26" i="4"/>
  <c r="E26" i="4"/>
  <c r="F26" i="4"/>
  <c r="G26" i="4"/>
  <c r="H26" i="4"/>
  <c r="I26" i="4"/>
  <c r="J26" i="4"/>
  <c r="K26" i="4"/>
  <c r="L26" i="4"/>
  <c r="M26" i="4"/>
  <c r="N26" i="4"/>
  <c r="O26" i="4"/>
  <c r="P26" i="4"/>
  <c r="Q26" i="4"/>
  <c r="R26" i="4"/>
  <c r="S26" i="4"/>
  <c r="T26" i="4"/>
  <c r="U26" i="4"/>
  <c r="V26" i="4"/>
  <c r="W26" i="4"/>
  <c r="X26" i="4"/>
  <c r="Y26" i="4"/>
  <c r="Z26" i="4"/>
  <c r="AA26" i="4"/>
  <c r="AB26" i="4"/>
  <c r="AC26" i="4"/>
  <c r="AD26" i="4"/>
  <c r="AE26" i="4"/>
  <c r="AF26" i="4"/>
  <c r="AG26" i="4"/>
  <c r="AH26" i="4"/>
  <c r="AI26" i="4"/>
  <c r="AJ26" i="4"/>
  <c r="AK26" i="4"/>
  <c r="AL26" i="4"/>
  <c r="AM26" i="4"/>
  <c r="AN26" i="4"/>
  <c r="AO26" i="4"/>
  <c r="AP26" i="4"/>
  <c r="AQ26" i="4"/>
  <c r="AR26" i="4"/>
  <c r="AS26" i="4"/>
  <c r="AT26" i="4"/>
  <c r="AU26" i="4"/>
  <c r="AV26" i="4"/>
  <c r="AW26" i="4"/>
  <c r="AX26" i="4"/>
  <c r="A27" i="4"/>
  <c r="B27" i="4"/>
  <c r="C27" i="4"/>
  <c r="D27" i="4"/>
  <c r="E27" i="4"/>
  <c r="F27" i="4"/>
  <c r="G27" i="4"/>
  <c r="H27" i="4"/>
  <c r="I27" i="4"/>
  <c r="J27" i="4"/>
  <c r="K27" i="4"/>
  <c r="L27" i="4"/>
  <c r="M27" i="4"/>
  <c r="N27" i="4"/>
  <c r="O27" i="4"/>
  <c r="P27" i="4"/>
  <c r="Q27" i="4"/>
  <c r="R27" i="4"/>
  <c r="S27" i="4"/>
  <c r="T27" i="4"/>
  <c r="U27" i="4"/>
  <c r="V27" i="4"/>
  <c r="W27" i="4"/>
  <c r="X27" i="4"/>
  <c r="Y27" i="4"/>
  <c r="Z27" i="4"/>
  <c r="AA27" i="4"/>
  <c r="AB27" i="4"/>
  <c r="AC27" i="4"/>
  <c r="AD27" i="4"/>
  <c r="AE27" i="4"/>
  <c r="AF27" i="4"/>
  <c r="AG27" i="4"/>
  <c r="AH27" i="4"/>
  <c r="AI27" i="4"/>
  <c r="AJ27" i="4"/>
  <c r="AK27" i="4"/>
  <c r="AL27" i="4"/>
  <c r="AM27" i="4"/>
  <c r="AN27" i="4"/>
  <c r="AO27" i="4"/>
  <c r="AP27" i="4"/>
  <c r="AQ27" i="4"/>
  <c r="AR27" i="4"/>
  <c r="AS27" i="4"/>
  <c r="AT27" i="4"/>
  <c r="AU27" i="4"/>
  <c r="AV27" i="4"/>
  <c r="AW27" i="4"/>
  <c r="AX27" i="4"/>
  <c r="A28" i="4"/>
  <c r="B28" i="4"/>
  <c r="C28" i="4"/>
  <c r="D28" i="4"/>
  <c r="E28" i="4"/>
  <c r="F28" i="4"/>
  <c r="G28" i="4"/>
  <c r="H28" i="4"/>
  <c r="I28" i="4"/>
  <c r="J28" i="4"/>
  <c r="K28" i="4"/>
  <c r="L28" i="4"/>
  <c r="M28" i="4"/>
  <c r="N28" i="4"/>
  <c r="O28" i="4"/>
  <c r="P28" i="4"/>
  <c r="Q28" i="4"/>
  <c r="R28" i="4"/>
  <c r="S28" i="4"/>
  <c r="T28" i="4"/>
  <c r="U28" i="4"/>
  <c r="V28" i="4"/>
  <c r="W28" i="4"/>
  <c r="X28" i="4"/>
  <c r="Y28" i="4"/>
  <c r="Z28" i="4"/>
  <c r="AA28" i="4"/>
  <c r="AB28" i="4"/>
  <c r="AC28" i="4"/>
  <c r="AD28" i="4"/>
  <c r="AE28" i="4"/>
  <c r="AF28" i="4"/>
  <c r="AG28" i="4"/>
  <c r="AH28" i="4"/>
  <c r="AI28" i="4"/>
  <c r="AJ28" i="4"/>
  <c r="AK28" i="4"/>
  <c r="AL28" i="4"/>
  <c r="AM28" i="4"/>
  <c r="AN28" i="4"/>
  <c r="AO28" i="4"/>
  <c r="AP28" i="4"/>
  <c r="AQ28" i="4"/>
  <c r="AR28" i="4"/>
  <c r="AS28" i="4"/>
  <c r="AT28" i="4"/>
  <c r="AU28" i="4"/>
  <c r="AV28" i="4"/>
  <c r="AW28" i="4"/>
  <c r="AX28" i="4"/>
  <c r="A29" i="4"/>
  <c r="B29" i="4"/>
  <c r="C29" i="4"/>
  <c r="D29" i="4"/>
  <c r="E29" i="4"/>
  <c r="F29" i="4"/>
  <c r="G29" i="4"/>
  <c r="H29" i="4"/>
  <c r="I29" i="4"/>
  <c r="J29" i="4"/>
  <c r="K29" i="4"/>
  <c r="L29" i="4"/>
  <c r="M29" i="4"/>
  <c r="N29" i="4"/>
  <c r="O29" i="4"/>
  <c r="P29" i="4"/>
  <c r="Q29" i="4"/>
  <c r="R29" i="4"/>
  <c r="S29" i="4"/>
  <c r="T29" i="4"/>
  <c r="U29" i="4"/>
  <c r="V29" i="4"/>
  <c r="W29" i="4"/>
  <c r="X29" i="4"/>
  <c r="Y29" i="4"/>
  <c r="Z29" i="4"/>
  <c r="AA29" i="4"/>
  <c r="AB29" i="4"/>
  <c r="AC29" i="4"/>
  <c r="AD29" i="4"/>
  <c r="AE29" i="4"/>
  <c r="AF29" i="4"/>
  <c r="AG29" i="4"/>
  <c r="AH29" i="4"/>
  <c r="AI29" i="4"/>
  <c r="AJ29" i="4"/>
  <c r="AK29" i="4"/>
  <c r="AL29" i="4"/>
  <c r="AM29" i="4"/>
  <c r="AN29" i="4"/>
  <c r="AO29" i="4"/>
  <c r="AP29" i="4"/>
  <c r="AQ29" i="4"/>
  <c r="AR29" i="4"/>
  <c r="AS29" i="4"/>
  <c r="AT29" i="4"/>
  <c r="AU29" i="4"/>
  <c r="AV29" i="4"/>
  <c r="AW29" i="4"/>
  <c r="AX29" i="4"/>
  <c r="A30" i="4"/>
  <c r="B30" i="4"/>
  <c r="C30" i="4"/>
  <c r="D30" i="4"/>
  <c r="E30" i="4"/>
  <c r="F30" i="4"/>
  <c r="G30" i="4"/>
  <c r="H30" i="4"/>
  <c r="I30" i="4"/>
  <c r="J30" i="4"/>
  <c r="K30" i="4"/>
  <c r="L30" i="4"/>
  <c r="M30" i="4"/>
  <c r="N30" i="4"/>
  <c r="O30" i="4"/>
  <c r="P30" i="4"/>
  <c r="Q30" i="4"/>
  <c r="R30" i="4"/>
  <c r="S30" i="4"/>
  <c r="T30" i="4"/>
  <c r="U30" i="4"/>
  <c r="V30" i="4"/>
  <c r="W30" i="4"/>
  <c r="X30" i="4"/>
  <c r="Y30" i="4"/>
  <c r="Z30" i="4"/>
  <c r="AA30" i="4"/>
  <c r="AB30" i="4"/>
  <c r="AC30" i="4"/>
  <c r="AD30" i="4"/>
  <c r="AE30" i="4"/>
  <c r="AF30" i="4"/>
  <c r="AG30" i="4"/>
  <c r="AH30" i="4"/>
  <c r="AI30" i="4"/>
  <c r="AJ30" i="4"/>
  <c r="AK30" i="4"/>
  <c r="AL30" i="4"/>
  <c r="AM30" i="4"/>
  <c r="AN30" i="4"/>
  <c r="AO30" i="4"/>
  <c r="AP30" i="4"/>
  <c r="AQ30" i="4"/>
  <c r="AR30" i="4"/>
  <c r="AS30" i="4"/>
  <c r="AT30" i="4"/>
  <c r="AU30" i="4"/>
  <c r="AV30" i="4"/>
  <c r="AW30" i="4"/>
  <c r="AX30" i="4"/>
  <c r="A31" i="4"/>
  <c r="B31" i="4"/>
  <c r="C31" i="4"/>
  <c r="D31" i="4"/>
  <c r="E31" i="4"/>
  <c r="F31" i="4"/>
  <c r="G31" i="4"/>
  <c r="H31" i="4"/>
  <c r="I31" i="4"/>
  <c r="J31" i="4"/>
  <c r="K31" i="4"/>
  <c r="L31" i="4"/>
  <c r="M31" i="4"/>
  <c r="N31" i="4"/>
  <c r="O31" i="4"/>
  <c r="P31" i="4"/>
  <c r="Q31" i="4"/>
  <c r="R31" i="4"/>
  <c r="S31" i="4"/>
  <c r="T31" i="4"/>
  <c r="U31" i="4"/>
  <c r="V31" i="4"/>
  <c r="W31" i="4"/>
  <c r="X31" i="4"/>
  <c r="Y31" i="4"/>
  <c r="Z31" i="4"/>
  <c r="AA31" i="4"/>
  <c r="AB31" i="4"/>
  <c r="AC31" i="4"/>
  <c r="AD31" i="4"/>
  <c r="AE31" i="4"/>
  <c r="AF31" i="4"/>
  <c r="AG31" i="4"/>
  <c r="AH31" i="4"/>
  <c r="AI31" i="4"/>
  <c r="AJ31" i="4"/>
  <c r="AK31" i="4"/>
  <c r="AL31" i="4"/>
  <c r="AM31" i="4"/>
  <c r="AN31" i="4"/>
  <c r="AO31" i="4"/>
  <c r="AP31" i="4"/>
  <c r="AQ31" i="4"/>
  <c r="AR31" i="4"/>
  <c r="AS31" i="4"/>
  <c r="AT31" i="4"/>
  <c r="AU31" i="4"/>
  <c r="AV31" i="4"/>
  <c r="AW31" i="4"/>
  <c r="AX31" i="4"/>
  <c r="A32" i="4"/>
  <c r="B32" i="4"/>
  <c r="C32" i="4"/>
  <c r="D32" i="4"/>
  <c r="E32" i="4"/>
  <c r="F32" i="4"/>
  <c r="G32" i="4"/>
  <c r="H32" i="4"/>
  <c r="I32" i="4"/>
  <c r="J32" i="4"/>
  <c r="K32" i="4"/>
  <c r="L32" i="4"/>
  <c r="M32" i="4"/>
  <c r="N32" i="4"/>
  <c r="O32" i="4"/>
  <c r="P32" i="4"/>
  <c r="Q32" i="4"/>
  <c r="R32" i="4"/>
  <c r="S32" i="4"/>
  <c r="T32" i="4"/>
  <c r="U32" i="4"/>
  <c r="V32" i="4"/>
  <c r="W32" i="4"/>
  <c r="X32" i="4"/>
  <c r="Y32" i="4"/>
  <c r="Z32" i="4"/>
  <c r="AA32" i="4"/>
  <c r="AB32" i="4"/>
  <c r="AC32" i="4"/>
  <c r="AD32" i="4"/>
  <c r="AE32" i="4"/>
  <c r="AF32" i="4"/>
  <c r="AG32" i="4"/>
  <c r="AH32" i="4"/>
  <c r="AI32" i="4"/>
  <c r="AJ32" i="4"/>
  <c r="AK32" i="4"/>
  <c r="AL32" i="4"/>
  <c r="AM32" i="4"/>
  <c r="AN32" i="4"/>
  <c r="AO32" i="4"/>
  <c r="AP32" i="4"/>
  <c r="AQ32" i="4"/>
  <c r="AR32" i="4"/>
  <c r="AS32" i="4"/>
  <c r="AT32" i="4"/>
  <c r="AU32" i="4"/>
  <c r="AV32" i="4"/>
  <c r="AW32" i="4"/>
  <c r="AX32" i="4"/>
  <c r="A33" i="4"/>
  <c r="B33" i="4"/>
  <c r="C33" i="4"/>
  <c r="D33" i="4"/>
  <c r="E33" i="4"/>
  <c r="F33" i="4"/>
  <c r="G33" i="4"/>
  <c r="H33" i="4"/>
  <c r="I33" i="4"/>
  <c r="J33" i="4"/>
  <c r="K33" i="4"/>
  <c r="L33" i="4"/>
  <c r="M33" i="4"/>
  <c r="N33" i="4"/>
  <c r="O33" i="4"/>
  <c r="P33" i="4"/>
  <c r="Q33" i="4"/>
  <c r="R33" i="4"/>
  <c r="S33" i="4"/>
  <c r="T33" i="4"/>
  <c r="U33" i="4"/>
  <c r="V33" i="4"/>
  <c r="W33" i="4"/>
  <c r="X33" i="4"/>
  <c r="Y33" i="4"/>
  <c r="Z33" i="4"/>
  <c r="AA33" i="4"/>
  <c r="AB33" i="4"/>
  <c r="AC33" i="4"/>
  <c r="AD33" i="4"/>
  <c r="AE33" i="4"/>
  <c r="AF33" i="4"/>
  <c r="AG33" i="4"/>
  <c r="AH33" i="4"/>
  <c r="AI33" i="4"/>
  <c r="AJ33" i="4"/>
  <c r="AK33" i="4"/>
  <c r="AL33" i="4"/>
  <c r="AM33" i="4"/>
  <c r="AN33" i="4"/>
  <c r="AO33" i="4"/>
  <c r="AP33" i="4"/>
  <c r="AQ33" i="4"/>
  <c r="AR33" i="4"/>
  <c r="AS33" i="4"/>
  <c r="AT33" i="4"/>
  <c r="AU33" i="4"/>
  <c r="AV33" i="4"/>
  <c r="AW33" i="4"/>
  <c r="AX33" i="4"/>
  <c r="A34" i="4"/>
  <c r="B34" i="4"/>
  <c r="C34" i="4"/>
  <c r="D34" i="4"/>
  <c r="E34" i="4"/>
  <c r="F34" i="4"/>
  <c r="G34" i="4"/>
  <c r="H34" i="4"/>
  <c r="I34" i="4"/>
  <c r="J34" i="4"/>
  <c r="K34" i="4"/>
  <c r="L34" i="4"/>
  <c r="M34" i="4"/>
  <c r="N34" i="4"/>
  <c r="O34" i="4"/>
  <c r="P34" i="4"/>
  <c r="Q34" i="4"/>
  <c r="R34" i="4"/>
  <c r="S34" i="4"/>
  <c r="T34" i="4"/>
  <c r="U34" i="4"/>
  <c r="V34" i="4"/>
  <c r="W34" i="4"/>
  <c r="X34" i="4"/>
  <c r="Y34" i="4"/>
  <c r="Z34" i="4"/>
  <c r="AA34" i="4"/>
  <c r="AB34" i="4"/>
  <c r="AC34" i="4"/>
  <c r="AD34" i="4"/>
  <c r="AE34" i="4"/>
  <c r="AF34" i="4"/>
  <c r="AG34" i="4"/>
  <c r="AH34" i="4"/>
  <c r="AI34" i="4"/>
  <c r="AJ34" i="4"/>
  <c r="AK34" i="4"/>
  <c r="AL34" i="4"/>
  <c r="AM34" i="4"/>
  <c r="AN34" i="4"/>
  <c r="AO34" i="4"/>
  <c r="AP34" i="4"/>
  <c r="AQ34" i="4"/>
  <c r="AR34" i="4"/>
  <c r="AS34" i="4"/>
  <c r="AT34" i="4"/>
  <c r="AU34" i="4"/>
  <c r="AV34" i="4"/>
  <c r="AW34" i="4"/>
  <c r="AX34" i="4"/>
  <c r="A35" i="4"/>
  <c r="B35" i="4"/>
  <c r="C35" i="4"/>
  <c r="D35" i="4"/>
  <c r="E35" i="4"/>
  <c r="F35" i="4"/>
  <c r="G35" i="4"/>
  <c r="H35" i="4"/>
  <c r="I35" i="4"/>
  <c r="J35" i="4"/>
  <c r="K35" i="4"/>
  <c r="L35" i="4"/>
  <c r="M35" i="4"/>
  <c r="N35" i="4"/>
  <c r="O35" i="4"/>
  <c r="P35" i="4"/>
  <c r="Q35" i="4"/>
  <c r="R35" i="4"/>
  <c r="S35" i="4"/>
  <c r="T35" i="4"/>
  <c r="U35" i="4"/>
  <c r="V35" i="4"/>
  <c r="W35" i="4"/>
  <c r="X35" i="4"/>
  <c r="Y35" i="4"/>
  <c r="Z35" i="4"/>
  <c r="AA35" i="4"/>
  <c r="AB35" i="4"/>
  <c r="AC35" i="4"/>
  <c r="AD35" i="4"/>
  <c r="AE35" i="4"/>
  <c r="AF35" i="4"/>
  <c r="AG35" i="4"/>
  <c r="AH35" i="4"/>
  <c r="AI35" i="4"/>
  <c r="AJ35" i="4"/>
  <c r="AK35" i="4"/>
  <c r="AL35" i="4"/>
  <c r="AM35" i="4"/>
  <c r="AN35" i="4"/>
  <c r="AO35" i="4"/>
  <c r="AP35" i="4"/>
  <c r="AQ35" i="4"/>
  <c r="AR35" i="4"/>
  <c r="AS35" i="4"/>
  <c r="AT35" i="4"/>
  <c r="AU35" i="4"/>
  <c r="AV35" i="4"/>
  <c r="AW35" i="4"/>
  <c r="AX35" i="4"/>
  <c r="A36" i="4"/>
  <c r="B36" i="4"/>
  <c r="C36" i="4"/>
  <c r="D36" i="4"/>
  <c r="E36" i="4"/>
  <c r="F36" i="4"/>
  <c r="G36" i="4"/>
  <c r="H36" i="4"/>
  <c r="I36" i="4"/>
  <c r="J36" i="4"/>
  <c r="K36" i="4"/>
  <c r="L36" i="4"/>
  <c r="M36" i="4"/>
  <c r="N36" i="4"/>
  <c r="O36" i="4"/>
  <c r="P36" i="4"/>
  <c r="Q36" i="4"/>
  <c r="R36" i="4"/>
  <c r="S36" i="4"/>
  <c r="T36" i="4"/>
  <c r="U36" i="4"/>
  <c r="V36" i="4"/>
  <c r="W36" i="4"/>
  <c r="X36" i="4"/>
  <c r="Y36" i="4"/>
  <c r="Z36" i="4"/>
  <c r="AA36" i="4"/>
  <c r="AB36" i="4"/>
  <c r="AC36" i="4"/>
  <c r="AD36" i="4"/>
  <c r="AE36" i="4"/>
  <c r="AF36" i="4"/>
  <c r="AG36" i="4"/>
  <c r="AH36" i="4"/>
  <c r="AI36" i="4"/>
  <c r="AJ36" i="4"/>
  <c r="AK36" i="4"/>
  <c r="AL36" i="4"/>
  <c r="AM36" i="4"/>
  <c r="AN36" i="4"/>
  <c r="AO36" i="4"/>
  <c r="AP36" i="4"/>
  <c r="AQ36" i="4"/>
  <c r="AR36" i="4"/>
  <c r="AS36" i="4"/>
  <c r="AT36" i="4"/>
  <c r="AU36" i="4"/>
  <c r="AV36" i="4"/>
  <c r="AW36" i="4"/>
  <c r="AX36" i="4"/>
  <c r="A37" i="4"/>
  <c r="B37" i="4"/>
  <c r="C37" i="4"/>
  <c r="D37" i="4"/>
  <c r="E37" i="4"/>
  <c r="F37" i="4"/>
  <c r="G37" i="4"/>
  <c r="H37" i="4"/>
  <c r="I37" i="4"/>
  <c r="J37" i="4"/>
  <c r="K37" i="4"/>
  <c r="L37" i="4"/>
  <c r="M37" i="4"/>
  <c r="N37" i="4"/>
  <c r="O37" i="4"/>
  <c r="P37" i="4"/>
  <c r="Q37" i="4"/>
  <c r="R37" i="4"/>
  <c r="S37" i="4"/>
  <c r="T37" i="4"/>
  <c r="U37" i="4"/>
  <c r="V37" i="4"/>
  <c r="W37" i="4"/>
  <c r="X37" i="4"/>
  <c r="Y37" i="4"/>
  <c r="Z37" i="4"/>
  <c r="AA37" i="4"/>
  <c r="AB37" i="4"/>
  <c r="AC37" i="4"/>
  <c r="AD37" i="4"/>
  <c r="AE37" i="4"/>
  <c r="AF37" i="4"/>
  <c r="AG37" i="4"/>
  <c r="AH37" i="4"/>
  <c r="AI37" i="4"/>
  <c r="AJ37" i="4"/>
  <c r="AK37" i="4"/>
  <c r="AL37" i="4"/>
  <c r="AM37" i="4"/>
  <c r="AN37" i="4"/>
  <c r="AO37" i="4"/>
  <c r="AP37" i="4"/>
  <c r="AQ37" i="4"/>
  <c r="AR37" i="4"/>
  <c r="AS37" i="4"/>
  <c r="AT37" i="4"/>
  <c r="AU37" i="4"/>
  <c r="AV37" i="4"/>
  <c r="AW37" i="4"/>
  <c r="AX37" i="4"/>
  <c r="A38" i="4"/>
  <c r="B38" i="4"/>
  <c r="C38" i="4"/>
  <c r="D38" i="4"/>
  <c r="E38" i="4"/>
  <c r="F38" i="4"/>
  <c r="G38" i="4"/>
  <c r="H38" i="4"/>
  <c r="I38" i="4"/>
  <c r="J38" i="4"/>
  <c r="K38" i="4"/>
  <c r="L38" i="4"/>
  <c r="M38" i="4"/>
  <c r="N38" i="4"/>
  <c r="O38" i="4"/>
  <c r="P38" i="4"/>
  <c r="Q38" i="4"/>
  <c r="R38" i="4"/>
  <c r="S38" i="4"/>
  <c r="T38" i="4"/>
  <c r="U38" i="4"/>
  <c r="V38" i="4"/>
  <c r="W38" i="4"/>
  <c r="X38" i="4"/>
  <c r="Y38" i="4"/>
  <c r="Z38" i="4"/>
  <c r="AA38" i="4"/>
  <c r="AB38" i="4"/>
  <c r="AC38" i="4"/>
  <c r="AD38" i="4"/>
  <c r="AE38" i="4"/>
  <c r="AF38" i="4"/>
  <c r="AG38" i="4"/>
  <c r="AH38" i="4"/>
  <c r="AI38" i="4"/>
  <c r="AJ38" i="4"/>
  <c r="AK38" i="4"/>
  <c r="AL38" i="4"/>
  <c r="AM38" i="4"/>
  <c r="AN38" i="4"/>
  <c r="AO38" i="4"/>
  <c r="AP38" i="4"/>
  <c r="AQ38" i="4"/>
  <c r="AR38" i="4"/>
  <c r="AS38" i="4"/>
  <c r="AT38" i="4"/>
  <c r="AU38" i="4"/>
  <c r="AV38" i="4"/>
  <c r="AW38" i="4"/>
  <c r="AX38" i="4"/>
  <c r="A39" i="4"/>
  <c r="B39" i="4"/>
  <c r="C39" i="4"/>
  <c r="D39" i="4"/>
  <c r="E39" i="4"/>
  <c r="F39" i="4"/>
  <c r="G39" i="4"/>
  <c r="H39" i="4"/>
  <c r="I39" i="4"/>
  <c r="J39" i="4"/>
  <c r="K39" i="4"/>
  <c r="L39" i="4"/>
  <c r="M39" i="4"/>
  <c r="N39" i="4"/>
  <c r="O39" i="4"/>
  <c r="P39" i="4"/>
  <c r="Q39" i="4"/>
  <c r="R39" i="4"/>
  <c r="S39" i="4"/>
  <c r="T39" i="4"/>
  <c r="U39" i="4"/>
  <c r="V39" i="4"/>
  <c r="W39" i="4"/>
  <c r="X39" i="4"/>
  <c r="Y39" i="4"/>
  <c r="Z39" i="4"/>
  <c r="AA39" i="4"/>
  <c r="AB39" i="4"/>
  <c r="AC39" i="4"/>
  <c r="AD39" i="4"/>
  <c r="AE39" i="4"/>
  <c r="AF39" i="4"/>
  <c r="AG39" i="4"/>
  <c r="AH39" i="4"/>
  <c r="AI39" i="4"/>
  <c r="AJ39" i="4"/>
  <c r="AK39" i="4"/>
  <c r="AL39" i="4"/>
  <c r="AM39" i="4"/>
  <c r="AN39" i="4"/>
  <c r="AO39" i="4"/>
  <c r="AP39" i="4"/>
  <c r="AQ39" i="4"/>
  <c r="AR39" i="4"/>
  <c r="AS39" i="4"/>
  <c r="AT39" i="4"/>
  <c r="AU39" i="4"/>
  <c r="AV39" i="4"/>
  <c r="AW39" i="4"/>
  <c r="AX39" i="4"/>
  <c r="A40" i="4"/>
  <c r="B40" i="4"/>
  <c r="C40" i="4"/>
  <c r="D40" i="4"/>
  <c r="E40" i="4"/>
  <c r="F40" i="4"/>
  <c r="G40" i="4"/>
  <c r="H40" i="4"/>
  <c r="I40" i="4"/>
  <c r="J40" i="4"/>
  <c r="K40" i="4"/>
  <c r="L40" i="4"/>
  <c r="M40" i="4"/>
  <c r="N40" i="4"/>
  <c r="O40" i="4"/>
  <c r="P40" i="4"/>
  <c r="Q40" i="4"/>
  <c r="R40" i="4"/>
  <c r="S40" i="4"/>
  <c r="T40" i="4"/>
  <c r="U40" i="4"/>
  <c r="V40" i="4"/>
  <c r="W40" i="4"/>
  <c r="X40" i="4"/>
  <c r="Y40" i="4"/>
  <c r="Z40" i="4"/>
  <c r="AA40" i="4"/>
  <c r="AB40" i="4"/>
  <c r="AC40" i="4"/>
  <c r="AD40" i="4"/>
  <c r="AE40" i="4"/>
  <c r="AF40" i="4"/>
  <c r="AG40" i="4"/>
  <c r="AH40" i="4"/>
  <c r="AI40" i="4"/>
  <c r="AJ40" i="4"/>
  <c r="AK40" i="4"/>
  <c r="AL40" i="4"/>
  <c r="AM40" i="4"/>
  <c r="AN40" i="4"/>
  <c r="AO40" i="4"/>
  <c r="AP40" i="4"/>
  <c r="AQ40" i="4"/>
  <c r="AR40" i="4"/>
  <c r="AS40" i="4"/>
  <c r="AT40" i="4"/>
  <c r="AU40" i="4"/>
  <c r="AV40" i="4"/>
  <c r="AW40" i="4"/>
  <c r="AX40" i="4"/>
  <c r="A41" i="4"/>
  <c r="B41" i="4"/>
  <c r="C41" i="4"/>
  <c r="D41" i="4"/>
  <c r="E41" i="4"/>
  <c r="F41" i="4"/>
  <c r="G41" i="4"/>
  <c r="H41" i="4"/>
  <c r="I41" i="4"/>
  <c r="J41" i="4"/>
  <c r="K41" i="4"/>
  <c r="L41" i="4"/>
  <c r="M41" i="4"/>
  <c r="N41" i="4"/>
  <c r="O41" i="4"/>
  <c r="P41" i="4"/>
  <c r="Q41" i="4"/>
  <c r="R41" i="4"/>
  <c r="S41" i="4"/>
  <c r="T41" i="4"/>
  <c r="U41" i="4"/>
  <c r="V41" i="4"/>
  <c r="W41" i="4"/>
  <c r="X41" i="4"/>
  <c r="Y41" i="4"/>
  <c r="Z41" i="4"/>
  <c r="AA41" i="4"/>
  <c r="AB41" i="4"/>
  <c r="AC41" i="4"/>
  <c r="AD41" i="4"/>
  <c r="AE41" i="4"/>
  <c r="AF41" i="4"/>
  <c r="AG41" i="4"/>
  <c r="AH41" i="4"/>
  <c r="AI41" i="4"/>
  <c r="AJ41" i="4"/>
  <c r="AK41" i="4"/>
  <c r="AL41" i="4"/>
  <c r="AM41" i="4"/>
  <c r="AN41" i="4"/>
  <c r="AO41" i="4"/>
  <c r="AP41" i="4"/>
  <c r="AQ41" i="4"/>
  <c r="AR41" i="4"/>
  <c r="AS41" i="4"/>
  <c r="AT41" i="4"/>
  <c r="AU41" i="4"/>
  <c r="AV41" i="4"/>
  <c r="AW41" i="4"/>
  <c r="AX41" i="4"/>
  <c r="A42" i="4"/>
  <c r="B42" i="4"/>
  <c r="C42" i="4"/>
  <c r="D42" i="4"/>
  <c r="E42" i="4"/>
  <c r="F42" i="4"/>
  <c r="G42" i="4"/>
  <c r="H42" i="4"/>
  <c r="I42" i="4"/>
  <c r="J42" i="4"/>
  <c r="K42" i="4"/>
  <c r="L42" i="4"/>
  <c r="M42" i="4"/>
  <c r="N42" i="4"/>
  <c r="O42" i="4"/>
  <c r="P42" i="4"/>
  <c r="Q42" i="4"/>
  <c r="R42" i="4"/>
  <c r="S42" i="4"/>
  <c r="T42" i="4"/>
  <c r="U42" i="4"/>
  <c r="V42" i="4"/>
  <c r="W42" i="4"/>
  <c r="X42" i="4"/>
  <c r="Y42" i="4"/>
  <c r="Z42" i="4"/>
  <c r="AA42" i="4"/>
  <c r="AB42" i="4"/>
  <c r="AC42" i="4"/>
  <c r="AD42" i="4"/>
  <c r="AE42" i="4"/>
  <c r="AF42" i="4"/>
  <c r="AG42" i="4"/>
  <c r="AH42" i="4"/>
  <c r="AI42" i="4"/>
  <c r="AJ42" i="4"/>
  <c r="AK42" i="4"/>
  <c r="AL42" i="4"/>
  <c r="AM42" i="4"/>
  <c r="AN42" i="4"/>
  <c r="AO42" i="4"/>
  <c r="AP42" i="4"/>
  <c r="AQ42" i="4"/>
  <c r="AR42" i="4"/>
  <c r="AS42" i="4"/>
  <c r="AT42" i="4"/>
  <c r="AU42" i="4"/>
  <c r="AV42" i="4"/>
  <c r="AW42" i="4"/>
  <c r="AX42" i="4"/>
  <c r="A43" i="4"/>
  <c r="B43" i="4"/>
  <c r="C43" i="4"/>
  <c r="D43" i="4"/>
  <c r="E43" i="4"/>
  <c r="F43" i="4"/>
  <c r="G43" i="4"/>
  <c r="H43" i="4"/>
  <c r="I43" i="4"/>
  <c r="J43" i="4"/>
  <c r="K43" i="4"/>
  <c r="L43" i="4"/>
  <c r="M43" i="4"/>
  <c r="N43" i="4"/>
  <c r="O43" i="4"/>
  <c r="P43" i="4"/>
  <c r="Q43" i="4"/>
  <c r="R43" i="4"/>
  <c r="S43" i="4"/>
  <c r="T43" i="4"/>
  <c r="U43" i="4"/>
  <c r="V43" i="4"/>
  <c r="W43" i="4"/>
  <c r="X43" i="4"/>
  <c r="Y43" i="4"/>
  <c r="Z43" i="4"/>
  <c r="AA43" i="4"/>
  <c r="AB43" i="4"/>
  <c r="AC43" i="4"/>
  <c r="AD43" i="4"/>
  <c r="AE43" i="4"/>
  <c r="AF43" i="4"/>
  <c r="AG43" i="4"/>
  <c r="AH43" i="4"/>
  <c r="AI43" i="4"/>
  <c r="AJ43" i="4"/>
  <c r="AK43" i="4"/>
  <c r="AL43" i="4"/>
  <c r="AM43" i="4"/>
  <c r="AN43" i="4"/>
  <c r="AO43" i="4"/>
  <c r="AP43" i="4"/>
  <c r="AQ43" i="4"/>
  <c r="AR43" i="4"/>
  <c r="AS43" i="4"/>
  <c r="AT43" i="4"/>
  <c r="AU43" i="4"/>
  <c r="AV43" i="4"/>
  <c r="AW43" i="4"/>
  <c r="AX43" i="4"/>
  <c r="A44" i="4"/>
  <c r="B44" i="4"/>
  <c r="C44" i="4"/>
  <c r="D44" i="4"/>
  <c r="E44" i="4"/>
  <c r="F44" i="4"/>
  <c r="G44" i="4"/>
  <c r="H44" i="4"/>
  <c r="I44" i="4"/>
  <c r="J44" i="4"/>
  <c r="K44" i="4"/>
  <c r="L44" i="4"/>
  <c r="M44" i="4"/>
  <c r="N44" i="4"/>
  <c r="O44" i="4"/>
  <c r="P44" i="4"/>
  <c r="Q44" i="4"/>
  <c r="R44" i="4"/>
  <c r="S44" i="4"/>
  <c r="T44" i="4"/>
  <c r="U44" i="4"/>
  <c r="V44" i="4"/>
  <c r="W44" i="4"/>
  <c r="X44" i="4"/>
  <c r="Y44" i="4"/>
  <c r="Z44" i="4"/>
  <c r="AA44" i="4"/>
  <c r="AB44" i="4"/>
  <c r="AC44" i="4"/>
  <c r="AD44" i="4"/>
  <c r="AE44" i="4"/>
  <c r="AF44" i="4"/>
  <c r="AG44" i="4"/>
  <c r="AH44" i="4"/>
  <c r="AI44" i="4"/>
  <c r="AJ44" i="4"/>
  <c r="AK44" i="4"/>
  <c r="AL44" i="4"/>
  <c r="AM44" i="4"/>
  <c r="AN44" i="4"/>
  <c r="AO44" i="4"/>
  <c r="AP44" i="4"/>
  <c r="AQ44" i="4"/>
  <c r="AR44" i="4"/>
  <c r="AS44" i="4"/>
  <c r="AT44" i="4"/>
  <c r="AU44" i="4"/>
  <c r="AV44" i="4"/>
  <c r="AW44" i="4"/>
  <c r="AX44" i="4"/>
  <c r="A45" i="4"/>
  <c r="B45" i="4"/>
  <c r="C45" i="4"/>
  <c r="D45" i="4"/>
  <c r="E45" i="4"/>
  <c r="F45" i="4"/>
  <c r="G45" i="4"/>
  <c r="H45" i="4"/>
  <c r="I45" i="4"/>
  <c r="J45" i="4"/>
  <c r="K45" i="4"/>
  <c r="L45" i="4"/>
  <c r="M45" i="4"/>
  <c r="N45" i="4"/>
  <c r="O45" i="4"/>
  <c r="P45" i="4"/>
  <c r="Q45" i="4"/>
  <c r="R45" i="4"/>
  <c r="S45" i="4"/>
  <c r="T45" i="4"/>
  <c r="U45" i="4"/>
  <c r="V45" i="4"/>
  <c r="W45" i="4"/>
  <c r="X45" i="4"/>
  <c r="Y45" i="4"/>
  <c r="Z45" i="4"/>
  <c r="AA45" i="4"/>
  <c r="AB45" i="4"/>
  <c r="AC45" i="4"/>
  <c r="AD45" i="4"/>
  <c r="AE45" i="4"/>
  <c r="AF45" i="4"/>
  <c r="AG45" i="4"/>
  <c r="AH45" i="4"/>
  <c r="AI45" i="4"/>
  <c r="AJ45" i="4"/>
  <c r="AK45" i="4"/>
  <c r="AL45" i="4"/>
  <c r="AM45" i="4"/>
  <c r="AN45" i="4"/>
  <c r="AO45" i="4"/>
  <c r="AP45" i="4"/>
  <c r="AQ45" i="4"/>
  <c r="AR45" i="4"/>
  <c r="AS45" i="4"/>
  <c r="AT45" i="4"/>
  <c r="AU45" i="4"/>
  <c r="AV45" i="4"/>
  <c r="AW45" i="4"/>
  <c r="AX45" i="4"/>
  <c r="A46" i="4"/>
  <c r="B46" i="4"/>
  <c r="C46" i="4"/>
  <c r="D46" i="4"/>
  <c r="E46" i="4"/>
  <c r="F46" i="4"/>
  <c r="G46" i="4"/>
  <c r="H46" i="4"/>
  <c r="I46" i="4"/>
  <c r="J46" i="4"/>
  <c r="K46" i="4"/>
  <c r="L46" i="4"/>
  <c r="M46" i="4"/>
  <c r="N46" i="4"/>
  <c r="O46" i="4"/>
  <c r="P46" i="4"/>
  <c r="Q46" i="4"/>
  <c r="R46" i="4"/>
  <c r="S46" i="4"/>
  <c r="T46" i="4"/>
  <c r="U46" i="4"/>
  <c r="V46" i="4"/>
  <c r="W46" i="4"/>
  <c r="X46" i="4"/>
  <c r="Y46" i="4"/>
  <c r="Z46" i="4"/>
  <c r="AA46" i="4"/>
  <c r="AB46" i="4"/>
  <c r="AC46" i="4"/>
  <c r="AD46" i="4"/>
  <c r="AE46" i="4"/>
  <c r="AF46" i="4"/>
  <c r="AG46" i="4"/>
  <c r="AH46" i="4"/>
  <c r="AI46" i="4"/>
  <c r="AJ46" i="4"/>
  <c r="AK46" i="4"/>
  <c r="AL46" i="4"/>
  <c r="AM46" i="4"/>
  <c r="AN46" i="4"/>
  <c r="AO46" i="4"/>
  <c r="AP46" i="4"/>
  <c r="AQ46" i="4"/>
  <c r="AR46" i="4"/>
  <c r="AS46" i="4"/>
  <c r="AT46" i="4"/>
  <c r="AU46" i="4"/>
  <c r="AV46" i="4"/>
  <c r="AW46" i="4"/>
  <c r="AX46" i="4"/>
  <c r="A47" i="4"/>
  <c r="B47" i="4"/>
  <c r="C47" i="4"/>
  <c r="D47" i="4"/>
  <c r="E47" i="4"/>
  <c r="F47" i="4"/>
  <c r="G47" i="4"/>
  <c r="H47" i="4"/>
  <c r="I47" i="4"/>
  <c r="J47" i="4"/>
  <c r="K47" i="4"/>
  <c r="L47" i="4"/>
  <c r="M47" i="4"/>
  <c r="N47" i="4"/>
  <c r="O47" i="4"/>
  <c r="P47" i="4"/>
  <c r="Q47" i="4"/>
  <c r="R47" i="4"/>
  <c r="S47" i="4"/>
  <c r="T47" i="4"/>
  <c r="U47" i="4"/>
  <c r="V47" i="4"/>
  <c r="W47" i="4"/>
  <c r="X47" i="4"/>
  <c r="Y47" i="4"/>
  <c r="Z47" i="4"/>
  <c r="AA47" i="4"/>
  <c r="AB47" i="4"/>
  <c r="AC47" i="4"/>
  <c r="AD47" i="4"/>
  <c r="AE47" i="4"/>
  <c r="AF47" i="4"/>
  <c r="AG47" i="4"/>
  <c r="AH47" i="4"/>
  <c r="AI47" i="4"/>
  <c r="AJ47" i="4"/>
  <c r="AK47" i="4"/>
  <c r="AL47" i="4"/>
  <c r="AM47" i="4"/>
  <c r="AN47" i="4"/>
  <c r="AO47" i="4"/>
  <c r="AP47" i="4"/>
  <c r="AQ47" i="4"/>
  <c r="AR47" i="4"/>
  <c r="AS47" i="4"/>
  <c r="AT47" i="4"/>
  <c r="AU47" i="4"/>
  <c r="AV47" i="4"/>
  <c r="AW47" i="4"/>
  <c r="AX47" i="4"/>
  <c r="A48" i="4"/>
  <c r="B48" i="4"/>
  <c r="C48" i="4"/>
  <c r="D48" i="4"/>
  <c r="E48" i="4"/>
  <c r="F48" i="4"/>
  <c r="G48" i="4"/>
  <c r="H48" i="4"/>
  <c r="I48" i="4"/>
  <c r="J48" i="4"/>
  <c r="K48" i="4"/>
  <c r="L48" i="4"/>
  <c r="M48" i="4"/>
  <c r="N48" i="4"/>
  <c r="O48" i="4"/>
  <c r="P48" i="4"/>
  <c r="Q48" i="4"/>
  <c r="R48" i="4"/>
  <c r="S48" i="4"/>
  <c r="T48" i="4"/>
  <c r="U48" i="4"/>
  <c r="V48" i="4"/>
  <c r="W48" i="4"/>
  <c r="X48" i="4"/>
  <c r="Y48" i="4"/>
  <c r="Z48" i="4"/>
  <c r="AA48" i="4"/>
  <c r="AB48" i="4"/>
  <c r="AC48" i="4"/>
  <c r="AD48" i="4"/>
  <c r="AE48" i="4"/>
  <c r="AF48" i="4"/>
  <c r="AG48" i="4"/>
  <c r="AH48" i="4"/>
  <c r="AI48" i="4"/>
  <c r="AJ48" i="4"/>
  <c r="AK48" i="4"/>
  <c r="AL48" i="4"/>
  <c r="AM48" i="4"/>
  <c r="AN48" i="4"/>
  <c r="AO48" i="4"/>
  <c r="AP48" i="4"/>
  <c r="AQ48" i="4"/>
  <c r="AR48" i="4"/>
  <c r="AS48" i="4"/>
  <c r="AT48" i="4"/>
  <c r="AU48" i="4"/>
  <c r="AV48" i="4"/>
  <c r="AW48" i="4"/>
  <c r="AX48" i="4"/>
  <c r="A49" i="4"/>
  <c r="B49" i="4"/>
  <c r="C49" i="4"/>
  <c r="D49" i="4"/>
  <c r="E49" i="4"/>
  <c r="F49" i="4"/>
  <c r="G49" i="4"/>
  <c r="H49" i="4"/>
  <c r="I49" i="4"/>
  <c r="J49" i="4"/>
  <c r="K49" i="4"/>
  <c r="L49" i="4"/>
  <c r="M49" i="4"/>
  <c r="N49" i="4"/>
  <c r="O49" i="4"/>
  <c r="P49" i="4"/>
  <c r="Q49" i="4"/>
  <c r="R49" i="4"/>
  <c r="S49" i="4"/>
  <c r="T49" i="4"/>
  <c r="U49" i="4"/>
  <c r="V49" i="4"/>
  <c r="W49" i="4"/>
  <c r="X49" i="4"/>
  <c r="Y49" i="4"/>
  <c r="Z49" i="4"/>
  <c r="AA49" i="4"/>
  <c r="AB49" i="4"/>
  <c r="AC49" i="4"/>
  <c r="AD49" i="4"/>
  <c r="AE49" i="4"/>
  <c r="AF49" i="4"/>
  <c r="AG49" i="4"/>
  <c r="AH49" i="4"/>
  <c r="AI49" i="4"/>
  <c r="AJ49" i="4"/>
  <c r="AK49" i="4"/>
  <c r="AL49" i="4"/>
  <c r="AM49" i="4"/>
  <c r="AN49" i="4"/>
  <c r="AO49" i="4"/>
  <c r="AP49" i="4"/>
  <c r="AQ49" i="4"/>
  <c r="AR49" i="4"/>
  <c r="AS49" i="4"/>
  <c r="AT49" i="4"/>
  <c r="AU49" i="4"/>
  <c r="AV49" i="4"/>
  <c r="AW49" i="4"/>
  <c r="AX49" i="4"/>
  <c r="A50" i="4"/>
  <c r="B50" i="4"/>
  <c r="C50" i="4"/>
  <c r="D50" i="4"/>
  <c r="E50" i="4"/>
  <c r="F50" i="4"/>
  <c r="G50" i="4"/>
  <c r="H50" i="4"/>
  <c r="I50" i="4"/>
  <c r="J50" i="4"/>
  <c r="K50" i="4"/>
  <c r="L50" i="4"/>
  <c r="M50" i="4"/>
  <c r="N50" i="4"/>
  <c r="O50" i="4"/>
  <c r="P50" i="4"/>
  <c r="Q50" i="4"/>
  <c r="R50" i="4"/>
  <c r="S50" i="4"/>
  <c r="T50" i="4"/>
  <c r="U50" i="4"/>
  <c r="V50" i="4"/>
  <c r="W50" i="4"/>
  <c r="X50" i="4"/>
  <c r="Y50" i="4"/>
  <c r="Z50" i="4"/>
  <c r="AA50" i="4"/>
  <c r="AB50" i="4"/>
  <c r="AC50" i="4"/>
  <c r="AD50" i="4"/>
  <c r="AE50" i="4"/>
  <c r="AF50" i="4"/>
  <c r="AG50" i="4"/>
  <c r="AH50" i="4"/>
  <c r="AI50" i="4"/>
  <c r="AJ50" i="4"/>
  <c r="AK50" i="4"/>
  <c r="AL50" i="4"/>
  <c r="AM50" i="4"/>
  <c r="AN50" i="4"/>
  <c r="AO50" i="4"/>
  <c r="AP50" i="4"/>
  <c r="AQ50" i="4"/>
  <c r="AR50" i="4"/>
  <c r="AS50" i="4"/>
  <c r="AT50" i="4"/>
  <c r="AU50" i="4"/>
  <c r="AV50" i="4"/>
  <c r="AW50" i="4"/>
  <c r="AX50" i="4"/>
  <c r="A51" i="4"/>
  <c r="B51" i="4"/>
  <c r="C51" i="4"/>
  <c r="D51" i="4"/>
  <c r="E51" i="4"/>
  <c r="F51" i="4"/>
  <c r="G51" i="4"/>
  <c r="H51" i="4"/>
  <c r="I51" i="4"/>
  <c r="J51" i="4"/>
  <c r="K51" i="4"/>
  <c r="L51" i="4"/>
  <c r="M51" i="4"/>
  <c r="N51" i="4"/>
  <c r="O51" i="4"/>
  <c r="P51" i="4"/>
  <c r="Q51" i="4"/>
  <c r="R51" i="4"/>
  <c r="S51" i="4"/>
  <c r="T51" i="4"/>
  <c r="U51" i="4"/>
  <c r="V51" i="4"/>
  <c r="W51" i="4"/>
  <c r="X51" i="4"/>
  <c r="Y51" i="4"/>
  <c r="Z51" i="4"/>
  <c r="AA51" i="4"/>
  <c r="AB51" i="4"/>
  <c r="AC51" i="4"/>
  <c r="AD51" i="4"/>
  <c r="AE51" i="4"/>
  <c r="AF51" i="4"/>
  <c r="AG51" i="4"/>
  <c r="AH51" i="4"/>
  <c r="AI51" i="4"/>
  <c r="AJ51" i="4"/>
  <c r="AK51" i="4"/>
  <c r="AL51" i="4"/>
  <c r="AM51" i="4"/>
  <c r="AN51" i="4"/>
  <c r="AO51" i="4"/>
  <c r="AP51" i="4"/>
  <c r="AQ51" i="4"/>
  <c r="AR51" i="4"/>
  <c r="AS51" i="4"/>
  <c r="AT51" i="4"/>
  <c r="AU51" i="4"/>
  <c r="AV51" i="4"/>
  <c r="AW51" i="4"/>
  <c r="AX51" i="4"/>
  <c r="A52" i="4"/>
  <c r="B52" i="4"/>
  <c r="C52" i="4"/>
  <c r="D52" i="4"/>
  <c r="E52" i="4"/>
  <c r="F52" i="4"/>
  <c r="G52" i="4"/>
  <c r="H52" i="4"/>
  <c r="I52" i="4"/>
  <c r="J52" i="4"/>
  <c r="K52" i="4"/>
  <c r="L52" i="4"/>
  <c r="M52" i="4"/>
  <c r="N52" i="4"/>
  <c r="O52" i="4"/>
  <c r="P52" i="4"/>
  <c r="Q52" i="4"/>
  <c r="R52" i="4"/>
  <c r="S52" i="4"/>
  <c r="T52" i="4"/>
  <c r="U52" i="4"/>
  <c r="V52" i="4"/>
  <c r="W52" i="4"/>
  <c r="X52" i="4"/>
  <c r="Y52" i="4"/>
  <c r="Z52" i="4"/>
  <c r="AA52" i="4"/>
  <c r="AB52" i="4"/>
  <c r="AC52" i="4"/>
  <c r="AD52" i="4"/>
  <c r="AE52" i="4"/>
  <c r="AF52" i="4"/>
  <c r="AG52" i="4"/>
  <c r="AH52" i="4"/>
  <c r="AI52" i="4"/>
  <c r="AJ52" i="4"/>
  <c r="AK52" i="4"/>
  <c r="AL52" i="4"/>
  <c r="AM52" i="4"/>
  <c r="AN52" i="4"/>
  <c r="AO52" i="4"/>
  <c r="AP52" i="4"/>
  <c r="AQ52" i="4"/>
  <c r="AR52" i="4"/>
  <c r="AS52" i="4"/>
  <c r="AT52" i="4"/>
  <c r="AU52" i="4"/>
  <c r="AV52" i="4"/>
  <c r="AW52" i="4"/>
  <c r="AX52" i="4"/>
  <c r="A53" i="4"/>
  <c r="B53" i="4"/>
  <c r="C53" i="4"/>
  <c r="D53" i="4"/>
  <c r="E53" i="4"/>
  <c r="F53" i="4"/>
  <c r="G53" i="4"/>
  <c r="H53" i="4"/>
  <c r="I53" i="4"/>
  <c r="J53" i="4"/>
  <c r="K53" i="4"/>
  <c r="L53" i="4"/>
  <c r="M53" i="4"/>
  <c r="N53" i="4"/>
  <c r="O53" i="4"/>
  <c r="P53" i="4"/>
  <c r="Q53" i="4"/>
  <c r="R53" i="4"/>
  <c r="S53" i="4"/>
  <c r="T53" i="4"/>
  <c r="U53" i="4"/>
  <c r="V53" i="4"/>
  <c r="W53" i="4"/>
  <c r="X53" i="4"/>
  <c r="Y53" i="4"/>
  <c r="Z53" i="4"/>
  <c r="AA53" i="4"/>
  <c r="AB53" i="4"/>
  <c r="AC53" i="4"/>
  <c r="AD53" i="4"/>
  <c r="AE53" i="4"/>
  <c r="AF53" i="4"/>
  <c r="AG53" i="4"/>
  <c r="AH53" i="4"/>
  <c r="AI53" i="4"/>
  <c r="AJ53" i="4"/>
  <c r="AK53" i="4"/>
  <c r="AL53" i="4"/>
  <c r="AM53" i="4"/>
  <c r="AN53" i="4"/>
  <c r="AO53" i="4"/>
  <c r="AP53" i="4"/>
  <c r="AQ53" i="4"/>
  <c r="AR53" i="4"/>
  <c r="AS53" i="4"/>
  <c r="AT53" i="4"/>
  <c r="AU53" i="4"/>
  <c r="AV53" i="4"/>
  <c r="AW53" i="4"/>
  <c r="AX53" i="4"/>
  <c r="A54" i="4"/>
  <c r="B54" i="4"/>
  <c r="C54" i="4"/>
  <c r="D54" i="4"/>
  <c r="E54" i="4"/>
  <c r="F54" i="4"/>
  <c r="G54" i="4"/>
  <c r="H54" i="4"/>
  <c r="I54" i="4"/>
  <c r="J54" i="4"/>
  <c r="K54" i="4"/>
  <c r="L54" i="4"/>
  <c r="M54" i="4"/>
  <c r="N54" i="4"/>
  <c r="O54" i="4"/>
  <c r="P54" i="4"/>
  <c r="Q54" i="4"/>
  <c r="R54" i="4"/>
  <c r="S54" i="4"/>
  <c r="T54" i="4"/>
  <c r="U54" i="4"/>
  <c r="V54" i="4"/>
  <c r="W54" i="4"/>
  <c r="X54" i="4"/>
  <c r="Y54" i="4"/>
  <c r="Z54" i="4"/>
  <c r="AA54" i="4"/>
  <c r="AB54" i="4"/>
  <c r="AC54" i="4"/>
  <c r="AD54" i="4"/>
  <c r="AE54" i="4"/>
  <c r="AF54" i="4"/>
  <c r="AG54" i="4"/>
  <c r="AH54" i="4"/>
  <c r="AI54" i="4"/>
  <c r="AJ54" i="4"/>
  <c r="AK54" i="4"/>
  <c r="AL54" i="4"/>
  <c r="AM54" i="4"/>
  <c r="AN54" i="4"/>
  <c r="AO54" i="4"/>
  <c r="AP54" i="4"/>
  <c r="AQ54" i="4"/>
  <c r="AR54" i="4"/>
  <c r="AS54" i="4"/>
  <c r="AT54" i="4"/>
  <c r="AU54" i="4"/>
  <c r="AV54" i="4"/>
  <c r="AW54" i="4"/>
  <c r="AX54" i="4"/>
  <c r="A55" i="4"/>
  <c r="B55" i="4"/>
  <c r="C55" i="4"/>
  <c r="D55" i="4"/>
  <c r="E55" i="4"/>
  <c r="F55" i="4"/>
  <c r="G55" i="4"/>
  <c r="H55" i="4"/>
  <c r="I55" i="4"/>
  <c r="J55" i="4"/>
  <c r="K55" i="4"/>
  <c r="L55" i="4"/>
  <c r="M55" i="4"/>
  <c r="N55" i="4"/>
  <c r="O55" i="4"/>
  <c r="P55" i="4"/>
  <c r="Q55" i="4"/>
  <c r="R55" i="4"/>
  <c r="S55" i="4"/>
  <c r="T55" i="4"/>
  <c r="U55" i="4"/>
  <c r="V55" i="4"/>
  <c r="W55" i="4"/>
  <c r="X55" i="4"/>
  <c r="Y55" i="4"/>
  <c r="Z55" i="4"/>
  <c r="AA55" i="4"/>
  <c r="AB55" i="4"/>
  <c r="AC55" i="4"/>
  <c r="AD55" i="4"/>
  <c r="AE55" i="4"/>
  <c r="AF55" i="4"/>
  <c r="AG55" i="4"/>
  <c r="AH55" i="4"/>
  <c r="AI55" i="4"/>
  <c r="AJ55" i="4"/>
  <c r="AK55" i="4"/>
  <c r="AL55" i="4"/>
  <c r="AM55" i="4"/>
  <c r="AN55" i="4"/>
  <c r="AO55" i="4"/>
  <c r="AP55" i="4"/>
  <c r="AQ55" i="4"/>
  <c r="AR55" i="4"/>
  <c r="AS55" i="4"/>
  <c r="AT55" i="4"/>
  <c r="AU55" i="4"/>
  <c r="AV55" i="4"/>
  <c r="AW55" i="4"/>
  <c r="AX55" i="4"/>
  <c r="A56" i="4"/>
  <c r="B56" i="4"/>
  <c r="C56" i="4"/>
  <c r="D56" i="4"/>
  <c r="E56" i="4"/>
  <c r="F56" i="4"/>
  <c r="G56" i="4"/>
  <c r="H56" i="4"/>
  <c r="I56" i="4"/>
  <c r="J56" i="4"/>
  <c r="K56" i="4"/>
  <c r="L56" i="4"/>
  <c r="M56" i="4"/>
  <c r="N56" i="4"/>
  <c r="O56" i="4"/>
  <c r="P56" i="4"/>
  <c r="Q56" i="4"/>
  <c r="R56" i="4"/>
  <c r="S56" i="4"/>
  <c r="T56" i="4"/>
  <c r="U56" i="4"/>
  <c r="V56" i="4"/>
  <c r="W56" i="4"/>
  <c r="X56" i="4"/>
  <c r="Y56" i="4"/>
  <c r="Z56" i="4"/>
  <c r="AA56" i="4"/>
  <c r="AB56" i="4"/>
  <c r="AC56" i="4"/>
  <c r="AD56" i="4"/>
  <c r="AE56" i="4"/>
  <c r="AF56" i="4"/>
  <c r="AG56" i="4"/>
  <c r="AH56" i="4"/>
  <c r="AI56" i="4"/>
  <c r="AJ56" i="4"/>
  <c r="AK56" i="4"/>
  <c r="AL56" i="4"/>
  <c r="AM56" i="4"/>
  <c r="AN56" i="4"/>
  <c r="AO56" i="4"/>
  <c r="AP56" i="4"/>
  <c r="AQ56" i="4"/>
  <c r="AR56" i="4"/>
  <c r="AS56" i="4"/>
  <c r="AT56" i="4"/>
  <c r="AU56" i="4"/>
  <c r="AV56" i="4"/>
  <c r="AW56" i="4"/>
  <c r="AX56" i="4"/>
  <c r="A57" i="4"/>
  <c r="B57" i="4"/>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58" i="4"/>
  <c r="B58"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59" i="4"/>
  <c r="B59"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60" i="4"/>
  <c r="B60"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61" i="4"/>
  <c r="B61"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62" i="4"/>
  <c r="B62" i="4"/>
  <c r="C62" i="4"/>
  <c r="D62" i="4"/>
  <c r="E62" i="4"/>
  <c r="F62" i="4"/>
  <c r="G62" i="4"/>
  <c r="H62" i="4"/>
  <c r="I62" i="4"/>
  <c r="J62" i="4"/>
  <c r="K62" i="4"/>
  <c r="L62" i="4"/>
  <c r="M62" i="4"/>
  <c r="N62" i="4"/>
  <c r="O62" i="4"/>
  <c r="P62" i="4"/>
  <c r="Q62" i="4"/>
  <c r="R62" i="4"/>
  <c r="S62" i="4"/>
  <c r="T62" i="4"/>
  <c r="U62" i="4"/>
  <c r="V62" i="4"/>
  <c r="W62" i="4"/>
  <c r="X62" i="4"/>
  <c r="Y62" i="4"/>
  <c r="Z62" i="4"/>
  <c r="AA62" i="4"/>
  <c r="AB62" i="4"/>
  <c r="AC62" i="4"/>
  <c r="AD62" i="4"/>
  <c r="AE62" i="4"/>
  <c r="AF62" i="4"/>
  <c r="AG62" i="4"/>
  <c r="AH62" i="4"/>
  <c r="AI62" i="4"/>
  <c r="AJ62" i="4"/>
  <c r="AK62" i="4"/>
  <c r="AL62" i="4"/>
  <c r="AM62" i="4"/>
  <c r="AN62" i="4"/>
  <c r="AO62" i="4"/>
  <c r="AP62" i="4"/>
  <c r="AQ62" i="4"/>
  <c r="AR62" i="4"/>
  <c r="AS62" i="4"/>
  <c r="AT62" i="4"/>
  <c r="AU62" i="4"/>
  <c r="AV62" i="4"/>
  <c r="AW62" i="4"/>
  <c r="AX62" i="4"/>
  <c r="A63" i="4"/>
  <c r="B63" i="4"/>
  <c r="C63" i="4"/>
  <c r="D63" i="4"/>
  <c r="E63" i="4"/>
  <c r="F63" i="4"/>
  <c r="G63" i="4"/>
  <c r="H63" i="4"/>
  <c r="I63" i="4"/>
  <c r="J63" i="4"/>
  <c r="K63" i="4"/>
  <c r="L63" i="4"/>
  <c r="M63" i="4"/>
  <c r="N63" i="4"/>
  <c r="O63" i="4"/>
  <c r="P63" i="4"/>
  <c r="Q63" i="4"/>
  <c r="R63" i="4"/>
  <c r="S63" i="4"/>
  <c r="T63" i="4"/>
  <c r="U63" i="4"/>
  <c r="V63" i="4"/>
  <c r="W63" i="4"/>
  <c r="X63" i="4"/>
  <c r="Y63" i="4"/>
  <c r="Z63" i="4"/>
  <c r="AA63" i="4"/>
  <c r="AB63" i="4"/>
  <c r="AC63" i="4"/>
  <c r="AD63" i="4"/>
  <c r="AE63" i="4"/>
  <c r="AF63" i="4"/>
  <c r="AG63" i="4"/>
  <c r="AH63" i="4"/>
  <c r="AI63" i="4"/>
  <c r="AJ63" i="4"/>
  <c r="AK63" i="4"/>
  <c r="AL63" i="4"/>
  <c r="AM63" i="4"/>
  <c r="AN63" i="4"/>
  <c r="AO63" i="4"/>
  <c r="AP63" i="4"/>
  <c r="AQ63" i="4"/>
  <c r="AR63" i="4"/>
  <c r="AS63" i="4"/>
  <c r="AT63" i="4"/>
  <c r="AU63" i="4"/>
  <c r="AV63" i="4"/>
  <c r="AW63" i="4"/>
  <c r="AX63" i="4"/>
  <c r="A64" i="4"/>
  <c r="B64" i="4"/>
  <c r="C64" i="4"/>
  <c r="D64" i="4"/>
  <c r="E64" i="4"/>
  <c r="F64" i="4"/>
  <c r="G64" i="4"/>
  <c r="H64" i="4"/>
  <c r="I64" i="4"/>
  <c r="J64" i="4"/>
  <c r="K64" i="4"/>
  <c r="L64" i="4"/>
  <c r="M64" i="4"/>
  <c r="N64" i="4"/>
  <c r="O64" i="4"/>
  <c r="P64" i="4"/>
  <c r="Q64" i="4"/>
  <c r="R64" i="4"/>
  <c r="S64" i="4"/>
  <c r="T64" i="4"/>
  <c r="U64" i="4"/>
  <c r="V64" i="4"/>
  <c r="W64" i="4"/>
  <c r="X64" i="4"/>
  <c r="Y64" i="4"/>
  <c r="Z64" i="4"/>
  <c r="AA64" i="4"/>
  <c r="AB64" i="4"/>
  <c r="AC64" i="4"/>
  <c r="AD64" i="4"/>
  <c r="AE64" i="4"/>
  <c r="AF64" i="4"/>
  <c r="AG64" i="4"/>
  <c r="AH64" i="4"/>
  <c r="AI64" i="4"/>
  <c r="AJ64" i="4"/>
  <c r="AK64" i="4"/>
  <c r="AL64" i="4"/>
  <c r="AM64" i="4"/>
  <c r="AN64" i="4"/>
  <c r="AO64" i="4"/>
  <c r="AP64" i="4"/>
  <c r="AQ64" i="4"/>
  <c r="AR64" i="4"/>
  <c r="AS64" i="4"/>
  <c r="AT64" i="4"/>
  <c r="AU64" i="4"/>
  <c r="AV64" i="4"/>
  <c r="AW64" i="4"/>
  <c r="AX64" i="4"/>
  <c r="A65" i="4"/>
  <c r="B65" i="4"/>
  <c r="C65" i="4"/>
  <c r="D65" i="4"/>
  <c r="E65" i="4"/>
  <c r="F65" i="4"/>
  <c r="G65" i="4"/>
  <c r="H65" i="4"/>
  <c r="I65" i="4"/>
  <c r="J65" i="4"/>
  <c r="K65" i="4"/>
  <c r="L65" i="4"/>
  <c r="M65" i="4"/>
  <c r="N65" i="4"/>
  <c r="O65" i="4"/>
  <c r="P65" i="4"/>
  <c r="Q65" i="4"/>
  <c r="R65" i="4"/>
  <c r="S65" i="4"/>
  <c r="T65" i="4"/>
  <c r="U65" i="4"/>
  <c r="V65" i="4"/>
  <c r="W65" i="4"/>
  <c r="X65" i="4"/>
  <c r="Y65" i="4"/>
  <c r="Z65" i="4"/>
  <c r="AA65" i="4"/>
  <c r="AB65" i="4"/>
  <c r="AC65" i="4"/>
  <c r="AD65" i="4"/>
  <c r="AE65" i="4"/>
  <c r="AF65" i="4"/>
  <c r="AG65" i="4"/>
  <c r="AH65" i="4"/>
  <c r="AI65" i="4"/>
  <c r="AJ65" i="4"/>
  <c r="AK65" i="4"/>
  <c r="AL65" i="4"/>
  <c r="AM65" i="4"/>
  <c r="AN65" i="4"/>
  <c r="AO65" i="4"/>
  <c r="AP65" i="4"/>
  <c r="AQ65" i="4"/>
  <c r="AR65" i="4"/>
  <c r="AS65" i="4"/>
  <c r="AT65" i="4"/>
  <c r="AU65" i="4"/>
  <c r="AV65" i="4"/>
  <c r="AW65" i="4"/>
  <c r="AX65" i="4"/>
  <c r="A66" i="4"/>
  <c r="B66" i="4"/>
  <c r="C66" i="4"/>
  <c r="D66" i="4"/>
  <c r="E66" i="4"/>
  <c r="F66" i="4"/>
  <c r="G66" i="4"/>
  <c r="H66" i="4"/>
  <c r="I66" i="4"/>
  <c r="J66" i="4"/>
  <c r="K66" i="4"/>
  <c r="L66" i="4"/>
  <c r="M66" i="4"/>
  <c r="N66" i="4"/>
  <c r="O66" i="4"/>
  <c r="P66" i="4"/>
  <c r="Q66" i="4"/>
  <c r="R66" i="4"/>
  <c r="S66" i="4"/>
  <c r="T66" i="4"/>
  <c r="U66" i="4"/>
  <c r="V66" i="4"/>
  <c r="W66" i="4"/>
  <c r="X66" i="4"/>
  <c r="Y66" i="4"/>
  <c r="Z66" i="4"/>
  <c r="AA66" i="4"/>
  <c r="AB66" i="4"/>
  <c r="AC66" i="4"/>
  <c r="AD66" i="4"/>
  <c r="AE66" i="4"/>
  <c r="AF66" i="4"/>
  <c r="AG66" i="4"/>
  <c r="AH66" i="4"/>
  <c r="AI66" i="4"/>
  <c r="AJ66" i="4"/>
  <c r="AK66" i="4"/>
  <c r="AL66" i="4"/>
  <c r="AM66" i="4"/>
  <c r="AN66" i="4"/>
  <c r="AO66" i="4"/>
  <c r="AP66" i="4"/>
  <c r="AQ66" i="4"/>
  <c r="AR66" i="4"/>
  <c r="AS66" i="4"/>
  <c r="AT66" i="4"/>
  <c r="AU66" i="4"/>
  <c r="AV66" i="4"/>
  <c r="AW66" i="4"/>
  <c r="AX66" i="4"/>
  <c r="A67" i="4"/>
  <c r="B67" i="4"/>
  <c r="C67" i="4"/>
  <c r="D67" i="4"/>
  <c r="E67" i="4"/>
  <c r="F67" i="4"/>
  <c r="G67" i="4"/>
  <c r="H67" i="4"/>
  <c r="I67" i="4"/>
  <c r="J67" i="4"/>
  <c r="K67" i="4"/>
  <c r="L67" i="4"/>
  <c r="M67" i="4"/>
  <c r="N67" i="4"/>
  <c r="O67" i="4"/>
  <c r="P67" i="4"/>
  <c r="Q67" i="4"/>
  <c r="R67" i="4"/>
  <c r="S67" i="4"/>
  <c r="T67" i="4"/>
  <c r="U67" i="4"/>
  <c r="V67" i="4"/>
  <c r="W67" i="4"/>
  <c r="X67" i="4"/>
  <c r="Y67" i="4"/>
  <c r="Z67" i="4"/>
  <c r="AA67" i="4"/>
  <c r="AB67" i="4"/>
  <c r="AC67" i="4"/>
  <c r="AD67" i="4"/>
  <c r="AE67" i="4"/>
  <c r="AF67" i="4"/>
  <c r="AG67" i="4"/>
  <c r="AH67" i="4"/>
  <c r="AI67" i="4"/>
  <c r="AJ67" i="4"/>
  <c r="AK67" i="4"/>
  <c r="AL67" i="4"/>
  <c r="AM67" i="4"/>
  <c r="AN67" i="4"/>
  <c r="AO67" i="4"/>
  <c r="AP67" i="4"/>
  <c r="AQ67" i="4"/>
  <c r="AR67" i="4"/>
  <c r="AS67" i="4"/>
  <c r="AT67" i="4"/>
  <c r="AU67" i="4"/>
  <c r="AV67" i="4"/>
  <c r="AW67" i="4"/>
  <c r="AX67" i="4"/>
  <c r="A68" i="4"/>
  <c r="B68" i="4"/>
  <c r="C68" i="4"/>
  <c r="D68" i="4"/>
  <c r="E68" i="4"/>
  <c r="F68" i="4"/>
  <c r="G68" i="4"/>
  <c r="H68" i="4"/>
  <c r="I68" i="4"/>
  <c r="J68" i="4"/>
  <c r="K68" i="4"/>
  <c r="L68" i="4"/>
  <c r="M68" i="4"/>
  <c r="N68" i="4"/>
  <c r="O68" i="4"/>
  <c r="P68" i="4"/>
  <c r="Q68" i="4"/>
  <c r="R68" i="4"/>
  <c r="S68" i="4"/>
  <c r="T68" i="4"/>
  <c r="U68" i="4"/>
  <c r="V68" i="4"/>
  <c r="W68" i="4"/>
  <c r="X68" i="4"/>
  <c r="Y68" i="4"/>
  <c r="Z68" i="4"/>
  <c r="AA68" i="4"/>
  <c r="AB68" i="4"/>
  <c r="AC68" i="4"/>
  <c r="AD68" i="4"/>
  <c r="AE68" i="4"/>
  <c r="AF68" i="4"/>
  <c r="AG68" i="4"/>
  <c r="AH68" i="4"/>
  <c r="AI68" i="4"/>
  <c r="AJ68" i="4"/>
  <c r="AK68" i="4"/>
  <c r="AL68" i="4"/>
  <c r="AM68" i="4"/>
  <c r="AN68" i="4"/>
  <c r="AO68" i="4"/>
  <c r="AP68" i="4"/>
  <c r="AQ68" i="4"/>
  <c r="AR68" i="4"/>
  <c r="AS68" i="4"/>
  <c r="AT68" i="4"/>
  <c r="AU68" i="4"/>
  <c r="AV68" i="4"/>
  <c r="AW68" i="4"/>
  <c r="AX68" i="4"/>
  <c r="A69" i="4"/>
  <c r="B69" i="4"/>
  <c r="C69" i="4"/>
  <c r="D69" i="4"/>
  <c r="E69" i="4"/>
  <c r="F69" i="4"/>
  <c r="G69" i="4"/>
  <c r="H69" i="4"/>
  <c r="I69" i="4"/>
  <c r="J69" i="4"/>
  <c r="K69" i="4"/>
  <c r="L69" i="4"/>
  <c r="M69" i="4"/>
  <c r="N69" i="4"/>
  <c r="O69" i="4"/>
  <c r="P69" i="4"/>
  <c r="Q69" i="4"/>
  <c r="R69" i="4"/>
  <c r="S69" i="4"/>
  <c r="T69" i="4"/>
  <c r="U69" i="4"/>
  <c r="V69" i="4"/>
  <c r="W69" i="4"/>
  <c r="X69" i="4"/>
  <c r="Y69" i="4"/>
  <c r="Z69" i="4"/>
  <c r="AA69" i="4"/>
  <c r="AB69" i="4"/>
  <c r="AC69" i="4"/>
  <c r="AD69" i="4"/>
  <c r="AE69" i="4"/>
  <c r="AF69" i="4"/>
  <c r="AG69" i="4"/>
  <c r="AH69" i="4"/>
  <c r="AI69" i="4"/>
  <c r="AJ69" i="4"/>
  <c r="AK69" i="4"/>
  <c r="AL69" i="4"/>
  <c r="AM69" i="4"/>
  <c r="AN69" i="4"/>
  <c r="AO69" i="4"/>
  <c r="AP69" i="4"/>
  <c r="AQ69" i="4"/>
  <c r="AR69" i="4"/>
  <c r="AS69" i="4"/>
  <c r="AT69" i="4"/>
  <c r="AU69" i="4"/>
  <c r="AV69" i="4"/>
  <c r="AW69" i="4"/>
  <c r="AX69" i="4"/>
  <c r="A70" i="4"/>
  <c r="B70" i="4"/>
  <c r="C70" i="4"/>
  <c r="D70" i="4"/>
  <c r="E70" i="4"/>
  <c r="F70" i="4"/>
  <c r="G70" i="4"/>
  <c r="H70" i="4"/>
  <c r="I70" i="4"/>
  <c r="J70" i="4"/>
  <c r="K70" i="4"/>
  <c r="L70" i="4"/>
  <c r="M70" i="4"/>
  <c r="N70" i="4"/>
  <c r="O70" i="4"/>
  <c r="P70" i="4"/>
  <c r="Q70" i="4"/>
  <c r="R70" i="4"/>
  <c r="S70" i="4"/>
  <c r="T70" i="4"/>
  <c r="U70" i="4"/>
  <c r="V70" i="4"/>
  <c r="W70" i="4"/>
  <c r="X70" i="4"/>
  <c r="Y70" i="4"/>
  <c r="Z70" i="4"/>
  <c r="AA70" i="4"/>
  <c r="AB70" i="4"/>
  <c r="AC70" i="4"/>
  <c r="AD70" i="4"/>
  <c r="AE70" i="4"/>
  <c r="AF70" i="4"/>
  <c r="AG70" i="4"/>
  <c r="AH70" i="4"/>
  <c r="AI70" i="4"/>
  <c r="AJ70" i="4"/>
  <c r="AK70" i="4"/>
  <c r="AL70" i="4"/>
  <c r="AM70" i="4"/>
  <c r="AN70" i="4"/>
  <c r="AO70" i="4"/>
  <c r="AP70" i="4"/>
  <c r="AQ70" i="4"/>
  <c r="AR70" i="4"/>
  <c r="AS70" i="4"/>
  <c r="AT70" i="4"/>
  <c r="AU70" i="4"/>
  <c r="AV70" i="4"/>
  <c r="AW70" i="4"/>
  <c r="AX70" i="4"/>
  <c r="A71" i="4"/>
  <c r="B71" i="4"/>
  <c r="C71" i="4"/>
  <c r="D71" i="4"/>
  <c r="E71" i="4"/>
  <c r="F71" i="4"/>
  <c r="G71" i="4"/>
  <c r="H71" i="4"/>
  <c r="I71" i="4"/>
  <c r="J71" i="4"/>
  <c r="K71" i="4"/>
  <c r="L71" i="4"/>
  <c r="M71" i="4"/>
  <c r="N71" i="4"/>
  <c r="O71" i="4"/>
  <c r="P71" i="4"/>
  <c r="Q71" i="4"/>
  <c r="R71" i="4"/>
  <c r="S71" i="4"/>
  <c r="T71" i="4"/>
  <c r="U71" i="4"/>
  <c r="V71" i="4"/>
  <c r="W71" i="4"/>
  <c r="X71" i="4"/>
  <c r="Y71" i="4"/>
  <c r="Z71" i="4"/>
  <c r="AA71" i="4"/>
  <c r="AB71" i="4"/>
  <c r="AC71" i="4"/>
  <c r="AD71" i="4"/>
  <c r="AE71" i="4"/>
  <c r="AF71" i="4"/>
  <c r="AG71" i="4"/>
  <c r="AH71" i="4"/>
  <c r="AI71" i="4"/>
  <c r="AJ71" i="4"/>
  <c r="AK71" i="4"/>
  <c r="AL71" i="4"/>
  <c r="AM71" i="4"/>
  <c r="AN71" i="4"/>
  <c r="AO71" i="4"/>
  <c r="AP71" i="4"/>
  <c r="AQ71" i="4"/>
  <c r="AR71" i="4"/>
  <c r="AS71" i="4"/>
  <c r="AT71" i="4"/>
  <c r="AU71" i="4"/>
  <c r="AV71" i="4"/>
  <c r="AW71" i="4"/>
  <c r="AX71" i="4"/>
  <c r="A72" i="4"/>
  <c r="B72" i="4"/>
  <c r="C72" i="4"/>
  <c r="D72" i="4"/>
  <c r="E72" i="4"/>
  <c r="F72" i="4"/>
  <c r="G72" i="4"/>
  <c r="H72" i="4"/>
  <c r="I72" i="4"/>
  <c r="J72" i="4"/>
  <c r="K72" i="4"/>
  <c r="L72" i="4"/>
  <c r="M72" i="4"/>
  <c r="N72" i="4"/>
  <c r="O72" i="4"/>
  <c r="P72" i="4"/>
  <c r="Q72" i="4"/>
  <c r="R72" i="4"/>
  <c r="S72" i="4"/>
  <c r="T72" i="4"/>
  <c r="U72" i="4"/>
  <c r="V72" i="4"/>
  <c r="W72" i="4"/>
  <c r="X72" i="4"/>
  <c r="Y72" i="4"/>
  <c r="Z72" i="4"/>
  <c r="AA72" i="4"/>
  <c r="AB72" i="4"/>
  <c r="AC72" i="4"/>
  <c r="AD72" i="4"/>
  <c r="AE72" i="4"/>
  <c r="AF72" i="4"/>
  <c r="AG72" i="4"/>
  <c r="AH72" i="4"/>
  <c r="AI72" i="4"/>
  <c r="AJ72" i="4"/>
  <c r="AK72" i="4"/>
  <c r="AL72" i="4"/>
  <c r="AM72" i="4"/>
  <c r="AN72" i="4"/>
  <c r="AO72" i="4"/>
  <c r="AP72" i="4"/>
  <c r="AQ72" i="4"/>
  <c r="AR72" i="4"/>
  <c r="AS72" i="4"/>
  <c r="AT72" i="4"/>
  <c r="AU72" i="4"/>
  <c r="AV72" i="4"/>
  <c r="AW72" i="4"/>
  <c r="AX72" i="4"/>
  <c r="A73" i="4"/>
  <c r="B73" i="4"/>
  <c r="C73" i="4"/>
  <c r="D73" i="4"/>
  <c r="E73" i="4"/>
  <c r="F73" i="4"/>
  <c r="G73" i="4"/>
  <c r="H73" i="4"/>
  <c r="I73" i="4"/>
  <c r="J73" i="4"/>
  <c r="K73" i="4"/>
  <c r="L73" i="4"/>
  <c r="M73" i="4"/>
  <c r="N73" i="4"/>
  <c r="O73" i="4"/>
  <c r="P73" i="4"/>
  <c r="Q73" i="4"/>
  <c r="R73" i="4"/>
  <c r="S73" i="4"/>
  <c r="T73" i="4"/>
  <c r="U73" i="4"/>
  <c r="V73" i="4"/>
  <c r="W73" i="4"/>
  <c r="X73" i="4"/>
  <c r="Y73" i="4"/>
  <c r="Z73" i="4"/>
  <c r="AA73" i="4"/>
  <c r="AB73" i="4"/>
  <c r="AC73" i="4"/>
  <c r="AD73" i="4"/>
  <c r="AE73" i="4"/>
  <c r="AF73" i="4"/>
  <c r="AG73" i="4"/>
  <c r="AH73" i="4"/>
  <c r="AI73" i="4"/>
  <c r="AJ73" i="4"/>
  <c r="AK73" i="4"/>
  <c r="AL73" i="4"/>
  <c r="AM73" i="4"/>
  <c r="AN73" i="4"/>
  <c r="AO73" i="4"/>
  <c r="AP73" i="4"/>
  <c r="AQ73" i="4"/>
  <c r="AR73" i="4"/>
  <c r="AS73" i="4"/>
  <c r="AT73" i="4"/>
  <c r="AU73" i="4"/>
  <c r="AV73" i="4"/>
  <c r="AW73" i="4"/>
  <c r="AX73" i="4"/>
  <c r="A74" i="4"/>
  <c r="B74" i="4"/>
  <c r="C74" i="4"/>
  <c r="D74" i="4"/>
  <c r="E74" i="4"/>
  <c r="F74" i="4"/>
  <c r="G74" i="4"/>
  <c r="H74" i="4"/>
  <c r="I74" i="4"/>
  <c r="J74" i="4"/>
  <c r="K74" i="4"/>
  <c r="L74" i="4"/>
  <c r="M74" i="4"/>
  <c r="N74" i="4"/>
  <c r="O74" i="4"/>
  <c r="P74" i="4"/>
  <c r="Q74" i="4"/>
  <c r="R74" i="4"/>
  <c r="S74" i="4"/>
  <c r="T74" i="4"/>
  <c r="U74" i="4"/>
  <c r="V74" i="4"/>
  <c r="W74" i="4"/>
  <c r="X74" i="4"/>
  <c r="Y74" i="4"/>
  <c r="Z74" i="4"/>
  <c r="AA74" i="4"/>
  <c r="AB74" i="4"/>
  <c r="AC74" i="4"/>
  <c r="AD74" i="4"/>
  <c r="AE74" i="4"/>
  <c r="AF74" i="4"/>
  <c r="AG74" i="4"/>
  <c r="AH74" i="4"/>
  <c r="AI74" i="4"/>
  <c r="AJ74" i="4"/>
  <c r="AK74" i="4"/>
  <c r="AL74" i="4"/>
  <c r="AM74" i="4"/>
  <c r="AN74" i="4"/>
  <c r="AO74" i="4"/>
  <c r="AP74" i="4"/>
  <c r="AQ74" i="4"/>
  <c r="AR74" i="4"/>
  <c r="AS74" i="4"/>
  <c r="AT74" i="4"/>
  <c r="AU74" i="4"/>
  <c r="AV74" i="4"/>
  <c r="AW74" i="4"/>
  <c r="AX74" i="4"/>
  <c r="A75" i="4"/>
  <c r="B75" i="4"/>
  <c r="C75" i="4"/>
  <c r="D75" i="4"/>
  <c r="E75" i="4"/>
  <c r="F75" i="4"/>
  <c r="G75" i="4"/>
  <c r="H75" i="4"/>
  <c r="I75" i="4"/>
  <c r="J75" i="4"/>
  <c r="K75" i="4"/>
  <c r="L75" i="4"/>
  <c r="M75" i="4"/>
  <c r="N75" i="4"/>
  <c r="O75" i="4"/>
  <c r="P75" i="4"/>
  <c r="Q75" i="4"/>
  <c r="R75" i="4"/>
  <c r="S75" i="4"/>
  <c r="T75" i="4"/>
  <c r="U75" i="4"/>
  <c r="V75" i="4"/>
  <c r="W75" i="4"/>
  <c r="X75" i="4"/>
  <c r="Y75" i="4"/>
  <c r="Z75" i="4"/>
  <c r="AA75" i="4"/>
  <c r="AB75" i="4"/>
  <c r="AC75" i="4"/>
  <c r="AD75" i="4"/>
  <c r="AE75" i="4"/>
  <c r="AF75" i="4"/>
  <c r="AG75" i="4"/>
  <c r="AH75" i="4"/>
  <c r="AI75" i="4"/>
  <c r="AJ75" i="4"/>
  <c r="AK75" i="4"/>
  <c r="AL75" i="4"/>
  <c r="AM75" i="4"/>
  <c r="AN75" i="4"/>
  <c r="AO75" i="4"/>
  <c r="AP75" i="4"/>
  <c r="AQ75" i="4"/>
  <c r="AR75" i="4"/>
  <c r="AS75" i="4"/>
  <c r="AT75" i="4"/>
  <c r="AU75" i="4"/>
  <c r="AV75" i="4"/>
  <c r="AW75" i="4"/>
  <c r="AX75" i="4"/>
  <c r="AX2" i="4"/>
  <c r="B2" i="4"/>
  <c r="C2" i="4"/>
  <c r="D2" i="4"/>
  <c r="E2" i="4"/>
  <c r="F2" i="4"/>
  <c r="G2" i="4"/>
  <c r="H2" i="4"/>
  <c r="I2" i="4"/>
  <c r="J2" i="4"/>
  <c r="K2" i="4"/>
  <c r="L2" i="4"/>
  <c r="M2" i="4"/>
  <c r="N2" i="4"/>
  <c r="O2" i="4"/>
  <c r="P2" i="4"/>
  <c r="Q2" i="4"/>
  <c r="R2" i="4"/>
  <c r="S2" i="4"/>
  <c r="T2" i="4"/>
  <c r="U2" i="4"/>
  <c r="V2" i="4"/>
  <c r="W2" i="4"/>
  <c r="X2" i="4"/>
  <c r="Y2" i="4"/>
  <c r="Z2" i="4"/>
  <c r="AA2" i="4"/>
  <c r="AB2" i="4"/>
  <c r="AC2" i="4"/>
  <c r="AD2" i="4"/>
  <c r="AE2" i="4"/>
  <c r="AF2" i="4"/>
  <c r="AG2" i="4"/>
  <c r="AH2" i="4"/>
  <c r="AI2" i="4"/>
  <c r="AJ2" i="4"/>
  <c r="AK2" i="4"/>
  <c r="AL2" i="4"/>
  <c r="AM2" i="4"/>
  <c r="AN2" i="4"/>
  <c r="AO2" i="4"/>
  <c r="AP2" i="4"/>
  <c r="AQ2" i="4"/>
  <c r="AR2" i="4"/>
  <c r="AS2" i="4"/>
  <c r="AT2" i="4"/>
  <c r="AU2" i="4"/>
  <c r="AV2" i="4"/>
  <c r="AW2" i="4"/>
  <c r="A2" i="4"/>
  <c r="A101" i="3"/>
  <c r="B101" i="3"/>
  <c r="C101" i="3"/>
  <c r="D101" i="3"/>
  <c r="E101" i="3"/>
  <c r="F101" i="3"/>
  <c r="G101" i="3"/>
  <c r="H101" i="3"/>
  <c r="I101" i="3"/>
  <c r="J101" i="3"/>
  <c r="K101" i="3"/>
  <c r="L101" i="3"/>
  <c r="M101" i="3"/>
  <c r="N101" i="3"/>
  <c r="O101" i="3"/>
  <c r="P101" i="3"/>
  <c r="Q101" i="3"/>
  <c r="R101" i="3"/>
  <c r="S101" i="3"/>
  <c r="T101" i="3"/>
  <c r="U101" i="3"/>
  <c r="V101" i="3"/>
  <c r="W101" i="3"/>
  <c r="X101" i="3"/>
  <c r="Y101" i="3"/>
  <c r="Z101" i="3"/>
  <c r="AA101" i="3"/>
  <c r="AB101" i="3"/>
  <c r="AC101" i="3"/>
  <c r="AD101" i="3"/>
  <c r="AE101" i="3"/>
  <c r="AF101" i="3"/>
  <c r="AG101" i="3"/>
  <c r="AH101" i="3"/>
  <c r="AI101" i="3"/>
  <c r="AJ101" i="3"/>
  <c r="AK101" i="3"/>
  <c r="AL101" i="3"/>
  <c r="AM101" i="3"/>
  <c r="AN101" i="3"/>
  <c r="AO101" i="3"/>
  <c r="AP101" i="3"/>
  <c r="AQ101" i="3"/>
  <c r="AR101" i="3"/>
  <c r="AS101" i="3"/>
  <c r="AT101" i="3"/>
  <c r="AU101" i="3"/>
  <c r="AV101" i="3"/>
  <c r="AW101" i="3"/>
  <c r="AX101" i="3"/>
  <c r="A3" i="3"/>
  <c r="B3" i="3"/>
  <c r="C3" i="3"/>
  <c r="D3" i="3"/>
  <c r="E3" i="3"/>
  <c r="F3" i="3"/>
  <c r="G3" i="3"/>
  <c r="H3" i="3"/>
  <c r="I3" i="3"/>
  <c r="J3" i="3"/>
  <c r="K3" i="3"/>
  <c r="L3" i="3"/>
  <c r="M3" i="3"/>
  <c r="N3" i="3"/>
  <c r="O3" i="3"/>
  <c r="P3" i="3"/>
  <c r="Q3" i="3"/>
  <c r="R3" i="3"/>
  <c r="S3" i="3"/>
  <c r="T3" i="3"/>
  <c r="U3" i="3"/>
  <c r="V3" i="3"/>
  <c r="W3" i="3"/>
  <c r="X3" i="3"/>
  <c r="Y3" i="3"/>
  <c r="Z3" i="3"/>
  <c r="AA3" i="3"/>
  <c r="AB3" i="3"/>
  <c r="AC3" i="3"/>
  <c r="AD3" i="3"/>
  <c r="AE3" i="3"/>
  <c r="AF3" i="3"/>
  <c r="AG3" i="3"/>
  <c r="AH3" i="3"/>
  <c r="AI3" i="3"/>
  <c r="AJ3" i="3"/>
  <c r="AK3" i="3"/>
  <c r="AL3" i="3"/>
  <c r="AM3" i="3"/>
  <c r="AN3" i="3"/>
  <c r="AO3" i="3"/>
  <c r="AP3" i="3"/>
  <c r="AQ3" i="3"/>
  <c r="AR3" i="3"/>
  <c r="AS3" i="3"/>
  <c r="AT3" i="3"/>
  <c r="AU3" i="3"/>
  <c r="AV3" i="3"/>
  <c r="AW3" i="3"/>
  <c r="AX3" i="3"/>
  <c r="A4" i="3"/>
  <c r="B4" i="3"/>
  <c r="C4" i="3"/>
  <c r="D4" i="3"/>
  <c r="E4" i="3"/>
  <c r="F4" i="3"/>
  <c r="G4" i="3"/>
  <c r="H4" i="3"/>
  <c r="I4" i="3"/>
  <c r="J4" i="3"/>
  <c r="K4" i="3"/>
  <c r="L4" i="3"/>
  <c r="M4" i="3"/>
  <c r="N4" i="3"/>
  <c r="O4" i="3"/>
  <c r="P4" i="3"/>
  <c r="Q4" i="3"/>
  <c r="R4" i="3"/>
  <c r="S4" i="3"/>
  <c r="T4" i="3"/>
  <c r="U4" i="3"/>
  <c r="V4" i="3"/>
  <c r="W4" i="3"/>
  <c r="X4" i="3"/>
  <c r="Y4" i="3"/>
  <c r="Z4" i="3"/>
  <c r="AA4" i="3"/>
  <c r="AB4" i="3"/>
  <c r="AC4" i="3"/>
  <c r="AD4" i="3"/>
  <c r="AE4" i="3"/>
  <c r="AF4" i="3"/>
  <c r="AG4" i="3"/>
  <c r="AH4" i="3"/>
  <c r="AI4" i="3"/>
  <c r="AJ4" i="3"/>
  <c r="AK4" i="3"/>
  <c r="AL4" i="3"/>
  <c r="AM4" i="3"/>
  <c r="AN4" i="3"/>
  <c r="AO4" i="3"/>
  <c r="AP4" i="3"/>
  <c r="AQ4" i="3"/>
  <c r="AR4" i="3"/>
  <c r="AS4" i="3"/>
  <c r="AT4" i="3"/>
  <c r="AU4" i="3"/>
  <c r="AV4" i="3"/>
  <c r="AW4" i="3"/>
  <c r="AX4" i="3"/>
  <c r="A5" i="3"/>
  <c r="B5" i="3"/>
  <c r="C5" i="3"/>
  <c r="D5"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AJ5" i="3"/>
  <c r="AK5" i="3"/>
  <c r="AL5" i="3"/>
  <c r="AM5" i="3"/>
  <c r="AN5" i="3"/>
  <c r="AO5" i="3"/>
  <c r="AP5" i="3"/>
  <c r="AQ5" i="3"/>
  <c r="AR5" i="3"/>
  <c r="AS5" i="3"/>
  <c r="AT5" i="3"/>
  <c r="AU5" i="3"/>
  <c r="AV5" i="3"/>
  <c r="AW5" i="3"/>
  <c r="AX5" i="3"/>
  <c r="A6" i="3"/>
  <c r="B6" i="3"/>
  <c r="C6" i="3"/>
  <c r="D6"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AJ6" i="3"/>
  <c r="AK6" i="3"/>
  <c r="AL6" i="3"/>
  <c r="AM6" i="3"/>
  <c r="AN6" i="3"/>
  <c r="AO6" i="3"/>
  <c r="AP6" i="3"/>
  <c r="AQ6" i="3"/>
  <c r="AR6" i="3"/>
  <c r="AS6" i="3"/>
  <c r="AT6" i="3"/>
  <c r="AU6" i="3"/>
  <c r="AV6" i="3"/>
  <c r="AW6" i="3"/>
  <c r="AX6" i="3"/>
  <c r="A7" i="3"/>
  <c r="B7" i="3"/>
  <c r="C7" i="3"/>
  <c r="D7"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AJ7" i="3"/>
  <c r="AK7" i="3"/>
  <c r="AL7" i="3"/>
  <c r="AM7" i="3"/>
  <c r="AN7" i="3"/>
  <c r="AO7" i="3"/>
  <c r="AP7" i="3"/>
  <c r="AQ7" i="3"/>
  <c r="AR7" i="3"/>
  <c r="AS7" i="3"/>
  <c r="AT7" i="3"/>
  <c r="AU7" i="3"/>
  <c r="AV7" i="3"/>
  <c r="AW7" i="3"/>
  <c r="AX7" i="3"/>
  <c r="A8" i="3"/>
  <c r="B8" i="3"/>
  <c r="C8" i="3"/>
  <c r="D8"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AJ8" i="3"/>
  <c r="AK8" i="3"/>
  <c r="AL8" i="3"/>
  <c r="AM8" i="3"/>
  <c r="AN8" i="3"/>
  <c r="AO8" i="3"/>
  <c r="AP8" i="3"/>
  <c r="AQ8" i="3"/>
  <c r="AR8" i="3"/>
  <c r="AS8" i="3"/>
  <c r="AT8" i="3"/>
  <c r="AU8" i="3"/>
  <c r="AV8" i="3"/>
  <c r="AW8" i="3"/>
  <c r="AX8" i="3"/>
  <c r="A9" i="3"/>
  <c r="B9" i="3"/>
  <c r="C9" i="3"/>
  <c r="D9"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AJ9" i="3"/>
  <c r="AK9" i="3"/>
  <c r="AL9" i="3"/>
  <c r="AM9" i="3"/>
  <c r="AN9" i="3"/>
  <c r="AO9" i="3"/>
  <c r="AP9" i="3"/>
  <c r="AQ9" i="3"/>
  <c r="AR9" i="3"/>
  <c r="AS9" i="3"/>
  <c r="AT9" i="3"/>
  <c r="AU9" i="3"/>
  <c r="AV9" i="3"/>
  <c r="AW9" i="3"/>
  <c r="AX9" i="3"/>
  <c r="A10" i="3"/>
  <c r="B10" i="3"/>
  <c r="C10" i="3"/>
  <c r="D10"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AJ10" i="3"/>
  <c r="AK10" i="3"/>
  <c r="AL10" i="3"/>
  <c r="AM10" i="3"/>
  <c r="AN10" i="3"/>
  <c r="AO10" i="3"/>
  <c r="AP10" i="3"/>
  <c r="AQ10" i="3"/>
  <c r="AR10" i="3"/>
  <c r="AS10" i="3"/>
  <c r="AT10" i="3"/>
  <c r="AU10" i="3"/>
  <c r="AV10" i="3"/>
  <c r="AW10" i="3"/>
  <c r="AX10" i="3"/>
  <c r="A11" i="3"/>
  <c r="B11" i="3"/>
  <c r="C11" i="3"/>
  <c r="D11"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AJ11" i="3"/>
  <c r="AK11" i="3"/>
  <c r="AL11" i="3"/>
  <c r="AM11" i="3"/>
  <c r="AN11" i="3"/>
  <c r="AO11" i="3"/>
  <c r="AP11" i="3"/>
  <c r="AQ11" i="3"/>
  <c r="AR11" i="3"/>
  <c r="AS11" i="3"/>
  <c r="AT11" i="3"/>
  <c r="AU11" i="3"/>
  <c r="AV11" i="3"/>
  <c r="AW11" i="3"/>
  <c r="AX11" i="3"/>
  <c r="A12" i="3"/>
  <c r="B12" i="3"/>
  <c r="C12" i="3"/>
  <c r="D12" i="3"/>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AJ12" i="3"/>
  <c r="AK12" i="3"/>
  <c r="AL12" i="3"/>
  <c r="AM12" i="3"/>
  <c r="AN12" i="3"/>
  <c r="AO12" i="3"/>
  <c r="AP12" i="3"/>
  <c r="AQ12" i="3"/>
  <c r="AR12" i="3"/>
  <c r="AS12" i="3"/>
  <c r="AT12" i="3"/>
  <c r="AU12" i="3"/>
  <c r="AV12" i="3"/>
  <c r="AW12" i="3"/>
  <c r="AX12" i="3"/>
  <c r="A13" i="3"/>
  <c r="B13" i="3"/>
  <c r="C13" i="3"/>
  <c r="D13" i="3"/>
  <c r="E13" i="3"/>
  <c r="F13" i="3"/>
  <c r="G13" i="3"/>
  <c r="H13" i="3"/>
  <c r="I13" i="3"/>
  <c r="J13" i="3"/>
  <c r="K13" i="3"/>
  <c r="L13" i="3"/>
  <c r="M13" i="3"/>
  <c r="N13" i="3"/>
  <c r="O13" i="3"/>
  <c r="P13" i="3"/>
  <c r="Q13" i="3"/>
  <c r="R13" i="3"/>
  <c r="S13" i="3"/>
  <c r="T13" i="3"/>
  <c r="U13" i="3"/>
  <c r="V13" i="3"/>
  <c r="W13" i="3"/>
  <c r="X13" i="3"/>
  <c r="Y13" i="3"/>
  <c r="Z13" i="3"/>
  <c r="AA13" i="3"/>
  <c r="AB13" i="3"/>
  <c r="AC13" i="3"/>
  <c r="AD13" i="3"/>
  <c r="AE13" i="3"/>
  <c r="AF13" i="3"/>
  <c r="AG13" i="3"/>
  <c r="AH13" i="3"/>
  <c r="AI13" i="3"/>
  <c r="AJ13" i="3"/>
  <c r="AK13" i="3"/>
  <c r="AL13" i="3"/>
  <c r="AM13" i="3"/>
  <c r="AN13" i="3"/>
  <c r="AO13" i="3"/>
  <c r="AP13" i="3"/>
  <c r="AQ13" i="3"/>
  <c r="AR13" i="3"/>
  <c r="AS13" i="3"/>
  <c r="AT13" i="3"/>
  <c r="AU13" i="3"/>
  <c r="AV13" i="3"/>
  <c r="AW13" i="3"/>
  <c r="AX13" i="3"/>
  <c r="A14" i="3"/>
  <c r="B14" i="3"/>
  <c r="C14" i="3"/>
  <c r="D14" i="3"/>
  <c r="E14" i="3"/>
  <c r="F14" i="3"/>
  <c r="G14" i="3"/>
  <c r="H14" i="3"/>
  <c r="I14" i="3"/>
  <c r="J14" i="3"/>
  <c r="K14" i="3"/>
  <c r="L14" i="3"/>
  <c r="M14" i="3"/>
  <c r="N14" i="3"/>
  <c r="O14" i="3"/>
  <c r="P14" i="3"/>
  <c r="Q14" i="3"/>
  <c r="R14" i="3"/>
  <c r="S14" i="3"/>
  <c r="T14" i="3"/>
  <c r="U14" i="3"/>
  <c r="V14" i="3"/>
  <c r="W14" i="3"/>
  <c r="X14" i="3"/>
  <c r="Y14" i="3"/>
  <c r="Z14" i="3"/>
  <c r="AA14" i="3"/>
  <c r="AB14" i="3"/>
  <c r="AC14" i="3"/>
  <c r="AD14" i="3"/>
  <c r="AE14" i="3"/>
  <c r="AF14" i="3"/>
  <c r="AG14" i="3"/>
  <c r="AH14" i="3"/>
  <c r="AI14" i="3"/>
  <c r="AJ14" i="3"/>
  <c r="AK14" i="3"/>
  <c r="AL14" i="3"/>
  <c r="AM14" i="3"/>
  <c r="AN14" i="3"/>
  <c r="AO14" i="3"/>
  <c r="AP14" i="3"/>
  <c r="AQ14" i="3"/>
  <c r="AR14" i="3"/>
  <c r="AS14" i="3"/>
  <c r="AT14" i="3"/>
  <c r="AU14" i="3"/>
  <c r="AV14" i="3"/>
  <c r="AW14" i="3"/>
  <c r="AX14" i="3"/>
  <c r="A15" i="3"/>
  <c r="B15" i="3"/>
  <c r="C15" i="3"/>
  <c r="D15" i="3"/>
  <c r="E15" i="3"/>
  <c r="F15" i="3"/>
  <c r="G15" i="3"/>
  <c r="H15" i="3"/>
  <c r="I15" i="3"/>
  <c r="J15" i="3"/>
  <c r="K15" i="3"/>
  <c r="L15" i="3"/>
  <c r="M15" i="3"/>
  <c r="N15" i="3"/>
  <c r="O15" i="3"/>
  <c r="P15" i="3"/>
  <c r="Q15" i="3"/>
  <c r="R15" i="3"/>
  <c r="S15" i="3"/>
  <c r="T15" i="3"/>
  <c r="U15" i="3"/>
  <c r="V15" i="3"/>
  <c r="W15" i="3"/>
  <c r="X15" i="3"/>
  <c r="Y15" i="3"/>
  <c r="Z15" i="3"/>
  <c r="AA15" i="3"/>
  <c r="AB15" i="3"/>
  <c r="AC15" i="3"/>
  <c r="AD15" i="3"/>
  <c r="AE15" i="3"/>
  <c r="AF15" i="3"/>
  <c r="AG15" i="3"/>
  <c r="AH15" i="3"/>
  <c r="AI15" i="3"/>
  <c r="AJ15" i="3"/>
  <c r="AK15" i="3"/>
  <c r="AL15" i="3"/>
  <c r="AM15" i="3"/>
  <c r="AN15" i="3"/>
  <c r="AO15" i="3"/>
  <c r="AP15" i="3"/>
  <c r="AQ15" i="3"/>
  <c r="AR15" i="3"/>
  <c r="AS15" i="3"/>
  <c r="AT15" i="3"/>
  <c r="AU15" i="3"/>
  <c r="AV15" i="3"/>
  <c r="AW15" i="3"/>
  <c r="AX15" i="3"/>
  <c r="A16" i="3"/>
  <c r="B16" i="3"/>
  <c r="C16" i="3"/>
  <c r="D16" i="3"/>
  <c r="E16" i="3"/>
  <c r="F16" i="3"/>
  <c r="G16" i="3"/>
  <c r="H16" i="3"/>
  <c r="I16" i="3"/>
  <c r="J16" i="3"/>
  <c r="K16" i="3"/>
  <c r="L16" i="3"/>
  <c r="M16" i="3"/>
  <c r="N16" i="3"/>
  <c r="O16" i="3"/>
  <c r="P16" i="3"/>
  <c r="Q16" i="3"/>
  <c r="R16" i="3"/>
  <c r="S16" i="3"/>
  <c r="T16" i="3"/>
  <c r="U16" i="3"/>
  <c r="V16" i="3"/>
  <c r="W16" i="3"/>
  <c r="X16" i="3"/>
  <c r="Y16" i="3"/>
  <c r="Z16" i="3"/>
  <c r="AA16" i="3"/>
  <c r="AB16" i="3"/>
  <c r="AC16" i="3"/>
  <c r="AD16" i="3"/>
  <c r="AE16" i="3"/>
  <c r="AF16" i="3"/>
  <c r="AG16" i="3"/>
  <c r="AH16" i="3"/>
  <c r="AI16" i="3"/>
  <c r="AJ16" i="3"/>
  <c r="AK16" i="3"/>
  <c r="AL16" i="3"/>
  <c r="AM16" i="3"/>
  <c r="AN16" i="3"/>
  <c r="AO16" i="3"/>
  <c r="AP16" i="3"/>
  <c r="AQ16" i="3"/>
  <c r="AR16" i="3"/>
  <c r="AS16" i="3"/>
  <c r="AT16" i="3"/>
  <c r="AU16" i="3"/>
  <c r="AV16" i="3"/>
  <c r="AW16" i="3"/>
  <c r="AX16" i="3"/>
  <c r="A17" i="3"/>
  <c r="B17" i="3"/>
  <c r="C17" i="3"/>
  <c r="D17" i="3"/>
  <c r="E17" i="3"/>
  <c r="F17" i="3"/>
  <c r="G17" i="3"/>
  <c r="H17" i="3"/>
  <c r="I17" i="3"/>
  <c r="J17" i="3"/>
  <c r="K17" i="3"/>
  <c r="L17" i="3"/>
  <c r="M17" i="3"/>
  <c r="N17" i="3"/>
  <c r="O17" i="3"/>
  <c r="P17" i="3"/>
  <c r="Q17" i="3"/>
  <c r="R17" i="3"/>
  <c r="S17" i="3"/>
  <c r="T17" i="3"/>
  <c r="U17" i="3"/>
  <c r="V17" i="3"/>
  <c r="W17" i="3"/>
  <c r="X17" i="3"/>
  <c r="Y17" i="3"/>
  <c r="Z17" i="3"/>
  <c r="AA17" i="3"/>
  <c r="AB17" i="3"/>
  <c r="AC17" i="3"/>
  <c r="AD17" i="3"/>
  <c r="AE17" i="3"/>
  <c r="AF17" i="3"/>
  <c r="AG17" i="3"/>
  <c r="AH17" i="3"/>
  <c r="AI17" i="3"/>
  <c r="AJ17" i="3"/>
  <c r="AK17" i="3"/>
  <c r="AL17" i="3"/>
  <c r="AM17" i="3"/>
  <c r="AN17" i="3"/>
  <c r="AO17" i="3"/>
  <c r="AP17" i="3"/>
  <c r="AQ17" i="3"/>
  <c r="AR17" i="3"/>
  <c r="AS17" i="3"/>
  <c r="AT17" i="3"/>
  <c r="AU17" i="3"/>
  <c r="AV17" i="3"/>
  <c r="AW17" i="3"/>
  <c r="AX17" i="3"/>
  <c r="A18" i="3"/>
  <c r="B18" i="3"/>
  <c r="C18" i="3"/>
  <c r="D18" i="3"/>
  <c r="E18" i="3"/>
  <c r="F18" i="3"/>
  <c r="G18" i="3"/>
  <c r="H18" i="3"/>
  <c r="I18" i="3"/>
  <c r="J18" i="3"/>
  <c r="K18" i="3"/>
  <c r="L18" i="3"/>
  <c r="M18" i="3"/>
  <c r="N18" i="3"/>
  <c r="O18" i="3"/>
  <c r="P18" i="3"/>
  <c r="Q18" i="3"/>
  <c r="R18" i="3"/>
  <c r="S18" i="3"/>
  <c r="T18" i="3"/>
  <c r="U18" i="3"/>
  <c r="V18" i="3"/>
  <c r="W18" i="3"/>
  <c r="X18" i="3"/>
  <c r="Y18" i="3"/>
  <c r="Z18" i="3"/>
  <c r="AA18" i="3"/>
  <c r="AB18" i="3"/>
  <c r="AC18" i="3"/>
  <c r="AD18" i="3"/>
  <c r="AE18" i="3"/>
  <c r="AF18" i="3"/>
  <c r="AG18" i="3"/>
  <c r="AH18" i="3"/>
  <c r="AI18" i="3"/>
  <c r="AJ18" i="3"/>
  <c r="AK18" i="3"/>
  <c r="AL18" i="3"/>
  <c r="AM18" i="3"/>
  <c r="AN18" i="3"/>
  <c r="AO18" i="3"/>
  <c r="AP18" i="3"/>
  <c r="AQ18" i="3"/>
  <c r="AR18" i="3"/>
  <c r="AS18" i="3"/>
  <c r="AT18" i="3"/>
  <c r="AU18" i="3"/>
  <c r="AV18" i="3"/>
  <c r="AW18" i="3"/>
  <c r="AX18" i="3"/>
  <c r="A19" i="3"/>
  <c r="B19" i="3"/>
  <c r="C19" i="3"/>
  <c r="D19" i="3"/>
  <c r="E19" i="3"/>
  <c r="F19" i="3"/>
  <c r="G19" i="3"/>
  <c r="H19" i="3"/>
  <c r="I19" i="3"/>
  <c r="J19" i="3"/>
  <c r="K19" i="3"/>
  <c r="L19" i="3"/>
  <c r="M19" i="3"/>
  <c r="N19" i="3"/>
  <c r="O19" i="3"/>
  <c r="P19" i="3"/>
  <c r="Q19" i="3"/>
  <c r="R19" i="3"/>
  <c r="S19" i="3"/>
  <c r="T19" i="3"/>
  <c r="U19" i="3"/>
  <c r="V19" i="3"/>
  <c r="W19" i="3"/>
  <c r="X19" i="3"/>
  <c r="Y19" i="3"/>
  <c r="Z19" i="3"/>
  <c r="AA19" i="3"/>
  <c r="AB19" i="3"/>
  <c r="AC19" i="3"/>
  <c r="AD19" i="3"/>
  <c r="AE19" i="3"/>
  <c r="AF19" i="3"/>
  <c r="AG19" i="3"/>
  <c r="AH19" i="3"/>
  <c r="AI19" i="3"/>
  <c r="AJ19" i="3"/>
  <c r="AK19" i="3"/>
  <c r="AL19" i="3"/>
  <c r="AM19" i="3"/>
  <c r="AN19" i="3"/>
  <c r="AO19" i="3"/>
  <c r="AP19" i="3"/>
  <c r="AQ19" i="3"/>
  <c r="AR19" i="3"/>
  <c r="AS19" i="3"/>
  <c r="AT19" i="3"/>
  <c r="AU19" i="3"/>
  <c r="AV19" i="3"/>
  <c r="AW19" i="3"/>
  <c r="AX19" i="3"/>
  <c r="A20" i="3"/>
  <c r="B20" i="3"/>
  <c r="C20" i="3"/>
  <c r="D20" i="3"/>
  <c r="E20" i="3"/>
  <c r="F20" i="3"/>
  <c r="G20" i="3"/>
  <c r="H20" i="3"/>
  <c r="I20" i="3"/>
  <c r="J20" i="3"/>
  <c r="K20" i="3"/>
  <c r="L20" i="3"/>
  <c r="M20" i="3"/>
  <c r="N20" i="3"/>
  <c r="O20" i="3"/>
  <c r="P20" i="3"/>
  <c r="Q20" i="3"/>
  <c r="R20" i="3"/>
  <c r="S20" i="3"/>
  <c r="T20" i="3"/>
  <c r="U20" i="3"/>
  <c r="V20" i="3"/>
  <c r="W20" i="3"/>
  <c r="X20" i="3"/>
  <c r="Y20" i="3"/>
  <c r="Z20" i="3"/>
  <c r="AA20" i="3"/>
  <c r="AB20" i="3"/>
  <c r="AC20" i="3"/>
  <c r="AD20" i="3"/>
  <c r="AE20" i="3"/>
  <c r="AF20" i="3"/>
  <c r="AG20" i="3"/>
  <c r="AH20" i="3"/>
  <c r="AI20" i="3"/>
  <c r="AJ20" i="3"/>
  <c r="AK20" i="3"/>
  <c r="AL20" i="3"/>
  <c r="AM20" i="3"/>
  <c r="AN20" i="3"/>
  <c r="AO20" i="3"/>
  <c r="AP20" i="3"/>
  <c r="AQ20" i="3"/>
  <c r="AR20" i="3"/>
  <c r="AS20" i="3"/>
  <c r="AT20" i="3"/>
  <c r="AU20" i="3"/>
  <c r="AV20" i="3"/>
  <c r="AW20" i="3"/>
  <c r="AX20" i="3"/>
  <c r="A21" i="3"/>
  <c r="B21" i="3"/>
  <c r="C21" i="3"/>
  <c r="D21" i="3"/>
  <c r="E21" i="3"/>
  <c r="F21" i="3"/>
  <c r="G21" i="3"/>
  <c r="H21" i="3"/>
  <c r="I21" i="3"/>
  <c r="J21" i="3"/>
  <c r="K21" i="3"/>
  <c r="L21" i="3"/>
  <c r="M21" i="3"/>
  <c r="N21" i="3"/>
  <c r="O21" i="3"/>
  <c r="P21" i="3"/>
  <c r="Q21" i="3"/>
  <c r="R21" i="3"/>
  <c r="S21" i="3"/>
  <c r="T21" i="3"/>
  <c r="U21" i="3"/>
  <c r="V21" i="3"/>
  <c r="W21" i="3"/>
  <c r="X21" i="3"/>
  <c r="Y21" i="3"/>
  <c r="Z21" i="3"/>
  <c r="AA21" i="3"/>
  <c r="AB21" i="3"/>
  <c r="AC21" i="3"/>
  <c r="AD21" i="3"/>
  <c r="AE21" i="3"/>
  <c r="AF21" i="3"/>
  <c r="AG21" i="3"/>
  <c r="AH21" i="3"/>
  <c r="AI21" i="3"/>
  <c r="AJ21" i="3"/>
  <c r="AK21" i="3"/>
  <c r="AL21" i="3"/>
  <c r="AM21" i="3"/>
  <c r="AN21" i="3"/>
  <c r="AO21" i="3"/>
  <c r="AP21" i="3"/>
  <c r="AQ21" i="3"/>
  <c r="AR21" i="3"/>
  <c r="AS21" i="3"/>
  <c r="AT21" i="3"/>
  <c r="AU21" i="3"/>
  <c r="AV21" i="3"/>
  <c r="AW21" i="3"/>
  <c r="AX21" i="3"/>
  <c r="A22" i="3"/>
  <c r="B22" i="3"/>
  <c r="C22" i="3"/>
  <c r="D22" i="3"/>
  <c r="E22" i="3"/>
  <c r="F22" i="3"/>
  <c r="G22" i="3"/>
  <c r="H22" i="3"/>
  <c r="I22" i="3"/>
  <c r="J22" i="3"/>
  <c r="K22" i="3"/>
  <c r="L22" i="3"/>
  <c r="M22" i="3"/>
  <c r="N22" i="3"/>
  <c r="O22" i="3"/>
  <c r="P22" i="3"/>
  <c r="Q22" i="3"/>
  <c r="R22" i="3"/>
  <c r="S22" i="3"/>
  <c r="T22" i="3"/>
  <c r="U22" i="3"/>
  <c r="V22" i="3"/>
  <c r="W22" i="3"/>
  <c r="X22" i="3"/>
  <c r="Y22" i="3"/>
  <c r="Z22" i="3"/>
  <c r="AA22" i="3"/>
  <c r="AB22" i="3"/>
  <c r="AC22" i="3"/>
  <c r="AD22" i="3"/>
  <c r="AE22" i="3"/>
  <c r="AF22" i="3"/>
  <c r="AG22" i="3"/>
  <c r="AH22" i="3"/>
  <c r="AI22" i="3"/>
  <c r="AJ22" i="3"/>
  <c r="AK22" i="3"/>
  <c r="AL22" i="3"/>
  <c r="AM22" i="3"/>
  <c r="AN22" i="3"/>
  <c r="AO22" i="3"/>
  <c r="AP22" i="3"/>
  <c r="AQ22" i="3"/>
  <c r="AR22" i="3"/>
  <c r="AS22" i="3"/>
  <c r="AT22" i="3"/>
  <c r="AU22" i="3"/>
  <c r="AV22" i="3"/>
  <c r="AW22" i="3"/>
  <c r="AX22" i="3"/>
  <c r="A23" i="3"/>
  <c r="B23" i="3"/>
  <c r="C23" i="3"/>
  <c r="D23" i="3"/>
  <c r="E23" i="3"/>
  <c r="F23" i="3"/>
  <c r="G23" i="3"/>
  <c r="H23" i="3"/>
  <c r="I23" i="3"/>
  <c r="J23" i="3"/>
  <c r="K23" i="3"/>
  <c r="L23" i="3"/>
  <c r="M23" i="3"/>
  <c r="N23" i="3"/>
  <c r="O23" i="3"/>
  <c r="P23" i="3"/>
  <c r="Q23" i="3"/>
  <c r="R23" i="3"/>
  <c r="S23" i="3"/>
  <c r="T23" i="3"/>
  <c r="U23" i="3"/>
  <c r="V23" i="3"/>
  <c r="W23" i="3"/>
  <c r="X23" i="3"/>
  <c r="Y23" i="3"/>
  <c r="Z23" i="3"/>
  <c r="AA23" i="3"/>
  <c r="AB23" i="3"/>
  <c r="AC23" i="3"/>
  <c r="AD23" i="3"/>
  <c r="AE23" i="3"/>
  <c r="AF23" i="3"/>
  <c r="AG23" i="3"/>
  <c r="AH23" i="3"/>
  <c r="AI23" i="3"/>
  <c r="AJ23" i="3"/>
  <c r="AK23" i="3"/>
  <c r="AL23" i="3"/>
  <c r="AM23" i="3"/>
  <c r="AN23" i="3"/>
  <c r="AO23" i="3"/>
  <c r="AP23" i="3"/>
  <c r="AQ23" i="3"/>
  <c r="AR23" i="3"/>
  <c r="AS23" i="3"/>
  <c r="AT23" i="3"/>
  <c r="AU23" i="3"/>
  <c r="AV23" i="3"/>
  <c r="AW23" i="3"/>
  <c r="AX23" i="3"/>
  <c r="A24" i="3"/>
  <c r="B24" i="3"/>
  <c r="C24" i="3"/>
  <c r="D24" i="3"/>
  <c r="E24" i="3"/>
  <c r="F24" i="3"/>
  <c r="G24" i="3"/>
  <c r="H24" i="3"/>
  <c r="I24" i="3"/>
  <c r="J24" i="3"/>
  <c r="K24" i="3"/>
  <c r="L24" i="3"/>
  <c r="M24" i="3"/>
  <c r="N24" i="3"/>
  <c r="O24" i="3"/>
  <c r="P24" i="3"/>
  <c r="Q24" i="3"/>
  <c r="R24" i="3"/>
  <c r="S24" i="3"/>
  <c r="T24" i="3"/>
  <c r="U24" i="3"/>
  <c r="V24" i="3"/>
  <c r="W24" i="3"/>
  <c r="X24" i="3"/>
  <c r="Y24" i="3"/>
  <c r="Z24" i="3"/>
  <c r="AA24" i="3"/>
  <c r="AB24" i="3"/>
  <c r="AC24" i="3"/>
  <c r="AD24" i="3"/>
  <c r="AE24" i="3"/>
  <c r="AF24" i="3"/>
  <c r="AG24" i="3"/>
  <c r="AH24" i="3"/>
  <c r="AI24" i="3"/>
  <c r="AJ24" i="3"/>
  <c r="AK24" i="3"/>
  <c r="AL24" i="3"/>
  <c r="AM24" i="3"/>
  <c r="AN24" i="3"/>
  <c r="AO24" i="3"/>
  <c r="AP24" i="3"/>
  <c r="AQ24" i="3"/>
  <c r="AR24" i="3"/>
  <c r="AS24" i="3"/>
  <c r="AT24" i="3"/>
  <c r="AU24" i="3"/>
  <c r="AV24" i="3"/>
  <c r="AW24" i="3"/>
  <c r="AX24" i="3"/>
  <c r="A25" i="3"/>
  <c r="B25" i="3"/>
  <c r="C25" i="3"/>
  <c r="D25" i="3"/>
  <c r="E25" i="3"/>
  <c r="F25" i="3"/>
  <c r="G25" i="3"/>
  <c r="H25" i="3"/>
  <c r="I25" i="3"/>
  <c r="J25" i="3"/>
  <c r="K25" i="3"/>
  <c r="L25" i="3"/>
  <c r="M25" i="3"/>
  <c r="N25" i="3"/>
  <c r="O25" i="3"/>
  <c r="P25" i="3"/>
  <c r="Q25" i="3"/>
  <c r="R25" i="3"/>
  <c r="S25" i="3"/>
  <c r="T25" i="3"/>
  <c r="U25" i="3"/>
  <c r="V25" i="3"/>
  <c r="W25" i="3"/>
  <c r="X25" i="3"/>
  <c r="Y25" i="3"/>
  <c r="Z25" i="3"/>
  <c r="AA25" i="3"/>
  <c r="AB25" i="3"/>
  <c r="AC25" i="3"/>
  <c r="AD25" i="3"/>
  <c r="AE25" i="3"/>
  <c r="AF25" i="3"/>
  <c r="AG25" i="3"/>
  <c r="AH25" i="3"/>
  <c r="AI25" i="3"/>
  <c r="AJ25" i="3"/>
  <c r="AK25" i="3"/>
  <c r="AL25" i="3"/>
  <c r="AM25" i="3"/>
  <c r="AN25" i="3"/>
  <c r="AO25" i="3"/>
  <c r="AP25" i="3"/>
  <c r="AQ25" i="3"/>
  <c r="AR25" i="3"/>
  <c r="AS25" i="3"/>
  <c r="AT25" i="3"/>
  <c r="AU25" i="3"/>
  <c r="AV25" i="3"/>
  <c r="AW25" i="3"/>
  <c r="AX25" i="3"/>
  <c r="A26" i="3"/>
  <c r="B26" i="3"/>
  <c r="C26" i="3"/>
  <c r="D26" i="3"/>
  <c r="E26" i="3"/>
  <c r="F26" i="3"/>
  <c r="G26" i="3"/>
  <c r="H26" i="3"/>
  <c r="I26" i="3"/>
  <c r="J26" i="3"/>
  <c r="K26" i="3"/>
  <c r="L26" i="3"/>
  <c r="M26" i="3"/>
  <c r="N26" i="3"/>
  <c r="O26" i="3"/>
  <c r="P26" i="3"/>
  <c r="Q26" i="3"/>
  <c r="R26" i="3"/>
  <c r="S26" i="3"/>
  <c r="T26" i="3"/>
  <c r="U26" i="3"/>
  <c r="V26" i="3"/>
  <c r="W26" i="3"/>
  <c r="X26" i="3"/>
  <c r="Y26" i="3"/>
  <c r="Z26" i="3"/>
  <c r="AA26" i="3"/>
  <c r="AB26" i="3"/>
  <c r="AC26" i="3"/>
  <c r="AD26" i="3"/>
  <c r="AE26" i="3"/>
  <c r="AF26" i="3"/>
  <c r="AG26" i="3"/>
  <c r="AH26" i="3"/>
  <c r="AI26" i="3"/>
  <c r="AJ26" i="3"/>
  <c r="AK26" i="3"/>
  <c r="AL26" i="3"/>
  <c r="AM26" i="3"/>
  <c r="AN26" i="3"/>
  <c r="AO26" i="3"/>
  <c r="AP26" i="3"/>
  <c r="AQ26" i="3"/>
  <c r="AR26" i="3"/>
  <c r="AS26" i="3"/>
  <c r="AT26" i="3"/>
  <c r="AU26" i="3"/>
  <c r="AV26" i="3"/>
  <c r="AW26" i="3"/>
  <c r="AX26" i="3"/>
  <c r="A27" i="3"/>
  <c r="B27" i="3"/>
  <c r="C27" i="3"/>
  <c r="D27" i="3"/>
  <c r="E27" i="3"/>
  <c r="F27" i="3"/>
  <c r="G27" i="3"/>
  <c r="H27" i="3"/>
  <c r="I27" i="3"/>
  <c r="J27" i="3"/>
  <c r="K27" i="3"/>
  <c r="L27" i="3"/>
  <c r="M27" i="3"/>
  <c r="N27" i="3"/>
  <c r="O27" i="3"/>
  <c r="P27" i="3"/>
  <c r="Q27" i="3"/>
  <c r="R27" i="3"/>
  <c r="S27" i="3"/>
  <c r="T27" i="3"/>
  <c r="U27" i="3"/>
  <c r="V27" i="3"/>
  <c r="W27" i="3"/>
  <c r="X27" i="3"/>
  <c r="Y27" i="3"/>
  <c r="Z27" i="3"/>
  <c r="AA27" i="3"/>
  <c r="AB27" i="3"/>
  <c r="AC27" i="3"/>
  <c r="AD27" i="3"/>
  <c r="AE27" i="3"/>
  <c r="AF27" i="3"/>
  <c r="AG27" i="3"/>
  <c r="AH27" i="3"/>
  <c r="AI27" i="3"/>
  <c r="AJ27" i="3"/>
  <c r="AK27" i="3"/>
  <c r="AL27" i="3"/>
  <c r="AM27" i="3"/>
  <c r="AN27" i="3"/>
  <c r="AO27" i="3"/>
  <c r="AP27" i="3"/>
  <c r="AQ27" i="3"/>
  <c r="AR27" i="3"/>
  <c r="AS27" i="3"/>
  <c r="AT27" i="3"/>
  <c r="AU27" i="3"/>
  <c r="AV27" i="3"/>
  <c r="AW27" i="3"/>
  <c r="AX27" i="3"/>
  <c r="A28" i="3"/>
  <c r="B28" i="3"/>
  <c r="C28" i="3"/>
  <c r="D28" i="3"/>
  <c r="E28" i="3"/>
  <c r="F28" i="3"/>
  <c r="G28" i="3"/>
  <c r="H28" i="3"/>
  <c r="I28" i="3"/>
  <c r="J28" i="3"/>
  <c r="K28" i="3"/>
  <c r="L28" i="3"/>
  <c r="M28" i="3"/>
  <c r="N28" i="3"/>
  <c r="O28" i="3"/>
  <c r="P28" i="3"/>
  <c r="Q28" i="3"/>
  <c r="R28" i="3"/>
  <c r="S28" i="3"/>
  <c r="T28" i="3"/>
  <c r="U28" i="3"/>
  <c r="V28" i="3"/>
  <c r="W28" i="3"/>
  <c r="X28" i="3"/>
  <c r="Y28" i="3"/>
  <c r="Z28" i="3"/>
  <c r="AA28" i="3"/>
  <c r="AB28" i="3"/>
  <c r="AC28" i="3"/>
  <c r="AD28" i="3"/>
  <c r="AE28" i="3"/>
  <c r="AF28" i="3"/>
  <c r="AG28" i="3"/>
  <c r="AH28" i="3"/>
  <c r="AI28" i="3"/>
  <c r="AJ28" i="3"/>
  <c r="AK28" i="3"/>
  <c r="AL28" i="3"/>
  <c r="AM28" i="3"/>
  <c r="AN28" i="3"/>
  <c r="AO28" i="3"/>
  <c r="AP28" i="3"/>
  <c r="AQ28" i="3"/>
  <c r="AR28" i="3"/>
  <c r="AS28" i="3"/>
  <c r="AT28" i="3"/>
  <c r="AU28" i="3"/>
  <c r="AV28" i="3"/>
  <c r="AW28" i="3"/>
  <c r="AX28" i="3"/>
  <c r="A29" i="3"/>
  <c r="B29" i="3"/>
  <c r="C29" i="3"/>
  <c r="D29" i="3"/>
  <c r="E29" i="3"/>
  <c r="F29" i="3"/>
  <c r="G29" i="3"/>
  <c r="H29" i="3"/>
  <c r="I29" i="3"/>
  <c r="J29" i="3"/>
  <c r="K29" i="3"/>
  <c r="L29" i="3"/>
  <c r="M29" i="3"/>
  <c r="N29" i="3"/>
  <c r="O29" i="3"/>
  <c r="P29" i="3"/>
  <c r="Q29" i="3"/>
  <c r="R29" i="3"/>
  <c r="S29" i="3"/>
  <c r="T29" i="3"/>
  <c r="U29" i="3"/>
  <c r="V29" i="3"/>
  <c r="W29" i="3"/>
  <c r="X29" i="3"/>
  <c r="Y29" i="3"/>
  <c r="Z29" i="3"/>
  <c r="AA29" i="3"/>
  <c r="AB29" i="3"/>
  <c r="AC29" i="3"/>
  <c r="AD29" i="3"/>
  <c r="AE29" i="3"/>
  <c r="AF29" i="3"/>
  <c r="AG29" i="3"/>
  <c r="AH29" i="3"/>
  <c r="AI29" i="3"/>
  <c r="AJ29" i="3"/>
  <c r="AK29" i="3"/>
  <c r="AL29" i="3"/>
  <c r="AM29" i="3"/>
  <c r="AN29" i="3"/>
  <c r="AO29" i="3"/>
  <c r="AP29" i="3"/>
  <c r="AQ29" i="3"/>
  <c r="AR29" i="3"/>
  <c r="AS29" i="3"/>
  <c r="AT29" i="3"/>
  <c r="AU29" i="3"/>
  <c r="AV29" i="3"/>
  <c r="AW29" i="3"/>
  <c r="AX29" i="3"/>
  <c r="A30" i="3"/>
  <c r="B30" i="3"/>
  <c r="C30" i="3"/>
  <c r="D30" i="3"/>
  <c r="E30" i="3"/>
  <c r="F30" i="3"/>
  <c r="G30" i="3"/>
  <c r="H30" i="3"/>
  <c r="I30" i="3"/>
  <c r="J30" i="3"/>
  <c r="K30" i="3"/>
  <c r="L30" i="3"/>
  <c r="M30" i="3"/>
  <c r="N30" i="3"/>
  <c r="O30" i="3"/>
  <c r="P30" i="3"/>
  <c r="Q30" i="3"/>
  <c r="R30" i="3"/>
  <c r="S30" i="3"/>
  <c r="T30" i="3"/>
  <c r="U30" i="3"/>
  <c r="V30" i="3"/>
  <c r="W30" i="3"/>
  <c r="X30" i="3"/>
  <c r="Y30" i="3"/>
  <c r="Z30" i="3"/>
  <c r="AA30" i="3"/>
  <c r="AB30" i="3"/>
  <c r="AC30" i="3"/>
  <c r="AD30" i="3"/>
  <c r="AE30" i="3"/>
  <c r="AF30" i="3"/>
  <c r="AG30" i="3"/>
  <c r="AH30" i="3"/>
  <c r="AI30" i="3"/>
  <c r="AJ30" i="3"/>
  <c r="AK30" i="3"/>
  <c r="AL30" i="3"/>
  <c r="AM30" i="3"/>
  <c r="AN30" i="3"/>
  <c r="AO30" i="3"/>
  <c r="AP30" i="3"/>
  <c r="AQ30" i="3"/>
  <c r="AR30" i="3"/>
  <c r="AS30" i="3"/>
  <c r="AT30" i="3"/>
  <c r="AU30" i="3"/>
  <c r="AV30" i="3"/>
  <c r="AW30" i="3"/>
  <c r="AX30" i="3"/>
  <c r="A31" i="3"/>
  <c r="B31" i="3"/>
  <c r="C31" i="3"/>
  <c r="D31" i="3"/>
  <c r="E31" i="3"/>
  <c r="F31" i="3"/>
  <c r="G31" i="3"/>
  <c r="H31" i="3"/>
  <c r="I31" i="3"/>
  <c r="J31" i="3"/>
  <c r="K31" i="3"/>
  <c r="L31" i="3"/>
  <c r="M31" i="3"/>
  <c r="N31" i="3"/>
  <c r="O31" i="3"/>
  <c r="P31" i="3"/>
  <c r="Q31" i="3"/>
  <c r="R31" i="3"/>
  <c r="S31" i="3"/>
  <c r="T31" i="3"/>
  <c r="U31" i="3"/>
  <c r="V31" i="3"/>
  <c r="W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32" i="3"/>
  <c r="B32" i="3"/>
  <c r="C32" i="3"/>
  <c r="D32" i="3"/>
  <c r="E32" i="3"/>
  <c r="F32" i="3"/>
  <c r="G32" i="3"/>
  <c r="H32" i="3"/>
  <c r="I32" i="3"/>
  <c r="J32" i="3"/>
  <c r="K32" i="3"/>
  <c r="L32" i="3"/>
  <c r="M32" i="3"/>
  <c r="N32" i="3"/>
  <c r="O32" i="3"/>
  <c r="P32" i="3"/>
  <c r="Q32" i="3"/>
  <c r="R32" i="3"/>
  <c r="S32" i="3"/>
  <c r="T32" i="3"/>
  <c r="U32" i="3"/>
  <c r="V32" i="3"/>
  <c r="W32" i="3"/>
  <c r="X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33" i="3"/>
  <c r="B33" i="3"/>
  <c r="C33" i="3"/>
  <c r="D33" i="3"/>
  <c r="E33" i="3"/>
  <c r="F33" i="3"/>
  <c r="G33" i="3"/>
  <c r="H33" i="3"/>
  <c r="I33" i="3"/>
  <c r="J33" i="3"/>
  <c r="K33" i="3"/>
  <c r="L33" i="3"/>
  <c r="M33" i="3"/>
  <c r="N33" i="3"/>
  <c r="O33" i="3"/>
  <c r="P33" i="3"/>
  <c r="Q33" i="3"/>
  <c r="R33" i="3"/>
  <c r="S33" i="3"/>
  <c r="T33" i="3"/>
  <c r="U33" i="3"/>
  <c r="V33" i="3"/>
  <c r="W33" i="3"/>
  <c r="X33" i="3"/>
  <c r="Y33" i="3"/>
  <c r="Z33" i="3"/>
  <c r="AA33" i="3"/>
  <c r="AB33" i="3"/>
  <c r="AC33" i="3"/>
  <c r="AD33" i="3"/>
  <c r="AE33" i="3"/>
  <c r="AF33" i="3"/>
  <c r="AG33" i="3"/>
  <c r="AH33" i="3"/>
  <c r="AI33" i="3"/>
  <c r="AJ33" i="3"/>
  <c r="AK33" i="3"/>
  <c r="AL33" i="3"/>
  <c r="AM33" i="3"/>
  <c r="AN33" i="3"/>
  <c r="AO33" i="3"/>
  <c r="AP33" i="3"/>
  <c r="AQ33" i="3"/>
  <c r="AR33" i="3"/>
  <c r="AS33" i="3"/>
  <c r="AT33" i="3"/>
  <c r="AU33" i="3"/>
  <c r="AV33" i="3"/>
  <c r="AW33" i="3"/>
  <c r="AX33" i="3"/>
  <c r="A34" i="3"/>
  <c r="B34" i="3"/>
  <c r="C34" i="3"/>
  <c r="D34" i="3"/>
  <c r="E34" i="3"/>
  <c r="F34" i="3"/>
  <c r="G34" i="3"/>
  <c r="H34" i="3"/>
  <c r="I34" i="3"/>
  <c r="J34" i="3"/>
  <c r="K34" i="3"/>
  <c r="L34" i="3"/>
  <c r="M34" i="3"/>
  <c r="N34" i="3"/>
  <c r="O34" i="3"/>
  <c r="P34" i="3"/>
  <c r="Q34" i="3"/>
  <c r="R34" i="3"/>
  <c r="S34" i="3"/>
  <c r="T34" i="3"/>
  <c r="U34" i="3"/>
  <c r="V34" i="3"/>
  <c r="W34" i="3"/>
  <c r="X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35" i="3"/>
  <c r="B35" i="3"/>
  <c r="C35" i="3"/>
  <c r="D35" i="3"/>
  <c r="E35" i="3"/>
  <c r="F35" i="3"/>
  <c r="G35" i="3"/>
  <c r="H35" i="3"/>
  <c r="I35" i="3"/>
  <c r="J35" i="3"/>
  <c r="K35" i="3"/>
  <c r="L35" i="3"/>
  <c r="M35" i="3"/>
  <c r="N35" i="3"/>
  <c r="O35" i="3"/>
  <c r="P35" i="3"/>
  <c r="Q35" i="3"/>
  <c r="R35" i="3"/>
  <c r="S35" i="3"/>
  <c r="T35" i="3"/>
  <c r="U35" i="3"/>
  <c r="V35" i="3"/>
  <c r="W35" i="3"/>
  <c r="X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36" i="3"/>
  <c r="B36" i="3"/>
  <c r="C36" i="3"/>
  <c r="D36" i="3"/>
  <c r="E36" i="3"/>
  <c r="F36" i="3"/>
  <c r="G36" i="3"/>
  <c r="H36" i="3"/>
  <c r="I36" i="3"/>
  <c r="J36" i="3"/>
  <c r="K36" i="3"/>
  <c r="L36" i="3"/>
  <c r="M36" i="3"/>
  <c r="N36" i="3"/>
  <c r="O36" i="3"/>
  <c r="P36" i="3"/>
  <c r="Q36" i="3"/>
  <c r="R36" i="3"/>
  <c r="S36" i="3"/>
  <c r="T36" i="3"/>
  <c r="U36" i="3"/>
  <c r="V36" i="3"/>
  <c r="W36" i="3"/>
  <c r="X36" i="3"/>
  <c r="Y36" i="3"/>
  <c r="Z36" i="3"/>
  <c r="AA36" i="3"/>
  <c r="AB36" i="3"/>
  <c r="AC36" i="3"/>
  <c r="AD36" i="3"/>
  <c r="AE36" i="3"/>
  <c r="AF36" i="3"/>
  <c r="AG36" i="3"/>
  <c r="AH36" i="3"/>
  <c r="AI36" i="3"/>
  <c r="AJ36" i="3"/>
  <c r="AK36" i="3"/>
  <c r="AL36" i="3"/>
  <c r="AM36" i="3"/>
  <c r="AN36" i="3"/>
  <c r="AO36" i="3"/>
  <c r="AP36" i="3"/>
  <c r="AQ36" i="3"/>
  <c r="AR36" i="3"/>
  <c r="AS36" i="3"/>
  <c r="AT36" i="3"/>
  <c r="AU36" i="3"/>
  <c r="AV36" i="3"/>
  <c r="AW36" i="3"/>
  <c r="AX36" i="3"/>
  <c r="A37" i="3"/>
  <c r="B37" i="3"/>
  <c r="C37" i="3"/>
  <c r="D37" i="3"/>
  <c r="E37" i="3"/>
  <c r="F37" i="3"/>
  <c r="G37" i="3"/>
  <c r="H37" i="3"/>
  <c r="I37" i="3"/>
  <c r="J37" i="3"/>
  <c r="K37" i="3"/>
  <c r="L37" i="3"/>
  <c r="M37" i="3"/>
  <c r="N37" i="3"/>
  <c r="O37" i="3"/>
  <c r="P37" i="3"/>
  <c r="Q37" i="3"/>
  <c r="R37" i="3"/>
  <c r="S37" i="3"/>
  <c r="T37" i="3"/>
  <c r="U37" i="3"/>
  <c r="V37" i="3"/>
  <c r="W37" i="3"/>
  <c r="X37" i="3"/>
  <c r="Y37" i="3"/>
  <c r="Z37" i="3"/>
  <c r="AA37" i="3"/>
  <c r="AB37" i="3"/>
  <c r="AC37" i="3"/>
  <c r="AD37" i="3"/>
  <c r="AE37" i="3"/>
  <c r="AF37" i="3"/>
  <c r="AG37" i="3"/>
  <c r="AH37" i="3"/>
  <c r="AI37" i="3"/>
  <c r="AJ37" i="3"/>
  <c r="AK37" i="3"/>
  <c r="AL37" i="3"/>
  <c r="AM37" i="3"/>
  <c r="AN37" i="3"/>
  <c r="AO37" i="3"/>
  <c r="AP37" i="3"/>
  <c r="AQ37" i="3"/>
  <c r="AR37" i="3"/>
  <c r="AS37" i="3"/>
  <c r="AT37" i="3"/>
  <c r="AU37" i="3"/>
  <c r="AV37" i="3"/>
  <c r="AW37" i="3"/>
  <c r="AX37" i="3"/>
  <c r="A38" i="3"/>
  <c r="B38" i="3"/>
  <c r="C38" i="3"/>
  <c r="D38" i="3"/>
  <c r="E38" i="3"/>
  <c r="F38" i="3"/>
  <c r="G38" i="3"/>
  <c r="H38" i="3"/>
  <c r="I38" i="3"/>
  <c r="J38" i="3"/>
  <c r="K38" i="3"/>
  <c r="L38" i="3"/>
  <c r="M38" i="3"/>
  <c r="N38" i="3"/>
  <c r="O38" i="3"/>
  <c r="P38" i="3"/>
  <c r="Q38" i="3"/>
  <c r="R38" i="3"/>
  <c r="S38" i="3"/>
  <c r="T38" i="3"/>
  <c r="U38" i="3"/>
  <c r="V38" i="3"/>
  <c r="W38" i="3"/>
  <c r="X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39" i="3"/>
  <c r="B39" i="3"/>
  <c r="C39" i="3"/>
  <c r="D39" i="3"/>
  <c r="E39" i="3"/>
  <c r="F39" i="3"/>
  <c r="G39" i="3"/>
  <c r="H39" i="3"/>
  <c r="I39" i="3"/>
  <c r="J39" i="3"/>
  <c r="K39" i="3"/>
  <c r="L39" i="3"/>
  <c r="M39" i="3"/>
  <c r="N39" i="3"/>
  <c r="O39" i="3"/>
  <c r="P39" i="3"/>
  <c r="Q39" i="3"/>
  <c r="R39" i="3"/>
  <c r="S39" i="3"/>
  <c r="T39" i="3"/>
  <c r="U39" i="3"/>
  <c r="V39" i="3"/>
  <c r="W39" i="3"/>
  <c r="X39" i="3"/>
  <c r="Y39" i="3"/>
  <c r="Z39" i="3"/>
  <c r="AA39" i="3"/>
  <c r="AB39" i="3"/>
  <c r="AC39" i="3"/>
  <c r="AD39" i="3"/>
  <c r="AE39" i="3"/>
  <c r="AF39" i="3"/>
  <c r="AG39" i="3"/>
  <c r="AH39" i="3"/>
  <c r="AI39" i="3"/>
  <c r="AJ39" i="3"/>
  <c r="AK39" i="3"/>
  <c r="AL39" i="3"/>
  <c r="AM39" i="3"/>
  <c r="AN39" i="3"/>
  <c r="AO39" i="3"/>
  <c r="AP39" i="3"/>
  <c r="AQ39" i="3"/>
  <c r="AR39" i="3"/>
  <c r="AS39" i="3"/>
  <c r="AT39" i="3"/>
  <c r="AU39" i="3"/>
  <c r="AV39" i="3"/>
  <c r="AW39" i="3"/>
  <c r="AX39" i="3"/>
  <c r="A40" i="3"/>
  <c r="B40" i="3"/>
  <c r="C40" i="3"/>
  <c r="D40" i="3"/>
  <c r="E40" i="3"/>
  <c r="F40" i="3"/>
  <c r="G40" i="3"/>
  <c r="H40" i="3"/>
  <c r="I40" i="3"/>
  <c r="J40" i="3"/>
  <c r="K40" i="3"/>
  <c r="L40" i="3"/>
  <c r="M40" i="3"/>
  <c r="N40" i="3"/>
  <c r="O40" i="3"/>
  <c r="P40" i="3"/>
  <c r="Q40" i="3"/>
  <c r="R40" i="3"/>
  <c r="S40" i="3"/>
  <c r="T40" i="3"/>
  <c r="U40" i="3"/>
  <c r="V40" i="3"/>
  <c r="W40" i="3"/>
  <c r="X40" i="3"/>
  <c r="Y40" i="3"/>
  <c r="Z40" i="3"/>
  <c r="AA40" i="3"/>
  <c r="AB40" i="3"/>
  <c r="AC40" i="3"/>
  <c r="AD40" i="3"/>
  <c r="AE40" i="3"/>
  <c r="AF40" i="3"/>
  <c r="AG40" i="3"/>
  <c r="AH40" i="3"/>
  <c r="AI40" i="3"/>
  <c r="AJ40" i="3"/>
  <c r="AK40" i="3"/>
  <c r="AL40" i="3"/>
  <c r="AM40" i="3"/>
  <c r="AN40" i="3"/>
  <c r="AO40" i="3"/>
  <c r="AP40" i="3"/>
  <c r="AQ40" i="3"/>
  <c r="AR40" i="3"/>
  <c r="AS40" i="3"/>
  <c r="AT40" i="3"/>
  <c r="AU40" i="3"/>
  <c r="AV40" i="3"/>
  <c r="AW40" i="3"/>
  <c r="AX40" i="3"/>
  <c r="A41" i="3"/>
  <c r="B41" i="3"/>
  <c r="C41" i="3"/>
  <c r="D41" i="3"/>
  <c r="E41" i="3"/>
  <c r="F41" i="3"/>
  <c r="G41" i="3"/>
  <c r="H41" i="3"/>
  <c r="I41" i="3"/>
  <c r="J41" i="3"/>
  <c r="K41" i="3"/>
  <c r="L41" i="3"/>
  <c r="M41" i="3"/>
  <c r="N41" i="3"/>
  <c r="O41" i="3"/>
  <c r="P41" i="3"/>
  <c r="Q41" i="3"/>
  <c r="R41" i="3"/>
  <c r="S41" i="3"/>
  <c r="T41" i="3"/>
  <c r="U41" i="3"/>
  <c r="V41" i="3"/>
  <c r="W41" i="3"/>
  <c r="X41" i="3"/>
  <c r="Y41" i="3"/>
  <c r="Z41" i="3"/>
  <c r="AA41" i="3"/>
  <c r="AB41" i="3"/>
  <c r="AC41" i="3"/>
  <c r="AD41" i="3"/>
  <c r="AE41" i="3"/>
  <c r="AF41" i="3"/>
  <c r="AG41" i="3"/>
  <c r="AH41" i="3"/>
  <c r="AI41" i="3"/>
  <c r="AJ41" i="3"/>
  <c r="AK41" i="3"/>
  <c r="AL41" i="3"/>
  <c r="AM41" i="3"/>
  <c r="AN41" i="3"/>
  <c r="AO41" i="3"/>
  <c r="AP41" i="3"/>
  <c r="AQ41" i="3"/>
  <c r="AR41" i="3"/>
  <c r="AS41" i="3"/>
  <c r="AT41" i="3"/>
  <c r="AU41" i="3"/>
  <c r="AV41" i="3"/>
  <c r="AW41" i="3"/>
  <c r="AX41" i="3"/>
  <c r="A42" i="3"/>
  <c r="B42" i="3"/>
  <c r="C42" i="3"/>
  <c r="D42" i="3"/>
  <c r="E42" i="3"/>
  <c r="F42" i="3"/>
  <c r="G42" i="3"/>
  <c r="H42" i="3"/>
  <c r="I42" i="3"/>
  <c r="J42" i="3"/>
  <c r="K42" i="3"/>
  <c r="L42" i="3"/>
  <c r="M42" i="3"/>
  <c r="N42" i="3"/>
  <c r="O42" i="3"/>
  <c r="P42" i="3"/>
  <c r="Q42" i="3"/>
  <c r="R42" i="3"/>
  <c r="S42" i="3"/>
  <c r="T42" i="3"/>
  <c r="U42" i="3"/>
  <c r="V42" i="3"/>
  <c r="W42" i="3"/>
  <c r="X42" i="3"/>
  <c r="Y42" i="3"/>
  <c r="Z42" i="3"/>
  <c r="AA42" i="3"/>
  <c r="AB42" i="3"/>
  <c r="AC42" i="3"/>
  <c r="AD42" i="3"/>
  <c r="AE42" i="3"/>
  <c r="AF42" i="3"/>
  <c r="AG42" i="3"/>
  <c r="AH42" i="3"/>
  <c r="AI42" i="3"/>
  <c r="AJ42" i="3"/>
  <c r="AK42" i="3"/>
  <c r="AL42" i="3"/>
  <c r="AM42" i="3"/>
  <c r="AN42" i="3"/>
  <c r="AO42" i="3"/>
  <c r="AP42" i="3"/>
  <c r="AQ42" i="3"/>
  <c r="AR42" i="3"/>
  <c r="AS42" i="3"/>
  <c r="AT42" i="3"/>
  <c r="AU42" i="3"/>
  <c r="AV42" i="3"/>
  <c r="AW42" i="3"/>
  <c r="AX42" i="3"/>
  <c r="A43" i="3"/>
  <c r="B43" i="3"/>
  <c r="C43" i="3"/>
  <c r="D43" i="3"/>
  <c r="E43" i="3"/>
  <c r="F43" i="3"/>
  <c r="G43" i="3"/>
  <c r="H43" i="3"/>
  <c r="I43" i="3"/>
  <c r="J43" i="3"/>
  <c r="K43" i="3"/>
  <c r="L43" i="3"/>
  <c r="M43" i="3"/>
  <c r="N43" i="3"/>
  <c r="O43" i="3"/>
  <c r="P43" i="3"/>
  <c r="Q43" i="3"/>
  <c r="R43" i="3"/>
  <c r="S43" i="3"/>
  <c r="T43" i="3"/>
  <c r="U43" i="3"/>
  <c r="V43" i="3"/>
  <c r="W43" i="3"/>
  <c r="X43" i="3"/>
  <c r="Y43" i="3"/>
  <c r="Z43" i="3"/>
  <c r="AA43" i="3"/>
  <c r="AB43" i="3"/>
  <c r="AC43" i="3"/>
  <c r="AD43" i="3"/>
  <c r="AE43" i="3"/>
  <c r="AF43" i="3"/>
  <c r="AG43" i="3"/>
  <c r="AH43" i="3"/>
  <c r="AI43" i="3"/>
  <c r="AJ43" i="3"/>
  <c r="AK43" i="3"/>
  <c r="AL43" i="3"/>
  <c r="AM43" i="3"/>
  <c r="AN43" i="3"/>
  <c r="AO43" i="3"/>
  <c r="AP43" i="3"/>
  <c r="AQ43" i="3"/>
  <c r="AR43" i="3"/>
  <c r="AS43" i="3"/>
  <c r="AT43" i="3"/>
  <c r="AU43" i="3"/>
  <c r="AV43" i="3"/>
  <c r="AW43" i="3"/>
  <c r="AX43" i="3"/>
  <c r="A44" i="3"/>
  <c r="B44" i="3"/>
  <c r="C44" i="3"/>
  <c r="D44" i="3"/>
  <c r="E44" i="3"/>
  <c r="F44" i="3"/>
  <c r="G44" i="3"/>
  <c r="H44" i="3"/>
  <c r="I44" i="3"/>
  <c r="J44" i="3"/>
  <c r="K44" i="3"/>
  <c r="L44" i="3"/>
  <c r="M44"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AT44" i="3"/>
  <c r="AU44" i="3"/>
  <c r="AV44" i="3"/>
  <c r="AW44" i="3"/>
  <c r="AX44" i="3"/>
  <c r="A45" i="3"/>
  <c r="B45" i="3"/>
  <c r="C45" i="3"/>
  <c r="D45" i="3"/>
  <c r="E45" i="3"/>
  <c r="F45" i="3"/>
  <c r="G45" i="3"/>
  <c r="H45" i="3"/>
  <c r="I45" i="3"/>
  <c r="J45" i="3"/>
  <c r="K45" i="3"/>
  <c r="L45" i="3"/>
  <c r="M45" i="3"/>
  <c r="N45" i="3"/>
  <c r="O45" i="3"/>
  <c r="P45" i="3"/>
  <c r="Q45" i="3"/>
  <c r="R45" i="3"/>
  <c r="S45" i="3"/>
  <c r="T45" i="3"/>
  <c r="U45" i="3"/>
  <c r="V45" i="3"/>
  <c r="W45" i="3"/>
  <c r="X45" i="3"/>
  <c r="Y45" i="3"/>
  <c r="Z45" i="3"/>
  <c r="AA45" i="3"/>
  <c r="AB45" i="3"/>
  <c r="AC45" i="3"/>
  <c r="AD45" i="3"/>
  <c r="AE45" i="3"/>
  <c r="AF45" i="3"/>
  <c r="AG45" i="3"/>
  <c r="AH45" i="3"/>
  <c r="AI45" i="3"/>
  <c r="AJ45" i="3"/>
  <c r="AK45" i="3"/>
  <c r="AL45" i="3"/>
  <c r="AM45" i="3"/>
  <c r="AN45" i="3"/>
  <c r="AO45" i="3"/>
  <c r="AP45" i="3"/>
  <c r="AQ45" i="3"/>
  <c r="AR45" i="3"/>
  <c r="AS45" i="3"/>
  <c r="AT45" i="3"/>
  <c r="AU45" i="3"/>
  <c r="AV45" i="3"/>
  <c r="AW45" i="3"/>
  <c r="AX45" i="3"/>
  <c r="A46" i="3"/>
  <c r="B46" i="3"/>
  <c r="C46" i="3"/>
  <c r="D46" i="3"/>
  <c r="E46" i="3"/>
  <c r="F46" i="3"/>
  <c r="G46" i="3"/>
  <c r="H46" i="3"/>
  <c r="I46" i="3"/>
  <c r="J46" i="3"/>
  <c r="K46" i="3"/>
  <c r="L46" i="3"/>
  <c r="M46" i="3"/>
  <c r="N46" i="3"/>
  <c r="O46" i="3"/>
  <c r="P46" i="3"/>
  <c r="Q46" i="3"/>
  <c r="R46" i="3"/>
  <c r="S46" i="3"/>
  <c r="T46" i="3"/>
  <c r="U46" i="3"/>
  <c r="V46" i="3"/>
  <c r="W46" i="3"/>
  <c r="X46" i="3"/>
  <c r="Y46" i="3"/>
  <c r="Z46" i="3"/>
  <c r="AA46" i="3"/>
  <c r="AB46" i="3"/>
  <c r="AC46" i="3"/>
  <c r="AD46" i="3"/>
  <c r="AE46" i="3"/>
  <c r="AF46" i="3"/>
  <c r="AG46" i="3"/>
  <c r="AH46" i="3"/>
  <c r="AI46" i="3"/>
  <c r="AJ46" i="3"/>
  <c r="AK46" i="3"/>
  <c r="AL46" i="3"/>
  <c r="AM46" i="3"/>
  <c r="AN46" i="3"/>
  <c r="AO46" i="3"/>
  <c r="AP46" i="3"/>
  <c r="AQ46" i="3"/>
  <c r="AR46" i="3"/>
  <c r="AS46" i="3"/>
  <c r="AT46" i="3"/>
  <c r="AU46" i="3"/>
  <c r="AV46" i="3"/>
  <c r="AW46" i="3"/>
  <c r="AX46" i="3"/>
  <c r="A47" i="3"/>
  <c r="B47" i="3"/>
  <c r="C47" i="3"/>
  <c r="D47" i="3"/>
  <c r="E47" i="3"/>
  <c r="F47" i="3"/>
  <c r="G47" i="3"/>
  <c r="H47" i="3"/>
  <c r="I47" i="3"/>
  <c r="J47" i="3"/>
  <c r="K47" i="3"/>
  <c r="L47" i="3"/>
  <c r="M47" i="3"/>
  <c r="N47" i="3"/>
  <c r="O47" i="3"/>
  <c r="P47" i="3"/>
  <c r="Q47" i="3"/>
  <c r="R47" i="3"/>
  <c r="S47" i="3"/>
  <c r="T47" i="3"/>
  <c r="U47" i="3"/>
  <c r="V47" i="3"/>
  <c r="W47" i="3"/>
  <c r="X47" i="3"/>
  <c r="Y47" i="3"/>
  <c r="Z47" i="3"/>
  <c r="AA47" i="3"/>
  <c r="AB47" i="3"/>
  <c r="AC47" i="3"/>
  <c r="AD47" i="3"/>
  <c r="AE47" i="3"/>
  <c r="AF47" i="3"/>
  <c r="AG47" i="3"/>
  <c r="AH47" i="3"/>
  <c r="AI47" i="3"/>
  <c r="AJ47" i="3"/>
  <c r="AK47" i="3"/>
  <c r="AL47" i="3"/>
  <c r="AM47" i="3"/>
  <c r="AN47" i="3"/>
  <c r="AO47" i="3"/>
  <c r="AP47" i="3"/>
  <c r="AQ47" i="3"/>
  <c r="AR47" i="3"/>
  <c r="AS47" i="3"/>
  <c r="AT47" i="3"/>
  <c r="AU47" i="3"/>
  <c r="AV47" i="3"/>
  <c r="AW47" i="3"/>
  <c r="AX47" i="3"/>
  <c r="A48" i="3"/>
  <c r="B48" i="3"/>
  <c r="C48" i="3"/>
  <c r="D48" i="3"/>
  <c r="E48" i="3"/>
  <c r="F48" i="3"/>
  <c r="G48" i="3"/>
  <c r="H48" i="3"/>
  <c r="I48" i="3"/>
  <c r="J48" i="3"/>
  <c r="K48" i="3"/>
  <c r="L48" i="3"/>
  <c r="M48" i="3"/>
  <c r="N48" i="3"/>
  <c r="O48" i="3"/>
  <c r="P48" i="3"/>
  <c r="Q48" i="3"/>
  <c r="R48" i="3"/>
  <c r="S48" i="3"/>
  <c r="T48" i="3"/>
  <c r="U48" i="3"/>
  <c r="V48" i="3"/>
  <c r="W48" i="3"/>
  <c r="X48" i="3"/>
  <c r="Y48" i="3"/>
  <c r="Z48" i="3"/>
  <c r="AA48" i="3"/>
  <c r="AB48" i="3"/>
  <c r="AC48" i="3"/>
  <c r="AD48" i="3"/>
  <c r="AE48" i="3"/>
  <c r="AF48" i="3"/>
  <c r="AG48" i="3"/>
  <c r="AH48" i="3"/>
  <c r="AI48" i="3"/>
  <c r="AJ48" i="3"/>
  <c r="AK48" i="3"/>
  <c r="AL48" i="3"/>
  <c r="AM48" i="3"/>
  <c r="AN48" i="3"/>
  <c r="AO48" i="3"/>
  <c r="AP48" i="3"/>
  <c r="AQ48" i="3"/>
  <c r="AR48" i="3"/>
  <c r="AS48" i="3"/>
  <c r="AT48" i="3"/>
  <c r="AU48" i="3"/>
  <c r="AV48" i="3"/>
  <c r="AW48" i="3"/>
  <c r="AX48" i="3"/>
  <c r="A49" i="3"/>
  <c r="B49" i="3"/>
  <c r="C49" i="3"/>
  <c r="D49" i="3"/>
  <c r="E49" i="3"/>
  <c r="F49" i="3"/>
  <c r="G49" i="3"/>
  <c r="H49" i="3"/>
  <c r="I49" i="3"/>
  <c r="J49" i="3"/>
  <c r="K49" i="3"/>
  <c r="L49" i="3"/>
  <c r="M49" i="3"/>
  <c r="N49" i="3"/>
  <c r="O49" i="3"/>
  <c r="P49" i="3"/>
  <c r="Q49" i="3"/>
  <c r="R49" i="3"/>
  <c r="S49" i="3"/>
  <c r="T49" i="3"/>
  <c r="U49" i="3"/>
  <c r="V49" i="3"/>
  <c r="W49" i="3"/>
  <c r="X49" i="3"/>
  <c r="Y49" i="3"/>
  <c r="Z49" i="3"/>
  <c r="AA49" i="3"/>
  <c r="AB49" i="3"/>
  <c r="AC49" i="3"/>
  <c r="AD49" i="3"/>
  <c r="AE49" i="3"/>
  <c r="AF49" i="3"/>
  <c r="AG49" i="3"/>
  <c r="AH49" i="3"/>
  <c r="AI49" i="3"/>
  <c r="AJ49" i="3"/>
  <c r="AK49" i="3"/>
  <c r="AL49" i="3"/>
  <c r="AM49" i="3"/>
  <c r="AN49" i="3"/>
  <c r="AO49" i="3"/>
  <c r="AP49" i="3"/>
  <c r="AQ49" i="3"/>
  <c r="AR49" i="3"/>
  <c r="AS49" i="3"/>
  <c r="AT49" i="3"/>
  <c r="AU49" i="3"/>
  <c r="AV49" i="3"/>
  <c r="AW49" i="3"/>
  <c r="AX49" i="3"/>
  <c r="A50" i="3"/>
  <c r="B50" i="3"/>
  <c r="C50" i="3"/>
  <c r="D50" i="3"/>
  <c r="E50" i="3"/>
  <c r="F50" i="3"/>
  <c r="G50" i="3"/>
  <c r="H50" i="3"/>
  <c r="I50" i="3"/>
  <c r="J50" i="3"/>
  <c r="K50" i="3"/>
  <c r="L50" i="3"/>
  <c r="M50" i="3"/>
  <c r="N50" i="3"/>
  <c r="O50" i="3"/>
  <c r="P50" i="3"/>
  <c r="Q50" i="3"/>
  <c r="R50" i="3"/>
  <c r="S50" i="3"/>
  <c r="T50" i="3"/>
  <c r="U50" i="3"/>
  <c r="V50" i="3"/>
  <c r="W50" i="3"/>
  <c r="X50" i="3"/>
  <c r="Y50" i="3"/>
  <c r="Z50" i="3"/>
  <c r="AA50" i="3"/>
  <c r="AB50" i="3"/>
  <c r="AC50" i="3"/>
  <c r="AD50" i="3"/>
  <c r="AE50" i="3"/>
  <c r="AF50" i="3"/>
  <c r="AG50" i="3"/>
  <c r="AH50" i="3"/>
  <c r="AI50" i="3"/>
  <c r="AJ50" i="3"/>
  <c r="AK50" i="3"/>
  <c r="AL50" i="3"/>
  <c r="AM50" i="3"/>
  <c r="AN50" i="3"/>
  <c r="AO50" i="3"/>
  <c r="AP50" i="3"/>
  <c r="AQ50" i="3"/>
  <c r="AR50" i="3"/>
  <c r="AS50" i="3"/>
  <c r="AT50" i="3"/>
  <c r="AU50" i="3"/>
  <c r="AV50" i="3"/>
  <c r="AW50" i="3"/>
  <c r="AX50" i="3"/>
  <c r="A51" i="3"/>
  <c r="B51" i="3"/>
  <c r="C51" i="3"/>
  <c r="D51" i="3"/>
  <c r="E51" i="3"/>
  <c r="F51" i="3"/>
  <c r="G51" i="3"/>
  <c r="H51" i="3"/>
  <c r="I51" i="3"/>
  <c r="J51" i="3"/>
  <c r="K51" i="3"/>
  <c r="L51" i="3"/>
  <c r="M51" i="3"/>
  <c r="N51" i="3"/>
  <c r="O51" i="3"/>
  <c r="P51" i="3"/>
  <c r="Q51" i="3"/>
  <c r="R51" i="3"/>
  <c r="S51" i="3"/>
  <c r="T51" i="3"/>
  <c r="U51" i="3"/>
  <c r="V51" i="3"/>
  <c r="W51" i="3"/>
  <c r="X51" i="3"/>
  <c r="Y51" i="3"/>
  <c r="Z51" i="3"/>
  <c r="AA51" i="3"/>
  <c r="AB51" i="3"/>
  <c r="AC51" i="3"/>
  <c r="AD51" i="3"/>
  <c r="AE51" i="3"/>
  <c r="AF51" i="3"/>
  <c r="AG51" i="3"/>
  <c r="AH51" i="3"/>
  <c r="AI51" i="3"/>
  <c r="AJ51" i="3"/>
  <c r="AK51" i="3"/>
  <c r="AL51" i="3"/>
  <c r="AM51" i="3"/>
  <c r="AN51" i="3"/>
  <c r="AO51" i="3"/>
  <c r="AP51" i="3"/>
  <c r="AQ51" i="3"/>
  <c r="AR51" i="3"/>
  <c r="AS51" i="3"/>
  <c r="AT51" i="3"/>
  <c r="AU51" i="3"/>
  <c r="AV51" i="3"/>
  <c r="AW51" i="3"/>
  <c r="AX51" i="3"/>
  <c r="A52" i="3"/>
  <c r="B52" i="3"/>
  <c r="C52" i="3"/>
  <c r="D52" i="3"/>
  <c r="E52" i="3"/>
  <c r="F52" i="3"/>
  <c r="G52" i="3"/>
  <c r="H52" i="3"/>
  <c r="I52" i="3"/>
  <c r="J52" i="3"/>
  <c r="K52" i="3"/>
  <c r="L52" i="3"/>
  <c r="M52" i="3"/>
  <c r="N52" i="3"/>
  <c r="O52" i="3"/>
  <c r="P52" i="3"/>
  <c r="Q52" i="3"/>
  <c r="R52" i="3"/>
  <c r="S52" i="3"/>
  <c r="T52" i="3"/>
  <c r="U52" i="3"/>
  <c r="V52" i="3"/>
  <c r="W52" i="3"/>
  <c r="X52" i="3"/>
  <c r="Y52" i="3"/>
  <c r="Z52" i="3"/>
  <c r="AA52" i="3"/>
  <c r="AB52" i="3"/>
  <c r="AC52" i="3"/>
  <c r="AD52" i="3"/>
  <c r="AE52" i="3"/>
  <c r="AF52" i="3"/>
  <c r="AG52" i="3"/>
  <c r="AH52" i="3"/>
  <c r="AI52" i="3"/>
  <c r="AJ52" i="3"/>
  <c r="AK52" i="3"/>
  <c r="AL52" i="3"/>
  <c r="AM52" i="3"/>
  <c r="AN52" i="3"/>
  <c r="AO52" i="3"/>
  <c r="AP52" i="3"/>
  <c r="AQ52" i="3"/>
  <c r="AR52" i="3"/>
  <c r="AS52" i="3"/>
  <c r="AT52" i="3"/>
  <c r="AU52" i="3"/>
  <c r="AV52" i="3"/>
  <c r="AW52" i="3"/>
  <c r="AX52" i="3"/>
  <c r="A53" i="3"/>
  <c r="B53" i="3"/>
  <c r="C53" i="3"/>
  <c r="D53" i="3"/>
  <c r="E53" i="3"/>
  <c r="F53" i="3"/>
  <c r="G53" i="3"/>
  <c r="H53" i="3"/>
  <c r="I53" i="3"/>
  <c r="J53" i="3"/>
  <c r="K53" i="3"/>
  <c r="L53" i="3"/>
  <c r="M53" i="3"/>
  <c r="N53" i="3"/>
  <c r="O53" i="3"/>
  <c r="P53" i="3"/>
  <c r="Q53" i="3"/>
  <c r="R53" i="3"/>
  <c r="S53" i="3"/>
  <c r="T53" i="3"/>
  <c r="U53" i="3"/>
  <c r="V53" i="3"/>
  <c r="W53" i="3"/>
  <c r="X53" i="3"/>
  <c r="Y53" i="3"/>
  <c r="Z53" i="3"/>
  <c r="AA53" i="3"/>
  <c r="AB53" i="3"/>
  <c r="AC53" i="3"/>
  <c r="AD53" i="3"/>
  <c r="AE53" i="3"/>
  <c r="AF53" i="3"/>
  <c r="AG53" i="3"/>
  <c r="AH53" i="3"/>
  <c r="AI53" i="3"/>
  <c r="AJ53" i="3"/>
  <c r="AK53" i="3"/>
  <c r="AL53" i="3"/>
  <c r="AM53" i="3"/>
  <c r="AN53" i="3"/>
  <c r="AO53" i="3"/>
  <c r="AP53" i="3"/>
  <c r="AQ53" i="3"/>
  <c r="AR53" i="3"/>
  <c r="AS53" i="3"/>
  <c r="AT53" i="3"/>
  <c r="AU53" i="3"/>
  <c r="AV53" i="3"/>
  <c r="AW53" i="3"/>
  <c r="AX53" i="3"/>
  <c r="A54" i="3"/>
  <c r="B54" i="3"/>
  <c r="C54" i="3"/>
  <c r="D54" i="3"/>
  <c r="E54" i="3"/>
  <c r="F54" i="3"/>
  <c r="G54" i="3"/>
  <c r="H54" i="3"/>
  <c r="I54" i="3"/>
  <c r="J54" i="3"/>
  <c r="K54" i="3"/>
  <c r="L54" i="3"/>
  <c r="M54" i="3"/>
  <c r="N54" i="3"/>
  <c r="O54" i="3"/>
  <c r="P54" i="3"/>
  <c r="Q54" i="3"/>
  <c r="R54" i="3"/>
  <c r="S54" i="3"/>
  <c r="T54" i="3"/>
  <c r="U54" i="3"/>
  <c r="V54" i="3"/>
  <c r="W54" i="3"/>
  <c r="X54" i="3"/>
  <c r="Y54" i="3"/>
  <c r="Z54" i="3"/>
  <c r="AA54" i="3"/>
  <c r="AB54" i="3"/>
  <c r="AC54" i="3"/>
  <c r="AD54" i="3"/>
  <c r="AE54" i="3"/>
  <c r="AF54" i="3"/>
  <c r="AG54" i="3"/>
  <c r="AH54" i="3"/>
  <c r="AI54" i="3"/>
  <c r="AJ54" i="3"/>
  <c r="AK54" i="3"/>
  <c r="AL54" i="3"/>
  <c r="AM54" i="3"/>
  <c r="AN54" i="3"/>
  <c r="AO54" i="3"/>
  <c r="AP54" i="3"/>
  <c r="AQ54" i="3"/>
  <c r="AR54" i="3"/>
  <c r="AS54" i="3"/>
  <c r="AT54" i="3"/>
  <c r="AU54" i="3"/>
  <c r="AV54" i="3"/>
  <c r="AW54" i="3"/>
  <c r="AX54" i="3"/>
  <c r="A55" i="3"/>
  <c r="B55" i="3"/>
  <c r="C55" i="3"/>
  <c r="D55" i="3"/>
  <c r="E55" i="3"/>
  <c r="F55" i="3"/>
  <c r="G55" i="3"/>
  <c r="H55" i="3"/>
  <c r="I55" i="3"/>
  <c r="J55" i="3"/>
  <c r="K55" i="3"/>
  <c r="L55" i="3"/>
  <c r="M55" i="3"/>
  <c r="N55" i="3"/>
  <c r="O55" i="3"/>
  <c r="P55" i="3"/>
  <c r="Q55" i="3"/>
  <c r="R55" i="3"/>
  <c r="S55" i="3"/>
  <c r="T55" i="3"/>
  <c r="U55" i="3"/>
  <c r="V55" i="3"/>
  <c r="W55" i="3"/>
  <c r="X55" i="3"/>
  <c r="Y55" i="3"/>
  <c r="Z55" i="3"/>
  <c r="AA55" i="3"/>
  <c r="AB55" i="3"/>
  <c r="AC55" i="3"/>
  <c r="AD55" i="3"/>
  <c r="AE55" i="3"/>
  <c r="AF55" i="3"/>
  <c r="AG55" i="3"/>
  <c r="AH55" i="3"/>
  <c r="AI55" i="3"/>
  <c r="AJ55" i="3"/>
  <c r="AK55" i="3"/>
  <c r="AL55" i="3"/>
  <c r="AM55" i="3"/>
  <c r="AN55" i="3"/>
  <c r="AO55" i="3"/>
  <c r="AP55" i="3"/>
  <c r="AQ55" i="3"/>
  <c r="AR55" i="3"/>
  <c r="AS55" i="3"/>
  <c r="AT55" i="3"/>
  <c r="AU55" i="3"/>
  <c r="AV55" i="3"/>
  <c r="AW55" i="3"/>
  <c r="AX55" i="3"/>
  <c r="A56" i="3"/>
  <c r="B56" i="3"/>
  <c r="C56" i="3"/>
  <c r="D56" i="3"/>
  <c r="E56" i="3"/>
  <c r="F56" i="3"/>
  <c r="G56" i="3"/>
  <c r="H56" i="3"/>
  <c r="I56" i="3"/>
  <c r="J56" i="3"/>
  <c r="K56" i="3"/>
  <c r="L56" i="3"/>
  <c r="M56" i="3"/>
  <c r="N56" i="3"/>
  <c r="O56" i="3"/>
  <c r="P56" i="3"/>
  <c r="Q56" i="3"/>
  <c r="R56" i="3"/>
  <c r="S56" i="3"/>
  <c r="T56" i="3"/>
  <c r="U56" i="3"/>
  <c r="V56" i="3"/>
  <c r="W56" i="3"/>
  <c r="X56" i="3"/>
  <c r="Y56" i="3"/>
  <c r="Z56" i="3"/>
  <c r="AA56" i="3"/>
  <c r="AB56" i="3"/>
  <c r="AC56" i="3"/>
  <c r="AD56" i="3"/>
  <c r="AE56" i="3"/>
  <c r="AF56" i="3"/>
  <c r="AG56" i="3"/>
  <c r="AH56" i="3"/>
  <c r="AI56" i="3"/>
  <c r="AJ56" i="3"/>
  <c r="AK56" i="3"/>
  <c r="AL56" i="3"/>
  <c r="AM56" i="3"/>
  <c r="AN56" i="3"/>
  <c r="AO56" i="3"/>
  <c r="AP56" i="3"/>
  <c r="AQ56" i="3"/>
  <c r="AR56" i="3"/>
  <c r="AS56" i="3"/>
  <c r="AT56" i="3"/>
  <c r="AU56" i="3"/>
  <c r="AV56" i="3"/>
  <c r="AW56" i="3"/>
  <c r="AX56" i="3"/>
  <c r="A57" i="3"/>
  <c r="B57" i="3"/>
  <c r="C57" i="3"/>
  <c r="D57" i="3"/>
  <c r="E57" i="3"/>
  <c r="F57" i="3"/>
  <c r="G57" i="3"/>
  <c r="H57" i="3"/>
  <c r="I57" i="3"/>
  <c r="J57" i="3"/>
  <c r="K57" i="3"/>
  <c r="L57" i="3"/>
  <c r="M57" i="3"/>
  <c r="N57" i="3"/>
  <c r="O57" i="3"/>
  <c r="P57" i="3"/>
  <c r="Q57" i="3"/>
  <c r="R57" i="3"/>
  <c r="S57" i="3"/>
  <c r="T57" i="3"/>
  <c r="U57" i="3"/>
  <c r="V57" i="3"/>
  <c r="W57" i="3"/>
  <c r="X57" i="3"/>
  <c r="Y57" i="3"/>
  <c r="Z57" i="3"/>
  <c r="AA57" i="3"/>
  <c r="AB57" i="3"/>
  <c r="AC57" i="3"/>
  <c r="AD57" i="3"/>
  <c r="AE57" i="3"/>
  <c r="AF57" i="3"/>
  <c r="AG57" i="3"/>
  <c r="AH57" i="3"/>
  <c r="AI57" i="3"/>
  <c r="AJ57" i="3"/>
  <c r="AK57" i="3"/>
  <c r="AL57" i="3"/>
  <c r="AM57" i="3"/>
  <c r="AN57" i="3"/>
  <c r="AO57" i="3"/>
  <c r="AP57" i="3"/>
  <c r="AQ57" i="3"/>
  <c r="AR57" i="3"/>
  <c r="AS57" i="3"/>
  <c r="AT57" i="3"/>
  <c r="AU57" i="3"/>
  <c r="AV57" i="3"/>
  <c r="AW57" i="3"/>
  <c r="AX57" i="3"/>
  <c r="A58" i="3"/>
  <c r="B58" i="3"/>
  <c r="C58" i="3"/>
  <c r="D58" i="3"/>
  <c r="E58" i="3"/>
  <c r="F58" i="3"/>
  <c r="G58" i="3"/>
  <c r="H58" i="3"/>
  <c r="I58" i="3"/>
  <c r="J58" i="3"/>
  <c r="K58" i="3"/>
  <c r="L58" i="3"/>
  <c r="M58" i="3"/>
  <c r="N58" i="3"/>
  <c r="O58" i="3"/>
  <c r="P58" i="3"/>
  <c r="Q58" i="3"/>
  <c r="R58" i="3"/>
  <c r="S58" i="3"/>
  <c r="T58" i="3"/>
  <c r="U58" i="3"/>
  <c r="V58" i="3"/>
  <c r="W58" i="3"/>
  <c r="X58" i="3"/>
  <c r="Y58" i="3"/>
  <c r="Z58" i="3"/>
  <c r="AA58" i="3"/>
  <c r="AB58" i="3"/>
  <c r="AC58" i="3"/>
  <c r="AD58" i="3"/>
  <c r="AE58" i="3"/>
  <c r="AF58" i="3"/>
  <c r="AG58" i="3"/>
  <c r="AH58" i="3"/>
  <c r="AI58" i="3"/>
  <c r="AJ58" i="3"/>
  <c r="AK58" i="3"/>
  <c r="AL58" i="3"/>
  <c r="AM58" i="3"/>
  <c r="AN58" i="3"/>
  <c r="AO58" i="3"/>
  <c r="AP58" i="3"/>
  <c r="AQ58" i="3"/>
  <c r="AR58" i="3"/>
  <c r="AS58" i="3"/>
  <c r="AT58" i="3"/>
  <c r="AU58" i="3"/>
  <c r="AV58" i="3"/>
  <c r="AW58" i="3"/>
  <c r="AX58" i="3"/>
  <c r="A59" i="3"/>
  <c r="B59" i="3"/>
  <c r="C59" i="3"/>
  <c r="D59" i="3"/>
  <c r="E59" i="3"/>
  <c r="F59" i="3"/>
  <c r="G59" i="3"/>
  <c r="H59" i="3"/>
  <c r="I59" i="3"/>
  <c r="J59" i="3"/>
  <c r="K59" i="3"/>
  <c r="L59" i="3"/>
  <c r="M59" i="3"/>
  <c r="N59" i="3"/>
  <c r="O59" i="3"/>
  <c r="P59" i="3"/>
  <c r="Q59" i="3"/>
  <c r="R59" i="3"/>
  <c r="S59" i="3"/>
  <c r="T59" i="3"/>
  <c r="U59" i="3"/>
  <c r="V59" i="3"/>
  <c r="W59" i="3"/>
  <c r="X59" i="3"/>
  <c r="Y59" i="3"/>
  <c r="Z59" i="3"/>
  <c r="AA59" i="3"/>
  <c r="AB59" i="3"/>
  <c r="AC59" i="3"/>
  <c r="AD59" i="3"/>
  <c r="AE59" i="3"/>
  <c r="AF59" i="3"/>
  <c r="AG59" i="3"/>
  <c r="AH59" i="3"/>
  <c r="AI59" i="3"/>
  <c r="AJ59" i="3"/>
  <c r="AK59" i="3"/>
  <c r="AL59" i="3"/>
  <c r="AM59" i="3"/>
  <c r="AN59" i="3"/>
  <c r="AO59" i="3"/>
  <c r="AP59" i="3"/>
  <c r="AQ59" i="3"/>
  <c r="AR59" i="3"/>
  <c r="AS59" i="3"/>
  <c r="AT59" i="3"/>
  <c r="AU59" i="3"/>
  <c r="AV59" i="3"/>
  <c r="AW59" i="3"/>
  <c r="AX59" i="3"/>
  <c r="A60" i="3"/>
  <c r="B60" i="3"/>
  <c r="C60" i="3"/>
  <c r="D60" i="3"/>
  <c r="E60" i="3"/>
  <c r="F60" i="3"/>
  <c r="G60" i="3"/>
  <c r="H60" i="3"/>
  <c r="I60" i="3"/>
  <c r="J60" i="3"/>
  <c r="K60" i="3"/>
  <c r="L60" i="3"/>
  <c r="M60" i="3"/>
  <c r="N60" i="3"/>
  <c r="O60" i="3"/>
  <c r="P60" i="3"/>
  <c r="Q60" i="3"/>
  <c r="R60" i="3"/>
  <c r="S60" i="3"/>
  <c r="T60" i="3"/>
  <c r="U60" i="3"/>
  <c r="V60" i="3"/>
  <c r="W60" i="3"/>
  <c r="X60" i="3"/>
  <c r="Y60" i="3"/>
  <c r="Z60" i="3"/>
  <c r="AA60" i="3"/>
  <c r="AB60" i="3"/>
  <c r="AC60" i="3"/>
  <c r="AD60" i="3"/>
  <c r="AE60" i="3"/>
  <c r="AF60" i="3"/>
  <c r="AG60" i="3"/>
  <c r="AH60" i="3"/>
  <c r="AI60" i="3"/>
  <c r="AJ60" i="3"/>
  <c r="AK60" i="3"/>
  <c r="AL60" i="3"/>
  <c r="AM60" i="3"/>
  <c r="AN60" i="3"/>
  <c r="AO60" i="3"/>
  <c r="AP60" i="3"/>
  <c r="AQ60" i="3"/>
  <c r="AR60" i="3"/>
  <c r="AS60" i="3"/>
  <c r="AT60" i="3"/>
  <c r="AU60" i="3"/>
  <c r="AV60" i="3"/>
  <c r="AW60" i="3"/>
  <c r="AX60" i="3"/>
  <c r="A61" i="3"/>
  <c r="B61" i="3"/>
  <c r="C61" i="3"/>
  <c r="D61" i="3"/>
  <c r="E61" i="3"/>
  <c r="F61" i="3"/>
  <c r="G61" i="3"/>
  <c r="H61" i="3"/>
  <c r="I61" i="3"/>
  <c r="J61" i="3"/>
  <c r="K61" i="3"/>
  <c r="L61" i="3"/>
  <c r="M61" i="3"/>
  <c r="N61" i="3"/>
  <c r="O61" i="3"/>
  <c r="P61" i="3"/>
  <c r="Q61" i="3"/>
  <c r="R61" i="3"/>
  <c r="S61" i="3"/>
  <c r="T61" i="3"/>
  <c r="U61" i="3"/>
  <c r="V61" i="3"/>
  <c r="W61" i="3"/>
  <c r="X61" i="3"/>
  <c r="Y61" i="3"/>
  <c r="Z61" i="3"/>
  <c r="AA61" i="3"/>
  <c r="AB61" i="3"/>
  <c r="AC61" i="3"/>
  <c r="AD61" i="3"/>
  <c r="AE61" i="3"/>
  <c r="AF61" i="3"/>
  <c r="AG61" i="3"/>
  <c r="AH61" i="3"/>
  <c r="AI61" i="3"/>
  <c r="AJ61" i="3"/>
  <c r="AK61" i="3"/>
  <c r="AL61" i="3"/>
  <c r="AM61" i="3"/>
  <c r="AN61" i="3"/>
  <c r="AO61" i="3"/>
  <c r="AP61" i="3"/>
  <c r="AQ61" i="3"/>
  <c r="AR61" i="3"/>
  <c r="AS61" i="3"/>
  <c r="AT61" i="3"/>
  <c r="AU61" i="3"/>
  <c r="AV61" i="3"/>
  <c r="AW61" i="3"/>
  <c r="AX61" i="3"/>
  <c r="A62" i="3"/>
  <c r="B62" i="3"/>
  <c r="C62" i="3"/>
  <c r="D62" i="3"/>
  <c r="E62" i="3"/>
  <c r="F62" i="3"/>
  <c r="G62" i="3"/>
  <c r="H62" i="3"/>
  <c r="I62" i="3"/>
  <c r="J62" i="3"/>
  <c r="K62" i="3"/>
  <c r="L62" i="3"/>
  <c r="M62" i="3"/>
  <c r="N62" i="3"/>
  <c r="O62" i="3"/>
  <c r="P62" i="3"/>
  <c r="Q62" i="3"/>
  <c r="R62" i="3"/>
  <c r="S62" i="3"/>
  <c r="T62" i="3"/>
  <c r="U62" i="3"/>
  <c r="V62" i="3"/>
  <c r="W62" i="3"/>
  <c r="X62" i="3"/>
  <c r="Y62" i="3"/>
  <c r="Z62" i="3"/>
  <c r="AA62" i="3"/>
  <c r="AB62" i="3"/>
  <c r="AC62" i="3"/>
  <c r="AD62" i="3"/>
  <c r="AE62" i="3"/>
  <c r="AF62" i="3"/>
  <c r="AG62" i="3"/>
  <c r="AH62" i="3"/>
  <c r="AI62" i="3"/>
  <c r="AJ62" i="3"/>
  <c r="AK62" i="3"/>
  <c r="AL62" i="3"/>
  <c r="AM62" i="3"/>
  <c r="AN62" i="3"/>
  <c r="AO62" i="3"/>
  <c r="AP62" i="3"/>
  <c r="AQ62" i="3"/>
  <c r="AR62" i="3"/>
  <c r="AS62" i="3"/>
  <c r="AT62" i="3"/>
  <c r="AU62" i="3"/>
  <c r="AV62" i="3"/>
  <c r="AW62" i="3"/>
  <c r="AX62" i="3"/>
  <c r="A63" i="3"/>
  <c r="B63" i="3"/>
  <c r="C63" i="3"/>
  <c r="D63" i="3"/>
  <c r="E63" i="3"/>
  <c r="F63" i="3"/>
  <c r="G63" i="3"/>
  <c r="H63" i="3"/>
  <c r="I63" i="3"/>
  <c r="J63" i="3"/>
  <c r="K63" i="3"/>
  <c r="L63" i="3"/>
  <c r="M63" i="3"/>
  <c r="N63" i="3"/>
  <c r="O63" i="3"/>
  <c r="P63" i="3"/>
  <c r="Q63" i="3"/>
  <c r="R63" i="3"/>
  <c r="S63" i="3"/>
  <c r="T63" i="3"/>
  <c r="U63" i="3"/>
  <c r="V63" i="3"/>
  <c r="W63" i="3"/>
  <c r="X63" i="3"/>
  <c r="Y63" i="3"/>
  <c r="Z63" i="3"/>
  <c r="AA63" i="3"/>
  <c r="AB63" i="3"/>
  <c r="AC63" i="3"/>
  <c r="AD63" i="3"/>
  <c r="AE63" i="3"/>
  <c r="AF63" i="3"/>
  <c r="AG63" i="3"/>
  <c r="AH63" i="3"/>
  <c r="AI63" i="3"/>
  <c r="AJ63" i="3"/>
  <c r="AK63" i="3"/>
  <c r="AL63" i="3"/>
  <c r="AM63" i="3"/>
  <c r="AN63" i="3"/>
  <c r="AO63" i="3"/>
  <c r="AP63" i="3"/>
  <c r="AQ63" i="3"/>
  <c r="AR63" i="3"/>
  <c r="AS63" i="3"/>
  <c r="AT63" i="3"/>
  <c r="AU63" i="3"/>
  <c r="AV63" i="3"/>
  <c r="AW63" i="3"/>
  <c r="AX63" i="3"/>
  <c r="A64" i="3"/>
  <c r="B64" i="3"/>
  <c r="C64" i="3"/>
  <c r="D64" i="3"/>
  <c r="E64" i="3"/>
  <c r="F64" i="3"/>
  <c r="G64" i="3"/>
  <c r="H64" i="3"/>
  <c r="I64" i="3"/>
  <c r="J64" i="3"/>
  <c r="K64" i="3"/>
  <c r="L64" i="3"/>
  <c r="M64" i="3"/>
  <c r="N64" i="3"/>
  <c r="O64" i="3"/>
  <c r="P64" i="3"/>
  <c r="Q64" i="3"/>
  <c r="R64" i="3"/>
  <c r="S64" i="3"/>
  <c r="T64" i="3"/>
  <c r="U64" i="3"/>
  <c r="V64" i="3"/>
  <c r="W64" i="3"/>
  <c r="X64" i="3"/>
  <c r="Y64" i="3"/>
  <c r="Z64" i="3"/>
  <c r="AA64" i="3"/>
  <c r="AB64" i="3"/>
  <c r="AC64" i="3"/>
  <c r="AD64" i="3"/>
  <c r="AE64" i="3"/>
  <c r="AF64" i="3"/>
  <c r="AG64" i="3"/>
  <c r="AH64" i="3"/>
  <c r="AI64" i="3"/>
  <c r="AJ64" i="3"/>
  <c r="AK64" i="3"/>
  <c r="AL64" i="3"/>
  <c r="AM64" i="3"/>
  <c r="AN64" i="3"/>
  <c r="AO64" i="3"/>
  <c r="AP64" i="3"/>
  <c r="AQ64" i="3"/>
  <c r="AR64" i="3"/>
  <c r="AS64" i="3"/>
  <c r="AT64" i="3"/>
  <c r="AU64" i="3"/>
  <c r="AV64" i="3"/>
  <c r="AW64" i="3"/>
  <c r="AX64" i="3"/>
  <c r="A65" i="3"/>
  <c r="B65" i="3"/>
  <c r="C65" i="3"/>
  <c r="D65" i="3"/>
  <c r="E65" i="3"/>
  <c r="F65" i="3"/>
  <c r="G65" i="3"/>
  <c r="H65" i="3"/>
  <c r="I65" i="3"/>
  <c r="J65" i="3"/>
  <c r="K65" i="3"/>
  <c r="L65" i="3"/>
  <c r="M65" i="3"/>
  <c r="N65" i="3"/>
  <c r="O65" i="3"/>
  <c r="P65" i="3"/>
  <c r="Q65" i="3"/>
  <c r="R65" i="3"/>
  <c r="S65" i="3"/>
  <c r="T65" i="3"/>
  <c r="U65" i="3"/>
  <c r="V65" i="3"/>
  <c r="W65" i="3"/>
  <c r="X65" i="3"/>
  <c r="Y65" i="3"/>
  <c r="Z65" i="3"/>
  <c r="AA65" i="3"/>
  <c r="AB65" i="3"/>
  <c r="AC65" i="3"/>
  <c r="AD65" i="3"/>
  <c r="AE65" i="3"/>
  <c r="AF65" i="3"/>
  <c r="AG65" i="3"/>
  <c r="AH65" i="3"/>
  <c r="AI65" i="3"/>
  <c r="AJ65" i="3"/>
  <c r="AK65" i="3"/>
  <c r="AL65" i="3"/>
  <c r="AM65" i="3"/>
  <c r="AN65" i="3"/>
  <c r="AO65" i="3"/>
  <c r="AP65" i="3"/>
  <c r="AQ65" i="3"/>
  <c r="AR65" i="3"/>
  <c r="AS65" i="3"/>
  <c r="AT65" i="3"/>
  <c r="AU65" i="3"/>
  <c r="AV65" i="3"/>
  <c r="AW65" i="3"/>
  <c r="AX65" i="3"/>
  <c r="A66" i="3"/>
  <c r="B66" i="3"/>
  <c r="C66" i="3"/>
  <c r="D66" i="3"/>
  <c r="E66" i="3"/>
  <c r="F66" i="3"/>
  <c r="G66" i="3"/>
  <c r="H66" i="3"/>
  <c r="I66" i="3"/>
  <c r="J66" i="3"/>
  <c r="K66" i="3"/>
  <c r="L66" i="3"/>
  <c r="M66" i="3"/>
  <c r="N66" i="3"/>
  <c r="O66" i="3"/>
  <c r="P66" i="3"/>
  <c r="Q66" i="3"/>
  <c r="R66" i="3"/>
  <c r="S66" i="3"/>
  <c r="T66" i="3"/>
  <c r="U66" i="3"/>
  <c r="V66" i="3"/>
  <c r="W66" i="3"/>
  <c r="X66" i="3"/>
  <c r="Y66" i="3"/>
  <c r="Z66" i="3"/>
  <c r="AA66" i="3"/>
  <c r="AB66" i="3"/>
  <c r="AC66" i="3"/>
  <c r="AD66" i="3"/>
  <c r="AE66" i="3"/>
  <c r="AF66" i="3"/>
  <c r="AG66" i="3"/>
  <c r="AH66" i="3"/>
  <c r="AI66" i="3"/>
  <c r="AJ66" i="3"/>
  <c r="AK66" i="3"/>
  <c r="AL66" i="3"/>
  <c r="AM66" i="3"/>
  <c r="AN66" i="3"/>
  <c r="AO66" i="3"/>
  <c r="AP66" i="3"/>
  <c r="AQ66" i="3"/>
  <c r="AR66" i="3"/>
  <c r="AS66" i="3"/>
  <c r="AT66" i="3"/>
  <c r="AU66" i="3"/>
  <c r="AV66" i="3"/>
  <c r="AW66" i="3"/>
  <c r="AX66" i="3"/>
  <c r="A67" i="3"/>
  <c r="B67" i="3"/>
  <c r="C67" i="3"/>
  <c r="D67" i="3"/>
  <c r="E67" i="3"/>
  <c r="F67" i="3"/>
  <c r="G67" i="3"/>
  <c r="H67" i="3"/>
  <c r="I67" i="3"/>
  <c r="J67" i="3"/>
  <c r="K67" i="3"/>
  <c r="L67" i="3"/>
  <c r="M67" i="3"/>
  <c r="N67" i="3"/>
  <c r="O67" i="3"/>
  <c r="P67" i="3"/>
  <c r="Q67" i="3"/>
  <c r="R67" i="3"/>
  <c r="S67" i="3"/>
  <c r="T67" i="3"/>
  <c r="U67" i="3"/>
  <c r="V67" i="3"/>
  <c r="W67" i="3"/>
  <c r="X67" i="3"/>
  <c r="Y67" i="3"/>
  <c r="Z67" i="3"/>
  <c r="AA67" i="3"/>
  <c r="AB67" i="3"/>
  <c r="AC67" i="3"/>
  <c r="AD67" i="3"/>
  <c r="AE67" i="3"/>
  <c r="AF67" i="3"/>
  <c r="AG67" i="3"/>
  <c r="AH67" i="3"/>
  <c r="AI67" i="3"/>
  <c r="AJ67" i="3"/>
  <c r="AK67" i="3"/>
  <c r="AL67" i="3"/>
  <c r="AM67" i="3"/>
  <c r="AN67" i="3"/>
  <c r="AO67" i="3"/>
  <c r="AP67" i="3"/>
  <c r="AQ67" i="3"/>
  <c r="AR67" i="3"/>
  <c r="AS67" i="3"/>
  <c r="AT67" i="3"/>
  <c r="AU67" i="3"/>
  <c r="AV67" i="3"/>
  <c r="AW67" i="3"/>
  <c r="AX67" i="3"/>
  <c r="A68" i="3"/>
  <c r="B68" i="3"/>
  <c r="C68" i="3"/>
  <c r="D68" i="3"/>
  <c r="E68" i="3"/>
  <c r="F68" i="3"/>
  <c r="G68" i="3"/>
  <c r="H68" i="3"/>
  <c r="I68" i="3"/>
  <c r="J68" i="3"/>
  <c r="K68" i="3"/>
  <c r="L68" i="3"/>
  <c r="M68" i="3"/>
  <c r="N68" i="3"/>
  <c r="O68" i="3"/>
  <c r="P68" i="3"/>
  <c r="Q68" i="3"/>
  <c r="R68" i="3"/>
  <c r="S68" i="3"/>
  <c r="T68" i="3"/>
  <c r="U68" i="3"/>
  <c r="V68" i="3"/>
  <c r="W68" i="3"/>
  <c r="X68" i="3"/>
  <c r="Y68" i="3"/>
  <c r="Z68" i="3"/>
  <c r="AA68" i="3"/>
  <c r="AB68" i="3"/>
  <c r="AC68" i="3"/>
  <c r="AD68" i="3"/>
  <c r="AE68" i="3"/>
  <c r="AF68" i="3"/>
  <c r="AG68" i="3"/>
  <c r="AH68" i="3"/>
  <c r="AI68" i="3"/>
  <c r="AJ68" i="3"/>
  <c r="AK68" i="3"/>
  <c r="AL68" i="3"/>
  <c r="AM68" i="3"/>
  <c r="AN68" i="3"/>
  <c r="AO68" i="3"/>
  <c r="AP68" i="3"/>
  <c r="AQ68" i="3"/>
  <c r="AR68" i="3"/>
  <c r="AS68" i="3"/>
  <c r="AT68" i="3"/>
  <c r="AU68" i="3"/>
  <c r="AV68" i="3"/>
  <c r="AW68" i="3"/>
  <c r="AX68" i="3"/>
  <c r="A69" i="3"/>
  <c r="B69" i="3"/>
  <c r="C69" i="3"/>
  <c r="D69" i="3"/>
  <c r="E69" i="3"/>
  <c r="F69" i="3"/>
  <c r="G69" i="3"/>
  <c r="H69" i="3"/>
  <c r="I69" i="3"/>
  <c r="J69" i="3"/>
  <c r="K69" i="3"/>
  <c r="L69" i="3"/>
  <c r="M69" i="3"/>
  <c r="N69" i="3"/>
  <c r="O69" i="3"/>
  <c r="P69" i="3"/>
  <c r="Q69" i="3"/>
  <c r="R69" i="3"/>
  <c r="S69" i="3"/>
  <c r="T69" i="3"/>
  <c r="U69" i="3"/>
  <c r="V69" i="3"/>
  <c r="W69" i="3"/>
  <c r="X69" i="3"/>
  <c r="Y69" i="3"/>
  <c r="Z69" i="3"/>
  <c r="AA69" i="3"/>
  <c r="AB69" i="3"/>
  <c r="AC69" i="3"/>
  <c r="AD69" i="3"/>
  <c r="AE69" i="3"/>
  <c r="AF69" i="3"/>
  <c r="AG69" i="3"/>
  <c r="AH69" i="3"/>
  <c r="AI69" i="3"/>
  <c r="AJ69" i="3"/>
  <c r="AK69" i="3"/>
  <c r="AL69" i="3"/>
  <c r="AM69" i="3"/>
  <c r="AN69" i="3"/>
  <c r="AO69" i="3"/>
  <c r="AP69" i="3"/>
  <c r="AQ69" i="3"/>
  <c r="AR69" i="3"/>
  <c r="AS69" i="3"/>
  <c r="AT69" i="3"/>
  <c r="AU69" i="3"/>
  <c r="AV69" i="3"/>
  <c r="AW69" i="3"/>
  <c r="AX69" i="3"/>
  <c r="A70" i="3"/>
  <c r="B70" i="3"/>
  <c r="C70" i="3"/>
  <c r="D70" i="3"/>
  <c r="E70" i="3"/>
  <c r="F70" i="3"/>
  <c r="G70" i="3"/>
  <c r="H70" i="3"/>
  <c r="I70" i="3"/>
  <c r="J70" i="3"/>
  <c r="K70" i="3"/>
  <c r="L70" i="3"/>
  <c r="M70" i="3"/>
  <c r="N70" i="3"/>
  <c r="O70" i="3"/>
  <c r="P70" i="3"/>
  <c r="Q70" i="3"/>
  <c r="R70" i="3"/>
  <c r="S70" i="3"/>
  <c r="T70" i="3"/>
  <c r="U70" i="3"/>
  <c r="V70" i="3"/>
  <c r="W70" i="3"/>
  <c r="X70" i="3"/>
  <c r="Y70" i="3"/>
  <c r="Z70" i="3"/>
  <c r="AA70" i="3"/>
  <c r="AB70" i="3"/>
  <c r="AC70" i="3"/>
  <c r="AD70" i="3"/>
  <c r="AE70" i="3"/>
  <c r="AF70" i="3"/>
  <c r="AG70" i="3"/>
  <c r="AH70" i="3"/>
  <c r="AI70" i="3"/>
  <c r="AJ70" i="3"/>
  <c r="AK70" i="3"/>
  <c r="AL70" i="3"/>
  <c r="AM70" i="3"/>
  <c r="AN70" i="3"/>
  <c r="AO70" i="3"/>
  <c r="AP70" i="3"/>
  <c r="AQ70" i="3"/>
  <c r="AR70" i="3"/>
  <c r="AS70" i="3"/>
  <c r="AT70" i="3"/>
  <c r="AU70" i="3"/>
  <c r="AV70" i="3"/>
  <c r="AW70" i="3"/>
  <c r="AX70" i="3"/>
  <c r="A71" i="3"/>
  <c r="B71" i="3"/>
  <c r="C71" i="3"/>
  <c r="D71" i="3"/>
  <c r="E71" i="3"/>
  <c r="F71" i="3"/>
  <c r="G71" i="3"/>
  <c r="H71" i="3"/>
  <c r="I71" i="3"/>
  <c r="J71" i="3"/>
  <c r="K71" i="3"/>
  <c r="L71" i="3"/>
  <c r="M71" i="3"/>
  <c r="N71" i="3"/>
  <c r="O71" i="3"/>
  <c r="P71" i="3"/>
  <c r="Q71" i="3"/>
  <c r="R71" i="3"/>
  <c r="S71" i="3"/>
  <c r="T71" i="3"/>
  <c r="U71" i="3"/>
  <c r="V71" i="3"/>
  <c r="W71" i="3"/>
  <c r="X71" i="3"/>
  <c r="Y71" i="3"/>
  <c r="Z71" i="3"/>
  <c r="AA71" i="3"/>
  <c r="AB71" i="3"/>
  <c r="AC71" i="3"/>
  <c r="AD71" i="3"/>
  <c r="AE71" i="3"/>
  <c r="AF71" i="3"/>
  <c r="AG71" i="3"/>
  <c r="AH71" i="3"/>
  <c r="AI71" i="3"/>
  <c r="AJ71" i="3"/>
  <c r="AK71" i="3"/>
  <c r="AL71" i="3"/>
  <c r="AM71" i="3"/>
  <c r="AN71" i="3"/>
  <c r="AO71" i="3"/>
  <c r="AP71" i="3"/>
  <c r="AQ71" i="3"/>
  <c r="AR71" i="3"/>
  <c r="AS71" i="3"/>
  <c r="AT71" i="3"/>
  <c r="AU71" i="3"/>
  <c r="AV71" i="3"/>
  <c r="AW71" i="3"/>
  <c r="AX71" i="3"/>
  <c r="A72" i="3"/>
  <c r="B72" i="3"/>
  <c r="C72" i="3"/>
  <c r="D72" i="3"/>
  <c r="E72" i="3"/>
  <c r="F72" i="3"/>
  <c r="G72" i="3"/>
  <c r="H72" i="3"/>
  <c r="I72" i="3"/>
  <c r="J72" i="3"/>
  <c r="K72" i="3"/>
  <c r="L72" i="3"/>
  <c r="M72" i="3"/>
  <c r="N72" i="3"/>
  <c r="O72" i="3"/>
  <c r="P72" i="3"/>
  <c r="Q72" i="3"/>
  <c r="R72" i="3"/>
  <c r="S72" i="3"/>
  <c r="T72" i="3"/>
  <c r="U72" i="3"/>
  <c r="V72" i="3"/>
  <c r="W72" i="3"/>
  <c r="X72" i="3"/>
  <c r="Y72" i="3"/>
  <c r="Z72" i="3"/>
  <c r="AA72" i="3"/>
  <c r="AB72" i="3"/>
  <c r="AC72" i="3"/>
  <c r="AD72" i="3"/>
  <c r="AE72" i="3"/>
  <c r="AF72" i="3"/>
  <c r="AG72" i="3"/>
  <c r="AH72" i="3"/>
  <c r="AI72" i="3"/>
  <c r="AJ72" i="3"/>
  <c r="AK72" i="3"/>
  <c r="AL72" i="3"/>
  <c r="AM72" i="3"/>
  <c r="AN72" i="3"/>
  <c r="AO72" i="3"/>
  <c r="AP72" i="3"/>
  <c r="AQ72" i="3"/>
  <c r="AR72" i="3"/>
  <c r="AS72" i="3"/>
  <c r="AT72" i="3"/>
  <c r="AU72" i="3"/>
  <c r="AV72" i="3"/>
  <c r="AW72" i="3"/>
  <c r="AX72" i="3"/>
  <c r="A73" i="3"/>
  <c r="B73" i="3"/>
  <c r="C73" i="3"/>
  <c r="D73" i="3"/>
  <c r="E73" i="3"/>
  <c r="F73" i="3"/>
  <c r="G73" i="3"/>
  <c r="H73" i="3"/>
  <c r="I73" i="3"/>
  <c r="J73" i="3"/>
  <c r="K73" i="3"/>
  <c r="L73" i="3"/>
  <c r="M73" i="3"/>
  <c r="N73" i="3"/>
  <c r="O73" i="3"/>
  <c r="P73" i="3"/>
  <c r="Q73" i="3"/>
  <c r="R73" i="3"/>
  <c r="S73" i="3"/>
  <c r="T73" i="3"/>
  <c r="U73" i="3"/>
  <c r="V73" i="3"/>
  <c r="W73" i="3"/>
  <c r="X73" i="3"/>
  <c r="Y73" i="3"/>
  <c r="Z73" i="3"/>
  <c r="AA73" i="3"/>
  <c r="AB73" i="3"/>
  <c r="AC73" i="3"/>
  <c r="AD73" i="3"/>
  <c r="AE73" i="3"/>
  <c r="AF73" i="3"/>
  <c r="AG73" i="3"/>
  <c r="AH73" i="3"/>
  <c r="AI73" i="3"/>
  <c r="AJ73" i="3"/>
  <c r="AK73" i="3"/>
  <c r="AL73" i="3"/>
  <c r="AM73" i="3"/>
  <c r="AN73" i="3"/>
  <c r="AO73" i="3"/>
  <c r="AP73" i="3"/>
  <c r="AQ73" i="3"/>
  <c r="AR73" i="3"/>
  <c r="AS73" i="3"/>
  <c r="AT73" i="3"/>
  <c r="AU73" i="3"/>
  <c r="AV73" i="3"/>
  <c r="AW73" i="3"/>
  <c r="AX73" i="3"/>
  <c r="A74" i="3"/>
  <c r="B74" i="3"/>
  <c r="C74" i="3"/>
  <c r="D74" i="3"/>
  <c r="E74" i="3"/>
  <c r="F74" i="3"/>
  <c r="G74" i="3"/>
  <c r="H74" i="3"/>
  <c r="I74" i="3"/>
  <c r="J74" i="3"/>
  <c r="K74" i="3"/>
  <c r="L74" i="3"/>
  <c r="M74" i="3"/>
  <c r="N74" i="3"/>
  <c r="O74" i="3"/>
  <c r="P74" i="3"/>
  <c r="Q74" i="3"/>
  <c r="R74" i="3"/>
  <c r="S74" i="3"/>
  <c r="T74" i="3"/>
  <c r="U74" i="3"/>
  <c r="V74" i="3"/>
  <c r="W74" i="3"/>
  <c r="X74" i="3"/>
  <c r="Y74" i="3"/>
  <c r="Z74" i="3"/>
  <c r="AA74" i="3"/>
  <c r="AB74" i="3"/>
  <c r="AC74" i="3"/>
  <c r="AD74" i="3"/>
  <c r="AE74" i="3"/>
  <c r="AF74" i="3"/>
  <c r="AG74" i="3"/>
  <c r="AH74" i="3"/>
  <c r="AI74" i="3"/>
  <c r="AJ74" i="3"/>
  <c r="AK74" i="3"/>
  <c r="AL74" i="3"/>
  <c r="AM74" i="3"/>
  <c r="AN74" i="3"/>
  <c r="AO74" i="3"/>
  <c r="AP74" i="3"/>
  <c r="AQ74" i="3"/>
  <c r="AR74" i="3"/>
  <c r="AS74" i="3"/>
  <c r="AT74" i="3"/>
  <c r="AU74" i="3"/>
  <c r="AV74" i="3"/>
  <c r="AW74" i="3"/>
  <c r="AX74" i="3"/>
  <c r="A75" i="3"/>
  <c r="B75" i="3"/>
  <c r="C75" i="3"/>
  <c r="D75" i="3"/>
  <c r="E75" i="3"/>
  <c r="F75" i="3"/>
  <c r="G75" i="3"/>
  <c r="H75" i="3"/>
  <c r="I75" i="3"/>
  <c r="J75" i="3"/>
  <c r="K75" i="3"/>
  <c r="L75" i="3"/>
  <c r="M75" i="3"/>
  <c r="N75" i="3"/>
  <c r="O75" i="3"/>
  <c r="P75" i="3"/>
  <c r="Q75" i="3"/>
  <c r="R75" i="3"/>
  <c r="S75" i="3"/>
  <c r="T75" i="3"/>
  <c r="U75" i="3"/>
  <c r="V75" i="3"/>
  <c r="W75" i="3"/>
  <c r="X75" i="3"/>
  <c r="Y75" i="3"/>
  <c r="Z75" i="3"/>
  <c r="AA75" i="3"/>
  <c r="AB75" i="3"/>
  <c r="AC75" i="3"/>
  <c r="AD75" i="3"/>
  <c r="AE75" i="3"/>
  <c r="AF75" i="3"/>
  <c r="AG75" i="3"/>
  <c r="AH75" i="3"/>
  <c r="AI75" i="3"/>
  <c r="AJ75" i="3"/>
  <c r="AK75" i="3"/>
  <c r="AL75" i="3"/>
  <c r="AM75" i="3"/>
  <c r="AN75" i="3"/>
  <c r="AO75" i="3"/>
  <c r="AP75" i="3"/>
  <c r="AQ75" i="3"/>
  <c r="AR75" i="3"/>
  <c r="AS75" i="3"/>
  <c r="AT75" i="3"/>
  <c r="AU75" i="3"/>
  <c r="AV75" i="3"/>
  <c r="AW75" i="3"/>
  <c r="AX75" i="3"/>
  <c r="A76" i="3"/>
  <c r="B76" i="3"/>
  <c r="C76" i="3"/>
  <c r="D76" i="3"/>
  <c r="E76" i="3"/>
  <c r="F76" i="3"/>
  <c r="G76" i="3"/>
  <c r="H76" i="3"/>
  <c r="I76" i="3"/>
  <c r="J76" i="3"/>
  <c r="K76" i="3"/>
  <c r="L76" i="3"/>
  <c r="M76" i="3"/>
  <c r="N76" i="3"/>
  <c r="O76" i="3"/>
  <c r="P76" i="3"/>
  <c r="Q76" i="3"/>
  <c r="R76" i="3"/>
  <c r="S76" i="3"/>
  <c r="T76" i="3"/>
  <c r="U76" i="3"/>
  <c r="V76" i="3"/>
  <c r="W76" i="3"/>
  <c r="X76" i="3"/>
  <c r="Y76" i="3"/>
  <c r="Z76" i="3"/>
  <c r="AA76" i="3"/>
  <c r="AB76" i="3"/>
  <c r="AC76" i="3"/>
  <c r="AD76" i="3"/>
  <c r="AE76" i="3"/>
  <c r="AF76" i="3"/>
  <c r="AG76" i="3"/>
  <c r="AH76" i="3"/>
  <c r="AI76" i="3"/>
  <c r="AJ76" i="3"/>
  <c r="AK76" i="3"/>
  <c r="AL76" i="3"/>
  <c r="AM76" i="3"/>
  <c r="AN76" i="3"/>
  <c r="AO76" i="3"/>
  <c r="AP76" i="3"/>
  <c r="AQ76" i="3"/>
  <c r="AR76" i="3"/>
  <c r="AS76" i="3"/>
  <c r="AT76" i="3"/>
  <c r="AU76" i="3"/>
  <c r="AV76" i="3"/>
  <c r="AW76" i="3"/>
  <c r="AX76" i="3"/>
  <c r="A77" i="3"/>
  <c r="B77" i="3"/>
  <c r="C77" i="3"/>
  <c r="D77" i="3"/>
  <c r="E77" i="3"/>
  <c r="F77" i="3"/>
  <c r="G77" i="3"/>
  <c r="H77" i="3"/>
  <c r="I77" i="3"/>
  <c r="J77" i="3"/>
  <c r="K77" i="3"/>
  <c r="L77" i="3"/>
  <c r="M77" i="3"/>
  <c r="N77" i="3"/>
  <c r="O77" i="3"/>
  <c r="P77" i="3"/>
  <c r="Q77" i="3"/>
  <c r="R77" i="3"/>
  <c r="S77" i="3"/>
  <c r="T77" i="3"/>
  <c r="U77" i="3"/>
  <c r="V77" i="3"/>
  <c r="W77" i="3"/>
  <c r="X77" i="3"/>
  <c r="Y77" i="3"/>
  <c r="Z77" i="3"/>
  <c r="AA77" i="3"/>
  <c r="AB77" i="3"/>
  <c r="AC77" i="3"/>
  <c r="AD77" i="3"/>
  <c r="AE77" i="3"/>
  <c r="AF77" i="3"/>
  <c r="AG77" i="3"/>
  <c r="AH77" i="3"/>
  <c r="AI77" i="3"/>
  <c r="AJ77" i="3"/>
  <c r="AK77" i="3"/>
  <c r="AL77" i="3"/>
  <c r="AM77" i="3"/>
  <c r="AN77" i="3"/>
  <c r="AO77" i="3"/>
  <c r="AP77" i="3"/>
  <c r="AQ77" i="3"/>
  <c r="AR77" i="3"/>
  <c r="AS77" i="3"/>
  <c r="AT77" i="3"/>
  <c r="AU77" i="3"/>
  <c r="AV77" i="3"/>
  <c r="AW77" i="3"/>
  <c r="AX77" i="3"/>
  <c r="A78" i="3"/>
  <c r="B78" i="3"/>
  <c r="C78" i="3"/>
  <c r="D78" i="3"/>
  <c r="E78" i="3"/>
  <c r="F78" i="3"/>
  <c r="G78" i="3"/>
  <c r="H78" i="3"/>
  <c r="I78" i="3"/>
  <c r="J78" i="3"/>
  <c r="K78" i="3"/>
  <c r="L78" i="3"/>
  <c r="M78" i="3"/>
  <c r="N78" i="3"/>
  <c r="O78" i="3"/>
  <c r="P78" i="3"/>
  <c r="Q78" i="3"/>
  <c r="R78" i="3"/>
  <c r="S78" i="3"/>
  <c r="T78" i="3"/>
  <c r="U78" i="3"/>
  <c r="V78" i="3"/>
  <c r="W78" i="3"/>
  <c r="X78" i="3"/>
  <c r="Y78" i="3"/>
  <c r="Z78" i="3"/>
  <c r="AA78" i="3"/>
  <c r="AB78" i="3"/>
  <c r="AC78" i="3"/>
  <c r="AD78" i="3"/>
  <c r="AE78" i="3"/>
  <c r="AF78" i="3"/>
  <c r="AG78" i="3"/>
  <c r="AH78" i="3"/>
  <c r="AI78" i="3"/>
  <c r="AJ78" i="3"/>
  <c r="AK78" i="3"/>
  <c r="AL78" i="3"/>
  <c r="AM78" i="3"/>
  <c r="AN78" i="3"/>
  <c r="AO78" i="3"/>
  <c r="AP78" i="3"/>
  <c r="AQ78" i="3"/>
  <c r="AR78" i="3"/>
  <c r="AS78" i="3"/>
  <c r="AT78" i="3"/>
  <c r="AU78" i="3"/>
  <c r="AV78" i="3"/>
  <c r="AW78" i="3"/>
  <c r="AX78" i="3"/>
  <c r="A79" i="3"/>
  <c r="B79" i="3"/>
  <c r="C79" i="3"/>
  <c r="D79" i="3"/>
  <c r="E79" i="3"/>
  <c r="F79" i="3"/>
  <c r="G79" i="3"/>
  <c r="H79" i="3"/>
  <c r="I79" i="3"/>
  <c r="J79" i="3"/>
  <c r="K79" i="3"/>
  <c r="L79" i="3"/>
  <c r="M79" i="3"/>
  <c r="N79" i="3"/>
  <c r="O79" i="3"/>
  <c r="P79" i="3"/>
  <c r="Q79" i="3"/>
  <c r="R79" i="3"/>
  <c r="S79" i="3"/>
  <c r="T79" i="3"/>
  <c r="U79" i="3"/>
  <c r="V79" i="3"/>
  <c r="W79" i="3"/>
  <c r="X79" i="3"/>
  <c r="Y79" i="3"/>
  <c r="Z79" i="3"/>
  <c r="AA79" i="3"/>
  <c r="AB79" i="3"/>
  <c r="AC79" i="3"/>
  <c r="AD79" i="3"/>
  <c r="AE79" i="3"/>
  <c r="AF79" i="3"/>
  <c r="AG79" i="3"/>
  <c r="AH79" i="3"/>
  <c r="AI79" i="3"/>
  <c r="AJ79" i="3"/>
  <c r="AK79" i="3"/>
  <c r="AL79" i="3"/>
  <c r="AM79" i="3"/>
  <c r="AN79" i="3"/>
  <c r="AO79" i="3"/>
  <c r="AP79" i="3"/>
  <c r="AQ79" i="3"/>
  <c r="AR79" i="3"/>
  <c r="AS79" i="3"/>
  <c r="AT79" i="3"/>
  <c r="AU79" i="3"/>
  <c r="AV79" i="3"/>
  <c r="AW79" i="3"/>
  <c r="AX79" i="3"/>
  <c r="A80" i="3"/>
  <c r="B80" i="3"/>
  <c r="C80" i="3"/>
  <c r="D80" i="3"/>
  <c r="E80" i="3"/>
  <c r="F80" i="3"/>
  <c r="G80" i="3"/>
  <c r="H80" i="3"/>
  <c r="I80" i="3"/>
  <c r="J80" i="3"/>
  <c r="K80" i="3"/>
  <c r="L80" i="3"/>
  <c r="M80" i="3"/>
  <c r="N80" i="3"/>
  <c r="O80" i="3"/>
  <c r="P80" i="3"/>
  <c r="Q80" i="3"/>
  <c r="R80" i="3"/>
  <c r="S80" i="3"/>
  <c r="T80" i="3"/>
  <c r="U80" i="3"/>
  <c r="V80" i="3"/>
  <c r="W80" i="3"/>
  <c r="X80" i="3"/>
  <c r="Y80" i="3"/>
  <c r="Z80" i="3"/>
  <c r="AA80" i="3"/>
  <c r="AB80" i="3"/>
  <c r="AC80" i="3"/>
  <c r="AD80" i="3"/>
  <c r="AE80" i="3"/>
  <c r="AF80" i="3"/>
  <c r="AG80" i="3"/>
  <c r="AH80" i="3"/>
  <c r="AI80" i="3"/>
  <c r="AJ80" i="3"/>
  <c r="AK80" i="3"/>
  <c r="AL80" i="3"/>
  <c r="AM80" i="3"/>
  <c r="AN80" i="3"/>
  <c r="AO80" i="3"/>
  <c r="AP80" i="3"/>
  <c r="AQ80" i="3"/>
  <c r="AR80" i="3"/>
  <c r="AS80" i="3"/>
  <c r="AT80" i="3"/>
  <c r="AU80" i="3"/>
  <c r="AV80" i="3"/>
  <c r="AW80" i="3"/>
  <c r="AX80" i="3"/>
  <c r="A81" i="3"/>
  <c r="B81" i="3"/>
  <c r="C81" i="3"/>
  <c r="D81" i="3"/>
  <c r="E81" i="3"/>
  <c r="F81" i="3"/>
  <c r="G81" i="3"/>
  <c r="H81" i="3"/>
  <c r="I81" i="3"/>
  <c r="J81" i="3"/>
  <c r="K81" i="3"/>
  <c r="L81" i="3"/>
  <c r="M81" i="3"/>
  <c r="N81" i="3"/>
  <c r="O81" i="3"/>
  <c r="P81" i="3"/>
  <c r="Q81" i="3"/>
  <c r="R81" i="3"/>
  <c r="S81" i="3"/>
  <c r="T81" i="3"/>
  <c r="U81" i="3"/>
  <c r="V81" i="3"/>
  <c r="W81" i="3"/>
  <c r="X81" i="3"/>
  <c r="Y81" i="3"/>
  <c r="Z81" i="3"/>
  <c r="AA81" i="3"/>
  <c r="AB81" i="3"/>
  <c r="AC81" i="3"/>
  <c r="AD81" i="3"/>
  <c r="AE81" i="3"/>
  <c r="AF81" i="3"/>
  <c r="AG81" i="3"/>
  <c r="AH81" i="3"/>
  <c r="AI81" i="3"/>
  <c r="AJ81" i="3"/>
  <c r="AK81" i="3"/>
  <c r="AL81" i="3"/>
  <c r="AM81" i="3"/>
  <c r="AN81" i="3"/>
  <c r="AO81" i="3"/>
  <c r="AP81" i="3"/>
  <c r="AQ81" i="3"/>
  <c r="AR81" i="3"/>
  <c r="AS81" i="3"/>
  <c r="AT81" i="3"/>
  <c r="AU81" i="3"/>
  <c r="AV81" i="3"/>
  <c r="AW81" i="3"/>
  <c r="AX81" i="3"/>
  <c r="A82" i="3"/>
  <c r="B82" i="3"/>
  <c r="C82" i="3"/>
  <c r="D82" i="3"/>
  <c r="E82" i="3"/>
  <c r="F82" i="3"/>
  <c r="G82" i="3"/>
  <c r="H82" i="3"/>
  <c r="I82" i="3"/>
  <c r="J82" i="3"/>
  <c r="K82" i="3"/>
  <c r="L82" i="3"/>
  <c r="M82" i="3"/>
  <c r="N82" i="3"/>
  <c r="O82" i="3"/>
  <c r="P82" i="3"/>
  <c r="Q82" i="3"/>
  <c r="R82" i="3"/>
  <c r="S82" i="3"/>
  <c r="T82" i="3"/>
  <c r="U82" i="3"/>
  <c r="V82" i="3"/>
  <c r="W82" i="3"/>
  <c r="X82" i="3"/>
  <c r="Y82" i="3"/>
  <c r="Z82" i="3"/>
  <c r="AA82" i="3"/>
  <c r="AB82" i="3"/>
  <c r="AC82" i="3"/>
  <c r="AD82" i="3"/>
  <c r="AE82" i="3"/>
  <c r="AF82" i="3"/>
  <c r="AG82" i="3"/>
  <c r="AH82" i="3"/>
  <c r="AI82" i="3"/>
  <c r="AJ82" i="3"/>
  <c r="AK82" i="3"/>
  <c r="AL82" i="3"/>
  <c r="AM82" i="3"/>
  <c r="AN82" i="3"/>
  <c r="AO82" i="3"/>
  <c r="AP82" i="3"/>
  <c r="AQ82" i="3"/>
  <c r="AR82" i="3"/>
  <c r="AS82" i="3"/>
  <c r="AT82" i="3"/>
  <c r="AU82" i="3"/>
  <c r="AV82" i="3"/>
  <c r="AW82" i="3"/>
  <c r="AX82" i="3"/>
  <c r="A83" i="3"/>
  <c r="B83" i="3"/>
  <c r="C83" i="3"/>
  <c r="D83" i="3"/>
  <c r="E83" i="3"/>
  <c r="F83" i="3"/>
  <c r="G83" i="3"/>
  <c r="H83" i="3"/>
  <c r="I83" i="3"/>
  <c r="J83" i="3"/>
  <c r="K83" i="3"/>
  <c r="L83" i="3"/>
  <c r="M83" i="3"/>
  <c r="N83" i="3"/>
  <c r="O83" i="3"/>
  <c r="P83" i="3"/>
  <c r="Q83" i="3"/>
  <c r="R83" i="3"/>
  <c r="S83" i="3"/>
  <c r="T83" i="3"/>
  <c r="U83" i="3"/>
  <c r="V83" i="3"/>
  <c r="W83" i="3"/>
  <c r="X83" i="3"/>
  <c r="Y83" i="3"/>
  <c r="Z83" i="3"/>
  <c r="AA83" i="3"/>
  <c r="AB83" i="3"/>
  <c r="AC83" i="3"/>
  <c r="AD83" i="3"/>
  <c r="AE83" i="3"/>
  <c r="AF83" i="3"/>
  <c r="AG83" i="3"/>
  <c r="AH83" i="3"/>
  <c r="AI83" i="3"/>
  <c r="AJ83" i="3"/>
  <c r="AK83" i="3"/>
  <c r="AL83" i="3"/>
  <c r="AM83" i="3"/>
  <c r="AN83" i="3"/>
  <c r="AO83" i="3"/>
  <c r="AP83" i="3"/>
  <c r="AQ83" i="3"/>
  <c r="AR83" i="3"/>
  <c r="AS83" i="3"/>
  <c r="AT83" i="3"/>
  <c r="AU83" i="3"/>
  <c r="AV83" i="3"/>
  <c r="AW83" i="3"/>
  <c r="AX83" i="3"/>
  <c r="A84" i="3"/>
  <c r="B84" i="3"/>
  <c r="C84" i="3"/>
  <c r="D84" i="3"/>
  <c r="E84" i="3"/>
  <c r="F84" i="3"/>
  <c r="G84" i="3"/>
  <c r="H84" i="3"/>
  <c r="I84" i="3"/>
  <c r="J84" i="3"/>
  <c r="K84" i="3"/>
  <c r="L84" i="3"/>
  <c r="M84" i="3"/>
  <c r="N84" i="3"/>
  <c r="O84" i="3"/>
  <c r="P84" i="3"/>
  <c r="Q84" i="3"/>
  <c r="R84" i="3"/>
  <c r="S84" i="3"/>
  <c r="T84" i="3"/>
  <c r="U84" i="3"/>
  <c r="V84" i="3"/>
  <c r="W84" i="3"/>
  <c r="X84" i="3"/>
  <c r="Y84" i="3"/>
  <c r="Z84" i="3"/>
  <c r="AA84" i="3"/>
  <c r="AB84" i="3"/>
  <c r="AC84" i="3"/>
  <c r="AD84" i="3"/>
  <c r="AE84" i="3"/>
  <c r="AF84" i="3"/>
  <c r="AG84" i="3"/>
  <c r="AH84" i="3"/>
  <c r="AI84" i="3"/>
  <c r="AJ84" i="3"/>
  <c r="AK84" i="3"/>
  <c r="AL84" i="3"/>
  <c r="AM84" i="3"/>
  <c r="AN84" i="3"/>
  <c r="AO84" i="3"/>
  <c r="AP84" i="3"/>
  <c r="AQ84" i="3"/>
  <c r="AR84" i="3"/>
  <c r="AS84" i="3"/>
  <c r="AT84" i="3"/>
  <c r="AU84" i="3"/>
  <c r="AV84" i="3"/>
  <c r="AW84" i="3"/>
  <c r="AX84" i="3"/>
  <c r="A85" i="3"/>
  <c r="B85" i="3"/>
  <c r="C85" i="3"/>
  <c r="D85" i="3"/>
  <c r="E85" i="3"/>
  <c r="F85" i="3"/>
  <c r="G85" i="3"/>
  <c r="H85" i="3"/>
  <c r="I85" i="3"/>
  <c r="J85" i="3"/>
  <c r="K85" i="3"/>
  <c r="L85" i="3"/>
  <c r="M85" i="3"/>
  <c r="N85" i="3"/>
  <c r="O85" i="3"/>
  <c r="P85" i="3"/>
  <c r="Q85" i="3"/>
  <c r="R85" i="3"/>
  <c r="S85" i="3"/>
  <c r="T85" i="3"/>
  <c r="U85" i="3"/>
  <c r="V85" i="3"/>
  <c r="W85" i="3"/>
  <c r="X85" i="3"/>
  <c r="Y85" i="3"/>
  <c r="Z85" i="3"/>
  <c r="AA85" i="3"/>
  <c r="AB85" i="3"/>
  <c r="AC85" i="3"/>
  <c r="AD85" i="3"/>
  <c r="AE85" i="3"/>
  <c r="AF85" i="3"/>
  <c r="AG85" i="3"/>
  <c r="AH85" i="3"/>
  <c r="AI85" i="3"/>
  <c r="AJ85" i="3"/>
  <c r="AK85" i="3"/>
  <c r="AL85" i="3"/>
  <c r="AM85" i="3"/>
  <c r="AN85" i="3"/>
  <c r="AO85" i="3"/>
  <c r="AP85" i="3"/>
  <c r="AQ85" i="3"/>
  <c r="AR85" i="3"/>
  <c r="AS85" i="3"/>
  <c r="AT85" i="3"/>
  <c r="AU85" i="3"/>
  <c r="AV85" i="3"/>
  <c r="AW85" i="3"/>
  <c r="AX85" i="3"/>
  <c r="A86" i="3"/>
  <c r="B86" i="3"/>
  <c r="C86" i="3"/>
  <c r="D86" i="3"/>
  <c r="E86" i="3"/>
  <c r="F86" i="3"/>
  <c r="G86" i="3"/>
  <c r="H86" i="3"/>
  <c r="I86" i="3"/>
  <c r="J86" i="3"/>
  <c r="K86" i="3"/>
  <c r="L86" i="3"/>
  <c r="M86" i="3"/>
  <c r="N86" i="3"/>
  <c r="O86" i="3"/>
  <c r="P86" i="3"/>
  <c r="Q86" i="3"/>
  <c r="R86" i="3"/>
  <c r="S86" i="3"/>
  <c r="T86" i="3"/>
  <c r="U86" i="3"/>
  <c r="V86" i="3"/>
  <c r="W86" i="3"/>
  <c r="X86" i="3"/>
  <c r="Y86" i="3"/>
  <c r="Z86" i="3"/>
  <c r="AA86" i="3"/>
  <c r="AB86" i="3"/>
  <c r="AC86" i="3"/>
  <c r="AD86" i="3"/>
  <c r="AE86" i="3"/>
  <c r="AF86" i="3"/>
  <c r="AG86" i="3"/>
  <c r="AH86" i="3"/>
  <c r="AI86" i="3"/>
  <c r="AJ86" i="3"/>
  <c r="AK86" i="3"/>
  <c r="AL86" i="3"/>
  <c r="AM86" i="3"/>
  <c r="AN86" i="3"/>
  <c r="AO86" i="3"/>
  <c r="AP86" i="3"/>
  <c r="AQ86" i="3"/>
  <c r="AR86" i="3"/>
  <c r="AS86" i="3"/>
  <c r="AT86" i="3"/>
  <c r="AU86" i="3"/>
  <c r="AV86" i="3"/>
  <c r="AW86" i="3"/>
  <c r="AX86" i="3"/>
  <c r="A87" i="3"/>
  <c r="B87" i="3"/>
  <c r="C87" i="3"/>
  <c r="D87" i="3"/>
  <c r="E87" i="3"/>
  <c r="F87" i="3"/>
  <c r="G87" i="3"/>
  <c r="H87" i="3"/>
  <c r="I87" i="3"/>
  <c r="J87" i="3"/>
  <c r="K87" i="3"/>
  <c r="L87" i="3"/>
  <c r="M87" i="3"/>
  <c r="N87" i="3"/>
  <c r="O87" i="3"/>
  <c r="P87" i="3"/>
  <c r="Q87" i="3"/>
  <c r="R87" i="3"/>
  <c r="S87" i="3"/>
  <c r="T87" i="3"/>
  <c r="U87" i="3"/>
  <c r="V87" i="3"/>
  <c r="W87" i="3"/>
  <c r="X87" i="3"/>
  <c r="Y87" i="3"/>
  <c r="Z87" i="3"/>
  <c r="AA87" i="3"/>
  <c r="AB87" i="3"/>
  <c r="AC87" i="3"/>
  <c r="AD87" i="3"/>
  <c r="AE87" i="3"/>
  <c r="AF87" i="3"/>
  <c r="AG87" i="3"/>
  <c r="AH87" i="3"/>
  <c r="AI87" i="3"/>
  <c r="AJ87" i="3"/>
  <c r="AK87" i="3"/>
  <c r="AL87" i="3"/>
  <c r="AM87" i="3"/>
  <c r="AN87" i="3"/>
  <c r="AO87" i="3"/>
  <c r="AP87" i="3"/>
  <c r="AQ87" i="3"/>
  <c r="AR87" i="3"/>
  <c r="AS87" i="3"/>
  <c r="AT87" i="3"/>
  <c r="AU87" i="3"/>
  <c r="AV87" i="3"/>
  <c r="AW87" i="3"/>
  <c r="AX87" i="3"/>
  <c r="A88" i="3"/>
  <c r="B88" i="3"/>
  <c r="C88" i="3"/>
  <c r="D88" i="3"/>
  <c r="E88" i="3"/>
  <c r="F88" i="3"/>
  <c r="G88" i="3"/>
  <c r="H88" i="3"/>
  <c r="I88" i="3"/>
  <c r="J88" i="3"/>
  <c r="K88" i="3"/>
  <c r="L88" i="3"/>
  <c r="M88" i="3"/>
  <c r="N88" i="3"/>
  <c r="O88" i="3"/>
  <c r="P88" i="3"/>
  <c r="Q88" i="3"/>
  <c r="R88" i="3"/>
  <c r="S88" i="3"/>
  <c r="T88" i="3"/>
  <c r="U88" i="3"/>
  <c r="V88" i="3"/>
  <c r="W88" i="3"/>
  <c r="X88" i="3"/>
  <c r="Y88" i="3"/>
  <c r="Z88" i="3"/>
  <c r="AA88" i="3"/>
  <c r="AB88" i="3"/>
  <c r="AC88" i="3"/>
  <c r="AD88" i="3"/>
  <c r="AE88" i="3"/>
  <c r="AF88" i="3"/>
  <c r="AG88" i="3"/>
  <c r="AH88" i="3"/>
  <c r="AI88" i="3"/>
  <c r="AJ88" i="3"/>
  <c r="AK88" i="3"/>
  <c r="AL88" i="3"/>
  <c r="AM88" i="3"/>
  <c r="AN88" i="3"/>
  <c r="AO88" i="3"/>
  <c r="AP88" i="3"/>
  <c r="AQ88" i="3"/>
  <c r="AR88" i="3"/>
  <c r="AS88" i="3"/>
  <c r="AT88" i="3"/>
  <c r="AU88" i="3"/>
  <c r="AV88" i="3"/>
  <c r="AW88" i="3"/>
  <c r="AX88" i="3"/>
  <c r="A89" i="3"/>
  <c r="B89" i="3"/>
  <c r="C89" i="3"/>
  <c r="D89" i="3"/>
  <c r="E89" i="3"/>
  <c r="F89" i="3"/>
  <c r="G89" i="3"/>
  <c r="H89" i="3"/>
  <c r="I89" i="3"/>
  <c r="J89" i="3"/>
  <c r="K89" i="3"/>
  <c r="L89" i="3"/>
  <c r="M89" i="3"/>
  <c r="N89" i="3"/>
  <c r="O89" i="3"/>
  <c r="P89" i="3"/>
  <c r="Q89" i="3"/>
  <c r="R89" i="3"/>
  <c r="S89" i="3"/>
  <c r="T89" i="3"/>
  <c r="U89" i="3"/>
  <c r="V89" i="3"/>
  <c r="W89" i="3"/>
  <c r="X89" i="3"/>
  <c r="Y89" i="3"/>
  <c r="Z89" i="3"/>
  <c r="AA89" i="3"/>
  <c r="AB89" i="3"/>
  <c r="AC89" i="3"/>
  <c r="AD89" i="3"/>
  <c r="AE89" i="3"/>
  <c r="AF89" i="3"/>
  <c r="AG89" i="3"/>
  <c r="AH89" i="3"/>
  <c r="AI89" i="3"/>
  <c r="AJ89" i="3"/>
  <c r="AK89" i="3"/>
  <c r="AL89" i="3"/>
  <c r="AM89" i="3"/>
  <c r="AN89" i="3"/>
  <c r="AO89" i="3"/>
  <c r="AP89" i="3"/>
  <c r="AQ89" i="3"/>
  <c r="AR89" i="3"/>
  <c r="AS89" i="3"/>
  <c r="AT89" i="3"/>
  <c r="AU89" i="3"/>
  <c r="AV89" i="3"/>
  <c r="AW89" i="3"/>
  <c r="AX89" i="3"/>
  <c r="A90" i="3"/>
  <c r="B90" i="3"/>
  <c r="C90" i="3"/>
  <c r="D90" i="3"/>
  <c r="E90" i="3"/>
  <c r="F90" i="3"/>
  <c r="G90" i="3"/>
  <c r="H90" i="3"/>
  <c r="I90" i="3"/>
  <c r="J90" i="3"/>
  <c r="K90" i="3"/>
  <c r="L90" i="3"/>
  <c r="M90" i="3"/>
  <c r="N90" i="3"/>
  <c r="O90" i="3"/>
  <c r="P90" i="3"/>
  <c r="Q90" i="3"/>
  <c r="R90" i="3"/>
  <c r="S90" i="3"/>
  <c r="T90" i="3"/>
  <c r="U90" i="3"/>
  <c r="V90" i="3"/>
  <c r="W90" i="3"/>
  <c r="X90" i="3"/>
  <c r="Y90" i="3"/>
  <c r="Z90" i="3"/>
  <c r="AA90" i="3"/>
  <c r="AB90" i="3"/>
  <c r="AC90" i="3"/>
  <c r="AD90" i="3"/>
  <c r="AE90" i="3"/>
  <c r="AF90" i="3"/>
  <c r="AG90" i="3"/>
  <c r="AH90" i="3"/>
  <c r="AI90" i="3"/>
  <c r="AJ90" i="3"/>
  <c r="AK90" i="3"/>
  <c r="AL90" i="3"/>
  <c r="AM90" i="3"/>
  <c r="AN90" i="3"/>
  <c r="AO90" i="3"/>
  <c r="AP90" i="3"/>
  <c r="AQ90" i="3"/>
  <c r="AR90" i="3"/>
  <c r="AS90" i="3"/>
  <c r="AT90" i="3"/>
  <c r="AU90" i="3"/>
  <c r="AV90" i="3"/>
  <c r="AW90" i="3"/>
  <c r="AX90" i="3"/>
  <c r="A91" i="3"/>
  <c r="B91" i="3"/>
  <c r="C91" i="3"/>
  <c r="D91" i="3"/>
  <c r="E91" i="3"/>
  <c r="F91" i="3"/>
  <c r="G91" i="3"/>
  <c r="H91" i="3"/>
  <c r="I91" i="3"/>
  <c r="J91" i="3"/>
  <c r="K91" i="3"/>
  <c r="L91" i="3"/>
  <c r="M91" i="3"/>
  <c r="N91" i="3"/>
  <c r="O91" i="3"/>
  <c r="P91" i="3"/>
  <c r="Q91" i="3"/>
  <c r="R91" i="3"/>
  <c r="S91" i="3"/>
  <c r="T91" i="3"/>
  <c r="U91" i="3"/>
  <c r="V91" i="3"/>
  <c r="W91" i="3"/>
  <c r="X91" i="3"/>
  <c r="Y91" i="3"/>
  <c r="Z91" i="3"/>
  <c r="AA91" i="3"/>
  <c r="AB91" i="3"/>
  <c r="AC91" i="3"/>
  <c r="AD91" i="3"/>
  <c r="AE91" i="3"/>
  <c r="AF91" i="3"/>
  <c r="AG91" i="3"/>
  <c r="AH91" i="3"/>
  <c r="AI91" i="3"/>
  <c r="AJ91" i="3"/>
  <c r="AK91" i="3"/>
  <c r="AL91" i="3"/>
  <c r="AM91" i="3"/>
  <c r="AN91" i="3"/>
  <c r="AO91" i="3"/>
  <c r="AP91" i="3"/>
  <c r="AQ91" i="3"/>
  <c r="AR91" i="3"/>
  <c r="AS91" i="3"/>
  <c r="AT91" i="3"/>
  <c r="AU91" i="3"/>
  <c r="AV91" i="3"/>
  <c r="AW91" i="3"/>
  <c r="AX91" i="3"/>
  <c r="A92" i="3"/>
  <c r="B92" i="3"/>
  <c r="C92" i="3"/>
  <c r="D92" i="3"/>
  <c r="E92" i="3"/>
  <c r="F92" i="3"/>
  <c r="G92" i="3"/>
  <c r="H92" i="3"/>
  <c r="I92" i="3"/>
  <c r="J92" i="3"/>
  <c r="K92" i="3"/>
  <c r="L92" i="3"/>
  <c r="M92" i="3"/>
  <c r="N92" i="3"/>
  <c r="O92" i="3"/>
  <c r="P92" i="3"/>
  <c r="Q92" i="3"/>
  <c r="R92" i="3"/>
  <c r="S92" i="3"/>
  <c r="T92" i="3"/>
  <c r="U92" i="3"/>
  <c r="V92" i="3"/>
  <c r="W92" i="3"/>
  <c r="X92" i="3"/>
  <c r="Y92" i="3"/>
  <c r="Z92" i="3"/>
  <c r="AA92" i="3"/>
  <c r="AB92" i="3"/>
  <c r="AC92" i="3"/>
  <c r="AD92" i="3"/>
  <c r="AE92" i="3"/>
  <c r="AF92" i="3"/>
  <c r="AG92" i="3"/>
  <c r="AH92" i="3"/>
  <c r="AI92" i="3"/>
  <c r="AJ92" i="3"/>
  <c r="AK92" i="3"/>
  <c r="AL92" i="3"/>
  <c r="AM92" i="3"/>
  <c r="AN92" i="3"/>
  <c r="AO92" i="3"/>
  <c r="AP92" i="3"/>
  <c r="AQ92" i="3"/>
  <c r="AR92" i="3"/>
  <c r="AS92" i="3"/>
  <c r="AT92" i="3"/>
  <c r="AU92" i="3"/>
  <c r="AV92" i="3"/>
  <c r="AW92" i="3"/>
  <c r="AX92" i="3"/>
  <c r="A93" i="3"/>
  <c r="B93" i="3"/>
  <c r="C93" i="3"/>
  <c r="D93" i="3"/>
  <c r="E93" i="3"/>
  <c r="F93" i="3"/>
  <c r="G93" i="3"/>
  <c r="H93" i="3"/>
  <c r="I93" i="3"/>
  <c r="J93" i="3"/>
  <c r="K93" i="3"/>
  <c r="L93" i="3"/>
  <c r="M93" i="3"/>
  <c r="N93" i="3"/>
  <c r="O93" i="3"/>
  <c r="P93" i="3"/>
  <c r="Q93" i="3"/>
  <c r="R93" i="3"/>
  <c r="S93" i="3"/>
  <c r="T93" i="3"/>
  <c r="U93" i="3"/>
  <c r="V93" i="3"/>
  <c r="W93" i="3"/>
  <c r="X93" i="3"/>
  <c r="Y93" i="3"/>
  <c r="Z93" i="3"/>
  <c r="AA93" i="3"/>
  <c r="AB93" i="3"/>
  <c r="AC93" i="3"/>
  <c r="AD93" i="3"/>
  <c r="AE93" i="3"/>
  <c r="AF93" i="3"/>
  <c r="AG93" i="3"/>
  <c r="AH93" i="3"/>
  <c r="AI93" i="3"/>
  <c r="AJ93" i="3"/>
  <c r="AK93" i="3"/>
  <c r="AL93" i="3"/>
  <c r="AM93" i="3"/>
  <c r="AN93" i="3"/>
  <c r="AO93" i="3"/>
  <c r="AP93" i="3"/>
  <c r="AQ93" i="3"/>
  <c r="AR93" i="3"/>
  <c r="AS93" i="3"/>
  <c r="AT93" i="3"/>
  <c r="AU93" i="3"/>
  <c r="AV93" i="3"/>
  <c r="AW93" i="3"/>
  <c r="AX93" i="3"/>
  <c r="A94" i="3"/>
  <c r="B94" i="3"/>
  <c r="C94" i="3"/>
  <c r="D94" i="3"/>
  <c r="E94" i="3"/>
  <c r="F94" i="3"/>
  <c r="G94" i="3"/>
  <c r="H94" i="3"/>
  <c r="I94" i="3"/>
  <c r="J94" i="3"/>
  <c r="K94" i="3"/>
  <c r="L94" i="3"/>
  <c r="M94" i="3"/>
  <c r="N94" i="3"/>
  <c r="O94" i="3"/>
  <c r="P94" i="3"/>
  <c r="Q94" i="3"/>
  <c r="R94" i="3"/>
  <c r="S94" i="3"/>
  <c r="T94" i="3"/>
  <c r="U94" i="3"/>
  <c r="V94" i="3"/>
  <c r="W94" i="3"/>
  <c r="X94" i="3"/>
  <c r="Y94" i="3"/>
  <c r="Z94" i="3"/>
  <c r="AA94" i="3"/>
  <c r="AB94" i="3"/>
  <c r="AC94" i="3"/>
  <c r="AD94" i="3"/>
  <c r="AE94" i="3"/>
  <c r="AF94" i="3"/>
  <c r="AG94" i="3"/>
  <c r="AH94" i="3"/>
  <c r="AI94" i="3"/>
  <c r="AJ94" i="3"/>
  <c r="AK94" i="3"/>
  <c r="AL94" i="3"/>
  <c r="AM94" i="3"/>
  <c r="AN94" i="3"/>
  <c r="AO94" i="3"/>
  <c r="AP94" i="3"/>
  <c r="AQ94" i="3"/>
  <c r="AR94" i="3"/>
  <c r="AS94" i="3"/>
  <c r="AT94" i="3"/>
  <c r="AU94" i="3"/>
  <c r="AV94" i="3"/>
  <c r="AW94" i="3"/>
  <c r="AX94" i="3"/>
  <c r="A95" i="3"/>
  <c r="B95" i="3"/>
  <c r="C95" i="3"/>
  <c r="D95" i="3"/>
  <c r="E95" i="3"/>
  <c r="F95" i="3"/>
  <c r="G95" i="3"/>
  <c r="H95" i="3"/>
  <c r="I95" i="3"/>
  <c r="J95" i="3"/>
  <c r="K95" i="3"/>
  <c r="L95" i="3"/>
  <c r="M95" i="3"/>
  <c r="N95" i="3"/>
  <c r="O95" i="3"/>
  <c r="P95" i="3"/>
  <c r="Q95" i="3"/>
  <c r="R95" i="3"/>
  <c r="S95" i="3"/>
  <c r="T95" i="3"/>
  <c r="U95" i="3"/>
  <c r="V95" i="3"/>
  <c r="W95" i="3"/>
  <c r="X95" i="3"/>
  <c r="Y95" i="3"/>
  <c r="Z95" i="3"/>
  <c r="AA95" i="3"/>
  <c r="AB95" i="3"/>
  <c r="AC95" i="3"/>
  <c r="AD95" i="3"/>
  <c r="AE95" i="3"/>
  <c r="AF95" i="3"/>
  <c r="AG95" i="3"/>
  <c r="AH95" i="3"/>
  <c r="AI95" i="3"/>
  <c r="AJ95" i="3"/>
  <c r="AK95" i="3"/>
  <c r="AL95" i="3"/>
  <c r="AM95" i="3"/>
  <c r="AN95" i="3"/>
  <c r="AO95" i="3"/>
  <c r="AP95" i="3"/>
  <c r="AQ95" i="3"/>
  <c r="AR95" i="3"/>
  <c r="AS95" i="3"/>
  <c r="AT95" i="3"/>
  <c r="AU95" i="3"/>
  <c r="AV95" i="3"/>
  <c r="AW95" i="3"/>
  <c r="AX95" i="3"/>
  <c r="A96" i="3"/>
  <c r="B96" i="3"/>
  <c r="C96" i="3"/>
  <c r="D96" i="3"/>
  <c r="E96" i="3"/>
  <c r="F96" i="3"/>
  <c r="G96" i="3"/>
  <c r="H96" i="3"/>
  <c r="I96" i="3"/>
  <c r="J96" i="3"/>
  <c r="K96" i="3"/>
  <c r="L96" i="3"/>
  <c r="M96" i="3"/>
  <c r="N96" i="3"/>
  <c r="O96" i="3"/>
  <c r="P96" i="3"/>
  <c r="Q96" i="3"/>
  <c r="R96" i="3"/>
  <c r="S96" i="3"/>
  <c r="T96" i="3"/>
  <c r="U96" i="3"/>
  <c r="V96" i="3"/>
  <c r="W96" i="3"/>
  <c r="X96" i="3"/>
  <c r="Y96" i="3"/>
  <c r="Z96" i="3"/>
  <c r="AA96" i="3"/>
  <c r="AB96" i="3"/>
  <c r="AC96" i="3"/>
  <c r="AD96" i="3"/>
  <c r="AE96" i="3"/>
  <c r="AF96" i="3"/>
  <c r="AG96" i="3"/>
  <c r="AH96" i="3"/>
  <c r="AI96" i="3"/>
  <c r="AJ96" i="3"/>
  <c r="AK96" i="3"/>
  <c r="AL96" i="3"/>
  <c r="AM96" i="3"/>
  <c r="AN96" i="3"/>
  <c r="AO96" i="3"/>
  <c r="AP96" i="3"/>
  <c r="AQ96" i="3"/>
  <c r="AR96" i="3"/>
  <c r="AS96" i="3"/>
  <c r="AT96" i="3"/>
  <c r="AU96" i="3"/>
  <c r="AV96" i="3"/>
  <c r="AW96" i="3"/>
  <c r="AX96" i="3"/>
  <c r="A97" i="3"/>
  <c r="B97" i="3"/>
  <c r="C97" i="3"/>
  <c r="D97" i="3"/>
  <c r="E97" i="3"/>
  <c r="F97" i="3"/>
  <c r="G97" i="3"/>
  <c r="H97" i="3"/>
  <c r="I97" i="3"/>
  <c r="J97" i="3"/>
  <c r="K97" i="3"/>
  <c r="L97" i="3"/>
  <c r="M97" i="3"/>
  <c r="N97" i="3"/>
  <c r="O97" i="3"/>
  <c r="P97" i="3"/>
  <c r="Q97" i="3"/>
  <c r="R97" i="3"/>
  <c r="S97" i="3"/>
  <c r="T97" i="3"/>
  <c r="U97" i="3"/>
  <c r="V97" i="3"/>
  <c r="W97" i="3"/>
  <c r="X97" i="3"/>
  <c r="Y97" i="3"/>
  <c r="Z97" i="3"/>
  <c r="AA97" i="3"/>
  <c r="AB97" i="3"/>
  <c r="AC97" i="3"/>
  <c r="AD97" i="3"/>
  <c r="AE97" i="3"/>
  <c r="AF97" i="3"/>
  <c r="AG97" i="3"/>
  <c r="AH97" i="3"/>
  <c r="AI97" i="3"/>
  <c r="AJ97" i="3"/>
  <c r="AK97" i="3"/>
  <c r="AL97" i="3"/>
  <c r="AM97" i="3"/>
  <c r="AN97" i="3"/>
  <c r="AO97" i="3"/>
  <c r="AP97" i="3"/>
  <c r="AQ97" i="3"/>
  <c r="AR97" i="3"/>
  <c r="AS97" i="3"/>
  <c r="AT97" i="3"/>
  <c r="AU97" i="3"/>
  <c r="AV97" i="3"/>
  <c r="AW97" i="3"/>
  <c r="AX97" i="3"/>
  <c r="A98" i="3"/>
  <c r="B98" i="3"/>
  <c r="C98" i="3"/>
  <c r="D98" i="3"/>
  <c r="E98" i="3"/>
  <c r="F98" i="3"/>
  <c r="G98" i="3"/>
  <c r="H98" i="3"/>
  <c r="I98" i="3"/>
  <c r="J98" i="3"/>
  <c r="K98" i="3"/>
  <c r="L98" i="3"/>
  <c r="M98" i="3"/>
  <c r="N98" i="3"/>
  <c r="O98" i="3"/>
  <c r="P98" i="3"/>
  <c r="Q98" i="3"/>
  <c r="R98" i="3"/>
  <c r="S98" i="3"/>
  <c r="T98" i="3"/>
  <c r="U98" i="3"/>
  <c r="V98" i="3"/>
  <c r="W98" i="3"/>
  <c r="X98" i="3"/>
  <c r="Y98" i="3"/>
  <c r="Z98" i="3"/>
  <c r="AA98" i="3"/>
  <c r="AB98" i="3"/>
  <c r="AC98" i="3"/>
  <c r="AD98" i="3"/>
  <c r="AE98" i="3"/>
  <c r="AF98" i="3"/>
  <c r="AG98" i="3"/>
  <c r="AH98" i="3"/>
  <c r="AI98" i="3"/>
  <c r="AJ98" i="3"/>
  <c r="AK98" i="3"/>
  <c r="AL98" i="3"/>
  <c r="AM98" i="3"/>
  <c r="AN98" i="3"/>
  <c r="AO98" i="3"/>
  <c r="AP98" i="3"/>
  <c r="AQ98" i="3"/>
  <c r="AR98" i="3"/>
  <c r="AS98" i="3"/>
  <c r="AT98" i="3"/>
  <c r="AU98" i="3"/>
  <c r="AV98" i="3"/>
  <c r="AW98" i="3"/>
  <c r="AX98" i="3"/>
  <c r="A99" i="3"/>
  <c r="B99" i="3"/>
  <c r="C99" i="3"/>
  <c r="D99" i="3"/>
  <c r="E99" i="3"/>
  <c r="F99" i="3"/>
  <c r="G99" i="3"/>
  <c r="H99" i="3"/>
  <c r="I99" i="3"/>
  <c r="J99" i="3"/>
  <c r="K99" i="3"/>
  <c r="L99" i="3"/>
  <c r="M99" i="3"/>
  <c r="N99" i="3"/>
  <c r="O99" i="3"/>
  <c r="P99" i="3"/>
  <c r="Q99" i="3"/>
  <c r="R99" i="3"/>
  <c r="S99" i="3"/>
  <c r="T99" i="3"/>
  <c r="U99" i="3"/>
  <c r="V99" i="3"/>
  <c r="W99" i="3"/>
  <c r="X99" i="3"/>
  <c r="Y99" i="3"/>
  <c r="Z99" i="3"/>
  <c r="AA99" i="3"/>
  <c r="AB99" i="3"/>
  <c r="AC99" i="3"/>
  <c r="AD99" i="3"/>
  <c r="AE99" i="3"/>
  <c r="AF99" i="3"/>
  <c r="AG99" i="3"/>
  <c r="AH99" i="3"/>
  <c r="AI99" i="3"/>
  <c r="AJ99" i="3"/>
  <c r="AK99" i="3"/>
  <c r="AL99" i="3"/>
  <c r="AM99" i="3"/>
  <c r="AN99" i="3"/>
  <c r="AO99" i="3"/>
  <c r="AP99" i="3"/>
  <c r="AQ99" i="3"/>
  <c r="AR99" i="3"/>
  <c r="AS99" i="3"/>
  <c r="AT99" i="3"/>
  <c r="AU99" i="3"/>
  <c r="AV99" i="3"/>
  <c r="AW99" i="3"/>
  <c r="AX99" i="3"/>
  <c r="A100" i="3"/>
  <c r="B100" i="3"/>
  <c r="C100" i="3"/>
  <c r="D100" i="3"/>
  <c r="E100" i="3"/>
  <c r="F100" i="3"/>
  <c r="G100" i="3"/>
  <c r="H100" i="3"/>
  <c r="I100" i="3"/>
  <c r="J100" i="3"/>
  <c r="K100" i="3"/>
  <c r="L100" i="3"/>
  <c r="M100" i="3"/>
  <c r="N100" i="3"/>
  <c r="O100" i="3"/>
  <c r="P100" i="3"/>
  <c r="Q100" i="3"/>
  <c r="R100" i="3"/>
  <c r="S100" i="3"/>
  <c r="T100" i="3"/>
  <c r="U100" i="3"/>
  <c r="V100" i="3"/>
  <c r="W100" i="3"/>
  <c r="X100" i="3"/>
  <c r="Y100" i="3"/>
  <c r="Z100" i="3"/>
  <c r="AA100" i="3"/>
  <c r="AB100" i="3"/>
  <c r="AC100" i="3"/>
  <c r="AD100" i="3"/>
  <c r="AE100" i="3"/>
  <c r="AF100" i="3"/>
  <c r="AG100" i="3"/>
  <c r="AH100" i="3"/>
  <c r="AI100" i="3"/>
  <c r="AJ100" i="3"/>
  <c r="AK100" i="3"/>
  <c r="AL100" i="3"/>
  <c r="AM100" i="3"/>
  <c r="AN100" i="3"/>
  <c r="AO100" i="3"/>
  <c r="AP100" i="3"/>
  <c r="AQ100" i="3"/>
  <c r="AR100" i="3"/>
  <c r="AS100" i="3"/>
  <c r="AT100" i="3"/>
  <c r="AU100" i="3"/>
  <c r="AV100" i="3"/>
  <c r="AW100" i="3"/>
  <c r="AX100" i="3"/>
  <c r="AX2" i="3"/>
  <c r="AJ2" i="3"/>
  <c r="AK2" i="3"/>
  <c r="AL2" i="3"/>
  <c r="AM2" i="3"/>
  <c r="AN2" i="3"/>
  <c r="AO2" i="3"/>
  <c r="AP2" i="3"/>
  <c r="AQ2" i="3"/>
  <c r="AR2" i="3"/>
  <c r="AS2" i="3"/>
  <c r="AT2" i="3"/>
  <c r="AU2" i="3"/>
  <c r="AV2" i="3"/>
  <c r="AW2" i="3"/>
  <c r="B2" i="3"/>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2" i="3"/>
  <c r="U13" i="2"/>
  <c r="D53" i="2"/>
  <c r="R9" i="2"/>
  <c r="R10" i="2"/>
  <c r="R11" i="2"/>
  <c r="R8" i="2"/>
  <c r="O11" i="2"/>
  <c r="O10" i="2"/>
  <c r="O9" i="2"/>
  <c r="O8" i="2"/>
  <c r="P11" i="2"/>
  <c r="P10" i="2"/>
  <c r="P9" i="2"/>
  <c r="P8" i="2"/>
  <c r="F54" i="2"/>
  <c r="F53" i="2"/>
  <c r="E34" i="2"/>
  <c r="E35" i="2"/>
  <c r="E36" i="2"/>
  <c r="E37" i="2"/>
  <c r="E38" i="2"/>
  <c r="E39" i="2"/>
  <c r="E40" i="2"/>
  <c r="E41" i="2"/>
  <c r="E42" i="2"/>
  <c r="E43" i="2"/>
  <c r="E44" i="2"/>
  <c r="E45" i="2"/>
  <c r="E46" i="2"/>
  <c r="E47" i="2"/>
  <c r="E48" i="2"/>
  <c r="E49" i="2"/>
  <c r="E50" i="2"/>
  <c r="E51" i="2"/>
  <c r="E52" i="2"/>
  <c r="E33" i="2"/>
  <c r="D34" i="2"/>
  <c r="D35" i="2"/>
  <c r="D36" i="2"/>
  <c r="D37" i="2"/>
  <c r="D38" i="2"/>
  <c r="D39" i="2"/>
  <c r="D40" i="2"/>
  <c r="D41" i="2"/>
  <c r="D42" i="2"/>
  <c r="D43" i="2"/>
  <c r="D44" i="2"/>
  <c r="D45" i="2"/>
  <c r="D46" i="2"/>
  <c r="D47" i="2"/>
  <c r="D48" i="2"/>
  <c r="D49" i="2"/>
  <c r="D50" i="2"/>
  <c r="D51" i="2"/>
  <c r="D52" i="2"/>
  <c r="D33" i="2"/>
  <c r="C53" i="2"/>
  <c r="C34" i="2"/>
  <c r="C35" i="2"/>
  <c r="C36" i="2"/>
  <c r="C37" i="2"/>
  <c r="C38" i="2"/>
  <c r="C39" i="2"/>
  <c r="C40" i="2"/>
  <c r="C41" i="2"/>
  <c r="C42" i="2"/>
  <c r="C43" i="2"/>
  <c r="C44" i="2"/>
  <c r="C45" i="2"/>
  <c r="C46" i="2"/>
  <c r="C47" i="2"/>
  <c r="C48" i="2"/>
  <c r="C49" i="2"/>
  <c r="C50" i="2"/>
  <c r="C51" i="2"/>
  <c r="C52" i="2"/>
  <c r="C33" i="2"/>
  <c r="C18" i="2"/>
  <c r="B52" i="2"/>
  <c r="B34" i="2"/>
  <c r="B35" i="2"/>
  <c r="B36" i="2"/>
  <c r="B37" i="2"/>
  <c r="B38" i="2"/>
  <c r="B39" i="2"/>
  <c r="B40" i="2"/>
  <c r="B41" i="2"/>
  <c r="B42" i="2"/>
  <c r="B43" i="2"/>
  <c r="B44" i="2"/>
  <c r="B45" i="2"/>
  <c r="B46" i="2"/>
  <c r="B47" i="2"/>
  <c r="B48" i="2"/>
  <c r="B49" i="2"/>
  <c r="B50" i="2"/>
  <c r="B51" i="2"/>
  <c r="B33" i="2"/>
  <c r="F29" i="2"/>
  <c r="F28" i="2"/>
  <c r="E19" i="2"/>
  <c r="E20" i="2"/>
  <c r="E21" i="2"/>
  <c r="E22" i="2"/>
  <c r="E23" i="2"/>
  <c r="E24" i="2"/>
  <c r="E25" i="2"/>
  <c r="E26" i="2"/>
  <c r="E27" i="2"/>
  <c r="E18" i="2"/>
  <c r="D28" i="2"/>
  <c r="D19" i="2"/>
  <c r="D20" i="2"/>
  <c r="D21" i="2"/>
  <c r="D22" i="2"/>
  <c r="D23" i="2"/>
  <c r="D24" i="2"/>
  <c r="D25" i="2"/>
  <c r="D26" i="2"/>
  <c r="D27" i="2"/>
  <c r="D18" i="2"/>
  <c r="C28" i="2"/>
  <c r="D9" i="2"/>
  <c r="C19" i="2"/>
  <c r="C20" i="2"/>
  <c r="C21" i="2"/>
  <c r="C22" i="2"/>
  <c r="C23" i="2"/>
  <c r="C24" i="2"/>
  <c r="C25" i="2"/>
  <c r="C26" i="2"/>
  <c r="C27" i="2"/>
  <c r="C9" i="2"/>
  <c r="B27" i="2"/>
  <c r="B19" i="2"/>
  <c r="B20" i="2"/>
  <c r="B21" i="2"/>
  <c r="B22" i="2"/>
  <c r="B23" i="2"/>
  <c r="B24" i="2"/>
  <c r="B25" i="2"/>
  <c r="B26" i="2"/>
  <c r="B18" i="2"/>
  <c r="E9" i="5" l="1"/>
  <c r="D9" i="5"/>
  <c r="D8" i="5" s="1"/>
  <c r="F108" i="5"/>
  <c r="G108" i="5" s="1"/>
  <c r="H108" i="5" s="1"/>
  <c r="I108" i="5" s="1"/>
  <c r="J108" i="5" s="1"/>
  <c r="K108" i="5" s="1"/>
  <c r="L108" i="5" s="1"/>
  <c r="M108" i="5" s="1"/>
  <c r="N108" i="5" s="1"/>
  <c r="O108" i="5" s="1"/>
  <c r="P108" i="5" s="1"/>
  <c r="Q108" i="5" s="1"/>
  <c r="R108" i="5" s="1"/>
  <c r="S108" i="5" s="1"/>
  <c r="T108" i="5" s="1"/>
  <c r="U108" i="5" s="1"/>
  <c r="V108" i="5" s="1"/>
  <c r="W108" i="5" s="1"/>
  <c r="X108" i="5" s="1"/>
  <c r="Y108" i="5" s="1"/>
  <c r="Z108" i="5" s="1"/>
  <c r="AA108" i="5" s="1"/>
  <c r="AB108" i="5" s="1"/>
  <c r="AC108" i="5" s="1"/>
  <c r="AD108" i="5" s="1"/>
  <c r="AE108" i="5" s="1"/>
  <c r="AF108" i="5" s="1"/>
  <c r="AG108" i="5" s="1"/>
  <c r="AH108" i="5" s="1"/>
  <c r="AI108" i="5" s="1"/>
  <c r="AJ108" i="5" s="1"/>
  <c r="AK108" i="5" s="1"/>
  <c r="AL108" i="5" s="1"/>
  <c r="AM108" i="5" s="1"/>
  <c r="AN108" i="5" s="1"/>
  <c r="AO108" i="5" s="1"/>
  <c r="AP108" i="5" s="1"/>
  <c r="AQ108" i="5" s="1"/>
  <c r="AR108" i="5" s="1"/>
  <c r="AS108" i="5" s="1"/>
  <c r="AT108" i="5" s="1"/>
  <c r="AU108" i="5" s="1"/>
  <c r="AV108" i="5" s="1"/>
  <c r="AW108" i="5" s="1"/>
  <c r="AX108" i="5" s="1"/>
  <c r="AY108" i="5" s="1"/>
  <c r="AZ108" i="5" s="1"/>
  <c r="BA108" i="5" s="1"/>
  <c r="BB108" i="5" s="1"/>
  <c r="BC108" i="5" s="1"/>
  <c r="BD108" i="5" s="1"/>
  <c r="BE108" i="5" s="1"/>
  <c r="BF108" i="5" s="1"/>
  <c r="BG108" i="5" s="1"/>
  <c r="BH108" i="5" s="1"/>
  <c r="BI108" i="5" s="1"/>
  <c r="BJ108" i="5" s="1"/>
  <c r="BK108" i="5" s="1"/>
  <c r="BL108" i="5" s="1"/>
  <c r="BM108" i="5" s="1"/>
  <c r="BN108" i="5" s="1"/>
  <c r="BO108" i="5" s="1"/>
  <c r="BP108" i="5" s="1"/>
  <c r="BQ108" i="5" s="1"/>
  <c r="BR108" i="5" s="1"/>
  <c r="BS108" i="5" s="1"/>
  <c r="BT108" i="5" s="1"/>
  <c r="BU108" i="5" s="1"/>
  <c r="BV108" i="5" s="1"/>
  <c r="BW108" i="5" s="1"/>
  <c r="BX108" i="5" s="1"/>
  <c r="BY108" i="5" s="1"/>
  <c r="BZ108" i="5" s="1"/>
  <c r="CA108" i="5" s="1"/>
  <c r="CB108" i="5" s="1"/>
  <c r="CC108" i="5" s="1"/>
  <c r="CD108" i="5" s="1"/>
  <c r="CE108" i="5" s="1"/>
  <c r="CF108" i="5" s="1"/>
  <c r="CG108" i="5" s="1"/>
  <c r="CH108" i="5" s="1"/>
  <c r="CI108" i="5" s="1"/>
  <c r="CJ108" i="5" s="1"/>
  <c r="CK108" i="5" s="1"/>
  <c r="CL108" i="5" s="1"/>
  <c r="CM108" i="5" s="1"/>
  <c r="CN108" i="5" s="1"/>
  <c r="CO108" i="5" s="1"/>
  <c r="CP108" i="5" s="1"/>
  <c r="CQ108" i="5" s="1"/>
  <c r="CR108" i="5" s="1"/>
  <c r="CS108" i="5" s="1"/>
  <c r="CT108" i="5" s="1"/>
  <c r="CU108" i="5" s="1"/>
  <c r="CV108" i="5" s="1"/>
  <c r="CW108" i="5" s="1"/>
  <c r="CX108" i="5" s="1"/>
  <c r="CY108" i="5" s="1"/>
  <c r="CZ108" i="5" s="1"/>
  <c r="DA108" i="5" s="1"/>
  <c r="DB108" i="5" s="1"/>
  <c r="DC108" i="5" s="1"/>
  <c r="DD108" i="5" s="1"/>
  <c r="DE108" i="5" s="1"/>
  <c r="DF108" i="5" s="1"/>
  <c r="DG108" i="5" s="1"/>
  <c r="DH108" i="5" s="1"/>
  <c r="DI108" i="5" s="1"/>
  <c r="DJ108" i="5" s="1"/>
  <c r="DK108" i="5" s="1"/>
  <c r="DL108" i="5" s="1"/>
  <c r="DM108" i="5" s="1"/>
  <c r="DN108" i="5" s="1"/>
  <c r="DO108" i="5" s="1"/>
  <c r="DP108" i="5" s="1"/>
  <c r="DQ108" i="5" s="1"/>
  <c r="DR108" i="5" s="1"/>
  <c r="DS108" i="5" s="1"/>
  <c r="DT108" i="5" s="1"/>
  <c r="DU108" i="5" s="1"/>
  <c r="DV108" i="5" s="1"/>
  <c r="DW108" i="5" s="1"/>
  <c r="DX108" i="5" s="1"/>
  <c r="DY108" i="5" s="1"/>
  <c r="DZ108" i="5" s="1"/>
  <c r="EA108" i="5" s="1"/>
  <c r="EB108" i="5" s="1"/>
  <c r="EC108" i="5" s="1"/>
  <c r="ED108" i="5" s="1"/>
  <c r="EE108" i="5" s="1"/>
  <c r="EF108" i="5" s="1"/>
  <c r="EG108" i="5" s="1"/>
  <c r="EH108" i="5" s="1"/>
  <c r="EI108" i="5" s="1"/>
  <c r="EJ108" i="5" s="1"/>
  <c r="EK108" i="5" s="1"/>
  <c r="EL108" i="5" s="1"/>
  <c r="EM108" i="5" s="1"/>
  <c r="EN108" i="5" s="1"/>
  <c r="EO108" i="5" s="1"/>
  <c r="EP108" i="5" s="1"/>
  <c r="EQ108" i="5" s="1"/>
  <c r="ER108" i="5" s="1"/>
  <c r="ES108" i="5" s="1"/>
  <c r="ET108" i="5" s="1"/>
  <c r="EU108" i="5" s="1"/>
  <c r="EV108" i="5" s="1"/>
  <c r="EW108" i="5" s="1"/>
  <c r="EX108" i="5" s="1"/>
  <c r="EY108" i="5" s="1"/>
  <c r="EZ108" i="5" s="1"/>
  <c r="FA108" i="5" s="1"/>
  <c r="FB108" i="5" s="1"/>
  <c r="FC108" i="5" s="1"/>
  <c r="FD108" i="5" s="1"/>
  <c r="FE108" i="5" s="1"/>
  <c r="FF108" i="5" s="1"/>
  <c r="FG108" i="5" s="1"/>
  <c r="FH108" i="5" s="1"/>
  <c r="FI108" i="5" s="1"/>
  <c r="FJ108" i="5" s="1"/>
  <c r="FK108" i="5" s="1"/>
  <c r="FL108" i="5" s="1"/>
  <c r="FM108" i="5" s="1"/>
  <c r="FN108" i="5" s="1"/>
  <c r="FO108" i="5" s="1"/>
  <c r="FP108" i="5" s="1"/>
  <c r="FQ108" i="5" s="1"/>
  <c r="FR108" i="5" s="1"/>
  <c r="FS108" i="5" s="1"/>
  <c r="FT108" i="5" s="1"/>
  <c r="FU108" i="5" s="1"/>
  <c r="FV108" i="5" s="1"/>
  <c r="FW108" i="5" s="1"/>
  <c r="FX108" i="5" s="1"/>
  <c r="FY108" i="5" s="1"/>
  <c r="FZ108" i="5" s="1"/>
  <c r="GA108" i="5" s="1"/>
  <c r="GB108" i="5" s="1"/>
  <c r="GC108" i="5" s="1"/>
  <c r="GD108" i="5" s="1"/>
  <c r="GE108" i="5" s="1"/>
  <c r="GF108" i="5" s="1"/>
  <c r="GG108" i="5" s="1"/>
  <c r="GH108" i="5" s="1"/>
  <c r="GI108" i="5" s="1"/>
  <c r="GJ108" i="5" s="1"/>
  <c r="GK108" i="5" s="1"/>
  <c r="GL108" i="5" s="1"/>
  <c r="GM108" i="5" s="1"/>
  <c r="GN108" i="5" s="1"/>
  <c r="GO108" i="5" s="1"/>
  <c r="GP108" i="5" s="1"/>
  <c r="GQ108" i="5" s="1"/>
  <c r="GR108" i="5" s="1"/>
  <c r="GS108" i="5" s="1"/>
  <c r="GT108" i="5" s="1"/>
  <c r="GU108" i="5" s="1"/>
  <c r="GV108" i="5" s="1"/>
  <c r="GW108" i="5" s="1"/>
  <c r="GX108" i="5" s="1"/>
  <c r="GY108" i="5" s="1"/>
  <c r="GZ108" i="5" s="1"/>
  <c r="HA108" i="5" s="1"/>
  <c r="HB108" i="5" s="1"/>
  <c r="HC108" i="5" s="1"/>
  <c r="HD108" i="5" s="1"/>
  <c r="HE108" i="5" s="1"/>
  <c r="HF108" i="5" s="1"/>
  <c r="HG108" i="5" s="1"/>
  <c r="HH108" i="5" s="1"/>
  <c r="HI108" i="5" s="1"/>
  <c r="HJ108" i="5" s="1"/>
  <c r="HK108" i="5" s="1"/>
  <c r="HL108" i="5" s="1"/>
  <c r="HM108" i="5" s="1"/>
  <c r="HN108" i="5" s="1"/>
  <c r="HO108" i="5" s="1"/>
  <c r="HP108" i="5" s="1"/>
  <c r="HQ108" i="5" s="1"/>
  <c r="HR108" i="5" s="1"/>
  <c r="HS108" i="5" s="1"/>
  <c r="HT108" i="5" s="1"/>
  <c r="HU108" i="5" s="1"/>
  <c r="HV108" i="5" s="1"/>
  <c r="HW108" i="5" s="1"/>
  <c r="HX108" i="5" s="1"/>
  <c r="HY108" i="5" s="1"/>
  <c r="HZ108" i="5" s="1"/>
  <c r="IA108" i="5" s="1"/>
  <c r="IB108" i="5" s="1"/>
  <c r="IC108" i="5" s="1"/>
  <c r="ID108" i="5" s="1"/>
  <c r="IE108" i="5" s="1"/>
  <c r="IF108" i="5" s="1"/>
  <c r="IG108" i="5" s="1"/>
  <c r="IH108" i="5" s="1"/>
  <c r="II108" i="5" s="1"/>
  <c r="IJ108" i="5" s="1"/>
  <c r="IK108" i="5" s="1"/>
  <c r="IL108" i="5" s="1"/>
  <c r="IM108" i="5" s="1"/>
  <c r="IN108" i="5" s="1"/>
  <c r="IO108" i="5" s="1"/>
  <c r="IP108" i="5" s="1"/>
  <c r="IQ108" i="5" s="1"/>
  <c r="IR108" i="5" s="1"/>
  <c r="IS108" i="5" s="1"/>
  <c r="IT108" i="5" s="1"/>
  <c r="IU108" i="5" s="1"/>
  <c r="F100" i="5"/>
  <c r="G100" i="5" s="1"/>
  <c r="H100" i="5" s="1"/>
  <c r="I100" i="5" s="1"/>
  <c r="J100" i="5" s="1"/>
  <c r="K100" i="5" s="1"/>
  <c r="L100" i="5" s="1"/>
  <c r="M100" i="5" s="1"/>
  <c r="N100" i="5" s="1"/>
  <c r="O100" i="5" s="1"/>
  <c r="P100" i="5" s="1"/>
  <c r="Q100" i="5" s="1"/>
  <c r="R100" i="5" s="1"/>
  <c r="S100" i="5" s="1"/>
  <c r="T100" i="5" s="1"/>
  <c r="U100" i="5" s="1"/>
  <c r="V100" i="5" s="1"/>
  <c r="W100" i="5" s="1"/>
  <c r="X100" i="5" s="1"/>
  <c r="Y100" i="5" s="1"/>
  <c r="Z100" i="5" s="1"/>
  <c r="AA100" i="5" s="1"/>
  <c r="AB100" i="5" s="1"/>
  <c r="AC100" i="5" s="1"/>
  <c r="AD100" i="5" s="1"/>
  <c r="AE100" i="5" s="1"/>
  <c r="AF100" i="5" s="1"/>
  <c r="AG100" i="5" s="1"/>
  <c r="AH100" i="5" s="1"/>
  <c r="AI100" i="5" s="1"/>
  <c r="AJ100" i="5" s="1"/>
  <c r="AK100" i="5" s="1"/>
  <c r="AL100" i="5" s="1"/>
  <c r="AM100" i="5" s="1"/>
  <c r="AN100" i="5" s="1"/>
  <c r="AO100" i="5" s="1"/>
  <c r="AP100" i="5" s="1"/>
  <c r="AQ100" i="5" s="1"/>
  <c r="AR100" i="5" s="1"/>
  <c r="AS100" i="5" s="1"/>
  <c r="AT100" i="5" s="1"/>
  <c r="AU100" i="5" s="1"/>
  <c r="AV100" i="5" s="1"/>
  <c r="AW100" i="5" s="1"/>
  <c r="AX100" i="5" s="1"/>
  <c r="AY100" i="5" s="1"/>
  <c r="AZ100" i="5" s="1"/>
  <c r="BA100" i="5" s="1"/>
  <c r="BB100" i="5" s="1"/>
  <c r="BC100" i="5" s="1"/>
  <c r="BD100" i="5" s="1"/>
  <c r="BE100" i="5" s="1"/>
  <c r="BF100" i="5" s="1"/>
  <c r="BG100" i="5" s="1"/>
  <c r="BH100" i="5" s="1"/>
  <c r="BI100" i="5" s="1"/>
  <c r="BJ100" i="5" s="1"/>
  <c r="BK100" i="5" s="1"/>
  <c r="BL100" i="5" s="1"/>
  <c r="BM100" i="5" s="1"/>
  <c r="BN100" i="5" s="1"/>
  <c r="BO100" i="5" s="1"/>
  <c r="BP100" i="5" s="1"/>
  <c r="BQ100" i="5" s="1"/>
  <c r="BR100" i="5" s="1"/>
  <c r="BS100" i="5" s="1"/>
  <c r="BT100" i="5" s="1"/>
  <c r="BU100" i="5" s="1"/>
  <c r="BV100" i="5" s="1"/>
  <c r="BW100" i="5" s="1"/>
  <c r="BX100" i="5" s="1"/>
  <c r="BY100" i="5" s="1"/>
  <c r="BZ100" i="5" s="1"/>
  <c r="CA100" i="5" s="1"/>
  <c r="CB100" i="5" s="1"/>
  <c r="CC100" i="5" s="1"/>
  <c r="CD100" i="5" s="1"/>
  <c r="CE100" i="5" s="1"/>
  <c r="CF100" i="5" s="1"/>
  <c r="CG100" i="5" s="1"/>
  <c r="CH100" i="5" s="1"/>
  <c r="CI100" i="5" s="1"/>
  <c r="CJ100" i="5" s="1"/>
  <c r="CK100" i="5" s="1"/>
  <c r="CL100" i="5" s="1"/>
  <c r="CM100" i="5" s="1"/>
  <c r="CN100" i="5" s="1"/>
  <c r="CO100" i="5" s="1"/>
  <c r="CP100" i="5" s="1"/>
  <c r="CQ100" i="5" s="1"/>
  <c r="CR100" i="5" s="1"/>
  <c r="CS100" i="5" s="1"/>
  <c r="CT100" i="5" s="1"/>
  <c r="CU100" i="5" s="1"/>
  <c r="CV100" i="5" s="1"/>
  <c r="CW100" i="5" s="1"/>
  <c r="CX100" i="5" s="1"/>
  <c r="CY100" i="5" s="1"/>
  <c r="CZ100" i="5" s="1"/>
  <c r="DA100" i="5" s="1"/>
  <c r="DB100" i="5" s="1"/>
  <c r="DC100" i="5" s="1"/>
  <c r="DD100" i="5" s="1"/>
  <c r="DE100" i="5" s="1"/>
  <c r="DF100" i="5" s="1"/>
  <c r="DG100" i="5" s="1"/>
  <c r="DH100" i="5" s="1"/>
  <c r="DI100" i="5" s="1"/>
  <c r="DJ100" i="5" s="1"/>
  <c r="DK100" i="5" s="1"/>
  <c r="DL100" i="5" s="1"/>
  <c r="DM100" i="5" s="1"/>
  <c r="DN100" i="5" s="1"/>
  <c r="DO100" i="5" s="1"/>
  <c r="DP100" i="5" s="1"/>
  <c r="DQ100" i="5" s="1"/>
  <c r="DR100" i="5" s="1"/>
  <c r="DS100" i="5" s="1"/>
  <c r="DT100" i="5" s="1"/>
  <c r="DU100" i="5" s="1"/>
  <c r="DV100" i="5" s="1"/>
  <c r="DW100" i="5" s="1"/>
  <c r="DX100" i="5" s="1"/>
  <c r="DY100" i="5" s="1"/>
  <c r="DZ100" i="5" s="1"/>
  <c r="EA100" i="5" s="1"/>
  <c r="EB100" i="5" s="1"/>
  <c r="EC100" i="5" s="1"/>
  <c r="ED100" i="5" s="1"/>
  <c r="EE100" i="5" s="1"/>
  <c r="EF100" i="5" s="1"/>
  <c r="EG100" i="5" s="1"/>
  <c r="EH100" i="5" s="1"/>
  <c r="EI100" i="5" s="1"/>
  <c r="EJ100" i="5" s="1"/>
  <c r="EK100" i="5" s="1"/>
  <c r="EL100" i="5" s="1"/>
  <c r="EM100" i="5" s="1"/>
  <c r="EN100" i="5" s="1"/>
  <c r="EO100" i="5" s="1"/>
  <c r="EP100" i="5" s="1"/>
  <c r="EQ100" i="5" s="1"/>
  <c r="ER100" i="5" s="1"/>
  <c r="ES100" i="5" s="1"/>
  <c r="ET100" i="5" s="1"/>
  <c r="EU100" i="5" s="1"/>
  <c r="EV100" i="5" s="1"/>
  <c r="EW100" i="5" s="1"/>
  <c r="EX100" i="5" s="1"/>
  <c r="EY100" i="5" s="1"/>
  <c r="EZ100" i="5" s="1"/>
  <c r="FA100" i="5" s="1"/>
  <c r="FB100" i="5" s="1"/>
  <c r="FC100" i="5" s="1"/>
  <c r="FD100" i="5" s="1"/>
  <c r="FE100" i="5" s="1"/>
  <c r="FF100" i="5" s="1"/>
  <c r="FG100" i="5" s="1"/>
  <c r="FH100" i="5" s="1"/>
  <c r="FI100" i="5" s="1"/>
  <c r="FJ100" i="5" s="1"/>
  <c r="FK100" i="5" s="1"/>
  <c r="FL100" i="5" s="1"/>
  <c r="FM100" i="5" s="1"/>
  <c r="FN100" i="5" s="1"/>
  <c r="FO100" i="5" s="1"/>
  <c r="FP100" i="5" s="1"/>
  <c r="FQ100" i="5" s="1"/>
  <c r="FR100" i="5" s="1"/>
  <c r="FS100" i="5" s="1"/>
  <c r="FT100" i="5" s="1"/>
  <c r="FU100" i="5" s="1"/>
  <c r="FV100" i="5" s="1"/>
  <c r="FW100" i="5" s="1"/>
  <c r="FX100" i="5" s="1"/>
  <c r="FY100" i="5" s="1"/>
  <c r="FZ100" i="5" s="1"/>
  <c r="GA100" i="5" s="1"/>
  <c r="GB100" i="5" s="1"/>
  <c r="GC100" i="5" s="1"/>
  <c r="GD100" i="5" s="1"/>
  <c r="GE100" i="5" s="1"/>
  <c r="GF100" i="5" s="1"/>
  <c r="GG100" i="5" s="1"/>
  <c r="GH100" i="5" s="1"/>
  <c r="GI100" i="5" s="1"/>
  <c r="GJ100" i="5" s="1"/>
  <c r="GK100" i="5" s="1"/>
  <c r="GL100" i="5" s="1"/>
  <c r="GM100" i="5" s="1"/>
  <c r="GN100" i="5" s="1"/>
  <c r="GO100" i="5" s="1"/>
  <c r="GP100" i="5" s="1"/>
  <c r="GQ100" i="5" s="1"/>
  <c r="GR100" i="5" s="1"/>
  <c r="GS100" i="5" s="1"/>
  <c r="GT100" i="5" s="1"/>
  <c r="GU100" i="5" s="1"/>
  <c r="GV100" i="5" s="1"/>
  <c r="GW100" i="5" s="1"/>
  <c r="GX100" i="5" s="1"/>
  <c r="GY100" i="5" s="1"/>
  <c r="GZ100" i="5" s="1"/>
  <c r="HA100" i="5" s="1"/>
  <c r="HB100" i="5" s="1"/>
  <c r="HC100" i="5" s="1"/>
  <c r="HD100" i="5" s="1"/>
  <c r="HE100" i="5" s="1"/>
  <c r="HF100" i="5" s="1"/>
  <c r="HG100" i="5" s="1"/>
  <c r="HH100" i="5" s="1"/>
  <c r="HI100" i="5" s="1"/>
  <c r="HJ100" i="5" s="1"/>
  <c r="HK100" i="5" s="1"/>
  <c r="HL100" i="5" s="1"/>
  <c r="HM100" i="5" s="1"/>
  <c r="HN100" i="5" s="1"/>
  <c r="HO100" i="5" s="1"/>
  <c r="HP100" i="5" s="1"/>
  <c r="HQ100" i="5" s="1"/>
  <c r="HR100" i="5" s="1"/>
  <c r="HS100" i="5" s="1"/>
  <c r="HT100" i="5" s="1"/>
  <c r="HU100" i="5" s="1"/>
  <c r="HV100" i="5" s="1"/>
  <c r="HW100" i="5" s="1"/>
  <c r="HX100" i="5" s="1"/>
  <c r="HY100" i="5" s="1"/>
  <c r="HZ100" i="5" s="1"/>
  <c r="IA100" i="5" s="1"/>
  <c r="IB100" i="5" s="1"/>
  <c r="IC100" i="5" s="1"/>
  <c r="ID100" i="5" s="1"/>
  <c r="IE100" i="5" s="1"/>
  <c r="IF100" i="5" s="1"/>
  <c r="IG100" i="5" s="1"/>
  <c r="IH100" i="5" s="1"/>
  <c r="II100" i="5" s="1"/>
  <c r="IJ100" i="5" s="1"/>
  <c r="IK100" i="5" s="1"/>
  <c r="IL100" i="5" s="1"/>
  <c r="IM100" i="5" s="1"/>
  <c r="IN100" i="5" s="1"/>
  <c r="IO100" i="5" s="1"/>
  <c r="IP100" i="5" s="1"/>
  <c r="IQ100" i="5" s="1"/>
  <c r="IR100" i="5" s="1"/>
  <c r="IS100" i="5" s="1"/>
  <c r="IT100" i="5" s="1"/>
  <c r="IU100" i="5" s="1"/>
  <c r="F92" i="5"/>
  <c r="G92" i="5" s="1"/>
  <c r="H92" i="5" s="1"/>
  <c r="I92" i="5" s="1"/>
  <c r="J92" i="5" s="1"/>
  <c r="K92" i="5" s="1"/>
  <c r="L92" i="5" s="1"/>
  <c r="M92" i="5" s="1"/>
  <c r="N92" i="5" s="1"/>
  <c r="O92" i="5" s="1"/>
  <c r="P92" i="5" s="1"/>
  <c r="Q92" i="5" s="1"/>
  <c r="R92" i="5" s="1"/>
  <c r="S92" i="5" s="1"/>
  <c r="T92" i="5" s="1"/>
  <c r="U92" i="5" s="1"/>
  <c r="V92" i="5" s="1"/>
  <c r="W92" i="5" s="1"/>
  <c r="X92" i="5" s="1"/>
  <c r="Y92" i="5" s="1"/>
  <c r="Z92" i="5" s="1"/>
  <c r="AA92" i="5" s="1"/>
  <c r="AB92" i="5" s="1"/>
  <c r="AC92" i="5" s="1"/>
  <c r="AD92" i="5" s="1"/>
  <c r="AE92" i="5" s="1"/>
  <c r="AF92" i="5" s="1"/>
  <c r="AG92" i="5" s="1"/>
  <c r="AH92" i="5" s="1"/>
  <c r="AI92" i="5" s="1"/>
  <c r="AJ92" i="5" s="1"/>
  <c r="AK92" i="5" s="1"/>
  <c r="AL92" i="5" s="1"/>
  <c r="AM92" i="5" s="1"/>
  <c r="AN92" i="5" s="1"/>
  <c r="AO92" i="5" s="1"/>
  <c r="AP92" i="5" s="1"/>
  <c r="AQ92" i="5" s="1"/>
  <c r="AR92" i="5" s="1"/>
  <c r="AS92" i="5" s="1"/>
  <c r="AT92" i="5" s="1"/>
  <c r="AU92" i="5" s="1"/>
  <c r="AV92" i="5" s="1"/>
  <c r="AW92" i="5" s="1"/>
  <c r="AX92" i="5" s="1"/>
  <c r="AY92" i="5" s="1"/>
  <c r="AZ92" i="5" s="1"/>
  <c r="BA92" i="5" s="1"/>
  <c r="BB92" i="5" s="1"/>
  <c r="BC92" i="5" s="1"/>
  <c r="BD92" i="5" s="1"/>
  <c r="BE92" i="5" s="1"/>
  <c r="BF92" i="5" s="1"/>
  <c r="BG92" i="5" s="1"/>
  <c r="BH92" i="5" s="1"/>
  <c r="BI92" i="5" s="1"/>
  <c r="BJ92" i="5" s="1"/>
  <c r="BK92" i="5" s="1"/>
  <c r="BL92" i="5" s="1"/>
  <c r="BM92" i="5" s="1"/>
  <c r="BN92" i="5" s="1"/>
  <c r="BO92" i="5" s="1"/>
  <c r="BP92" i="5" s="1"/>
  <c r="BQ92" i="5" s="1"/>
  <c r="BR92" i="5" s="1"/>
  <c r="BS92" i="5" s="1"/>
  <c r="BT92" i="5" s="1"/>
  <c r="BU92" i="5" s="1"/>
  <c r="BV92" i="5" s="1"/>
  <c r="BW92" i="5" s="1"/>
  <c r="BX92" i="5" s="1"/>
  <c r="BY92" i="5" s="1"/>
  <c r="BZ92" i="5" s="1"/>
  <c r="CA92" i="5" s="1"/>
  <c r="CB92" i="5" s="1"/>
  <c r="CC92" i="5" s="1"/>
  <c r="CD92" i="5" s="1"/>
  <c r="CE92" i="5" s="1"/>
  <c r="CF92" i="5" s="1"/>
  <c r="CG92" i="5" s="1"/>
  <c r="CH92" i="5" s="1"/>
  <c r="CI92" i="5" s="1"/>
  <c r="CJ92" i="5" s="1"/>
  <c r="CK92" i="5" s="1"/>
  <c r="CL92" i="5" s="1"/>
  <c r="CM92" i="5" s="1"/>
  <c r="CN92" i="5" s="1"/>
  <c r="CO92" i="5" s="1"/>
  <c r="CP92" i="5" s="1"/>
  <c r="CQ92" i="5" s="1"/>
  <c r="CR92" i="5" s="1"/>
  <c r="CS92" i="5" s="1"/>
  <c r="CT92" i="5" s="1"/>
  <c r="CU92" i="5" s="1"/>
  <c r="CV92" i="5" s="1"/>
  <c r="CW92" i="5" s="1"/>
  <c r="CX92" i="5" s="1"/>
  <c r="CY92" i="5" s="1"/>
  <c r="CZ92" i="5" s="1"/>
  <c r="DA92" i="5" s="1"/>
  <c r="DB92" i="5" s="1"/>
  <c r="DC92" i="5" s="1"/>
  <c r="DD92" i="5" s="1"/>
  <c r="DE92" i="5" s="1"/>
  <c r="DF92" i="5" s="1"/>
  <c r="DG92" i="5" s="1"/>
  <c r="DH92" i="5" s="1"/>
  <c r="DI92" i="5" s="1"/>
  <c r="DJ92" i="5" s="1"/>
  <c r="DK92" i="5" s="1"/>
  <c r="DL92" i="5" s="1"/>
  <c r="DM92" i="5" s="1"/>
  <c r="DN92" i="5" s="1"/>
  <c r="DO92" i="5" s="1"/>
  <c r="DP92" i="5" s="1"/>
  <c r="DQ92" i="5" s="1"/>
  <c r="DR92" i="5" s="1"/>
  <c r="DS92" i="5" s="1"/>
  <c r="DT92" i="5" s="1"/>
  <c r="DU92" i="5" s="1"/>
  <c r="DV92" i="5" s="1"/>
  <c r="DW92" i="5" s="1"/>
  <c r="DX92" i="5" s="1"/>
  <c r="DY92" i="5" s="1"/>
  <c r="DZ92" i="5" s="1"/>
  <c r="EA92" i="5" s="1"/>
  <c r="EB92" i="5" s="1"/>
  <c r="EC92" i="5" s="1"/>
  <c r="ED92" i="5" s="1"/>
  <c r="EE92" i="5" s="1"/>
  <c r="EF92" i="5" s="1"/>
  <c r="EG92" i="5" s="1"/>
  <c r="EH92" i="5" s="1"/>
  <c r="EI92" i="5" s="1"/>
  <c r="EJ92" i="5" s="1"/>
  <c r="EK92" i="5" s="1"/>
  <c r="EL92" i="5" s="1"/>
  <c r="EM92" i="5" s="1"/>
  <c r="EN92" i="5" s="1"/>
  <c r="EO92" i="5" s="1"/>
  <c r="EP92" i="5" s="1"/>
  <c r="EQ92" i="5" s="1"/>
  <c r="ER92" i="5" s="1"/>
  <c r="ES92" i="5" s="1"/>
  <c r="ET92" i="5" s="1"/>
  <c r="EU92" i="5" s="1"/>
  <c r="EV92" i="5" s="1"/>
  <c r="EW92" i="5" s="1"/>
  <c r="EX92" i="5" s="1"/>
  <c r="EY92" i="5" s="1"/>
  <c r="EZ92" i="5" s="1"/>
  <c r="FA92" i="5" s="1"/>
  <c r="FB92" i="5" s="1"/>
  <c r="FC92" i="5" s="1"/>
  <c r="FD92" i="5" s="1"/>
  <c r="FE92" i="5" s="1"/>
  <c r="FF92" i="5" s="1"/>
  <c r="FG92" i="5" s="1"/>
  <c r="FH92" i="5" s="1"/>
  <c r="FI92" i="5" s="1"/>
  <c r="FJ92" i="5" s="1"/>
  <c r="FK92" i="5" s="1"/>
  <c r="FL92" i="5" s="1"/>
  <c r="FM92" i="5" s="1"/>
  <c r="FN92" i="5" s="1"/>
  <c r="FO92" i="5" s="1"/>
  <c r="FP92" i="5" s="1"/>
  <c r="FQ92" i="5" s="1"/>
  <c r="FR92" i="5" s="1"/>
  <c r="FS92" i="5" s="1"/>
  <c r="FT92" i="5" s="1"/>
  <c r="FU92" i="5" s="1"/>
  <c r="FV92" i="5" s="1"/>
  <c r="FW92" i="5" s="1"/>
  <c r="FX92" i="5" s="1"/>
  <c r="FY92" i="5" s="1"/>
  <c r="FZ92" i="5" s="1"/>
  <c r="GA92" i="5" s="1"/>
  <c r="GB92" i="5" s="1"/>
  <c r="GC92" i="5" s="1"/>
  <c r="GD92" i="5" s="1"/>
  <c r="GE92" i="5" s="1"/>
  <c r="GF92" i="5" s="1"/>
  <c r="GG92" i="5" s="1"/>
  <c r="GH92" i="5" s="1"/>
  <c r="GI92" i="5" s="1"/>
  <c r="GJ92" i="5" s="1"/>
  <c r="GK92" i="5" s="1"/>
  <c r="GL92" i="5" s="1"/>
  <c r="GM92" i="5" s="1"/>
  <c r="GN92" i="5" s="1"/>
  <c r="GO92" i="5" s="1"/>
  <c r="GP92" i="5" s="1"/>
  <c r="GQ92" i="5" s="1"/>
  <c r="GR92" i="5" s="1"/>
  <c r="GS92" i="5" s="1"/>
  <c r="GT92" i="5" s="1"/>
  <c r="GU92" i="5" s="1"/>
  <c r="GV92" i="5" s="1"/>
  <c r="GW92" i="5" s="1"/>
  <c r="GX92" i="5" s="1"/>
  <c r="GY92" i="5" s="1"/>
  <c r="GZ92" i="5" s="1"/>
  <c r="HA92" i="5" s="1"/>
  <c r="HB92" i="5" s="1"/>
  <c r="HC92" i="5" s="1"/>
  <c r="HD92" i="5" s="1"/>
  <c r="HE92" i="5" s="1"/>
  <c r="HF92" i="5" s="1"/>
  <c r="HG92" i="5" s="1"/>
  <c r="HH92" i="5" s="1"/>
  <c r="HI92" i="5" s="1"/>
  <c r="HJ92" i="5" s="1"/>
  <c r="HK92" i="5" s="1"/>
  <c r="HL92" i="5" s="1"/>
  <c r="HM92" i="5" s="1"/>
  <c r="HN92" i="5" s="1"/>
  <c r="HO92" i="5" s="1"/>
  <c r="HP92" i="5" s="1"/>
  <c r="HQ92" i="5" s="1"/>
  <c r="HR92" i="5" s="1"/>
  <c r="HS92" i="5" s="1"/>
  <c r="HT92" i="5" s="1"/>
  <c r="HU92" i="5" s="1"/>
  <c r="HV92" i="5" s="1"/>
  <c r="HW92" i="5" s="1"/>
  <c r="HX92" i="5" s="1"/>
  <c r="HY92" i="5" s="1"/>
  <c r="HZ92" i="5" s="1"/>
  <c r="IA92" i="5" s="1"/>
  <c r="IB92" i="5" s="1"/>
  <c r="IC92" i="5" s="1"/>
  <c r="ID92" i="5" s="1"/>
  <c r="IE92" i="5" s="1"/>
  <c r="IF92" i="5" s="1"/>
  <c r="IG92" i="5" s="1"/>
  <c r="IH92" i="5" s="1"/>
  <c r="II92" i="5" s="1"/>
  <c r="IJ92" i="5" s="1"/>
  <c r="IK92" i="5" s="1"/>
  <c r="IL92" i="5" s="1"/>
  <c r="IM92" i="5" s="1"/>
  <c r="IN92" i="5" s="1"/>
  <c r="IO92" i="5" s="1"/>
  <c r="IP92" i="5" s="1"/>
  <c r="IQ92" i="5" s="1"/>
  <c r="IR92" i="5" s="1"/>
  <c r="IS92" i="5" s="1"/>
  <c r="IT92" i="5" s="1"/>
  <c r="IU92" i="5" s="1"/>
  <c r="F84" i="5"/>
  <c r="G84" i="5" s="1"/>
  <c r="H84" i="5" s="1"/>
  <c r="I84" i="5" s="1"/>
  <c r="J84" i="5" s="1"/>
  <c r="K84" i="5" s="1"/>
  <c r="L84" i="5" s="1"/>
  <c r="M84" i="5" s="1"/>
  <c r="N84" i="5" s="1"/>
  <c r="O84" i="5" s="1"/>
  <c r="P84" i="5" s="1"/>
  <c r="Q84" i="5" s="1"/>
  <c r="R84" i="5" s="1"/>
  <c r="S84" i="5" s="1"/>
  <c r="T84" i="5" s="1"/>
  <c r="U84" i="5" s="1"/>
  <c r="V84" i="5" s="1"/>
  <c r="W84" i="5" s="1"/>
  <c r="X84" i="5" s="1"/>
  <c r="Y84" i="5" s="1"/>
  <c r="Z84" i="5" s="1"/>
  <c r="AA84" i="5" s="1"/>
  <c r="AB84" i="5" s="1"/>
  <c r="AC84" i="5" s="1"/>
  <c r="AD84" i="5" s="1"/>
  <c r="AE84" i="5" s="1"/>
  <c r="AF84" i="5" s="1"/>
  <c r="AG84" i="5" s="1"/>
  <c r="AH84" i="5" s="1"/>
  <c r="AI84" i="5" s="1"/>
  <c r="AJ84" i="5" s="1"/>
  <c r="AK84" i="5" s="1"/>
  <c r="AL84" i="5" s="1"/>
  <c r="AM84" i="5" s="1"/>
  <c r="AN84" i="5" s="1"/>
  <c r="AO84" i="5" s="1"/>
  <c r="AP84" i="5" s="1"/>
  <c r="AQ84" i="5" s="1"/>
  <c r="AR84" i="5" s="1"/>
  <c r="AS84" i="5" s="1"/>
  <c r="AT84" i="5" s="1"/>
  <c r="AU84" i="5" s="1"/>
  <c r="AV84" i="5" s="1"/>
  <c r="AW84" i="5" s="1"/>
  <c r="AX84" i="5" s="1"/>
  <c r="AY84" i="5" s="1"/>
  <c r="AZ84" i="5" s="1"/>
  <c r="BA84" i="5" s="1"/>
  <c r="BB84" i="5" s="1"/>
  <c r="BC84" i="5" s="1"/>
  <c r="BD84" i="5" s="1"/>
  <c r="BE84" i="5" s="1"/>
  <c r="BF84" i="5" s="1"/>
  <c r="BG84" i="5" s="1"/>
  <c r="BH84" i="5" s="1"/>
  <c r="BI84" i="5" s="1"/>
  <c r="BJ84" i="5" s="1"/>
  <c r="BK84" i="5" s="1"/>
  <c r="BL84" i="5" s="1"/>
  <c r="BM84" i="5" s="1"/>
  <c r="BN84" i="5" s="1"/>
  <c r="BO84" i="5" s="1"/>
  <c r="BP84" i="5" s="1"/>
  <c r="BQ84" i="5" s="1"/>
  <c r="BR84" i="5" s="1"/>
  <c r="BS84" i="5" s="1"/>
  <c r="BT84" i="5" s="1"/>
  <c r="BU84" i="5" s="1"/>
  <c r="BV84" i="5" s="1"/>
  <c r="BW84" i="5" s="1"/>
  <c r="BX84" i="5" s="1"/>
  <c r="BY84" i="5" s="1"/>
  <c r="BZ84" i="5" s="1"/>
  <c r="CA84" i="5" s="1"/>
  <c r="CB84" i="5" s="1"/>
  <c r="CC84" i="5" s="1"/>
  <c r="CD84" i="5" s="1"/>
  <c r="CE84" i="5" s="1"/>
  <c r="CF84" i="5" s="1"/>
  <c r="CG84" i="5" s="1"/>
  <c r="CH84" i="5" s="1"/>
  <c r="CI84" i="5" s="1"/>
  <c r="CJ84" i="5" s="1"/>
  <c r="CK84" i="5" s="1"/>
  <c r="CL84" i="5" s="1"/>
  <c r="CM84" i="5" s="1"/>
  <c r="CN84" i="5" s="1"/>
  <c r="CO84" i="5" s="1"/>
  <c r="CP84" i="5" s="1"/>
  <c r="CQ84" i="5" s="1"/>
  <c r="CR84" i="5" s="1"/>
  <c r="CS84" i="5" s="1"/>
  <c r="CT84" i="5" s="1"/>
  <c r="CU84" i="5" s="1"/>
  <c r="CV84" i="5" s="1"/>
  <c r="CW84" i="5" s="1"/>
  <c r="CX84" i="5" s="1"/>
  <c r="CY84" i="5" s="1"/>
  <c r="CZ84" i="5" s="1"/>
  <c r="DA84" i="5" s="1"/>
  <c r="DB84" i="5" s="1"/>
  <c r="DC84" i="5" s="1"/>
  <c r="DD84" i="5" s="1"/>
  <c r="DE84" i="5" s="1"/>
  <c r="DF84" i="5" s="1"/>
  <c r="DG84" i="5" s="1"/>
  <c r="DH84" i="5" s="1"/>
  <c r="DI84" i="5" s="1"/>
  <c r="DJ84" i="5" s="1"/>
  <c r="DK84" i="5" s="1"/>
  <c r="DL84" i="5" s="1"/>
  <c r="DM84" i="5" s="1"/>
  <c r="DN84" i="5" s="1"/>
  <c r="DO84" i="5" s="1"/>
  <c r="DP84" i="5" s="1"/>
  <c r="DQ84" i="5" s="1"/>
  <c r="DR84" i="5" s="1"/>
  <c r="DS84" i="5" s="1"/>
  <c r="DT84" i="5" s="1"/>
  <c r="DU84" i="5" s="1"/>
  <c r="DV84" i="5" s="1"/>
  <c r="DW84" i="5" s="1"/>
  <c r="DX84" i="5" s="1"/>
  <c r="DY84" i="5" s="1"/>
  <c r="DZ84" i="5" s="1"/>
  <c r="EA84" i="5" s="1"/>
  <c r="EB84" i="5" s="1"/>
  <c r="EC84" i="5" s="1"/>
  <c r="ED84" i="5" s="1"/>
  <c r="EE84" i="5" s="1"/>
  <c r="EF84" i="5" s="1"/>
  <c r="EG84" i="5" s="1"/>
  <c r="EH84" i="5" s="1"/>
  <c r="EI84" i="5" s="1"/>
  <c r="EJ84" i="5" s="1"/>
  <c r="EK84" i="5" s="1"/>
  <c r="EL84" i="5" s="1"/>
  <c r="EM84" i="5" s="1"/>
  <c r="EN84" i="5" s="1"/>
  <c r="EO84" i="5" s="1"/>
  <c r="EP84" i="5" s="1"/>
  <c r="EQ84" i="5" s="1"/>
  <c r="ER84" i="5" s="1"/>
  <c r="ES84" i="5" s="1"/>
  <c r="ET84" i="5" s="1"/>
  <c r="EU84" i="5" s="1"/>
  <c r="EV84" i="5" s="1"/>
  <c r="EW84" i="5" s="1"/>
  <c r="EX84" i="5" s="1"/>
  <c r="EY84" i="5" s="1"/>
  <c r="EZ84" i="5" s="1"/>
  <c r="FA84" i="5" s="1"/>
  <c r="FB84" i="5" s="1"/>
  <c r="FC84" i="5" s="1"/>
  <c r="FD84" i="5" s="1"/>
  <c r="FE84" i="5" s="1"/>
  <c r="FF84" i="5" s="1"/>
  <c r="FG84" i="5" s="1"/>
  <c r="FH84" i="5" s="1"/>
  <c r="FI84" i="5" s="1"/>
  <c r="FJ84" i="5" s="1"/>
  <c r="FK84" i="5" s="1"/>
  <c r="FL84" i="5" s="1"/>
  <c r="FM84" i="5" s="1"/>
  <c r="FN84" i="5" s="1"/>
  <c r="FO84" i="5" s="1"/>
  <c r="FP84" i="5" s="1"/>
  <c r="FQ84" i="5" s="1"/>
  <c r="FR84" i="5" s="1"/>
  <c r="FS84" i="5" s="1"/>
  <c r="FT84" i="5" s="1"/>
  <c r="FU84" i="5" s="1"/>
  <c r="FV84" i="5" s="1"/>
  <c r="FW84" i="5" s="1"/>
  <c r="FX84" i="5" s="1"/>
  <c r="FY84" i="5" s="1"/>
  <c r="FZ84" i="5" s="1"/>
  <c r="GA84" i="5" s="1"/>
  <c r="GB84" i="5" s="1"/>
  <c r="GC84" i="5" s="1"/>
  <c r="GD84" i="5" s="1"/>
  <c r="GE84" i="5" s="1"/>
  <c r="GF84" i="5" s="1"/>
  <c r="GG84" i="5" s="1"/>
  <c r="GH84" i="5" s="1"/>
  <c r="GI84" i="5" s="1"/>
  <c r="GJ84" i="5" s="1"/>
  <c r="GK84" i="5" s="1"/>
  <c r="GL84" i="5" s="1"/>
  <c r="GM84" i="5" s="1"/>
  <c r="GN84" i="5" s="1"/>
  <c r="GO84" i="5" s="1"/>
  <c r="GP84" i="5" s="1"/>
  <c r="GQ84" i="5" s="1"/>
  <c r="GR84" i="5" s="1"/>
  <c r="GS84" i="5" s="1"/>
  <c r="GT84" i="5" s="1"/>
  <c r="GU84" i="5" s="1"/>
  <c r="GV84" i="5" s="1"/>
  <c r="GW84" i="5" s="1"/>
  <c r="GX84" i="5" s="1"/>
  <c r="GY84" i="5" s="1"/>
  <c r="GZ84" i="5" s="1"/>
  <c r="HA84" i="5" s="1"/>
  <c r="HB84" i="5" s="1"/>
  <c r="HC84" i="5" s="1"/>
  <c r="HD84" i="5" s="1"/>
  <c r="HE84" i="5" s="1"/>
  <c r="HF84" i="5" s="1"/>
  <c r="HG84" i="5" s="1"/>
  <c r="HH84" i="5" s="1"/>
  <c r="HI84" i="5" s="1"/>
  <c r="HJ84" i="5" s="1"/>
  <c r="HK84" i="5" s="1"/>
  <c r="HL84" i="5" s="1"/>
  <c r="HM84" i="5" s="1"/>
  <c r="HN84" i="5" s="1"/>
  <c r="HO84" i="5" s="1"/>
  <c r="HP84" i="5" s="1"/>
  <c r="HQ84" i="5" s="1"/>
  <c r="HR84" i="5" s="1"/>
  <c r="HS84" i="5" s="1"/>
  <c r="HT84" i="5" s="1"/>
  <c r="HU84" i="5" s="1"/>
  <c r="HV84" i="5" s="1"/>
  <c r="HW84" i="5" s="1"/>
  <c r="HX84" i="5" s="1"/>
  <c r="HY84" i="5" s="1"/>
  <c r="HZ84" i="5" s="1"/>
  <c r="IA84" i="5" s="1"/>
  <c r="IB84" i="5" s="1"/>
  <c r="IC84" i="5" s="1"/>
  <c r="ID84" i="5" s="1"/>
  <c r="IE84" i="5" s="1"/>
  <c r="IF84" i="5" s="1"/>
  <c r="IG84" i="5" s="1"/>
  <c r="IH84" i="5" s="1"/>
  <c r="II84" i="5" s="1"/>
  <c r="IJ84" i="5" s="1"/>
  <c r="IK84" i="5" s="1"/>
  <c r="IL84" i="5" s="1"/>
  <c r="IM84" i="5" s="1"/>
  <c r="IN84" i="5" s="1"/>
  <c r="IO84" i="5" s="1"/>
  <c r="IP84" i="5" s="1"/>
  <c r="IQ84" i="5" s="1"/>
  <c r="IR84" i="5" s="1"/>
  <c r="IS84" i="5" s="1"/>
  <c r="IT84" i="5" s="1"/>
  <c r="IU84" i="5" s="1"/>
  <c r="F76" i="5"/>
  <c r="G76" i="5" s="1"/>
  <c r="H76" i="5" s="1"/>
  <c r="I76" i="5" s="1"/>
  <c r="J76" i="5" s="1"/>
  <c r="K76" i="5" s="1"/>
  <c r="L76" i="5" s="1"/>
  <c r="M76" i="5" s="1"/>
  <c r="N76" i="5" s="1"/>
  <c r="O76" i="5" s="1"/>
  <c r="P76" i="5" s="1"/>
  <c r="Q76" i="5" s="1"/>
  <c r="R76" i="5" s="1"/>
  <c r="S76" i="5" s="1"/>
  <c r="T76" i="5" s="1"/>
  <c r="U76" i="5" s="1"/>
  <c r="V76" i="5" s="1"/>
  <c r="W76" i="5" s="1"/>
  <c r="X76" i="5" s="1"/>
  <c r="Y76" i="5" s="1"/>
  <c r="Z76" i="5" s="1"/>
  <c r="AA76" i="5" s="1"/>
  <c r="AB76" i="5" s="1"/>
  <c r="AC76" i="5" s="1"/>
  <c r="AD76" i="5" s="1"/>
  <c r="AE76" i="5" s="1"/>
  <c r="AF76" i="5" s="1"/>
  <c r="AG76" i="5" s="1"/>
  <c r="AH76" i="5" s="1"/>
  <c r="AI76" i="5" s="1"/>
  <c r="AJ76" i="5" s="1"/>
  <c r="AK76" i="5" s="1"/>
  <c r="AL76" i="5" s="1"/>
  <c r="AM76" i="5" s="1"/>
  <c r="AN76" i="5" s="1"/>
  <c r="AO76" i="5" s="1"/>
  <c r="AP76" i="5" s="1"/>
  <c r="AQ76" i="5" s="1"/>
  <c r="AR76" i="5" s="1"/>
  <c r="AS76" i="5" s="1"/>
  <c r="AT76" i="5" s="1"/>
  <c r="AU76" i="5" s="1"/>
  <c r="AV76" i="5" s="1"/>
  <c r="AW76" i="5" s="1"/>
  <c r="AX76" i="5" s="1"/>
  <c r="AY76" i="5" s="1"/>
  <c r="AZ76" i="5" s="1"/>
  <c r="BA76" i="5" s="1"/>
  <c r="BB76" i="5" s="1"/>
  <c r="BC76" i="5" s="1"/>
  <c r="BD76" i="5" s="1"/>
  <c r="BE76" i="5" s="1"/>
  <c r="BF76" i="5" s="1"/>
  <c r="BG76" i="5" s="1"/>
  <c r="BH76" i="5" s="1"/>
  <c r="BI76" i="5" s="1"/>
  <c r="BJ76" i="5" s="1"/>
  <c r="BK76" i="5" s="1"/>
  <c r="BL76" i="5" s="1"/>
  <c r="BM76" i="5" s="1"/>
  <c r="BN76" i="5" s="1"/>
  <c r="BO76" i="5" s="1"/>
  <c r="BP76" i="5" s="1"/>
  <c r="BQ76" i="5" s="1"/>
  <c r="BR76" i="5" s="1"/>
  <c r="BS76" i="5" s="1"/>
  <c r="BT76" i="5" s="1"/>
  <c r="BU76" i="5" s="1"/>
  <c r="BV76" i="5" s="1"/>
  <c r="BW76" i="5" s="1"/>
  <c r="BX76" i="5" s="1"/>
  <c r="BY76" i="5" s="1"/>
  <c r="BZ76" i="5" s="1"/>
  <c r="CA76" i="5" s="1"/>
  <c r="CB76" i="5" s="1"/>
  <c r="CC76" i="5" s="1"/>
  <c r="CD76" i="5" s="1"/>
  <c r="CE76" i="5" s="1"/>
  <c r="CF76" i="5" s="1"/>
  <c r="CG76" i="5" s="1"/>
  <c r="CH76" i="5" s="1"/>
  <c r="CI76" i="5" s="1"/>
  <c r="CJ76" i="5" s="1"/>
  <c r="CK76" i="5" s="1"/>
  <c r="CL76" i="5" s="1"/>
  <c r="CM76" i="5" s="1"/>
  <c r="CN76" i="5" s="1"/>
  <c r="CO76" i="5" s="1"/>
  <c r="CP76" i="5" s="1"/>
  <c r="CQ76" i="5" s="1"/>
  <c r="CR76" i="5" s="1"/>
  <c r="CS76" i="5" s="1"/>
  <c r="CT76" i="5" s="1"/>
  <c r="CU76" i="5" s="1"/>
  <c r="CV76" i="5" s="1"/>
  <c r="CW76" i="5" s="1"/>
  <c r="CX76" i="5" s="1"/>
  <c r="CY76" i="5" s="1"/>
  <c r="CZ76" i="5" s="1"/>
  <c r="DA76" i="5" s="1"/>
  <c r="DB76" i="5" s="1"/>
  <c r="DC76" i="5" s="1"/>
  <c r="DD76" i="5" s="1"/>
  <c r="DE76" i="5" s="1"/>
  <c r="DF76" i="5" s="1"/>
  <c r="DG76" i="5" s="1"/>
  <c r="DH76" i="5" s="1"/>
  <c r="DI76" i="5" s="1"/>
  <c r="DJ76" i="5" s="1"/>
  <c r="DK76" i="5" s="1"/>
  <c r="DL76" i="5" s="1"/>
  <c r="DM76" i="5" s="1"/>
  <c r="DN76" i="5" s="1"/>
  <c r="DO76" i="5" s="1"/>
  <c r="DP76" i="5" s="1"/>
  <c r="DQ76" i="5" s="1"/>
  <c r="DR76" i="5" s="1"/>
  <c r="DS76" i="5" s="1"/>
  <c r="DT76" i="5" s="1"/>
  <c r="DU76" i="5" s="1"/>
  <c r="DV76" i="5" s="1"/>
  <c r="DW76" i="5" s="1"/>
  <c r="DX76" i="5" s="1"/>
  <c r="DY76" i="5" s="1"/>
  <c r="DZ76" i="5" s="1"/>
  <c r="EA76" i="5" s="1"/>
  <c r="EB76" i="5" s="1"/>
  <c r="EC76" i="5" s="1"/>
  <c r="ED76" i="5" s="1"/>
  <c r="EE76" i="5" s="1"/>
  <c r="EF76" i="5" s="1"/>
  <c r="EG76" i="5" s="1"/>
  <c r="EH76" i="5" s="1"/>
  <c r="EI76" i="5" s="1"/>
  <c r="EJ76" i="5" s="1"/>
  <c r="EK76" i="5" s="1"/>
  <c r="EL76" i="5" s="1"/>
  <c r="EM76" i="5" s="1"/>
  <c r="EN76" i="5" s="1"/>
  <c r="EO76" i="5" s="1"/>
  <c r="EP76" i="5" s="1"/>
  <c r="EQ76" i="5" s="1"/>
  <c r="ER76" i="5" s="1"/>
  <c r="ES76" i="5" s="1"/>
  <c r="ET76" i="5" s="1"/>
  <c r="EU76" i="5" s="1"/>
  <c r="EV76" i="5" s="1"/>
  <c r="EW76" i="5" s="1"/>
  <c r="EX76" i="5" s="1"/>
  <c r="EY76" i="5" s="1"/>
  <c r="EZ76" i="5" s="1"/>
  <c r="FA76" i="5" s="1"/>
  <c r="FB76" i="5" s="1"/>
  <c r="FC76" i="5" s="1"/>
  <c r="FD76" i="5" s="1"/>
  <c r="FE76" i="5" s="1"/>
  <c r="FF76" i="5" s="1"/>
  <c r="FG76" i="5" s="1"/>
  <c r="FH76" i="5" s="1"/>
  <c r="FI76" i="5" s="1"/>
  <c r="FJ76" i="5" s="1"/>
  <c r="FK76" i="5" s="1"/>
  <c r="FL76" i="5" s="1"/>
  <c r="FM76" i="5" s="1"/>
  <c r="FN76" i="5" s="1"/>
  <c r="FO76" i="5" s="1"/>
  <c r="FP76" i="5" s="1"/>
  <c r="FQ76" i="5" s="1"/>
  <c r="FR76" i="5" s="1"/>
  <c r="FS76" i="5" s="1"/>
  <c r="FT76" i="5" s="1"/>
  <c r="FU76" i="5" s="1"/>
  <c r="FV76" i="5" s="1"/>
  <c r="FW76" i="5" s="1"/>
  <c r="FX76" i="5" s="1"/>
  <c r="FY76" i="5" s="1"/>
  <c r="FZ76" i="5" s="1"/>
  <c r="GA76" i="5" s="1"/>
  <c r="GB76" i="5" s="1"/>
  <c r="GC76" i="5" s="1"/>
  <c r="GD76" i="5" s="1"/>
  <c r="GE76" i="5" s="1"/>
  <c r="GF76" i="5" s="1"/>
  <c r="GG76" i="5" s="1"/>
  <c r="GH76" i="5" s="1"/>
  <c r="GI76" i="5" s="1"/>
  <c r="GJ76" i="5" s="1"/>
  <c r="GK76" i="5" s="1"/>
  <c r="GL76" i="5" s="1"/>
  <c r="GM76" i="5" s="1"/>
  <c r="GN76" i="5" s="1"/>
  <c r="GO76" i="5" s="1"/>
  <c r="GP76" i="5" s="1"/>
  <c r="GQ76" i="5" s="1"/>
  <c r="GR76" i="5" s="1"/>
  <c r="GS76" i="5" s="1"/>
  <c r="GT76" i="5" s="1"/>
  <c r="GU76" i="5" s="1"/>
  <c r="GV76" i="5" s="1"/>
  <c r="GW76" i="5" s="1"/>
  <c r="GX76" i="5" s="1"/>
  <c r="GY76" i="5" s="1"/>
  <c r="GZ76" i="5" s="1"/>
  <c r="HA76" i="5" s="1"/>
  <c r="HB76" i="5" s="1"/>
  <c r="HC76" i="5" s="1"/>
  <c r="HD76" i="5" s="1"/>
  <c r="HE76" i="5" s="1"/>
  <c r="HF76" i="5" s="1"/>
  <c r="HG76" i="5" s="1"/>
  <c r="HH76" i="5" s="1"/>
  <c r="HI76" i="5" s="1"/>
  <c r="HJ76" i="5" s="1"/>
  <c r="HK76" i="5" s="1"/>
  <c r="HL76" i="5" s="1"/>
  <c r="HM76" i="5" s="1"/>
  <c r="HN76" i="5" s="1"/>
  <c r="HO76" i="5" s="1"/>
  <c r="HP76" i="5" s="1"/>
  <c r="HQ76" i="5" s="1"/>
  <c r="HR76" i="5" s="1"/>
  <c r="HS76" i="5" s="1"/>
  <c r="HT76" i="5" s="1"/>
  <c r="HU76" i="5" s="1"/>
  <c r="HV76" i="5" s="1"/>
  <c r="HW76" i="5" s="1"/>
  <c r="HX76" i="5" s="1"/>
  <c r="HY76" i="5" s="1"/>
  <c r="HZ76" i="5" s="1"/>
  <c r="IA76" i="5" s="1"/>
  <c r="IB76" i="5" s="1"/>
  <c r="IC76" i="5" s="1"/>
  <c r="ID76" i="5" s="1"/>
  <c r="IE76" i="5" s="1"/>
  <c r="IF76" i="5" s="1"/>
  <c r="IG76" i="5" s="1"/>
  <c r="IH76" i="5" s="1"/>
  <c r="II76" i="5" s="1"/>
  <c r="IJ76" i="5" s="1"/>
  <c r="IK76" i="5" s="1"/>
  <c r="IL76" i="5" s="1"/>
  <c r="IM76" i="5" s="1"/>
  <c r="IN76" i="5" s="1"/>
  <c r="IO76" i="5" s="1"/>
  <c r="IP76" i="5" s="1"/>
  <c r="IQ76" i="5" s="1"/>
  <c r="IR76" i="5" s="1"/>
  <c r="IS76" i="5" s="1"/>
  <c r="IT76" i="5" s="1"/>
  <c r="IU76" i="5" s="1"/>
  <c r="F68" i="5"/>
  <c r="G68" i="5" s="1"/>
  <c r="H68" i="5" s="1"/>
  <c r="I68" i="5" s="1"/>
  <c r="J68" i="5" s="1"/>
  <c r="K68" i="5" s="1"/>
  <c r="L68" i="5" s="1"/>
  <c r="M68" i="5" s="1"/>
  <c r="N68" i="5" s="1"/>
  <c r="O68" i="5" s="1"/>
  <c r="P68" i="5" s="1"/>
  <c r="Q68" i="5" s="1"/>
  <c r="R68" i="5" s="1"/>
  <c r="S68" i="5" s="1"/>
  <c r="T68" i="5" s="1"/>
  <c r="U68" i="5" s="1"/>
  <c r="V68" i="5" s="1"/>
  <c r="W68" i="5" s="1"/>
  <c r="X68" i="5" s="1"/>
  <c r="Y68" i="5" s="1"/>
  <c r="Z68" i="5" s="1"/>
  <c r="AA68" i="5" s="1"/>
  <c r="AB68" i="5" s="1"/>
  <c r="AC68" i="5" s="1"/>
  <c r="AD68" i="5" s="1"/>
  <c r="AE68" i="5" s="1"/>
  <c r="AF68" i="5" s="1"/>
  <c r="AG68" i="5" s="1"/>
  <c r="AH68" i="5" s="1"/>
  <c r="AI68" i="5" s="1"/>
  <c r="AJ68" i="5" s="1"/>
  <c r="AK68" i="5" s="1"/>
  <c r="AL68" i="5" s="1"/>
  <c r="AM68" i="5" s="1"/>
  <c r="AN68" i="5" s="1"/>
  <c r="AO68" i="5" s="1"/>
  <c r="AP68" i="5" s="1"/>
  <c r="AQ68" i="5" s="1"/>
  <c r="AR68" i="5" s="1"/>
  <c r="AS68" i="5" s="1"/>
  <c r="AT68" i="5" s="1"/>
  <c r="AU68" i="5" s="1"/>
  <c r="AV68" i="5" s="1"/>
  <c r="AW68" i="5" s="1"/>
  <c r="AX68" i="5" s="1"/>
  <c r="AY68" i="5" s="1"/>
  <c r="AZ68" i="5" s="1"/>
  <c r="BA68" i="5" s="1"/>
  <c r="BB68" i="5" s="1"/>
  <c r="BC68" i="5" s="1"/>
  <c r="BD68" i="5" s="1"/>
  <c r="BE68" i="5" s="1"/>
  <c r="BF68" i="5" s="1"/>
  <c r="BG68" i="5" s="1"/>
  <c r="BH68" i="5" s="1"/>
  <c r="BI68" i="5" s="1"/>
  <c r="BJ68" i="5" s="1"/>
  <c r="BK68" i="5" s="1"/>
  <c r="BL68" i="5" s="1"/>
  <c r="BM68" i="5" s="1"/>
  <c r="BN68" i="5" s="1"/>
  <c r="BO68" i="5" s="1"/>
  <c r="BP68" i="5" s="1"/>
  <c r="BQ68" i="5" s="1"/>
  <c r="BR68" i="5" s="1"/>
  <c r="BS68" i="5" s="1"/>
  <c r="BT68" i="5" s="1"/>
  <c r="BU68" i="5" s="1"/>
  <c r="BV68" i="5" s="1"/>
  <c r="BW68" i="5" s="1"/>
  <c r="BX68" i="5" s="1"/>
  <c r="BY68" i="5" s="1"/>
  <c r="BZ68" i="5" s="1"/>
  <c r="CA68" i="5" s="1"/>
  <c r="CB68" i="5" s="1"/>
  <c r="CC68" i="5" s="1"/>
  <c r="CD68" i="5" s="1"/>
  <c r="CE68" i="5" s="1"/>
  <c r="CF68" i="5" s="1"/>
  <c r="CG68" i="5" s="1"/>
  <c r="CH68" i="5" s="1"/>
  <c r="CI68" i="5" s="1"/>
  <c r="CJ68" i="5" s="1"/>
  <c r="CK68" i="5" s="1"/>
  <c r="CL68" i="5" s="1"/>
  <c r="CM68" i="5" s="1"/>
  <c r="CN68" i="5" s="1"/>
  <c r="CO68" i="5" s="1"/>
  <c r="CP68" i="5" s="1"/>
  <c r="CQ68" i="5" s="1"/>
  <c r="CR68" i="5" s="1"/>
  <c r="CS68" i="5" s="1"/>
  <c r="CT68" i="5" s="1"/>
  <c r="CU68" i="5" s="1"/>
  <c r="CV68" i="5" s="1"/>
  <c r="CW68" i="5" s="1"/>
  <c r="CX68" i="5" s="1"/>
  <c r="CY68" i="5" s="1"/>
  <c r="CZ68" i="5" s="1"/>
  <c r="DA68" i="5" s="1"/>
  <c r="DB68" i="5" s="1"/>
  <c r="DC68" i="5" s="1"/>
  <c r="DD68" i="5" s="1"/>
  <c r="DE68" i="5" s="1"/>
  <c r="DF68" i="5" s="1"/>
  <c r="DG68" i="5" s="1"/>
  <c r="DH68" i="5" s="1"/>
  <c r="DI68" i="5" s="1"/>
  <c r="DJ68" i="5" s="1"/>
  <c r="DK68" i="5" s="1"/>
  <c r="DL68" i="5" s="1"/>
  <c r="DM68" i="5" s="1"/>
  <c r="DN68" i="5" s="1"/>
  <c r="DO68" i="5" s="1"/>
  <c r="DP68" i="5" s="1"/>
  <c r="DQ68" i="5" s="1"/>
  <c r="DR68" i="5" s="1"/>
  <c r="DS68" i="5" s="1"/>
  <c r="DT68" i="5" s="1"/>
  <c r="DU68" i="5" s="1"/>
  <c r="DV68" i="5" s="1"/>
  <c r="DW68" i="5" s="1"/>
  <c r="DX68" i="5" s="1"/>
  <c r="DY68" i="5" s="1"/>
  <c r="DZ68" i="5" s="1"/>
  <c r="EA68" i="5" s="1"/>
  <c r="EB68" i="5" s="1"/>
  <c r="EC68" i="5" s="1"/>
  <c r="ED68" i="5" s="1"/>
  <c r="EE68" i="5" s="1"/>
  <c r="EF68" i="5" s="1"/>
  <c r="EG68" i="5" s="1"/>
  <c r="EH68" i="5" s="1"/>
  <c r="EI68" i="5" s="1"/>
  <c r="EJ68" i="5" s="1"/>
  <c r="EK68" i="5" s="1"/>
  <c r="EL68" i="5" s="1"/>
  <c r="EM68" i="5" s="1"/>
  <c r="EN68" i="5" s="1"/>
  <c r="EO68" i="5" s="1"/>
  <c r="EP68" i="5" s="1"/>
  <c r="EQ68" i="5" s="1"/>
  <c r="ER68" i="5" s="1"/>
  <c r="ES68" i="5" s="1"/>
  <c r="ET68" i="5" s="1"/>
  <c r="EU68" i="5" s="1"/>
  <c r="EV68" i="5" s="1"/>
  <c r="EW68" i="5" s="1"/>
  <c r="EX68" i="5" s="1"/>
  <c r="EY68" i="5" s="1"/>
  <c r="EZ68" i="5" s="1"/>
  <c r="FA68" i="5" s="1"/>
  <c r="FB68" i="5" s="1"/>
  <c r="FC68" i="5" s="1"/>
  <c r="FD68" i="5" s="1"/>
  <c r="FE68" i="5" s="1"/>
  <c r="FF68" i="5" s="1"/>
  <c r="FG68" i="5" s="1"/>
  <c r="FH68" i="5" s="1"/>
  <c r="FI68" i="5" s="1"/>
  <c r="FJ68" i="5" s="1"/>
  <c r="FK68" i="5" s="1"/>
  <c r="FL68" i="5" s="1"/>
  <c r="FM68" i="5" s="1"/>
  <c r="FN68" i="5" s="1"/>
  <c r="FO68" i="5" s="1"/>
  <c r="FP68" i="5" s="1"/>
  <c r="FQ68" i="5" s="1"/>
  <c r="FR68" i="5" s="1"/>
  <c r="FS68" i="5" s="1"/>
  <c r="FT68" i="5" s="1"/>
  <c r="FU68" i="5" s="1"/>
  <c r="FV68" i="5" s="1"/>
  <c r="FW68" i="5" s="1"/>
  <c r="FX68" i="5" s="1"/>
  <c r="FY68" i="5" s="1"/>
  <c r="FZ68" i="5" s="1"/>
  <c r="GA68" i="5" s="1"/>
  <c r="GB68" i="5" s="1"/>
  <c r="GC68" i="5" s="1"/>
  <c r="GD68" i="5" s="1"/>
  <c r="GE68" i="5" s="1"/>
  <c r="GF68" i="5" s="1"/>
  <c r="GG68" i="5" s="1"/>
  <c r="GH68" i="5" s="1"/>
  <c r="GI68" i="5" s="1"/>
  <c r="GJ68" i="5" s="1"/>
  <c r="GK68" i="5" s="1"/>
  <c r="GL68" i="5" s="1"/>
  <c r="GM68" i="5" s="1"/>
  <c r="GN68" i="5" s="1"/>
  <c r="GO68" i="5" s="1"/>
  <c r="GP68" i="5" s="1"/>
  <c r="GQ68" i="5" s="1"/>
  <c r="GR68" i="5" s="1"/>
  <c r="GS68" i="5" s="1"/>
  <c r="GT68" i="5" s="1"/>
  <c r="GU68" i="5" s="1"/>
  <c r="GV68" i="5" s="1"/>
  <c r="GW68" i="5" s="1"/>
  <c r="GX68" i="5" s="1"/>
  <c r="GY68" i="5" s="1"/>
  <c r="GZ68" i="5" s="1"/>
  <c r="HA68" i="5" s="1"/>
  <c r="HB68" i="5" s="1"/>
  <c r="HC68" i="5" s="1"/>
  <c r="HD68" i="5" s="1"/>
  <c r="HE68" i="5" s="1"/>
  <c r="HF68" i="5" s="1"/>
  <c r="HG68" i="5" s="1"/>
  <c r="HH68" i="5" s="1"/>
  <c r="HI68" i="5" s="1"/>
  <c r="HJ68" i="5" s="1"/>
  <c r="HK68" i="5" s="1"/>
  <c r="HL68" i="5" s="1"/>
  <c r="HM68" i="5" s="1"/>
  <c r="HN68" i="5" s="1"/>
  <c r="HO68" i="5" s="1"/>
  <c r="HP68" i="5" s="1"/>
  <c r="HQ68" i="5" s="1"/>
  <c r="HR68" i="5" s="1"/>
  <c r="HS68" i="5" s="1"/>
  <c r="HT68" i="5" s="1"/>
  <c r="HU68" i="5" s="1"/>
  <c r="HV68" i="5" s="1"/>
  <c r="HW68" i="5" s="1"/>
  <c r="HX68" i="5" s="1"/>
  <c r="HY68" i="5" s="1"/>
  <c r="HZ68" i="5" s="1"/>
  <c r="IA68" i="5" s="1"/>
  <c r="IB68" i="5" s="1"/>
  <c r="IC68" i="5" s="1"/>
  <c r="ID68" i="5" s="1"/>
  <c r="IE68" i="5" s="1"/>
  <c r="IF68" i="5" s="1"/>
  <c r="IG68" i="5" s="1"/>
  <c r="IH68" i="5" s="1"/>
  <c r="II68" i="5" s="1"/>
  <c r="IJ68" i="5" s="1"/>
  <c r="IK68" i="5" s="1"/>
  <c r="IL68" i="5" s="1"/>
  <c r="IM68" i="5" s="1"/>
  <c r="IN68" i="5" s="1"/>
  <c r="IO68" i="5" s="1"/>
  <c r="IP68" i="5" s="1"/>
  <c r="IQ68" i="5" s="1"/>
  <c r="IR68" i="5" s="1"/>
  <c r="IS68" i="5" s="1"/>
  <c r="IT68" i="5" s="1"/>
  <c r="IU68" i="5" s="1"/>
  <c r="F60" i="5"/>
  <c r="G60" i="5" s="1"/>
  <c r="H60" i="5" s="1"/>
  <c r="I60" i="5" s="1"/>
  <c r="J60" i="5" s="1"/>
  <c r="K60" i="5" s="1"/>
  <c r="L60" i="5" s="1"/>
  <c r="M60" i="5" s="1"/>
  <c r="N60" i="5" s="1"/>
  <c r="O60" i="5" s="1"/>
  <c r="P60" i="5" s="1"/>
  <c r="Q60" i="5" s="1"/>
  <c r="R60" i="5" s="1"/>
  <c r="S60" i="5" s="1"/>
  <c r="T60" i="5" s="1"/>
  <c r="U60" i="5" s="1"/>
  <c r="V60" i="5" s="1"/>
  <c r="W60" i="5" s="1"/>
  <c r="X60" i="5" s="1"/>
  <c r="Y60" i="5" s="1"/>
  <c r="Z60" i="5" s="1"/>
  <c r="AA60" i="5" s="1"/>
  <c r="AB60" i="5" s="1"/>
  <c r="AC60" i="5" s="1"/>
  <c r="AD60" i="5" s="1"/>
  <c r="AE60" i="5" s="1"/>
  <c r="AF60" i="5" s="1"/>
  <c r="AG60" i="5" s="1"/>
  <c r="AH60" i="5" s="1"/>
  <c r="AI60" i="5" s="1"/>
  <c r="AJ60" i="5" s="1"/>
  <c r="AK60" i="5" s="1"/>
  <c r="AL60" i="5" s="1"/>
  <c r="AM60" i="5" s="1"/>
  <c r="AN60" i="5" s="1"/>
  <c r="AO60" i="5" s="1"/>
  <c r="AP60" i="5" s="1"/>
  <c r="AQ60" i="5" s="1"/>
  <c r="AR60" i="5" s="1"/>
  <c r="AS60" i="5" s="1"/>
  <c r="AT60" i="5" s="1"/>
  <c r="AU60" i="5" s="1"/>
  <c r="AV60" i="5" s="1"/>
  <c r="AW60" i="5" s="1"/>
  <c r="AX60" i="5" s="1"/>
  <c r="AY60" i="5" s="1"/>
  <c r="AZ60" i="5" s="1"/>
  <c r="BA60" i="5" s="1"/>
  <c r="BB60" i="5" s="1"/>
  <c r="BC60" i="5" s="1"/>
  <c r="BD60" i="5" s="1"/>
  <c r="BE60" i="5" s="1"/>
  <c r="BF60" i="5" s="1"/>
  <c r="BG60" i="5" s="1"/>
  <c r="BH60" i="5" s="1"/>
  <c r="BI60" i="5" s="1"/>
  <c r="BJ60" i="5" s="1"/>
  <c r="BK60" i="5" s="1"/>
  <c r="BL60" i="5" s="1"/>
  <c r="BM60" i="5" s="1"/>
  <c r="BN60" i="5" s="1"/>
  <c r="BO60" i="5" s="1"/>
  <c r="BP60" i="5" s="1"/>
  <c r="BQ60" i="5" s="1"/>
  <c r="BR60" i="5" s="1"/>
  <c r="BS60" i="5" s="1"/>
  <c r="BT60" i="5" s="1"/>
  <c r="BU60" i="5" s="1"/>
  <c r="BV60" i="5" s="1"/>
  <c r="BW60" i="5" s="1"/>
  <c r="BX60" i="5" s="1"/>
  <c r="BY60" i="5" s="1"/>
  <c r="BZ60" i="5" s="1"/>
  <c r="CA60" i="5" s="1"/>
  <c r="CB60" i="5" s="1"/>
  <c r="CC60" i="5" s="1"/>
  <c r="CD60" i="5" s="1"/>
  <c r="CE60" i="5" s="1"/>
  <c r="CF60" i="5" s="1"/>
  <c r="CG60" i="5" s="1"/>
  <c r="CH60" i="5" s="1"/>
  <c r="CI60" i="5" s="1"/>
  <c r="CJ60" i="5" s="1"/>
  <c r="CK60" i="5" s="1"/>
  <c r="CL60" i="5" s="1"/>
  <c r="CM60" i="5" s="1"/>
  <c r="CN60" i="5" s="1"/>
  <c r="CO60" i="5" s="1"/>
  <c r="CP60" i="5" s="1"/>
  <c r="CQ60" i="5" s="1"/>
  <c r="CR60" i="5" s="1"/>
  <c r="CS60" i="5" s="1"/>
  <c r="CT60" i="5" s="1"/>
  <c r="CU60" i="5" s="1"/>
  <c r="CV60" i="5" s="1"/>
  <c r="CW60" i="5" s="1"/>
  <c r="CX60" i="5" s="1"/>
  <c r="CY60" i="5" s="1"/>
  <c r="CZ60" i="5" s="1"/>
  <c r="DA60" i="5" s="1"/>
  <c r="DB60" i="5" s="1"/>
  <c r="DC60" i="5" s="1"/>
  <c r="DD60" i="5" s="1"/>
  <c r="DE60" i="5" s="1"/>
  <c r="DF60" i="5" s="1"/>
  <c r="DG60" i="5" s="1"/>
  <c r="DH60" i="5" s="1"/>
  <c r="DI60" i="5" s="1"/>
  <c r="DJ60" i="5" s="1"/>
  <c r="DK60" i="5" s="1"/>
  <c r="DL60" i="5" s="1"/>
  <c r="DM60" i="5" s="1"/>
  <c r="DN60" i="5" s="1"/>
  <c r="DO60" i="5" s="1"/>
  <c r="DP60" i="5" s="1"/>
  <c r="DQ60" i="5" s="1"/>
  <c r="DR60" i="5" s="1"/>
  <c r="DS60" i="5" s="1"/>
  <c r="DT60" i="5" s="1"/>
  <c r="DU60" i="5" s="1"/>
  <c r="DV60" i="5" s="1"/>
  <c r="DW60" i="5" s="1"/>
  <c r="DX60" i="5" s="1"/>
  <c r="DY60" i="5" s="1"/>
  <c r="DZ60" i="5" s="1"/>
  <c r="EA60" i="5" s="1"/>
  <c r="EB60" i="5" s="1"/>
  <c r="EC60" i="5" s="1"/>
  <c r="ED60" i="5" s="1"/>
  <c r="EE60" i="5" s="1"/>
  <c r="EF60" i="5" s="1"/>
  <c r="EG60" i="5" s="1"/>
  <c r="EH60" i="5" s="1"/>
  <c r="EI60" i="5" s="1"/>
  <c r="EJ60" i="5" s="1"/>
  <c r="EK60" i="5" s="1"/>
  <c r="EL60" i="5" s="1"/>
  <c r="EM60" i="5" s="1"/>
  <c r="EN60" i="5" s="1"/>
  <c r="EO60" i="5" s="1"/>
  <c r="EP60" i="5" s="1"/>
  <c r="EQ60" i="5" s="1"/>
  <c r="ER60" i="5" s="1"/>
  <c r="ES60" i="5" s="1"/>
  <c r="ET60" i="5" s="1"/>
  <c r="EU60" i="5" s="1"/>
  <c r="EV60" i="5" s="1"/>
  <c r="EW60" i="5" s="1"/>
  <c r="EX60" i="5" s="1"/>
  <c r="EY60" i="5" s="1"/>
  <c r="EZ60" i="5" s="1"/>
  <c r="FA60" i="5" s="1"/>
  <c r="FB60" i="5" s="1"/>
  <c r="FC60" i="5" s="1"/>
  <c r="FD60" i="5" s="1"/>
  <c r="FE60" i="5" s="1"/>
  <c r="FF60" i="5" s="1"/>
  <c r="FG60" i="5" s="1"/>
  <c r="FH60" i="5" s="1"/>
  <c r="FI60" i="5" s="1"/>
  <c r="FJ60" i="5" s="1"/>
  <c r="FK60" i="5" s="1"/>
  <c r="FL60" i="5" s="1"/>
  <c r="FM60" i="5" s="1"/>
  <c r="FN60" i="5" s="1"/>
  <c r="FO60" i="5" s="1"/>
  <c r="FP60" i="5" s="1"/>
  <c r="FQ60" i="5" s="1"/>
  <c r="FR60" i="5" s="1"/>
  <c r="FS60" i="5" s="1"/>
  <c r="FT60" i="5" s="1"/>
  <c r="FU60" i="5" s="1"/>
  <c r="FV60" i="5" s="1"/>
  <c r="FW60" i="5" s="1"/>
  <c r="FX60" i="5" s="1"/>
  <c r="FY60" i="5" s="1"/>
  <c r="FZ60" i="5" s="1"/>
  <c r="GA60" i="5" s="1"/>
  <c r="GB60" i="5" s="1"/>
  <c r="GC60" i="5" s="1"/>
  <c r="GD60" i="5" s="1"/>
  <c r="GE60" i="5" s="1"/>
  <c r="GF60" i="5" s="1"/>
  <c r="GG60" i="5" s="1"/>
  <c r="GH60" i="5" s="1"/>
  <c r="GI60" i="5" s="1"/>
  <c r="GJ60" i="5" s="1"/>
  <c r="GK60" i="5" s="1"/>
  <c r="GL60" i="5" s="1"/>
  <c r="GM60" i="5" s="1"/>
  <c r="GN60" i="5" s="1"/>
  <c r="GO60" i="5" s="1"/>
  <c r="GP60" i="5" s="1"/>
  <c r="GQ60" i="5" s="1"/>
  <c r="GR60" i="5" s="1"/>
  <c r="GS60" i="5" s="1"/>
  <c r="GT60" i="5" s="1"/>
  <c r="GU60" i="5" s="1"/>
  <c r="GV60" i="5" s="1"/>
  <c r="GW60" i="5" s="1"/>
  <c r="GX60" i="5" s="1"/>
  <c r="GY60" i="5" s="1"/>
  <c r="GZ60" i="5" s="1"/>
  <c r="HA60" i="5" s="1"/>
  <c r="HB60" i="5" s="1"/>
  <c r="HC60" i="5" s="1"/>
  <c r="HD60" i="5" s="1"/>
  <c r="HE60" i="5" s="1"/>
  <c r="HF60" i="5" s="1"/>
  <c r="HG60" i="5" s="1"/>
  <c r="HH60" i="5" s="1"/>
  <c r="HI60" i="5" s="1"/>
  <c r="HJ60" i="5" s="1"/>
  <c r="HK60" i="5" s="1"/>
  <c r="HL60" i="5" s="1"/>
  <c r="HM60" i="5" s="1"/>
  <c r="HN60" i="5" s="1"/>
  <c r="HO60" i="5" s="1"/>
  <c r="HP60" i="5" s="1"/>
  <c r="HQ60" i="5" s="1"/>
  <c r="HR60" i="5" s="1"/>
  <c r="HS60" i="5" s="1"/>
  <c r="HT60" i="5" s="1"/>
  <c r="HU60" i="5" s="1"/>
  <c r="HV60" i="5" s="1"/>
  <c r="HW60" i="5" s="1"/>
  <c r="HX60" i="5" s="1"/>
  <c r="HY60" i="5" s="1"/>
  <c r="HZ60" i="5" s="1"/>
  <c r="IA60" i="5" s="1"/>
  <c r="IB60" i="5" s="1"/>
  <c r="IC60" i="5" s="1"/>
  <c r="ID60" i="5" s="1"/>
  <c r="IE60" i="5" s="1"/>
  <c r="IF60" i="5" s="1"/>
  <c r="IG60" i="5" s="1"/>
  <c r="IH60" i="5" s="1"/>
  <c r="II60" i="5" s="1"/>
  <c r="IJ60" i="5" s="1"/>
  <c r="IK60" i="5" s="1"/>
  <c r="IL60" i="5" s="1"/>
  <c r="IM60" i="5" s="1"/>
  <c r="IN60" i="5" s="1"/>
  <c r="IO60" i="5" s="1"/>
  <c r="IP60" i="5" s="1"/>
  <c r="IQ60" i="5" s="1"/>
  <c r="IR60" i="5" s="1"/>
  <c r="IS60" i="5" s="1"/>
  <c r="IT60" i="5" s="1"/>
  <c r="IU60" i="5" s="1"/>
  <c r="F52" i="5"/>
  <c r="G52" i="5" s="1"/>
  <c r="H52" i="5" s="1"/>
  <c r="I52" i="5" s="1"/>
  <c r="J52" i="5" s="1"/>
  <c r="K52" i="5" s="1"/>
  <c r="L52" i="5" s="1"/>
  <c r="M52" i="5" s="1"/>
  <c r="N52" i="5" s="1"/>
  <c r="O52" i="5" s="1"/>
  <c r="P52" i="5" s="1"/>
  <c r="Q52" i="5" s="1"/>
  <c r="R52" i="5" s="1"/>
  <c r="S52" i="5" s="1"/>
  <c r="T52" i="5" s="1"/>
  <c r="U52" i="5" s="1"/>
  <c r="V52" i="5" s="1"/>
  <c r="W52" i="5" s="1"/>
  <c r="X52" i="5" s="1"/>
  <c r="Y52" i="5" s="1"/>
  <c r="Z52" i="5" s="1"/>
  <c r="AA52" i="5" s="1"/>
  <c r="AB52" i="5" s="1"/>
  <c r="AC52" i="5" s="1"/>
  <c r="AD52" i="5" s="1"/>
  <c r="AE52" i="5" s="1"/>
  <c r="AF52" i="5" s="1"/>
  <c r="AG52" i="5" s="1"/>
  <c r="AH52" i="5" s="1"/>
  <c r="AI52" i="5" s="1"/>
  <c r="AJ52" i="5" s="1"/>
  <c r="AK52" i="5" s="1"/>
  <c r="AL52" i="5" s="1"/>
  <c r="AM52" i="5" s="1"/>
  <c r="AN52" i="5" s="1"/>
  <c r="AO52" i="5" s="1"/>
  <c r="AP52" i="5" s="1"/>
  <c r="AQ52" i="5" s="1"/>
  <c r="AR52" i="5" s="1"/>
  <c r="AS52" i="5" s="1"/>
  <c r="AT52" i="5" s="1"/>
  <c r="AU52" i="5" s="1"/>
  <c r="AV52" i="5" s="1"/>
  <c r="AW52" i="5" s="1"/>
  <c r="AX52" i="5" s="1"/>
  <c r="AY52" i="5" s="1"/>
  <c r="AZ52" i="5" s="1"/>
  <c r="BA52" i="5" s="1"/>
  <c r="BB52" i="5" s="1"/>
  <c r="BC52" i="5" s="1"/>
  <c r="BD52" i="5" s="1"/>
  <c r="BE52" i="5" s="1"/>
  <c r="BF52" i="5" s="1"/>
  <c r="BG52" i="5" s="1"/>
  <c r="BH52" i="5" s="1"/>
  <c r="BI52" i="5" s="1"/>
  <c r="BJ52" i="5" s="1"/>
  <c r="BK52" i="5" s="1"/>
  <c r="BL52" i="5" s="1"/>
  <c r="BM52" i="5" s="1"/>
  <c r="BN52" i="5" s="1"/>
  <c r="BO52" i="5" s="1"/>
  <c r="BP52" i="5" s="1"/>
  <c r="BQ52" i="5" s="1"/>
  <c r="BR52" i="5" s="1"/>
  <c r="BS52" i="5" s="1"/>
  <c r="BT52" i="5" s="1"/>
  <c r="BU52" i="5" s="1"/>
  <c r="BV52" i="5" s="1"/>
  <c r="BW52" i="5" s="1"/>
  <c r="BX52" i="5" s="1"/>
  <c r="BY52" i="5" s="1"/>
  <c r="BZ52" i="5" s="1"/>
  <c r="CA52" i="5" s="1"/>
  <c r="CB52" i="5" s="1"/>
  <c r="CC52" i="5" s="1"/>
  <c r="CD52" i="5" s="1"/>
  <c r="CE52" i="5" s="1"/>
  <c r="CF52" i="5" s="1"/>
  <c r="CG52" i="5" s="1"/>
  <c r="CH52" i="5" s="1"/>
  <c r="CI52" i="5" s="1"/>
  <c r="CJ52" i="5" s="1"/>
  <c r="CK52" i="5" s="1"/>
  <c r="CL52" i="5" s="1"/>
  <c r="CM52" i="5" s="1"/>
  <c r="CN52" i="5" s="1"/>
  <c r="CO52" i="5" s="1"/>
  <c r="CP52" i="5" s="1"/>
  <c r="CQ52" i="5" s="1"/>
  <c r="CR52" i="5" s="1"/>
  <c r="CS52" i="5" s="1"/>
  <c r="CT52" i="5" s="1"/>
  <c r="CU52" i="5" s="1"/>
  <c r="CV52" i="5" s="1"/>
  <c r="CW52" i="5" s="1"/>
  <c r="CX52" i="5" s="1"/>
  <c r="CY52" i="5" s="1"/>
  <c r="CZ52" i="5" s="1"/>
  <c r="DA52" i="5" s="1"/>
  <c r="DB52" i="5" s="1"/>
  <c r="DC52" i="5" s="1"/>
  <c r="DD52" i="5" s="1"/>
  <c r="DE52" i="5" s="1"/>
  <c r="DF52" i="5" s="1"/>
  <c r="DG52" i="5" s="1"/>
  <c r="DH52" i="5" s="1"/>
  <c r="DI52" i="5" s="1"/>
  <c r="DJ52" i="5" s="1"/>
  <c r="DK52" i="5" s="1"/>
  <c r="DL52" i="5" s="1"/>
  <c r="DM52" i="5" s="1"/>
  <c r="DN52" i="5" s="1"/>
  <c r="DO52" i="5" s="1"/>
  <c r="DP52" i="5" s="1"/>
  <c r="DQ52" i="5" s="1"/>
  <c r="DR52" i="5" s="1"/>
  <c r="DS52" i="5" s="1"/>
  <c r="DT52" i="5" s="1"/>
  <c r="DU52" i="5" s="1"/>
  <c r="DV52" i="5" s="1"/>
  <c r="DW52" i="5" s="1"/>
  <c r="DX52" i="5" s="1"/>
  <c r="DY52" i="5" s="1"/>
  <c r="DZ52" i="5" s="1"/>
  <c r="EA52" i="5" s="1"/>
  <c r="EB52" i="5" s="1"/>
  <c r="EC52" i="5" s="1"/>
  <c r="ED52" i="5" s="1"/>
  <c r="EE52" i="5" s="1"/>
  <c r="EF52" i="5" s="1"/>
  <c r="EG52" i="5" s="1"/>
  <c r="EH52" i="5" s="1"/>
  <c r="EI52" i="5" s="1"/>
  <c r="EJ52" i="5" s="1"/>
  <c r="EK52" i="5" s="1"/>
  <c r="EL52" i="5" s="1"/>
  <c r="EM52" i="5" s="1"/>
  <c r="EN52" i="5" s="1"/>
  <c r="EO52" i="5" s="1"/>
  <c r="EP52" i="5" s="1"/>
  <c r="EQ52" i="5" s="1"/>
  <c r="ER52" i="5" s="1"/>
  <c r="ES52" i="5" s="1"/>
  <c r="ET52" i="5" s="1"/>
  <c r="EU52" i="5" s="1"/>
  <c r="EV52" i="5" s="1"/>
  <c r="EW52" i="5" s="1"/>
  <c r="EX52" i="5" s="1"/>
  <c r="EY52" i="5" s="1"/>
  <c r="EZ52" i="5" s="1"/>
  <c r="FA52" i="5" s="1"/>
  <c r="FB52" i="5" s="1"/>
  <c r="FC52" i="5" s="1"/>
  <c r="FD52" i="5" s="1"/>
  <c r="FE52" i="5" s="1"/>
  <c r="FF52" i="5" s="1"/>
  <c r="FG52" i="5" s="1"/>
  <c r="FH52" i="5" s="1"/>
  <c r="FI52" i="5" s="1"/>
  <c r="FJ52" i="5" s="1"/>
  <c r="FK52" i="5" s="1"/>
  <c r="FL52" i="5" s="1"/>
  <c r="FM52" i="5" s="1"/>
  <c r="FN52" i="5" s="1"/>
  <c r="FO52" i="5" s="1"/>
  <c r="FP52" i="5" s="1"/>
  <c r="FQ52" i="5" s="1"/>
  <c r="FR52" i="5" s="1"/>
  <c r="FS52" i="5" s="1"/>
  <c r="FT52" i="5" s="1"/>
  <c r="FU52" i="5" s="1"/>
  <c r="FV52" i="5" s="1"/>
  <c r="FW52" i="5" s="1"/>
  <c r="FX52" i="5" s="1"/>
  <c r="FY52" i="5" s="1"/>
  <c r="FZ52" i="5" s="1"/>
  <c r="GA52" i="5" s="1"/>
  <c r="GB52" i="5" s="1"/>
  <c r="GC52" i="5" s="1"/>
  <c r="GD52" i="5" s="1"/>
  <c r="GE52" i="5" s="1"/>
  <c r="GF52" i="5" s="1"/>
  <c r="GG52" i="5" s="1"/>
  <c r="GH52" i="5" s="1"/>
  <c r="GI52" i="5" s="1"/>
  <c r="GJ52" i="5" s="1"/>
  <c r="GK52" i="5" s="1"/>
  <c r="GL52" i="5" s="1"/>
  <c r="GM52" i="5" s="1"/>
  <c r="GN52" i="5" s="1"/>
  <c r="GO52" i="5" s="1"/>
  <c r="GP52" i="5" s="1"/>
  <c r="GQ52" i="5" s="1"/>
  <c r="GR52" i="5" s="1"/>
  <c r="GS52" i="5" s="1"/>
  <c r="GT52" i="5" s="1"/>
  <c r="GU52" i="5" s="1"/>
  <c r="GV52" i="5" s="1"/>
  <c r="GW52" i="5" s="1"/>
  <c r="GX52" i="5" s="1"/>
  <c r="GY52" i="5" s="1"/>
  <c r="GZ52" i="5" s="1"/>
  <c r="HA52" i="5" s="1"/>
  <c r="HB52" i="5" s="1"/>
  <c r="HC52" i="5" s="1"/>
  <c r="HD52" i="5" s="1"/>
  <c r="HE52" i="5" s="1"/>
  <c r="HF52" i="5" s="1"/>
  <c r="HG52" i="5" s="1"/>
  <c r="HH52" i="5" s="1"/>
  <c r="HI52" i="5" s="1"/>
  <c r="HJ52" i="5" s="1"/>
  <c r="HK52" i="5" s="1"/>
  <c r="HL52" i="5" s="1"/>
  <c r="HM52" i="5" s="1"/>
  <c r="HN52" i="5" s="1"/>
  <c r="HO52" i="5" s="1"/>
  <c r="HP52" i="5" s="1"/>
  <c r="HQ52" i="5" s="1"/>
  <c r="HR52" i="5" s="1"/>
  <c r="HS52" i="5" s="1"/>
  <c r="HT52" i="5" s="1"/>
  <c r="HU52" i="5" s="1"/>
  <c r="HV52" i="5" s="1"/>
  <c r="HW52" i="5" s="1"/>
  <c r="HX52" i="5" s="1"/>
  <c r="HY52" i="5" s="1"/>
  <c r="HZ52" i="5" s="1"/>
  <c r="IA52" i="5" s="1"/>
  <c r="IB52" i="5" s="1"/>
  <c r="IC52" i="5" s="1"/>
  <c r="ID52" i="5" s="1"/>
  <c r="IE52" i="5" s="1"/>
  <c r="IF52" i="5" s="1"/>
  <c r="IG52" i="5" s="1"/>
  <c r="IH52" i="5" s="1"/>
  <c r="II52" i="5" s="1"/>
  <c r="IJ52" i="5" s="1"/>
  <c r="IK52" i="5" s="1"/>
  <c r="IL52" i="5" s="1"/>
  <c r="IM52" i="5" s="1"/>
  <c r="IN52" i="5" s="1"/>
  <c r="IO52" i="5" s="1"/>
  <c r="IP52" i="5" s="1"/>
  <c r="IQ52" i="5" s="1"/>
  <c r="IR52" i="5" s="1"/>
  <c r="IS52" i="5" s="1"/>
  <c r="IT52" i="5" s="1"/>
  <c r="IU52" i="5" s="1"/>
  <c r="F44" i="5"/>
  <c r="G44" i="5" s="1"/>
  <c r="H44" i="5" s="1"/>
  <c r="I44" i="5" s="1"/>
  <c r="J44" i="5" s="1"/>
  <c r="K44" i="5" s="1"/>
  <c r="L44" i="5" s="1"/>
  <c r="M44" i="5" s="1"/>
  <c r="N44" i="5" s="1"/>
  <c r="O44" i="5" s="1"/>
  <c r="P44" i="5" s="1"/>
  <c r="Q44" i="5" s="1"/>
  <c r="R44" i="5" s="1"/>
  <c r="S44" i="5" s="1"/>
  <c r="T44" i="5" s="1"/>
  <c r="U44" i="5" s="1"/>
  <c r="V44" i="5" s="1"/>
  <c r="W44" i="5" s="1"/>
  <c r="X44" i="5" s="1"/>
  <c r="Y44" i="5" s="1"/>
  <c r="Z44" i="5" s="1"/>
  <c r="AA44" i="5" s="1"/>
  <c r="AB44" i="5" s="1"/>
  <c r="AC44" i="5" s="1"/>
  <c r="AD44" i="5" s="1"/>
  <c r="AE44" i="5" s="1"/>
  <c r="AF44" i="5" s="1"/>
  <c r="AG44" i="5" s="1"/>
  <c r="AH44" i="5" s="1"/>
  <c r="AI44" i="5" s="1"/>
  <c r="AJ44" i="5" s="1"/>
  <c r="AK44" i="5" s="1"/>
  <c r="AL44" i="5" s="1"/>
  <c r="AM44" i="5" s="1"/>
  <c r="AN44" i="5" s="1"/>
  <c r="AO44" i="5" s="1"/>
  <c r="AP44" i="5" s="1"/>
  <c r="AQ44" i="5" s="1"/>
  <c r="AR44" i="5" s="1"/>
  <c r="AS44" i="5" s="1"/>
  <c r="AT44" i="5" s="1"/>
  <c r="AU44" i="5" s="1"/>
  <c r="AV44" i="5" s="1"/>
  <c r="AW44" i="5" s="1"/>
  <c r="AX44" i="5" s="1"/>
  <c r="AY44" i="5" s="1"/>
  <c r="AZ44" i="5" s="1"/>
  <c r="BA44" i="5" s="1"/>
  <c r="BB44" i="5" s="1"/>
  <c r="BC44" i="5" s="1"/>
  <c r="BD44" i="5" s="1"/>
  <c r="BE44" i="5" s="1"/>
  <c r="BF44" i="5" s="1"/>
  <c r="BG44" i="5" s="1"/>
  <c r="BH44" i="5" s="1"/>
  <c r="BI44" i="5" s="1"/>
  <c r="BJ44" i="5" s="1"/>
  <c r="BK44" i="5" s="1"/>
  <c r="BL44" i="5" s="1"/>
  <c r="BM44" i="5" s="1"/>
  <c r="BN44" i="5" s="1"/>
  <c r="BO44" i="5" s="1"/>
  <c r="BP44" i="5" s="1"/>
  <c r="BQ44" i="5" s="1"/>
  <c r="BR44" i="5" s="1"/>
  <c r="BS44" i="5" s="1"/>
  <c r="BT44" i="5" s="1"/>
  <c r="BU44" i="5" s="1"/>
  <c r="BV44" i="5" s="1"/>
  <c r="BW44" i="5" s="1"/>
  <c r="BX44" i="5" s="1"/>
  <c r="BY44" i="5" s="1"/>
  <c r="BZ44" i="5" s="1"/>
  <c r="CA44" i="5" s="1"/>
  <c r="CB44" i="5" s="1"/>
  <c r="CC44" i="5" s="1"/>
  <c r="CD44" i="5" s="1"/>
  <c r="CE44" i="5" s="1"/>
  <c r="CF44" i="5" s="1"/>
  <c r="CG44" i="5" s="1"/>
  <c r="CH44" i="5" s="1"/>
  <c r="CI44" i="5" s="1"/>
  <c r="CJ44" i="5" s="1"/>
  <c r="CK44" i="5" s="1"/>
  <c r="CL44" i="5" s="1"/>
  <c r="CM44" i="5" s="1"/>
  <c r="CN44" i="5" s="1"/>
  <c r="CO44" i="5" s="1"/>
  <c r="CP44" i="5" s="1"/>
  <c r="CQ44" i="5" s="1"/>
  <c r="CR44" i="5" s="1"/>
  <c r="CS44" i="5" s="1"/>
  <c r="CT44" i="5" s="1"/>
  <c r="CU44" i="5" s="1"/>
  <c r="CV44" i="5" s="1"/>
  <c r="CW44" i="5" s="1"/>
  <c r="CX44" i="5" s="1"/>
  <c r="CY44" i="5" s="1"/>
  <c r="CZ44" i="5" s="1"/>
  <c r="DA44" i="5" s="1"/>
  <c r="DB44" i="5" s="1"/>
  <c r="DC44" i="5" s="1"/>
  <c r="DD44" i="5" s="1"/>
  <c r="DE44" i="5" s="1"/>
  <c r="DF44" i="5" s="1"/>
  <c r="DG44" i="5" s="1"/>
  <c r="DH44" i="5" s="1"/>
  <c r="DI44" i="5" s="1"/>
  <c r="DJ44" i="5" s="1"/>
  <c r="DK44" i="5" s="1"/>
  <c r="DL44" i="5" s="1"/>
  <c r="DM44" i="5" s="1"/>
  <c r="DN44" i="5" s="1"/>
  <c r="DO44" i="5" s="1"/>
  <c r="DP44" i="5" s="1"/>
  <c r="DQ44" i="5" s="1"/>
  <c r="DR44" i="5" s="1"/>
  <c r="DS44" i="5" s="1"/>
  <c r="DT44" i="5" s="1"/>
  <c r="DU44" i="5" s="1"/>
  <c r="DV44" i="5" s="1"/>
  <c r="DW44" i="5" s="1"/>
  <c r="DX44" i="5" s="1"/>
  <c r="DY44" i="5" s="1"/>
  <c r="DZ44" i="5" s="1"/>
  <c r="EA44" i="5" s="1"/>
  <c r="EB44" i="5" s="1"/>
  <c r="EC44" i="5" s="1"/>
  <c r="ED44" i="5" s="1"/>
  <c r="EE44" i="5" s="1"/>
  <c r="EF44" i="5" s="1"/>
  <c r="EG44" i="5" s="1"/>
  <c r="EH44" i="5" s="1"/>
  <c r="EI44" i="5" s="1"/>
  <c r="EJ44" i="5" s="1"/>
  <c r="EK44" i="5" s="1"/>
  <c r="EL44" i="5" s="1"/>
  <c r="EM44" i="5" s="1"/>
  <c r="EN44" i="5" s="1"/>
  <c r="EO44" i="5" s="1"/>
  <c r="EP44" i="5" s="1"/>
  <c r="EQ44" i="5" s="1"/>
  <c r="ER44" i="5" s="1"/>
  <c r="ES44" i="5" s="1"/>
  <c r="ET44" i="5" s="1"/>
  <c r="EU44" i="5" s="1"/>
  <c r="EV44" i="5" s="1"/>
  <c r="EW44" i="5" s="1"/>
  <c r="EX44" i="5" s="1"/>
  <c r="EY44" i="5" s="1"/>
  <c r="EZ44" i="5" s="1"/>
  <c r="FA44" i="5" s="1"/>
  <c r="FB44" i="5" s="1"/>
  <c r="FC44" i="5" s="1"/>
  <c r="FD44" i="5" s="1"/>
  <c r="FE44" i="5" s="1"/>
  <c r="FF44" i="5" s="1"/>
  <c r="FG44" i="5" s="1"/>
  <c r="FH44" i="5" s="1"/>
  <c r="FI44" i="5" s="1"/>
  <c r="FJ44" i="5" s="1"/>
  <c r="FK44" i="5" s="1"/>
  <c r="FL44" i="5" s="1"/>
  <c r="FM44" i="5" s="1"/>
  <c r="FN44" i="5" s="1"/>
  <c r="FO44" i="5" s="1"/>
  <c r="FP44" i="5" s="1"/>
  <c r="FQ44" i="5" s="1"/>
  <c r="FR44" i="5" s="1"/>
  <c r="FS44" i="5" s="1"/>
  <c r="FT44" i="5" s="1"/>
  <c r="FU44" i="5" s="1"/>
  <c r="FV44" i="5" s="1"/>
  <c r="FW44" i="5" s="1"/>
  <c r="FX44" i="5" s="1"/>
  <c r="FY44" i="5" s="1"/>
  <c r="FZ44" i="5" s="1"/>
  <c r="GA44" i="5" s="1"/>
  <c r="GB44" i="5" s="1"/>
  <c r="GC44" i="5" s="1"/>
  <c r="GD44" i="5" s="1"/>
  <c r="GE44" i="5" s="1"/>
  <c r="GF44" i="5" s="1"/>
  <c r="GG44" i="5" s="1"/>
  <c r="GH44" i="5" s="1"/>
  <c r="GI44" i="5" s="1"/>
  <c r="GJ44" i="5" s="1"/>
  <c r="GK44" i="5" s="1"/>
  <c r="GL44" i="5" s="1"/>
  <c r="GM44" i="5" s="1"/>
  <c r="GN44" i="5" s="1"/>
  <c r="GO44" i="5" s="1"/>
  <c r="GP44" i="5" s="1"/>
  <c r="GQ44" i="5" s="1"/>
  <c r="GR44" i="5" s="1"/>
  <c r="GS44" i="5" s="1"/>
  <c r="GT44" i="5" s="1"/>
  <c r="GU44" i="5" s="1"/>
  <c r="GV44" i="5" s="1"/>
  <c r="GW44" i="5" s="1"/>
  <c r="GX44" i="5" s="1"/>
  <c r="GY44" i="5" s="1"/>
  <c r="GZ44" i="5" s="1"/>
  <c r="HA44" i="5" s="1"/>
  <c r="HB44" i="5" s="1"/>
  <c r="HC44" i="5" s="1"/>
  <c r="HD44" i="5" s="1"/>
  <c r="HE44" i="5" s="1"/>
  <c r="HF44" i="5" s="1"/>
  <c r="HG44" i="5" s="1"/>
  <c r="HH44" i="5" s="1"/>
  <c r="HI44" i="5" s="1"/>
  <c r="HJ44" i="5" s="1"/>
  <c r="HK44" i="5" s="1"/>
  <c r="HL44" i="5" s="1"/>
  <c r="HM44" i="5" s="1"/>
  <c r="HN44" i="5" s="1"/>
  <c r="HO44" i="5" s="1"/>
  <c r="HP44" i="5" s="1"/>
  <c r="HQ44" i="5" s="1"/>
  <c r="HR44" i="5" s="1"/>
  <c r="HS44" i="5" s="1"/>
  <c r="HT44" i="5" s="1"/>
  <c r="HU44" i="5" s="1"/>
  <c r="HV44" i="5" s="1"/>
  <c r="HW44" i="5" s="1"/>
  <c r="HX44" i="5" s="1"/>
  <c r="HY44" i="5" s="1"/>
  <c r="HZ44" i="5" s="1"/>
  <c r="IA44" i="5" s="1"/>
  <c r="IB44" i="5" s="1"/>
  <c r="IC44" i="5" s="1"/>
  <c r="ID44" i="5" s="1"/>
  <c r="IE44" i="5" s="1"/>
  <c r="IF44" i="5" s="1"/>
  <c r="IG44" i="5" s="1"/>
  <c r="IH44" i="5" s="1"/>
  <c r="II44" i="5" s="1"/>
  <c r="IJ44" i="5" s="1"/>
  <c r="IK44" i="5" s="1"/>
  <c r="IL44" i="5" s="1"/>
  <c r="IM44" i="5" s="1"/>
  <c r="IN44" i="5" s="1"/>
  <c r="IO44" i="5" s="1"/>
  <c r="IP44" i="5" s="1"/>
  <c r="IQ44" i="5" s="1"/>
  <c r="IR44" i="5" s="1"/>
  <c r="IS44" i="5" s="1"/>
  <c r="IT44" i="5" s="1"/>
  <c r="IU44" i="5" s="1"/>
  <c r="F36" i="5"/>
  <c r="G36" i="5" s="1"/>
  <c r="H36" i="5" s="1"/>
  <c r="I36" i="5" s="1"/>
  <c r="J36" i="5" s="1"/>
  <c r="K36" i="5" s="1"/>
  <c r="L36" i="5" s="1"/>
  <c r="M36" i="5" s="1"/>
  <c r="N36" i="5" s="1"/>
  <c r="O36" i="5" s="1"/>
  <c r="P36" i="5" s="1"/>
  <c r="Q36" i="5" s="1"/>
  <c r="R36" i="5" s="1"/>
  <c r="S36" i="5" s="1"/>
  <c r="T36" i="5" s="1"/>
  <c r="U36" i="5" s="1"/>
  <c r="V36" i="5" s="1"/>
  <c r="W36" i="5" s="1"/>
  <c r="X36" i="5" s="1"/>
  <c r="Y36" i="5" s="1"/>
  <c r="Z36" i="5" s="1"/>
  <c r="AA36" i="5" s="1"/>
  <c r="AB36" i="5" s="1"/>
  <c r="AC36" i="5" s="1"/>
  <c r="AD36" i="5" s="1"/>
  <c r="AE36" i="5" s="1"/>
  <c r="AF36" i="5" s="1"/>
  <c r="AG36" i="5" s="1"/>
  <c r="AH36" i="5" s="1"/>
  <c r="AI36" i="5" s="1"/>
  <c r="AJ36" i="5" s="1"/>
  <c r="AK36" i="5" s="1"/>
  <c r="AL36" i="5" s="1"/>
  <c r="AM36" i="5" s="1"/>
  <c r="AN36" i="5" s="1"/>
  <c r="AO36" i="5" s="1"/>
  <c r="AP36" i="5" s="1"/>
  <c r="AQ36" i="5" s="1"/>
  <c r="AR36" i="5" s="1"/>
  <c r="AS36" i="5" s="1"/>
  <c r="AT36" i="5" s="1"/>
  <c r="AU36" i="5" s="1"/>
  <c r="AV36" i="5" s="1"/>
  <c r="AW36" i="5" s="1"/>
  <c r="AX36" i="5" s="1"/>
  <c r="AY36" i="5" s="1"/>
  <c r="AZ36" i="5" s="1"/>
  <c r="BA36" i="5" s="1"/>
  <c r="BB36" i="5" s="1"/>
  <c r="BC36" i="5" s="1"/>
  <c r="BD36" i="5" s="1"/>
  <c r="BE36" i="5" s="1"/>
  <c r="BF36" i="5" s="1"/>
  <c r="BG36" i="5" s="1"/>
  <c r="BH36" i="5" s="1"/>
  <c r="BI36" i="5" s="1"/>
  <c r="BJ36" i="5" s="1"/>
  <c r="BK36" i="5" s="1"/>
  <c r="BL36" i="5" s="1"/>
  <c r="BM36" i="5" s="1"/>
  <c r="BN36" i="5" s="1"/>
  <c r="BO36" i="5" s="1"/>
  <c r="BP36" i="5" s="1"/>
  <c r="BQ36" i="5" s="1"/>
  <c r="BR36" i="5" s="1"/>
  <c r="BS36" i="5" s="1"/>
  <c r="BT36" i="5" s="1"/>
  <c r="BU36" i="5" s="1"/>
  <c r="BV36" i="5" s="1"/>
  <c r="BW36" i="5" s="1"/>
  <c r="BX36" i="5" s="1"/>
  <c r="BY36" i="5" s="1"/>
  <c r="BZ36" i="5" s="1"/>
  <c r="CA36" i="5" s="1"/>
  <c r="CB36" i="5" s="1"/>
  <c r="CC36" i="5" s="1"/>
  <c r="CD36" i="5" s="1"/>
  <c r="CE36" i="5" s="1"/>
  <c r="CF36" i="5" s="1"/>
  <c r="CG36" i="5" s="1"/>
  <c r="CH36" i="5" s="1"/>
  <c r="CI36" i="5" s="1"/>
  <c r="CJ36" i="5" s="1"/>
  <c r="CK36" i="5" s="1"/>
  <c r="CL36" i="5" s="1"/>
  <c r="CM36" i="5" s="1"/>
  <c r="CN36" i="5" s="1"/>
  <c r="CO36" i="5" s="1"/>
  <c r="CP36" i="5" s="1"/>
  <c r="CQ36" i="5" s="1"/>
  <c r="CR36" i="5" s="1"/>
  <c r="CS36" i="5" s="1"/>
  <c r="CT36" i="5" s="1"/>
  <c r="CU36" i="5" s="1"/>
  <c r="CV36" i="5" s="1"/>
  <c r="CW36" i="5" s="1"/>
  <c r="CX36" i="5" s="1"/>
  <c r="CY36" i="5" s="1"/>
  <c r="CZ36" i="5" s="1"/>
  <c r="DA36" i="5" s="1"/>
  <c r="DB36" i="5" s="1"/>
  <c r="DC36" i="5" s="1"/>
  <c r="DD36" i="5" s="1"/>
  <c r="DE36" i="5" s="1"/>
  <c r="DF36" i="5" s="1"/>
  <c r="DG36" i="5" s="1"/>
  <c r="DH36" i="5" s="1"/>
  <c r="DI36" i="5" s="1"/>
  <c r="DJ36" i="5" s="1"/>
  <c r="DK36" i="5" s="1"/>
  <c r="DL36" i="5" s="1"/>
  <c r="DM36" i="5" s="1"/>
  <c r="DN36" i="5" s="1"/>
  <c r="DO36" i="5" s="1"/>
  <c r="DP36" i="5" s="1"/>
  <c r="DQ36" i="5" s="1"/>
  <c r="DR36" i="5" s="1"/>
  <c r="DS36" i="5" s="1"/>
  <c r="DT36" i="5" s="1"/>
  <c r="DU36" i="5" s="1"/>
  <c r="DV36" i="5" s="1"/>
  <c r="DW36" i="5" s="1"/>
  <c r="DX36" i="5" s="1"/>
  <c r="DY36" i="5" s="1"/>
  <c r="DZ36" i="5" s="1"/>
  <c r="EA36" i="5" s="1"/>
  <c r="EB36" i="5" s="1"/>
  <c r="EC36" i="5" s="1"/>
  <c r="ED36" i="5" s="1"/>
  <c r="EE36" i="5" s="1"/>
  <c r="EF36" i="5" s="1"/>
  <c r="EG36" i="5" s="1"/>
  <c r="EH36" i="5" s="1"/>
  <c r="EI36" i="5" s="1"/>
  <c r="EJ36" i="5" s="1"/>
  <c r="EK36" i="5" s="1"/>
  <c r="EL36" i="5" s="1"/>
  <c r="EM36" i="5" s="1"/>
  <c r="EN36" i="5" s="1"/>
  <c r="EO36" i="5" s="1"/>
  <c r="EP36" i="5" s="1"/>
  <c r="EQ36" i="5" s="1"/>
  <c r="ER36" i="5" s="1"/>
  <c r="ES36" i="5" s="1"/>
  <c r="ET36" i="5" s="1"/>
  <c r="EU36" i="5" s="1"/>
  <c r="EV36" i="5" s="1"/>
  <c r="EW36" i="5" s="1"/>
  <c r="EX36" i="5" s="1"/>
  <c r="EY36" i="5" s="1"/>
  <c r="EZ36" i="5" s="1"/>
  <c r="FA36" i="5" s="1"/>
  <c r="FB36" i="5" s="1"/>
  <c r="FC36" i="5" s="1"/>
  <c r="FD36" i="5" s="1"/>
  <c r="FE36" i="5" s="1"/>
  <c r="FF36" i="5" s="1"/>
  <c r="FG36" i="5" s="1"/>
  <c r="FH36" i="5" s="1"/>
  <c r="FI36" i="5" s="1"/>
  <c r="FJ36" i="5" s="1"/>
  <c r="FK36" i="5" s="1"/>
  <c r="FL36" i="5" s="1"/>
  <c r="FM36" i="5" s="1"/>
  <c r="FN36" i="5" s="1"/>
  <c r="FO36" i="5" s="1"/>
  <c r="FP36" i="5" s="1"/>
  <c r="FQ36" i="5" s="1"/>
  <c r="FR36" i="5" s="1"/>
  <c r="FS36" i="5" s="1"/>
  <c r="FT36" i="5" s="1"/>
  <c r="FU36" i="5" s="1"/>
  <c r="FV36" i="5" s="1"/>
  <c r="FW36" i="5" s="1"/>
  <c r="FX36" i="5" s="1"/>
  <c r="FY36" i="5" s="1"/>
  <c r="FZ36" i="5" s="1"/>
  <c r="GA36" i="5" s="1"/>
  <c r="GB36" i="5" s="1"/>
  <c r="GC36" i="5" s="1"/>
  <c r="GD36" i="5" s="1"/>
  <c r="GE36" i="5" s="1"/>
  <c r="GF36" i="5" s="1"/>
  <c r="GG36" i="5" s="1"/>
  <c r="GH36" i="5" s="1"/>
  <c r="GI36" i="5" s="1"/>
  <c r="GJ36" i="5" s="1"/>
  <c r="GK36" i="5" s="1"/>
  <c r="GL36" i="5" s="1"/>
  <c r="GM36" i="5" s="1"/>
  <c r="GN36" i="5" s="1"/>
  <c r="GO36" i="5" s="1"/>
  <c r="GP36" i="5" s="1"/>
  <c r="GQ36" i="5" s="1"/>
  <c r="GR36" i="5" s="1"/>
  <c r="GS36" i="5" s="1"/>
  <c r="GT36" i="5" s="1"/>
  <c r="GU36" i="5" s="1"/>
  <c r="GV36" i="5" s="1"/>
  <c r="GW36" i="5" s="1"/>
  <c r="GX36" i="5" s="1"/>
  <c r="GY36" i="5" s="1"/>
  <c r="GZ36" i="5" s="1"/>
  <c r="HA36" i="5" s="1"/>
  <c r="HB36" i="5" s="1"/>
  <c r="HC36" i="5" s="1"/>
  <c r="HD36" i="5" s="1"/>
  <c r="HE36" i="5" s="1"/>
  <c r="HF36" i="5" s="1"/>
  <c r="HG36" i="5" s="1"/>
  <c r="HH36" i="5" s="1"/>
  <c r="HI36" i="5" s="1"/>
  <c r="HJ36" i="5" s="1"/>
  <c r="HK36" i="5" s="1"/>
  <c r="HL36" i="5" s="1"/>
  <c r="HM36" i="5" s="1"/>
  <c r="HN36" i="5" s="1"/>
  <c r="HO36" i="5" s="1"/>
  <c r="HP36" i="5" s="1"/>
  <c r="HQ36" i="5" s="1"/>
  <c r="HR36" i="5" s="1"/>
  <c r="HS36" i="5" s="1"/>
  <c r="HT36" i="5" s="1"/>
  <c r="HU36" i="5" s="1"/>
  <c r="HV36" i="5" s="1"/>
  <c r="HW36" i="5" s="1"/>
  <c r="HX36" i="5" s="1"/>
  <c r="HY36" i="5" s="1"/>
  <c r="HZ36" i="5" s="1"/>
  <c r="IA36" i="5" s="1"/>
  <c r="IB36" i="5" s="1"/>
  <c r="IC36" i="5" s="1"/>
  <c r="ID36" i="5" s="1"/>
  <c r="IE36" i="5" s="1"/>
  <c r="IF36" i="5" s="1"/>
  <c r="IG36" i="5" s="1"/>
  <c r="IH36" i="5" s="1"/>
  <c r="II36" i="5" s="1"/>
  <c r="IJ36" i="5" s="1"/>
  <c r="IK36" i="5" s="1"/>
  <c r="IL36" i="5" s="1"/>
  <c r="IM36" i="5" s="1"/>
  <c r="IN36" i="5" s="1"/>
  <c r="IO36" i="5" s="1"/>
  <c r="IP36" i="5" s="1"/>
  <c r="IQ36" i="5" s="1"/>
  <c r="IR36" i="5" s="1"/>
  <c r="IS36" i="5" s="1"/>
  <c r="IT36" i="5" s="1"/>
  <c r="IU36" i="5" s="1"/>
  <c r="F28" i="5"/>
  <c r="G28" i="5" s="1"/>
  <c r="H28" i="5" s="1"/>
  <c r="I28" i="5" s="1"/>
  <c r="J28" i="5" s="1"/>
  <c r="K28" i="5" s="1"/>
  <c r="L28" i="5" s="1"/>
  <c r="M28" i="5" s="1"/>
  <c r="N28" i="5" s="1"/>
  <c r="O28" i="5" s="1"/>
  <c r="P28" i="5" s="1"/>
  <c r="Q28" i="5" s="1"/>
  <c r="R28" i="5" s="1"/>
  <c r="S28" i="5" s="1"/>
  <c r="T28" i="5" s="1"/>
  <c r="U28" i="5" s="1"/>
  <c r="V28" i="5" s="1"/>
  <c r="W28" i="5" s="1"/>
  <c r="X28" i="5" s="1"/>
  <c r="Y28" i="5" s="1"/>
  <c r="Z28" i="5" s="1"/>
  <c r="AA28" i="5" s="1"/>
  <c r="AB28" i="5" s="1"/>
  <c r="AC28" i="5" s="1"/>
  <c r="AD28" i="5" s="1"/>
  <c r="AE28" i="5" s="1"/>
  <c r="AF28" i="5" s="1"/>
  <c r="AG28" i="5" s="1"/>
  <c r="AH28" i="5" s="1"/>
  <c r="AI28" i="5" s="1"/>
  <c r="AJ28" i="5" s="1"/>
  <c r="AK28" i="5" s="1"/>
  <c r="AL28" i="5" s="1"/>
  <c r="AM28" i="5" s="1"/>
  <c r="AN28" i="5" s="1"/>
  <c r="AO28" i="5" s="1"/>
  <c r="AP28" i="5" s="1"/>
  <c r="AQ28" i="5" s="1"/>
  <c r="AR28" i="5" s="1"/>
  <c r="AS28" i="5" s="1"/>
  <c r="AT28" i="5" s="1"/>
  <c r="AU28" i="5" s="1"/>
  <c r="AV28" i="5" s="1"/>
  <c r="AW28" i="5" s="1"/>
  <c r="AX28" i="5" s="1"/>
  <c r="AY28" i="5" s="1"/>
  <c r="AZ28" i="5" s="1"/>
  <c r="BA28" i="5" s="1"/>
  <c r="BB28" i="5" s="1"/>
  <c r="BC28" i="5" s="1"/>
  <c r="BD28" i="5" s="1"/>
  <c r="BE28" i="5" s="1"/>
  <c r="BF28" i="5" s="1"/>
  <c r="BG28" i="5" s="1"/>
  <c r="BH28" i="5" s="1"/>
  <c r="BI28" i="5" s="1"/>
  <c r="BJ28" i="5" s="1"/>
  <c r="BK28" i="5" s="1"/>
  <c r="BL28" i="5" s="1"/>
  <c r="BM28" i="5" s="1"/>
  <c r="BN28" i="5" s="1"/>
  <c r="BO28" i="5" s="1"/>
  <c r="BP28" i="5" s="1"/>
  <c r="BQ28" i="5" s="1"/>
  <c r="BR28" i="5" s="1"/>
  <c r="BS28" i="5" s="1"/>
  <c r="BT28" i="5" s="1"/>
  <c r="BU28" i="5" s="1"/>
  <c r="BV28" i="5" s="1"/>
  <c r="BW28" i="5" s="1"/>
  <c r="BX28" i="5" s="1"/>
  <c r="BY28" i="5" s="1"/>
  <c r="BZ28" i="5" s="1"/>
  <c r="CA28" i="5" s="1"/>
  <c r="CB28" i="5" s="1"/>
  <c r="CC28" i="5" s="1"/>
  <c r="CD28" i="5" s="1"/>
  <c r="CE28" i="5" s="1"/>
  <c r="CF28" i="5" s="1"/>
  <c r="CG28" i="5" s="1"/>
  <c r="CH28" i="5" s="1"/>
  <c r="CI28" i="5" s="1"/>
  <c r="CJ28" i="5" s="1"/>
  <c r="CK28" i="5" s="1"/>
  <c r="CL28" i="5" s="1"/>
  <c r="CM28" i="5" s="1"/>
  <c r="CN28" i="5" s="1"/>
  <c r="CO28" i="5" s="1"/>
  <c r="CP28" i="5" s="1"/>
  <c r="CQ28" i="5" s="1"/>
  <c r="CR28" i="5" s="1"/>
  <c r="CS28" i="5" s="1"/>
  <c r="CT28" i="5" s="1"/>
  <c r="CU28" i="5" s="1"/>
  <c r="CV28" i="5" s="1"/>
  <c r="CW28" i="5" s="1"/>
  <c r="CX28" i="5" s="1"/>
  <c r="CY28" i="5" s="1"/>
  <c r="CZ28" i="5" s="1"/>
  <c r="DA28" i="5" s="1"/>
  <c r="DB28" i="5" s="1"/>
  <c r="DC28" i="5" s="1"/>
  <c r="DD28" i="5" s="1"/>
  <c r="DE28" i="5" s="1"/>
  <c r="DF28" i="5" s="1"/>
  <c r="DG28" i="5" s="1"/>
  <c r="DH28" i="5" s="1"/>
  <c r="DI28" i="5" s="1"/>
  <c r="DJ28" i="5" s="1"/>
  <c r="DK28" i="5" s="1"/>
  <c r="DL28" i="5" s="1"/>
  <c r="DM28" i="5" s="1"/>
  <c r="DN28" i="5" s="1"/>
  <c r="DO28" i="5" s="1"/>
  <c r="DP28" i="5" s="1"/>
  <c r="DQ28" i="5" s="1"/>
  <c r="DR28" i="5" s="1"/>
  <c r="DS28" i="5" s="1"/>
  <c r="DT28" i="5" s="1"/>
  <c r="DU28" i="5" s="1"/>
  <c r="DV28" i="5" s="1"/>
  <c r="DW28" i="5" s="1"/>
  <c r="DX28" i="5" s="1"/>
  <c r="DY28" i="5" s="1"/>
  <c r="DZ28" i="5" s="1"/>
  <c r="EA28" i="5" s="1"/>
  <c r="EB28" i="5" s="1"/>
  <c r="EC28" i="5" s="1"/>
  <c r="ED28" i="5" s="1"/>
  <c r="EE28" i="5" s="1"/>
  <c r="EF28" i="5" s="1"/>
  <c r="EG28" i="5" s="1"/>
  <c r="EH28" i="5" s="1"/>
  <c r="EI28" i="5" s="1"/>
  <c r="EJ28" i="5" s="1"/>
  <c r="EK28" i="5" s="1"/>
  <c r="EL28" i="5" s="1"/>
  <c r="EM28" i="5" s="1"/>
  <c r="EN28" i="5" s="1"/>
  <c r="EO28" i="5" s="1"/>
  <c r="EP28" i="5" s="1"/>
  <c r="EQ28" i="5" s="1"/>
  <c r="ER28" i="5" s="1"/>
  <c r="ES28" i="5" s="1"/>
  <c r="ET28" i="5" s="1"/>
  <c r="EU28" i="5" s="1"/>
  <c r="EV28" i="5" s="1"/>
  <c r="EW28" i="5" s="1"/>
  <c r="EX28" i="5" s="1"/>
  <c r="EY28" i="5" s="1"/>
  <c r="EZ28" i="5" s="1"/>
  <c r="FA28" i="5" s="1"/>
  <c r="FB28" i="5" s="1"/>
  <c r="FC28" i="5" s="1"/>
  <c r="FD28" i="5" s="1"/>
  <c r="FE28" i="5" s="1"/>
  <c r="FF28" i="5" s="1"/>
  <c r="FG28" i="5" s="1"/>
  <c r="FH28" i="5" s="1"/>
  <c r="FI28" i="5" s="1"/>
  <c r="FJ28" i="5" s="1"/>
  <c r="FK28" i="5" s="1"/>
  <c r="FL28" i="5" s="1"/>
  <c r="FM28" i="5" s="1"/>
  <c r="FN28" i="5" s="1"/>
  <c r="FO28" i="5" s="1"/>
  <c r="FP28" i="5" s="1"/>
  <c r="FQ28" i="5" s="1"/>
  <c r="FR28" i="5" s="1"/>
  <c r="FS28" i="5" s="1"/>
  <c r="FT28" i="5" s="1"/>
  <c r="FU28" i="5" s="1"/>
  <c r="FV28" i="5" s="1"/>
  <c r="FW28" i="5" s="1"/>
  <c r="FX28" i="5" s="1"/>
  <c r="FY28" i="5" s="1"/>
  <c r="FZ28" i="5" s="1"/>
  <c r="GA28" i="5" s="1"/>
  <c r="GB28" i="5" s="1"/>
  <c r="GC28" i="5" s="1"/>
  <c r="GD28" i="5" s="1"/>
  <c r="GE28" i="5" s="1"/>
  <c r="GF28" i="5" s="1"/>
  <c r="GG28" i="5" s="1"/>
  <c r="GH28" i="5" s="1"/>
  <c r="GI28" i="5" s="1"/>
  <c r="GJ28" i="5" s="1"/>
  <c r="GK28" i="5" s="1"/>
  <c r="GL28" i="5" s="1"/>
  <c r="GM28" i="5" s="1"/>
  <c r="GN28" i="5" s="1"/>
  <c r="GO28" i="5" s="1"/>
  <c r="GP28" i="5" s="1"/>
  <c r="GQ28" i="5" s="1"/>
  <c r="GR28" i="5" s="1"/>
  <c r="GS28" i="5" s="1"/>
  <c r="GT28" i="5" s="1"/>
  <c r="GU28" i="5" s="1"/>
  <c r="GV28" i="5" s="1"/>
  <c r="GW28" i="5" s="1"/>
  <c r="GX28" i="5" s="1"/>
  <c r="GY28" i="5" s="1"/>
  <c r="GZ28" i="5" s="1"/>
  <c r="HA28" i="5" s="1"/>
  <c r="HB28" i="5" s="1"/>
  <c r="HC28" i="5" s="1"/>
  <c r="HD28" i="5" s="1"/>
  <c r="HE28" i="5" s="1"/>
  <c r="HF28" i="5" s="1"/>
  <c r="HG28" i="5" s="1"/>
  <c r="HH28" i="5" s="1"/>
  <c r="HI28" i="5" s="1"/>
  <c r="HJ28" i="5" s="1"/>
  <c r="HK28" i="5" s="1"/>
  <c r="HL28" i="5" s="1"/>
  <c r="HM28" i="5" s="1"/>
  <c r="HN28" i="5" s="1"/>
  <c r="HO28" i="5" s="1"/>
  <c r="HP28" i="5" s="1"/>
  <c r="HQ28" i="5" s="1"/>
  <c r="HR28" i="5" s="1"/>
  <c r="HS28" i="5" s="1"/>
  <c r="HT28" i="5" s="1"/>
  <c r="HU28" i="5" s="1"/>
  <c r="HV28" i="5" s="1"/>
  <c r="HW28" i="5" s="1"/>
  <c r="HX28" i="5" s="1"/>
  <c r="HY28" i="5" s="1"/>
  <c r="HZ28" i="5" s="1"/>
  <c r="IA28" i="5" s="1"/>
  <c r="IB28" i="5" s="1"/>
  <c r="IC28" i="5" s="1"/>
  <c r="ID28" i="5" s="1"/>
  <c r="IE28" i="5" s="1"/>
  <c r="IF28" i="5" s="1"/>
  <c r="IG28" i="5" s="1"/>
  <c r="IH28" i="5" s="1"/>
  <c r="II28" i="5" s="1"/>
  <c r="IJ28" i="5" s="1"/>
  <c r="IK28" i="5" s="1"/>
  <c r="IL28" i="5" s="1"/>
  <c r="IM28" i="5" s="1"/>
  <c r="IN28" i="5" s="1"/>
  <c r="IO28" i="5" s="1"/>
  <c r="IP28" i="5" s="1"/>
  <c r="IQ28" i="5" s="1"/>
  <c r="IR28" i="5" s="1"/>
  <c r="IS28" i="5" s="1"/>
  <c r="IT28" i="5" s="1"/>
  <c r="IU28" i="5" s="1"/>
  <c r="F20" i="5"/>
  <c r="G20" i="5" s="1"/>
  <c r="H20" i="5" s="1"/>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CO20" i="5" s="1"/>
  <c r="CP20" i="5" s="1"/>
  <c r="CQ20" i="5" s="1"/>
  <c r="CR20" i="5" s="1"/>
  <c r="CS20" i="5" s="1"/>
  <c r="CT20" i="5" s="1"/>
  <c r="CU20" i="5" s="1"/>
  <c r="CV20" i="5" s="1"/>
  <c r="CW20" i="5" s="1"/>
  <c r="CX20" i="5" s="1"/>
  <c r="CY20" i="5" s="1"/>
  <c r="CZ20" i="5" s="1"/>
  <c r="DA20" i="5" s="1"/>
  <c r="DB20" i="5" s="1"/>
  <c r="DC20" i="5" s="1"/>
  <c r="DD20" i="5" s="1"/>
  <c r="DE20" i="5" s="1"/>
  <c r="DF20" i="5" s="1"/>
  <c r="DG20" i="5" s="1"/>
  <c r="DH20" i="5" s="1"/>
  <c r="DI20" i="5" s="1"/>
  <c r="DJ20" i="5" s="1"/>
  <c r="DK20" i="5" s="1"/>
  <c r="DL20" i="5" s="1"/>
  <c r="DM20" i="5" s="1"/>
  <c r="DN20" i="5" s="1"/>
  <c r="DO20" i="5" s="1"/>
  <c r="DP20" i="5" s="1"/>
  <c r="DQ20" i="5" s="1"/>
  <c r="DR20" i="5" s="1"/>
  <c r="DS20" i="5" s="1"/>
  <c r="DT20" i="5" s="1"/>
  <c r="DU20" i="5" s="1"/>
  <c r="DV20" i="5" s="1"/>
  <c r="DW20" i="5" s="1"/>
  <c r="DX20" i="5" s="1"/>
  <c r="DY20" i="5" s="1"/>
  <c r="DZ20" i="5" s="1"/>
  <c r="EA20" i="5" s="1"/>
  <c r="EB20" i="5" s="1"/>
  <c r="EC20" i="5" s="1"/>
  <c r="ED20" i="5" s="1"/>
  <c r="EE20" i="5" s="1"/>
  <c r="EF20" i="5" s="1"/>
  <c r="EG20" i="5" s="1"/>
  <c r="EH20" i="5" s="1"/>
  <c r="EI20" i="5" s="1"/>
  <c r="EJ20" i="5" s="1"/>
  <c r="EK20" i="5" s="1"/>
  <c r="EL20" i="5" s="1"/>
  <c r="EM20" i="5" s="1"/>
  <c r="EN20" i="5" s="1"/>
  <c r="EO20" i="5" s="1"/>
  <c r="EP20" i="5" s="1"/>
  <c r="EQ20" i="5" s="1"/>
  <c r="ER20" i="5" s="1"/>
  <c r="ES20" i="5" s="1"/>
  <c r="ET20" i="5" s="1"/>
  <c r="EU20" i="5" s="1"/>
  <c r="EV20" i="5" s="1"/>
  <c r="EW20" i="5" s="1"/>
  <c r="EX20" i="5" s="1"/>
  <c r="EY20" i="5" s="1"/>
  <c r="EZ20" i="5" s="1"/>
  <c r="FA20" i="5" s="1"/>
  <c r="FB20" i="5" s="1"/>
  <c r="FC20" i="5" s="1"/>
  <c r="FD20" i="5" s="1"/>
  <c r="FE20" i="5" s="1"/>
  <c r="FF20" i="5" s="1"/>
  <c r="FG20" i="5" s="1"/>
  <c r="FH20" i="5" s="1"/>
  <c r="FI20" i="5" s="1"/>
  <c r="FJ20" i="5" s="1"/>
  <c r="FK20" i="5" s="1"/>
  <c r="FL20" i="5" s="1"/>
  <c r="FM20" i="5" s="1"/>
  <c r="FN20" i="5" s="1"/>
  <c r="FO20" i="5" s="1"/>
  <c r="FP20" i="5" s="1"/>
  <c r="FQ20" i="5" s="1"/>
  <c r="FR20" i="5" s="1"/>
  <c r="FS20" i="5" s="1"/>
  <c r="FT20" i="5" s="1"/>
  <c r="FU20" i="5" s="1"/>
  <c r="FV20" i="5" s="1"/>
  <c r="FW20" i="5" s="1"/>
  <c r="FX20" i="5" s="1"/>
  <c r="FY20" i="5" s="1"/>
  <c r="FZ20" i="5" s="1"/>
  <c r="GA20" i="5" s="1"/>
  <c r="GB20" i="5" s="1"/>
  <c r="GC20" i="5" s="1"/>
  <c r="GD20" i="5" s="1"/>
  <c r="GE20" i="5" s="1"/>
  <c r="GF20" i="5" s="1"/>
  <c r="GG20" i="5" s="1"/>
  <c r="GH20" i="5" s="1"/>
  <c r="GI20" i="5" s="1"/>
  <c r="GJ20" i="5" s="1"/>
  <c r="GK20" i="5" s="1"/>
  <c r="GL20" i="5" s="1"/>
  <c r="GM20" i="5" s="1"/>
  <c r="GN20" i="5" s="1"/>
  <c r="GO20" i="5" s="1"/>
  <c r="GP20" i="5" s="1"/>
  <c r="GQ20" i="5" s="1"/>
  <c r="GR20" i="5" s="1"/>
  <c r="GS20" i="5" s="1"/>
  <c r="GT20" i="5" s="1"/>
  <c r="GU20" i="5" s="1"/>
  <c r="GV20" i="5" s="1"/>
  <c r="GW20" i="5" s="1"/>
  <c r="GX20" i="5" s="1"/>
  <c r="GY20" i="5" s="1"/>
  <c r="GZ20" i="5" s="1"/>
  <c r="HA20" i="5" s="1"/>
  <c r="HB20" i="5" s="1"/>
  <c r="HC20" i="5" s="1"/>
  <c r="HD20" i="5" s="1"/>
  <c r="HE20" i="5" s="1"/>
  <c r="HF20" i="5" s="1"/>
  <c r="HG20" i="5" s="1"/>
  <c r="HH20" i="5" s="1"/>
  <c r="HI20" i="5" s="1"/>
  <c r="HJ20" i="5" s="1"/>
  <c r="HK20" i="5" s="1"/>
  <c r="HL20" i="5" s="1"/>
  <c r="HM20" i="5" s="1"/>
  <c r="HN20" i="5" s="1"/>
  <c r="HO20" i="5" s="1"/>
  <c r="HP20" i="5" s="1"/>
  <c r="HQ20" i="5" s="1"/>
  <c r="HR20" i="5" s="1"/>
  <c r="HS20" i="5" s="1"/>
  <c r="HT20" i="5" s="1"/>
  <c r="HU20" i="5" s="1"/>
  <c r="HV20" i="5" s="1"/>
  <c r="HW20" i="5" s="1"/>
  <c r="HX20" i="5" s="1"/>
  <c r="HY20" i="5" s="1"/>
  <c r="HZ20" i="5" s="1"/>
  <c r="IA20" i="5" s="1"/>
  <c r="IB20" i="5" s="1"/>
  <c r="IC20" i="5" s="1"/>
  <c r="ID20" i="5" s="1"/>
  <c r="IE20" i="5" s="1"/>
  <c r="IF20" i="5" s="1"/>
  <c r="IG20" i="5" s="1"/>
  <c r="IH20" i="5" s="1"/>
  <c r="II20" i="5" s="1"/>
  <c r="IJ20" i="5" s="1"/>
  <c r="IK20" i="5" s="1"/>
  <c r="IL20" i="5" s="1"/>
  <c r="IM20" i="5" s="1"/>
  <c r="IN20" i="5" s="1"/>
  <c r="IO20" i="5" s="1"/>
  <c r="IP20" i="5" s="1"/>
  <c r="IQ20" i="5" s="1"/>
  <c r="IR20" i="5" s="1"/>
  <c r="IS20" i="5" s="1"/>
  <c r="IT20" i="5" s="1"/>
  <c r="IU20" i="5" s="1"/>
  <c r="F107" i="5"/>
  <c r="G107" i="5" s="1"/>
  <c r="H107" i="5" s="1"/>
  <c r="I107" i="5" s="1"/>
  <c r="J107" i="5" s="1"/>
  <c r="K107" i="5" s="1"/>
  <c r="L107" i="5" s="1"/>
  <c r="M107" i="5" s="1"/>
  <c r="N107" i="5" s="1"/>
  <c r="O107" i="5" s="1"/>
  <c r="P107" i="5" s="1"/>
  <c r="Q107" i="5" s="1"/>
  <c r="R107" i="5" s="1"/>
  <c r="S107" i="5" s="1"/>
  <c r="T107" i="5" s="1"/>
  <c r="U107" i="5" s="1"/>
  <c r="V107" i="5" s="1"/>
  <c r="W107" i="5" s="1"/>
  <c r="X107" i="5" s="1"/>
  <c r="Y107" i="5" s="1"/>
  <c r="Z107" i="5" s="1"/>
  <c r="AA107" i="5" s="1"/>
  <c r="AB107" i="5" s="1"/>
  <c r="AC107" i="5" s="1"/>
  <c r="AD107" i="5" s="1"/>
  <c r="AE107" i="5" s="1"/>
  <c r="AF107" i="5" s="1"/>
  <c r="AG107" i="5" s="1"/>
  <c r="AH107" i="5" s="1"/>
  <c r="AI107" i="5" s="1"/>
  <c r="AJ107" i="5" s="1"/>
  <c r="AK107" i="5" s="1"/>
  <c r="AL107" i="5" s="1"/>
  <c r="AM107" i="5" s="1"/>
  <c r="AN107" i="5" s="1"/>
  <c r="AO107" i="5" s="1"/>
  <c r="AP107" i="5" s="1"/>
  <c r="AQ107" i="5" s="1"/>
  <c r="AR107" i="5" s="1"/>
  <c r="AS107" i="5" s="1"/>
  <c r="AT107" i="5" s="1"/>
  <c r="AU107" i="5" s="1"/>
  <c r="AV107" i="5" s="1"/>
  <c r="AW107" i="5" s="1"/>
  <c r="AX107" i="5" s="1"/>
  <c r="AY107" i="5" s="1"/>
  <c r="AZ107" i="5" s="1"/>
  <c r="BA107" i="5" s="1"/>
  <c r="BB107" i="5" s="1"/>
  <c r="BC107" i="5" s="1"/>
  <c r="BD107" i="5" s="1"/>
  <c r="BE107" i="5" s="1"/>
  <c r="BF107" i="5" s="1"/>
  <c r="BG107" i="5" s="1"/>
  <c r="BH107" i="5" s="1"/>
  <c r="BI107" i="5" s="1"/>
  <c r="BJ107" i="5" s="1"/>
  <c r="BK107" i="5" s="1"/>
  <c r="BL107" i="5" s="1"/>
  <c r="BM107" i="5" s="1"/>
  <c r="BN107" i="5" s="1"/>
  <c r="BO107" i="5" s="1"/>
  <c r="BP107" i="5" s="1"/>
  <c r="BQ107" i="5" s="1"/>
  <c r="BR107" i="5" s="1"/>
  <c r="BS107" i="5" s="1"/>
  <c r="BT107" i="5" s="1"/>
  <c r="BU107" i="5" s="1"/>
  <c r="BV107" i="5" s="1"/>
  <c r="BW107" i="5" s="1"/>
  <c r="BX107" i="5" s="1"/>
  <c r="BY107" i="5" s="1"/>
  <c r="BZ107" i="5" s="1"/>
  <c r="CA107" i="5" s="1"/>
  <c r="CB107" i="5" s="1"/>
  <c r="CC107" i="5" s="1"/>
  <c r="CD107" i="5" s="1"/>
  <c r="CE107" i="5" s="1"/>
  <c r="CF107" i="5" s="1"/>
  <c r="CG107" i="5" s="1"/>
  <c r="CH107" i="5" s="1"/>
  <c r="CI107" i="5" s="1"/>
  <c r="CJ107" i="5" s="1"/>
  <c r="CK107" i="5" s="1"/>
  <c r="CL107" i="5" s="1"/>
  <c r="CM107" i="5" s="1"/>
  <c r="CN107" i="5" s="1"/>
  <c r="CO107" i="5" s="1"/>
  <c r="CP107" i="5" s="1"/>
  <c r="CQ107" i="5" s="1"/>
  <c r="CR107" i="5" s="1"/>
  <c r="CS107" i="5" s="1"/>
  <c r="CT107" i="5" s="1"/>
  <c r="CU107" i="5" s="1"/>
  <c r="CV107" i="5" s="1"/>
  <c r="CW107" i="5" s="1"/>
  <c r="CX107" i="5" s="1"/>
  <c r="CY107" i="5" s="1"/>
  <c r="CZ107" i="5" s="1"/>
  <c r="DA107" i="5" s="1"/>
  <c r="DB107" i="5" s="1"/>
  <c r="DC107" i="5" s="1"/>
  <c r="DD107" i="5" s="1"/>
  <c r="DE107" i="5" s="1"/>
  <c r="DF107" i="5" s="1"/>
  <c r="DG107" i="5" s="1"/>
  <c r="DH107" i="5" s="1"/>
  <c r="DI107" i="5" s="1"/>
  <c r="DJ107" i="5" s="1"/>
  <c r="DK107" i="5" s="1"/>
  <c r="DL107" i="5" s="1"/>
  <c r="DM107" i="5" s="1"/>
  <c r="DN107" i="5" s="1"/>
  <c r="DO107" i="5" s="1"/>
  <c r="DP107" i="5" s="1"/>
  <c r="DQ107" i="5" s="1"/>
  <c r="DR107" i="5" s="1"/>
  <c r="DS107" i="5" s="1"/>
  <c r="DT107" i="5" s="1"/>
  <c r="DU107" i="5" s="1"/>
  <c r="DV107" i="5" s="1"/>
  <c r="DW107" i="5" s="1"/>
  <c r="DX107" i="5" s="1"/>
  <c r="DY107" i="5" s="1"/>
  <c r="DZ107" i="5" s="1"/>
  <c r="EA107" i="5" s="1"/>
  <c r="EB107" i="5" s="1"/>
  <c r="EC107" i="5" s="1"/>
  <c r="ED107" i="5" s="1"/>
  <c r="EE107" i="5" s="1"/>
  <c r="EF107" i="5" s="1"/>
  <c r="EG107" i="5" s="1"/>
  <c r="EH107" i="5" s="1"/>
  <c r="EI107" i="5" s="1"/>
  <c r="EJ107" i="5" s="1"/>
  <c r="EK107" i="5" s="1"/>
  <c r="EL107" i="5" s="1"/>
  <c r="EM107" i="5" s="1"/>
  <c r="EN107" i="5" s="1"/>
  <c r="EO107" i="5" s="1"/>
  <c r="EP107" i="5" s="1"/>
  <c r="EQ107" i="5" s="1"/>
  <c r="ER107" i="5" s="1"/>
  <c r="ES107" i="5" s="1"/>
  <c r="ET107" i="5" s="1"/>
  <c r="EU107" i="5" s="1"/>
  <c r="EV107" i="5" s="1"/>
  <c r="EW107" i="5" s="1"/>
  <c r="EX107" i="5" s="1"/>
  <c r="EY107" i="5" s="1"/>
  <c r="EZ107" i="5" s="1"/>
  <c r="FA107" i="5" s="1"/>
  <c r="FB107" i="5" s="1"/>
  <c r="FC107" i="5" s="1"/>
  <c r="FD107" i="5" s="1"/>
  <c r="FE107" i="5" s="1"/>
  <c r="FF107" i="5" s="1"/>
  <c r="FG107" i="5" s="1"/>
  <c r="FH107" i="5" s="1"/>
  <c r="FI107" i="5" s="1"/>
  <c r="FJ107" i="5" s="1"/>
  <c r="FK107" i="5" s="1"/>
  <c r="FL107" i="5" s="1"/>
  <c r="FM107" i="5" s="1"/>
  <c r="FN107" i="5" s="1"/>
  <c r="FO107" i="5" s="1"/>
  <c r="FP107" i="5" s="1"/>
  <c r="FQ107" i="5" s="1"/>
  <c r="FR107" i="5" s="1"/>
  <c r="FS107" i="5" s="1"/>
  <c r="FT107" i="5" s="1"/>
  <c r="FU107" i="5" s="1"/>
  <c r="FV107" i="5" s="1"/>
  <c r="FW107" i="5" s="1"/>
  <c r="FX107" i="5" s="1"/>
  <c r="FY107" i="5" s="1"/>
  <c r="FZ107" i="5" s="1"/>
  <c r="GA107" i="5" s="1"/>
  <c r="GB107" i="5" s="1"/>
  <c r="GC107" i="5" s="1"/>
  <c r="GD107" i="5" s="1"/>
  <c r="GE107" i="5" s="1"/>
  <c r="GF107" i="5" s="1"/>
  <c r="GG107" i="5" s="1"/>
  <c r="GH107" i="5" s="1"/>
  <c r="GI107" i="5" s="1"/>
  <c r="GJ107" i="5" s="1"/>
  <c r="GK107" i="5" s="1"/>
  <c r="GL107" i="5" s="1"/>
  <c r="GM107" i="5" s="1"/>
  <c r="GN107" i="5" s="1"/>
  <c r="GO107" i="5" s="1"/>
  <c r="GP107" i="5" s="1"/>
  <c r="GQ107" i="5" s="1"/>
  <c r="GR107" i="5" s="1"/>
  <c r="GS107" i="5" s="1"/>
  <c r="GT107" i="5" s="1"/>
  <c r="GU107" i="5" s="1"/>
  <c r="GV107" i="5" s="1"/>
  <c r="GW107" i="5" s="1"/>
  <c r="GX107" i="5" s="1"/>
  <c r="GY107" i="5" s="1"/>
  <c r="GZ107" i="5" s="1"/>
  <c r="HA107" i="5" s="1"/>
  <c r="HB107" i="5" s="1"/>
  <c r="HC107" i="5" s="1"/>
  <c r="HD107" i="5" s="1"/>
  <c r="HE107" i="5" s="1"/>
  <c r="HF107" i="5" s="1"/>
  <c r="HG107" i="5" s="1"/>
  <c r="HH107" i="5" s="1"/>
  <c r="HI107" i="5" s="1"/>
  <c r="HJ107" i="5" s="1"/>
  <c r="HK107" i="5" s="1"/>
  <c r="HL107" i="5" s="1"/>
  <c r="HM107" i="5" s="1"/>
  <c r="HN107" i="5" s="1"/>
  <c r="HO107" i="5" s="1"/>
  <c r="HP107" i="5" s="1"/>
  <c r="HQ107" i="5" s="1"/>
  <c r="HR107" i="5" s="1"/>
  <c r="HS107" i="5" s="1"/>
  <c r="HT107" i="5" s="1"/>
  <c r="HU107" i="5" s="1"/>
  <c r="HV107" i="5" s="1"/>
  <c r="HW107" i="5" s="1"/>
  <c r="HX107" i="5" s="1"/>
  <c r="HY107" i="5" s="1"/>
  <c r="HZ107" i="5" s="1"/>
  <c r="IA107" i="5" s="1"/>
  <c r="IB107" i="5" s="1"/>
  <c r="IC107" i="5" s="1"/>
  <c r="ID107" i="5" s="1"/>
  <c r="IE107" i="5" s="1"/>
  <c r="IF107" i="5" s="1"/>
  <c r="IG107" i="5" s="1"/>
  <c r="IH107" i="5" s="1"/>
  <c r="II107" i="5" s="1"/>
  <c r="IJ107" i="5" s="1"/>
  <c r="IK107" i="5" s="1"/>
  <c r="IL107" i="5" s="1"/>
  <c r="IM107" i="5" s="1"/>
  <c r="IN107" i="5" s="1"/>
  <c r="IO107" i="5" s="1"/>
  <c r="IP107" i="5" s="1"/>
  <c r="IQ107" i="5" s="1"/>
  <c r="IR107" i="5" s="1"/>
  <c r="IS107" i="5" s="1"/>
  <c r="IT107" i="5" s="1"/>
  <c r="IU107" i="5" s="1"/>
  <c r="F99" i="5"/>
  <c r="G99" i="5" s="1"/>
  <c r="H99" i="5" s="1"/>
  <c r="I99" i="5" s="1"/>
  <c r="J99" i="5" s="1"/>
  <c r="K99" i="5" s="1"/>
  <c r="L99" i="5" s="1"/>
  <c r="M99" i="5" s="1"/>
  <c r="N99" i="5" s="1"/>
  <c r="O99" i="5" s="1"/>
  <c r="P99" i="5" s="1"/>
  <c r="Q99" i="5" s="1"/>
  <c r="R99" i="5" s="1"/>
  <c r="S99" i="5" s="1"/>
  <c r="T99" i="5" s="1"/>
  <c r="U99" i="5" s="1"/>
  <c r="V99" i="5" s="1"/>
  <c r="W99" i="5" s="1"/>
  <c r="X99" i="5" s="1"/>
  <c r="Y99" i="5" s="1"/>
  <c r="Z99" i="5" s="1"/>
  <c r="AA99" i="5" s="1"/>
  <c r="AB99" i="5" s="1"/>
  <c r="AC99" i="5" s="1"/>
  <c r="AD99" i="5" s="1"/>
  <c r="AE99" i="5" s="1"/>
  <c r="AF99" i="5" s="1"/>
  <c r="AG99" i="5" s="1"/>
  <c r="AH99" i="5" s="1"/>
  <c r="AI99" i="5" s="1"/>
  <c r="AJ99" i="5" s="1"/>
  <c r="AK99" i="5" s="1"/>
  <c r="AL99" i="5" s="1"/>
  <c r="AM99" i="5" s="1"/>
  <c r="AN99" i="5" s="1"/>
  <c r="AO99" i="5" s="1"/>
  <c r="AP99" i="5" s="1"/>
  <c r="AQ99" i="5" s="1"/>
  <c r="AR99" i="5" s="1"/>
  <c r="AS99" i="5" s="1"/>
  <c r="AT99" i="5" s="1"/>
  <c r="AU99" i="5" s="1"/>
  <c r="AV99" i="5" s="1"/>
  <c r="AW99" i="5" s="1"/>
  <c r="AX99" i="5" s="1"/>
  <c r="AY99" i="5" s="1"/>
  <c r="AZ99" i="5" s="1"/>
  <c r="BA99" i="5" s="1"/>
  <c r="BB99" i="5" s="1"/>
  <c r="BC99" i="5" s="1"/>
  <c r="BD99" i="5" s="1"/>
  <c r="BE99" i="5" s="1"/>
  <c r="BF99" i="5" s="1"/>
  <c r="BG99" i="5" s="1"/>
  <c r="BH99" i="5" s="1"/>
  <c r="BI99" i="5" s="1"/>
  <c r="BJ99" i="5" s="1"/>
  <c r="BK99" i="5" s="1"/>
  <c r="BL99" i="5" s="1"/>
  <c r="BM99" i="5" s="1"/>
  <c r="BN99" i="5" s="1"/>
  <c r="BO99" i="5" s="1"/>
  <c r="BP99" i="5" s="1"/>
  <c r="BQ99" i="5" s="1"/>
  <c r="BR99" i="5" s="1"/>
  <c r="BS99" i="5" s="1"/>
  <c r="BT99" i="5" s="1"/>
  <c r="BU99" i="5" s="1"/>
  <c r="BV99" i="5" s="1"/>
  <c r="BW99" i="5" s="1"/>
  <c r="BX99" i="5" s="1"/>
  <c r="BY99" i="5" s="1"/>
  <c r="BZ99" i="5" s="1"/>
  <c r="CA99" i="5" s="1"/>
  <c r="CB99" i="5" s="1"/>
  <c r="CC99" i="5" s="1"/>
  <c r="CD99" i="5" s="1"/>
  <c r="CE99" i="5" s="1"/>
  <c r="CF99" i="5" s="1"/>
  <c r="CG99" i="5" s="1"/>
  <c r="CH99" i="5" s="1"/>
  <c r="CI99" i="5" s="1"/>
  <c r="CJ99" i="5" s="1"/>
  <c r="CK99" i="5" s="1"/>
  <c r="CL99" i="5" s="1"/>
  <c r="CM99" i="5" s="1"/>
  <c r="CN99" i="5" s="1"/>
  <c r="CO99" i="5" s="1"/>
  <c r="CP99" i="5" s="1"/>
  <c r="CQ99" i="5" s="1"/>
  <c r="CR99" i="5" s="1"/>
  <c r="CS99" i="5" s="1"/>
  <c r="CT99" i="5" s="1"/>
  <c r="CU99" i="5" s="1"/>
  <c r="CV99" i="5" s="1"/>
  <c r="CW99" i="5" s="1"/>
  <c r="CX99" i="5" s="1"/>
  <c r="CY99" i="5" s="1"/>
  <c r="CZ99" i="5" s="1"/>
  <c r="DA99" i="5" s="1"/>
  <c r="DB99" i="5" s="1"/>
  <c r="DC99" i="5" s="1"/>
  <c r="DD99" i="5" s="1"/>
  <c r="DE99" i="5" s="1"/>
  <c r="DF99" i="5" s="1"/>
  <c r="DG99" i="5" s="1"/>
  <c r="DH99" i="5" s="1"/>
  <c r="DI99" i="5" s="1"/>
  <c r="DJ99" i="5" s="1"/>
  <c r="DK99" i="5" s="1"/>
  <c r="DL99" i="5" s="1"/>
  <c r="DM99" i="5" s="1"/>
  <c r="DN99" i="5" s="1"/>
  <c r="DO99" i="5" s="1"/>
  <c r="DP99" i="5" s="1"/>
  <c r="DQ99" i="5" s="1"/>
  <c r="DR99" i="5" s="1"/>
  <c r="DS99" i="5" s="1"/>
  <c r="DT99" i="5" s="1"/>
  <c r="DU99" i="5" s="1"/>
  <c r="DV99" i="5" s="1"/>
  <c r="DW99" i="5" s="1"/>
  <c r="DX99" i="5" s="1"/>
  <c r="DY99" i="5" s="1"/>
  <c r="DZ99" i="5" s="1"/>
  <c r="EA99" i="5" s="1"/>
  <c r="EB99" i="5" s="1"/>
  <c r="EC99" i="5" s="1"/>
  <c r="ED99" i="5" s="1"/>
  <c r="EE99" i="5" s="1"/>
  <c r="EF99" i="5" s="1"/>
  <c r="EG99" i="5" s="1"/>
  <c r="EH99" i="5" s="1"/>
  <c r="EI99" i="5" s="1"/>
  <c r="EJ99" i="5" s="1"/>
  <c r="EK99" i="5" s="1"/>
  <c r="EL99" i="5" s="1"/>
  <c r="EM99" i="5" s="1"/>
  <c r="EN99" i="5" s="1"/>
  <c r="EO99" i="5" s="1"/>
  <c r="EP99" i="5" s="1"/>
  <c r="EQ99" i="5" s="1"/>
  <c r="ER99" i="5" s="1"/>
  <c r="ES99" i="5" s="1"/>
  <c r="ET99" i="5" s="1"/>
  <c r="EU99" i="5" s="1"/>
  <c r="EV99" i="5" s="1"/>
  <c r="EW99" i="5" s="1"/>
  <c r="EX99" i="5" s="1"/>
  <c r="EY99" i="5" s="1"/>
  <c r="EZ99" i="5" s="1"/>
  <c r="FA99" i="5" s="1"/>
  <c r="FB99" i="5" s="1"/>
  <c r="FC99" i="5" s="1"/>
  <c r="FD99" i="5" s="1"/>
  <c r="FE99" i="5" s="1"/>
  <c r="FF99" i="5" s="1"/>
  <c r="FG99" i="5" s="1"/>
  <c r="FH99" i="5" s="1"/>
  <c r="FI99" i="5" s="1"/>
  <c r="FJ99" i="5" s="1"/>
  <c r="FK99" i="5" s="1"/>
  <c r="FL99" i="5" s="1"/>
  <c r="FM99" i="5" s="1"/>
  <c r="FN99" i="5" s="1"/>
  <c r="FO99" i="5" s="1"/>
  <c r="FP99" i="5" s="1"/>
  <c r="FQ99" i="5" s="1"/>
  <c r="FR99" i="5" s="1"/>
  <c r="FS99" i="5" s="1"/>
  <c r="FT99" i="5" s="1"/>
  <c r="FU99" i="5" s="1"/>
  <c r="FV99" i="5" s="1"/>
  <c r="FW99" i="5" s="1"/>
  <c r="FX99" i="5" s="1"/>
  <c r="FY99" i="5" s="1"/>
  <c r="FZ99" i="5" s="1"/>
  <c r="GA99" i="5" s="1"/>
  <c r="GB99" i="5" s="1"/>
  <c r="GC99" i="5" s="1"/>
  <c r="GD99" i="5" s="1"/>
  <c r="GE99" i="5" s="1"/>
  <c r="GF99" i="5" s="1"/>
  <c r="GG99" i="5" s="1"/>
  <c r="GH99" i="5" s="1"/>
  <c r="GI99" i="5" s="1"/>
  <c r="GJ99" i="5" s="1"/>
  <c r="GK99" i="5" s="1"/>
  <c r="GL99" i="5" s="1"/>
  <c r="GM99" i="5" s="1"/>
  <c r="GN99" i="5" s="1"/>
  <c r="GO99" i="5" s="1"/>
  <c r="GP99" i="5" s="1"/>
  <c r="GQ99" i="5" s="1"/>
  <c r="GR99" i="5" s="1"/>
  <c r="GS99" i="5" s="1"/>
  <c r="GT99" i="5" s="1"/>
  <c r="GU99" i="5" s="1"/>
  <c r="GV99" i="5" s="1"/>
  <c r="GW99" i="5" s="1"/>
  <c r="GX99" i="5" s="1"/>
  <c r="GY99" i="5" s="1"/>
  <c r="GZ99" i="5" s="1"/>
  <c r="HA99" i="5" s="1"/>
  <c r="HB99" i="5" s="1"/>
  <c r="HC99" i="5" s="1"/>
  <c r="HD99" i="5" s="1"/>
  <c r="HE99" i="5" s="1"/>
  <c r="HF99" i="5" s="1"/>
  <c r="HG99" i="5" s="1"/>
  <c r="HH99" i="5" s="1"/>
  <c r="HI99" i="5" s="1"/>
  <c r="HJ99" i="5" s="1"/>
  <c r="HK99" i="5" s="1"/>
  <c r="HL99" i="5" s="1"/>
  <c r="HM99" i="5" s="1"/>
  <c r="HN99" i="5" s="1"/>
  <c r="HO99" i="5" s="1"/>
  <c r="HP99" i="5" s="1"/>
  <c r="HQ99" i="5" s="1"/>
  <c r="HR99" i="5" s="1"/>
  <c r="HS99" i="5" s="1"/>
  <c r="HT99" i="5" s="1"/>
  <c r="HU99" i="5" s="1"/>
  <c r="HV99" i="5" s="1"/>
  <c r="HW99" i="5" s="1"/>
  <c r="HX99" i="5" s="1"/>
  <c r="HY99" i="5" s="1"/>
  <c r="HZ99" i="5" s="1"/>
  <c r="IA99" i="5" s="1"/>
  <c r="IB99" i="5" s="1"/>
  <c r="IC99" i="5" s="1"/>
  <c r="ID99" i="5" s="1"/>
  <c r="IE99" i="5" s="1"/>
  <c r="IF99" i="5" s="1"/>
  <c r="IG99" i="5" s="1"/>
  <c r="IH99" i="5" s="1"/>
  <c r="II99" i="5" s="1"/>
  <c r="IJ99" i="5" s="1"/>
  <c r="IK99" i="5" s="1"/>
  <c r="IL99" i="5" s="1"/>
  <c r="IM99" i="5" s="1"/>
  <c r="IN99" i="5" s="1"/>
  <c r="IO99" i="5" s="1"/>
  <c r="IP99" i="5" s="1"/>
  <c r="IQ99" i="5" s="1"/>
  <c r="IR99" i="5" s="1"/>
  <c r="IS99" i="5" s="1"/>
  <c r="IT99" i="5" s="1"/>
  <c r="IU99" i="5" s="1"/>
  <c r="F91" i="5"/>
  <c r="G91" i="5" s="1"/>
  <c r="H91" i="5" s="1"/>
  <c r="I91" i="5" s="1"/>
  <c r="J91" i="5" s="1"/>
  <c r="K91" i="5" s="1"/>
  <c r="L91" i="5" s="1"/>
  <c r="M91" i="5" s="1"/>
  <c r="N91" i="5" s="1"/>
  <c r="O91" i="5" s="1"/>
  <c r="P91" i="5" s="1"/>
  <c r="Q91" i="5" s="1"/>
  <c r="R91" i="5" s="1"/>
  <c r="S91" i="5" s="1"/>
  <c r="T91" i="5" s="1"/>
  <c r="U91" i="5" s="1"/>
  <c r="V91" i="5" s="1"/>
  <c r="W91" i="5" s="1"/>
  <c r="X91" i="5" s="1"/>
  <c r="Y91" i="5" s="1"/>
  <c r="Z91" i="5" s="1"/>
  <c r="AA91" i="5" s="1"/>
  <c r="AB91" i="5" s="1"/>
  <c r="AC91" i="5" s="1"/>
  <c r="AD91" i="5" s="1"/>
  <c r="AE91" i="5" s="1"/>
  <c r="AF91" i="5" s="1"/>
  <c r="AG91" i="5" s="1"/>
  <c r="AH91" i="5" s="1"/>
  <c r="AI91" i="5" s="1"/>
  <c r="AJ91" i="5" s="1"/>
  <c r="AK91" i="5" s="1"/>
  <c r="AL91" i="5" s="1"/>
  <c r="AM91" i="5" s="1"/>
  <c r="AN91" i="5" s="1"/>
  <c r="AO91" i="5" s="1"/>
  <c r="AP91" i="5" s="1"/>
  <c r="AQ91" i="5" s="1"/>
  <c r="AR91" i="5" s="1"/>
  <c r="AS91" i="5" s="1"/>
  <c r="AT91" i="5" s="1"/>
  <c r="AU91" i="5" s="1"/>
  <c r="AV91" i="5" s="1"/>
  <c r="AW91" i="5" s="1"/>
  <c r="AX91" i="5" s="1"/>
  <c r="AY91" i="5" s="1"/>
  <c r="AZ91" i="5" s="1"/>
  <c r="BA91" i="5" s="1"/>
  <c r="BB91" i="5" s="1"/>
  <c r="BC91" i="5" s="1"/>
  <c r="BD91" i="5" s="1"/>
  <c r="BE91" i="5" s="1"/>
  <c r="BF91" i="5" s="1"/>
  <c r="BG91" i="5" s="1"/>
  <c r="BH91" i="5" s="1"/>
  <c r="BI91" i="5" s="1"/>
  <c r="BJ91" i="5" s="1"/>
  <c r="BK91" i="5" s="1"/>
  <c r="BL91" i="5" s="1"/>
  <c r="BM91" i="5" s="1"/>
  <c r="BN91" i="5" s="1"/>
  <c r="BO91" i="5" s="1"/>
  <c r="BP91" i="5" s="1"/>
  <c r="BQ91" i="5" s="1"/>
  <c r="BR91" i="5" s="1"/>
  <c r="BS91" i="5" s="1"/>
  <c r="BT91" i="5" s="1"/>
  <c r="BU91" i="5" s="1"/>
  <c r="BV91" i="5" s="1"/>
  <c r="BW91" i="5" s="1"/>
  <c r="BX91" i="5" s="1"/>
  <c r="BY91" i="5" s="1"/>
  <c r="BZ91" i="5" s="1"/>
  <c r="CA91" i="5" s="1"/>
  <c r="CB91" i="5" s="1"/>
  <c r="CC91" i="5" s="1"/>
  <c r="CD91" i="5" s="1"/>
  <c r="CE91" i="5" s="1"/>
  <c r="CF91" i="5" s="1"/>
  <c r="CG91" i="5" s="1"/>
  <c r="CH91" i="5" s="1"/>
  <c r="CI91" i="5" s="1"/>
  <c r="CJ91" i="5" s="1"/>
  <c r="CK91" i="5" s="1"/>
  <c r="CL91" i="5" s="1"/>
  <c r="CM91" i="5" s="1"/>
  <c r="CN91" i="5" s="1"/>
  <c r="CO91" i="5" s="1"/>
  <c r="CP91" i="5" s="1"/>
  <c r="CQ91" i="5" s="1"/>
  <c r="CR91" i="5" s="1"/>
  <c r="CS91" i="5" s="1"/>
  <c r="CT91" i="5" s="1"/>
  <c r="CU91" i="5" s="1"/>
  <c r="CV91" i="5" s="1"/>
  <c r="CW91" i="5" s="1"/>
  <c r="CX91" i="5" s="1"/>
  <c r="CY91" i="5" s="1"/>
  <c r="CZ91" i="5" s="1"/>
  <c r="DA91" i="5" s="1"/>
  <c r="DB91" i="5" s="1"/>
  <c r="DC91" i="5" s="1"/>
  <c r="DD91" i="5" s="1"/>
  <c r="DE91" i="5" s="1"/>
  <c r="DF91" i="5" s="1"/>
  <c r="DG91" i="5" s="1"/>
  <c r="DH91" i="5" s="1"/>
  <c r="DI91" i="5" s="1"/>
  <c r="DJ91" i="5" s="1"/>
  <c r="DK91" i="5" s="1"/>
  <c r="DL91" i="5" s="1"/>
  <c r="DM91" i="5" s="1"/>
  <c r="DN91" i="5" s="1"/>
  <c r="DO91" i="5" s="1"/>
  <c r="DP91" i="5" s="1"/>
  <c r="DQ91" i="5" s="1"/>
  <c r="DR91" i="5" s="1"/>
  <c r="DS91" i="5" s="1"/>
  <c r="DT91" i="5" s="1"/>
  <c r="DU91" i="5" s="1"/>
  <c r="DV91" i="5" s="1"/>
  <c r="DW91" i="5" s="1"/>
  <c r="DX91" i="5" s="1"/>
  <c r="DY91" i="5" s="1"/>
  <c r="DZ91" i="5" s="1"/>
  <c r="EA91" i="5" s="1"/>
  <c r="EB91" i="5" s="1"/>
  <c r="EC91" i="5" s="1"/>
  <c r="ED91" i="5" s="1"/>
  <c r="EE91" i="5" s="1"/>
  <c r="EF91" i="5" s="1"/>
  <c r="EG91" i="5" s="1"/>
  <c r="EH91" i="5" s="1"/>
  <c r="EI91" i="5" s="1"/>
  <c r="EJ91" i="5" s="1"/>
  <c r="EK91" i="5" s="1"/>
  <c r="EL91" i="5" s="1"/>
  <c r="EM91" i="5" s="1"/>
  <c r="EN91" i="5" s="1"/>
  <c r="EO91" i="5" s="1"/>
  <c r="EP91" i="5" s="1"/>
  <c r="EQ91" i="5" s="1"/>
  <c r="ER91" i="5" s="1"/>
  <c r="ES91" i="5" s="1"/>
  <c r="ET91" i="5" s="1"/>
  <c r="EU91" i="5" s="1"/>
  <c r="EV91" i="5" s="1"/>
  <c r="EW91" i="5" s="1"/>
  <c r="EX91" i="5" s="1"/>
  <c r="EY91" i="5" s="1"/>
  <c r="EZ91" i="5" s="1"/>
  <c r="FA91" i="5" s="1"/>
  <c r="FB91" i="5" s="1"/>
  <c r="FC91" i="5" s="1"/>
  <c r="FD91" i="5" s="1"/>
  <c r="FE91" i="5" s="1"/>
  <c r="FF91" i="5" s="1"/>
  <c r="FG91" i="5" s="1"/>
  <c r="FH91" i="5" s="1"/>
  <c r="FI91" i="5" s="1"/>
  <c r="FJ91" i="5" s="1"/>
  <c r="FK91" i="5" s="1"/>
  <c r="FL91" i="5" s="1"/>
  <c r="FM91" i="5" s="1"/>
  <c r="FN91" i="5" s="1"/>
  <c r="FO91" i="5" s="1"/>
  <c r="FP91" i="5" s="1"/>
  <c r="FQ91" i="5" s="1"/>
  <c r="FR91" i="5" s="1"/>
  <c r="FS91" i="5" s="1"/>
  <c r="FT91" i="5" s="1"/>
  <c r="FU91" i="5" s="1"/>
  <c r="FV91" i="5" s="1"/>
  <c r="FW91" i="5" s="1"/>
  <c r="FX91" i="5" s="1"/>
  <c r="FY91" i="5" s="1"/>
  <c r="FZ91" i="5" s="1"/>
  <c r="GA91" i="5" s="1"/>
  <c r="GB91" i="5" s="1"/>
  <c r="GC91" i="5" s="1"/>
  <c r="GD91" i="5" s="1"/>
  <c r="GE91" i="5" s="1"/>
  <c r="GF91" i="5" s="1"/>
  <c r="GG91" i="5" s="1"/>
  <c r="GH91" i="5" s="1"/>
  <c r="GI91" i="5" s="1"/>
  <c r="GJ91" i="5" s="1"/>
  <c r="GK91" i="5" s="1"/>
  <c r="GL91" i="5" s="1"/>
  <c r="GM91" i="5" s="1"/>
  <c r="GN91" i="5" s="1"/>
  <c r="GO91" i="5" s="1"/>
  <c r="GP91" i="5" s="1"/>
  <c r="GQ91" i="5" s="1"/>
  <c r="GR91" i="5" s="1"/>
  <c r="GS91" i="5" s="1"/>
  <c r="GT91" i="5" s="1"/>
  <c r="GU91" i="5" s="1"/>
  <c r="GV91" i="5" s="1"/>
  <c r="GW91" i="5" s="1"/>
  <c r="GX91" i="5" s="1"/>
  <c r="GY91" i="5" s="1"/>
  <c r="GZ91" i="5" s="1"/>
  <c r="HA91" i="5" s="1"/>
  <c r="HB91" i="5" s="1"/>
  <c r="HC91" i="5" s="1"/>
  <c r="HD91" i="5" s="1"/>
  <c r="HE91" i="5" s="1"/>
  <c r="HF91" i="5" s="1"/>
  <c r="HG91" i="5" s="1"/>
  <c r="HH91" i="5" s="1"/>
  <c r="HI91" i="5" s="1"/>
  <c r="HJ91" i="5" s="1"/>
  <c r="HK91" i="5" s="1"/>
  <c r="HL91" i="5" s="1"/>
  <c r="HM91" i="5" s="1"/>
  <c r="HN91" i="5" s="1"/>
  <c r="HO91" i="5" s="1"/>
  <c r="HP91" i="5" s="1"/>
  <c r="HQ91" i="5" s="1"/>
  <c r="HR91" i="5" s="1"/>
  <c r="HS91" i="5" s="1"/>
  <c r="HT91" i="5" s="1"/>
  <c r="HU91" i="5" s="1"/>
  <c r="HV91" i="5" s="1"/>
  <c r="HW91" i="5" s="1"/>
  <c r="HX91" i="5" s="1"/>
  <c r="HY91" i="5" s="1"/>
  <c r="HZ91" i="5" s="1"/>
  <c r="IA91" i="5" s="1"/>
  <c r="IB91" i="5" s="1"/>
  <c r="IC91" i="5" s="1"/>
  <c r="ID91" i="5" s="1"/>
  <c r="IE91" i="5" s="1"/>
  <c r="IF91" i="5" s="1"/>
  <c r="IG91" i="5" s="1"/>
  <c r="IH91" i="5" s="1"/>
  <c r="II91" i="5" s="1"/>
  <c r="IJ91" i="5" s="1"/>
  <c r="IK91" i="5" s="1"/>
  <c r="IL91" i="5" s="1"/>
  <c r="IM91" i="5" s="1"/>
  <c r="IN91" i="5" s="1"/>
  <c r="IO91" i="5" s="1"/>
  <c r="IP91" i="5" s="1"/>
  <c r="IQ91" i="5" s="1"/>
  <c r="IR91" i="5" s="1"/>
  <c r="IS91" i="5" s="1"/>
  <c r="IT91" i="5" s="1"/>
  <c r="IU91" i="5" s="1"/>
  <c r="F83" i="5"/>
  <c r="G83" i="5" s="1"/>
  <c r="H83" i="5" s="1"/>
  <c r="I83" i="5" s="1"/>
  <c r="J83" i="5" s="1"/>
  <c r="K83" i="5" s="1"/>
  <c r="L83" i="5" s="1"/>
  <c r="M83" i="5" s="1"/>
  <c r="N83" i="5" s="1"/>
  <c r="O83" i="5" s="1"/>
  <c r="P83" i="5" s="1"/>
  <c r="Q83" i="5" s="1"/>
  <c r="R83" i="5" s="1"/>
  <c r="S83" i="5" s="1"/>
  <c r="T83" i="5" s="1"/>
  <c r="U83" i="5" s="1"/>
  <c r="V83" i="5" s="1"/>
  <c r="W83" i="5" s="1"/>
  <c r="X83" i="5" s="1"/>
  <c r="Y83" i="5" s="1"/>
  <c r="Z83" i="5" s="1"/>
  <c r="AA83" i="5" s="1"/>
  <c r="AB83" i="5" s="1"/>
  <c r="AC83" i="5" s="1"/>
  <c r="AD83" i="5" s="1"/>
  <c r="AE83" i="5" s="1"/>
  <c r="AF83" i="5" s="1"/>
  <c r="AG83" i="5" s="1"/>
  <c r="AH83" i="5" s="1"/>
  <c r="AI83" i="5" s="1"/>
  <c r="AJ83" i="5" s="1"/>
  <c r="AK83" i="5" s="1"/>
  <c r="AL83" i="5" s="1"/>
  <c r="AM83" i="5" s="1"/>
  <c r="AN83" i="5" s="1"/>
  <c r="AO83" i="5" s="1"/>
  <c r="AP83" i="5" s="1"/>
  <c r="AQ83" i="5" s="1"/>
  <c r="AR83" i="5" s="1"/>
  <c r="AS83" i="5" s="1"/>
  <c r="AT83" i="5" s="1"/>
  <c r="AU83" i="5" s="1"/>
  <c r="AV83" i="5" s="1"/>
  <c r="AW83" i="5" s="1"/>
  <c r="AX83" i="5" s="1"/>
  <c r="AY83" i="5" s="1"/>
  <c r="AZ83" i="5" s="1"/>
  <c r="BA83" i="5" s="1"/>
  <c r="BB83" i="5" s="1"/>
  <c r="BC83" i="5" s="1"/>
  <c r="BD83" i="5" s="1"/>
  <c r="BE83" i="5" s="1"/>
  <c r="BF83" i="5" s="1"/>
  <c r="BG83" i="5" s="1"/>
  <c r="BH83" i="5" s="1"/>
  <c r="BI83" i="5" s="1"/>
  <c r="BJ83" i="5" s="1"/>
  <c r="BK83" i="5" s="1"/>
  <c r="BL83" i="5" s="1"/>
  <c r="BM83" i="5" s="1"/>
  <c r="BN83" i="5" s="1"/>
  <c r="BO83" i="5" s="1"/>
  <c r="BP83" i="5" s="1"/>
  <c r="BQ83" i="5" s="1"/>
  <c r="BR83" i="5" s="1"/>
  <c r="BS83" i="5" s="1"/>
  <c r="BT83" i="5" s="1"/>
  <c r="BU83" i="5" s="1"/>
  <c r="BV83" i="5" s="1"/>
  <c r="BW83" i="5" s="1"/>
  <c r="BX83" i="5" s="1"/>
  <c r="BY83" i="5" s="1"/>
  <c r="BZ83" i="5" s="1"/>
  <c r="CA83" i="5" s="1"/>
  <c r="CB83" i="5" s="1"/>
  <c r="CC83" i="5" s="1"/>
  <c r="CD83" i="5" s="1"/>
  <c r="CE83" i="5" s="1"/>
  <c r="CF83" i="5" s="1"/>
  <c r="CG83" i="5" s="1"/>
  <c r="CH83" i="5" s="1"/>
  <c r="CI83" i="5" s="1"/>
  <c r="CJ83" i="5" s="1"/>
  <c r="CK83" i="5" s="1"/>
  <c r="CL83" i="5" s="1"/>
  <c r="CM83" i="5" s="1"/>
  <c r="CN83" i="5" s="1"/>
  <c r="CO83" i="5" s="1"/>
  <c r="CP83" i="5" s="1"/>
  <c r="CQ83" i="5" s="1"/>
  <c r="CR83" i="5" s="1"/>
  <c r="CS83" i="5" s="1"/>
  <c r="CT83" i="5" s="1"/>
  <c r="CU83" i="5" s="1"/>
  <c r="CV83" i="5" s="1"/>
  <c r="CW83" i="5" s="1"/>
  <c r="CX83" i="5" s="1"/>
  <c r="CY83" i="5" s="1"/>
  <c r="CZ83" i="5" s="1"/>
  <c r="DA83" i="5" s="1"/>
  <c r="DB83" i="5" s="1"/>
  <c r="DC83" i="5" s="1"/>
  <c r="DD83" i="5" s="1"/>
  <c r="DE83" i="5" s="1"/>
  <c r="DF83" i="5" s="1"/>
  <c r="DG83" i="5" s="1"/>
  <c r="DH83" i="5" s="1"/>
  <c r="DI83" i="5" s="1"/>
  <c r="DJ83" i="5" s="1"/>
  <c r="DK83" i="5" s="1"/>
  <c r="DL83" i="5" s="1"/>
  <c r="DM83" i="5" s="1"/>
  <c r="DN83" i="5" s="1"/>
  <c r="DO83" i="5" s="1"/>
  <c r="DP83" i="5" s="1"/>
  <c r="DQ83" i="5" s="1"/>
  <c r="DR83" i="5" s="1"/>
  <c r="DS83" i="5" s="1"/>
  <c r="DT83" i="5" s="1"/>
  <c r="DU83" i="5" s="1"/>
  <c r="DV83" i="5" s="1"/>
  <c r="DW83" i="5" s="1"/>
  <c r="DX83" i="5" s="1"/>
  <c r="DY83" i="5" s="1"/>
  <c r="DZ83" i="5" s="1"/>
  <c r="EA83" i="5" s="1"/>
  <c r="EB83" i="5" s="1"/>
  <c r="EC83" i="5" s="1"/>
  <c r="ED83" i="5" s="1"/>
  <c r="EE83" i="5" s="1"/>
  <c r="EF83" i="5" s="1"/>
  <c r="EG83" i="5" s="1"/>
  <c r="EH83" i="5" s="1"/>
  <c r="EI83" i="5" s="1"/>
  <c r="EJ83" i="5" s="1"/>
  <c r="EK83" i="5" s="1"/>
  <c r="EL83" i="5" s="1"/>
  <c r="EM83" i="5" s="1"/>
  <c r="EN83" i="5" s="1"/>
  <c r="EO83" i="5" s="1"/>
  <c r="EP83" i="5" s="1"/>
  <c r="EQ83" i="5" s="1"/>
  <c r="ER83" i="5" s="1"/>
  <c r="ES83" i="5" s="1"/>
  <c r="ET83" i="5" s="1"/>
  <c r="EU83" i="5" s="1"/>
  <c r="EV83" i="5" s="1"/>
  <c r="EW83" i="5" s="1"/>
  <c r="EX83" i="5" s="1"/>
  <c r="EY83" i="5" s="1"/>
  <c r="EZ83" i="5" s="1"/>
  <c r="FA83" i="5" s="1"/>
  <c r="FB83" i="5" s="1"/>
  <c r="FC83" i="5" s="1"/>
  <c r="FD83" i="5" s="1"/>
  <c r="FE83" i="5" s="1"/>
  <c r="FF83" i="5" s="1"/>
  <c r="FG83" i="5" s="1"/>
  <c r="FH83" i="5" s="1"/>
  <c r="FI83" i="5" s="1"/>
  <c r="FJ83" i="5" s="1"/>
  <c r="FK83" i="5" s="1"/>
  <c r="FL83" i="5" s="1"/>
  <c r="FM83" i="5" s="1"/>
  <c r="FN83" i="5" s="1"/>
  <c r="FO83" i="5" s="1"/>
  <c r="FP83" i="5" s="1"/>
  <c r="FQ83" i="5" s="1"/>
  <c r="FR83" i="5" s="1"/>
  <c r="FS83" i="5" s="1"/>
  <c r="FT83" i="5" s="1"/>
  <c r="FU83" i="5" s="1"/>
  <c r="FV83" i="5" s="1"/>
  <c r="FW83" i="5" s="1"/>
  <c r="FX83" i="5" s="1"/>
  <c r="FY83" i="5" s="1"/>
  <c r="FZ83" i="5" s="1"/>
  <c r="GA83" i="5" s="1"/>
  <c r="GB83" i="5" s="1"/>
  <c r="GC83" i="5" s="1"/>
  <c r="GD83" i="5" s="1"/>
  <c r="GE83" i="5" s="1"/>
  <c r="GF83" i="5" s="1"/>
  <c r="GG83" i="5" s="1"/>
  <c r="GH83" i="5" s="1"/>
  <c r="GI83" i="5" s="1"/>
  <c r="GJ83" i="5" s="1"/>
  <c r="GK83" i="5" s="1"/>
  <c r="GL83" i="5" s="1"/>
  <c r="GM83" i="5" s="1"/>
  <c r="GN83" i="5" s="1"/>
  <c r="GO83" i="5" s="1"/>
  <c r="GP83" i="5" s="1"/>
  <c r="GQ83" i="5" s="1"/>
  <c r="GR83" i="5" s="1"/>
  <c r="GS83" i="5" s="1"/>
  <c r="GT83" i="5" s="1"/>
  <c r="GU83" i="5" s="1"/>
  <c r="GV83" i="5" s="1"/>
  <c r="GW83" i="5" s="1"/>
  <c r="GX83" i="5" s="1"/>
  <c r="GY83" i="5" s="1"/>
  <c r="GZ83" i="5" s="1"/>
  <c r="HA83" i="5" s="1"/>
  <c r="HB83" i="5" s="1"/>
  <c r="HC83" i="5" s="1"/>
  <c r="HD83" i="5" s="1"/>
  <c r="HE83" i="5" s="1"/>
  <c r="HF83" i="5" s="1"/>
  <c r="HG83" i="5" s="1"/>
  <c r="HH83" i="5" s="1"/>
  <c r="HI83" i="5" s="1"/>
  <c r="HJ83" i="5" s="1"/>
  <c r="HK83" i="5" s="1"/>
  <c r="HL83" i="5" s="1"/>
  <c r="HM83" i="5" s="1"/>
  <c r="HN83" i="5" s="1"/>
  <c r="HO83" i="5" s="1"/>
  <c r="HP83" i="5" s="1"/>
  <c r="HQ83" i="5" s="1"/>
  <c r="HR83" i="5" s="1"/>
  <c r="HS83" i="5" s="1"/>
  <c r="HT83" i="5" s="1"/>
  <c r="HU83" i="5" s="1"/>
  <c r="HV83" i="5" s="1"/>
  <c r="HW83" i="5" s="1"/>
  <c r="HX83" i="5" s="1"/>
  <c r="HY83" i="5" s="1"/>
  <c r="HZ83" i="5" s="1"/>
  <c r="IA83" i="5" s="1"/>
  <c r="IB83" i="5" s="1"/>
  <c r="IC83" i="5" s="1"/>
  <c r="ID83" i="5" s="1"/>
  <c r="IE83" i="5" s="1"/>
  <c r="IF83" i="5" s="1"/>
  <c r="IG83" i="5" s="1"/>
  <c r="IH83" i="5" s="1"/>
  <c r="II83" i="5" s="1"/>
  <c r="IJ83" i="5" s="1"/>
  <c r="IK83" i="5" s="1"/>
  <c r="IL83" i="5" s="1"/>
  <c r="IM83" i="5" s="1"/>
  <c r="IN83" i="5" s="1"/>
  <c r="IO83" i="5" s="1"/>
  <c r="IP83" i="5" s="1"/>
  <c r="IQ83" i="5" s="1"/>
  <c r="IR83" i="5" s="1"/>
  <c r="IS83" i="5" s="1"/>
  <c r="IT83" i="5" s="1"/>
  <c r="IU83" i="5" s="1"/>
  <c r="F75" i="5"/>
  <c r="G75" i="5" s="1"/>
  <c r="H75" i="5" s="1"/>
  <c r="I75" i="5" s="1"/>
  <c r="J75" i="5" s="1"/>
  <c r="K75" i="5" s="1"/>
  <c r="L75" i="5" s="1"/>
  <c r="M75" i="5" s="1"/>
  <c r="N75" i="5" s="1"/>
  <c r="O75" i="5" s="1"/>
  <c r="P75" i="5" s="1"/>
  <c r="Q75" i="5" s="1"/>
  <c r="R75" i="5" s="1"/>
  <c r="S75" i="5" s="1"/>
  <c r="T75" i="5" s="1"/>
  <c r="U75" i="5" s="1"/>
  <c r="V75" i="5" s="1"/>
  <c r="W75" i="5" s="1"/>
  <c r="X75" i="5" s="1"/>
  <c r="Y75" i="5" s="1"/>
  <c r="Z75" i="5" s="1"/>
  <c r="AA75" i="5" s="1"/>
  <c r="AB75" i="5" s="1"/>
  <c r="AC75" i="5" s="1"/>
  <c r="AD75" i="5" s="1"/>
  <c r="AE75" i="5" s="1"/>
  <c r="AF75" i="5" s="1"/>
  <c r="AG75" i="5" s="1"/>
  <c r="AH75" i="5" s="1"/>
  <c r="AI75" i="5" s="1"/>
  <c r="AJ75" i="5" s="1"/>
  <c r="AK75" i="5" s="1"/>
  <c r="AL75" i="5" s="1"/>
  <c r="AM75" i="5" s="1"/>
  <c r="AN75" i="5" s="1"/>
  <c r="AO75" i="5" s="1"/>
  <c r="AP75" i="5" s="1"/>
  <c r="AQ75" i="5" s="1"/>
  <c r="AR75" i="5" s="1"/>
  <c r="AS75" i="5" s="1"/>
  <c r="AT75" i="5" s="1"/>
  <c r="AU75" i="5" s="1"/>
  <c r="AV75" i="5" s="1"/>
  <c r="AW75" i="5" s="1"/>
  <c r="AX75" i="5" s="1"/>
  <c r="AY75" i="5" s="1"/>
  <c r="AZ75" i="5" s="1"/>
  <c r="BA75" i="5" s="1"/>
  <c r="BB75" i="5" s="1"/>
  <c r="BC75" i="5" s="1"/>
  <c r="BD75" i="5" s="1"/>
  <c r="BE75" i="5" s="1"/>
  <c r="BF75" i="5" s="1"/>
  <c r="BG75" i="5" s="1"/>
  <c r="BH75" i="5" s="1"/>
  <c r="BI75" i="5" s="1"/>
  <c r="BJ75" i="5" s="1"/>
  <c r="BK75" i="5" s="1"/>
  <c r="BL75" i="5" s="1"/>
  <c r="BM75" i="5" s="1"/>
  <c r="BN75" i="5" s="1"/>
  <c r="BO75" i="5" s="1"/>
  <c r="BP75" i="5" s="1"/>
  <c r="BQ75" i="5" s="1"/>
  <c r="BR75" i="5" s="1"/>
  <c r="BS75" i="5" s="1"/>
  <c r="BT75" i="5" s="1"/>
  <c r="BU75" i="5" s="1"/>
  <c r="BV75" i="5" s="1"/>
  <c r="BW75" i="5" s="1"/>
  <c r="BX75" i="5" s="1"/>
  <c r="BY75" i="5" s="1"/>
  <c r="BZ75" i="5" s="1"/>
  <c r="CA75" i="5" s="1"/>
  <c r="CB75" i="5" s="1"/>
  <c r="CC75" i="5" s="1"/>
  <c r="CD75" i="5" s="1"/>
  <c r="CE75" i="5" s="1"/>
  <c r="CF75" i="5" s="1"/>
  <c r="CG75" i="5" s="1"/>
  <c r="CH75" i="5" s="1"/>
  <c r="CI75" i="5" s="1"/>
  <c r="CJ75" i="5" s="1"/>
  <c r="CK75" i="5" s="1"/>
  <c r="CL75" i="5" s="1"/>
  <c r="CM75" i="5" s="1"/>
  <c r="CN75" i="5" s="1"/>
  <c r="CO75" i="5" s="1"/>
  <c r="CP75" i="5" s="1"/>
  <c r="CQ75" i="5" s="1"/>
  <c r="CR75" i="5" s="1"/>
  <c r="CS75" i="5" s="1"/>
  <c r="CT75" i="5" s="1"/>
  <c r="CU75" i="5" s="1"/>
  <c r="CV75" i="5" s="1"/>
  <c r="CW75" i="5" s="1"/>
  <c r="CX75" i="5" s="1"/>
  <c r="CY75" i="5" s="1"/>
  <c r="CZ75" i="5" s="1"/>
  <c r="DA75" i="5" s="1"/>
  <c r="DB75" i="5" s="1"/>
  <c r="DC75" i="5" s="1"/>
  <c r="DD75" i="5" s="1"/>
  <c r="DE75" i="5" s="1"/>
  <c r="DF75" i="5" s="1"/>
  <c r="DG75" i="5" s="1"/>
  <c r="DH75" i="5" s="1"/>
  <c r="DI75" i="5" s="1"/>
  <c r="DJ75" i="5" s="1"/>
  <c r="DK75" i="5" s="1"/>
  <c r="DL75" i="5" s="1"/>
  <c r="DM75" i="5" s="1"/>
  <c r="DN75" i="5" s="1"/>
  <c r="DO75" i="5" s="1"/>
  <c r="DP75" i="5" s="1"/>
  <c r="DQ75" i="5" s="1"/>
  <c r="DR75" i="5" s="1"/>
  <c r="DS75" i="5" s="1"/>
  <c r="DT75" i="5" s="1"/>
  <c r="DU75" i="5" s="1"/>
  <c r="DV75" i="5" s="1"/>
  <c r="DW75" i="5" s="1"/>
  <c r="DX75" i="5" s="1"/>
  <c r="DY75" i="5" s="1"/>
  <c r="DZ75" i="5" s="1"/>
  <c r="EA75" i="5" s="1"/>
  <c r="EB75" i="5" s="1"/>
  <c r="EC75" i="5" s="1"/>
  <c r="ED75" i="5" s="1"/>
  <c r="EE75" i="5" s="1"/>
  <c r="EF75" i="5" s="1"/>
  <c r="EG75" i="5" s="1"/>
  <c r="EH75" i="5" s="1"/>
  <c r="EI75" i="5" s="1"/>
  <c r="EJ75" i="5" s="1"/>
  <c r="EK75" i="5" s="1"/>
  <c r="EL75" i="5" s="1"/>
  <c r="EM75" i="5" s="1"/>
  <c r="EN75" i="5" s="1"/>
  <c r="EO75" i="5" s="1"/>
  <c r="EP75" i="5" s="1"/>
  <c r="EQ75" i="5" s="1"/>
  <c r="ER75" i="5" s="1"/>
  <c r="ES75" i="5" s="1"/>
  <c r="ET75" i="5" s="1"/>
  <c r="EU75" i="5" s="1"/>
  <c r="EV75" i="5" s="1"/>
  <c r="EW75" i="5" s="1"/>
  <c r="EX75" i="5" s="1"/>
  <c r="EY75" i="5" s="1"/>
  <c r="EZ75" i="5" s="1"/>
  <c r="FA75" i="5" s="1"/>
  <c r="FB75" i="5" s="1"/>
  <c r="FC75" i="5" s="1"/>
  <c r="FD75" i="5" s="1"/>
  <c r="FE75" i="5" s="1"/>
  <c r="FF75" i="5" s="1"/>
  <c r="FG75" i="5" s="1"/>
  <c r="FH75" i="5" s="1"/>
  <c r="FI75" i="5" s="1"/>
  <c r="FJ75" i="5" s="1"/>
  <c r="FK75" i="5" s="1"/>
  <c r="FL75" i="5" s="1"/>
  <c r="FM75" i="5" s="1"/>
  <c r="FN75" i="5" s="1"/>
  <c r="FO75" i="5" s="1"/>
  <c r="FP75" i="5" s="1"/>
  <c r="FQ75" i="5" s="1"/>
  <c r="FR75" i="5" s="1"/>
  <c r="FS75" i="5" s="1"/>
  <c r="FT75" i="5" s="1"/>
  <c r="FU75" i="5" s="1"/>
  <c r="FV75" i="5" s="1"/>
  <c r="FW75" i="5" s="1"/>
  <c r="FX75" i="5" s="1"/>
  <c r="FY75" i="5" s="1"/>
  <c r="FZ75" i="5" s="1"/>
  <c r="GA75" i="5" s="1"/>
  <c r="GB75" i="5" s="1"/>
  <c r="GC75" i="5" s="1"/>
  <c r="GD75" i="5" s="1"/>
  <c r="GE75" i="5" s="1"/>
  <c r="GF75" i="5" s="1"/>
  <c r="GG75" i="5" s="1"/>
  <c r="GH75" i="5" s="1"/>
  <c r="GI75" i="5" s="1"/>
  <c r="GJ75" i="5" s="1"/>
  <c r="GK75" i="5" s="1"/>
  <c r="GL75" i="5" s="1"/>
  <c r="GM75" i="5" s="1"/>
  <c r="GN75" i="5" s="1"/>
  <c r="GO75" i="5" s="1"/>
  <c r="GP75" i="5" s="1"/>
  <c r="GQ75" i="5" s="1"/>
  <c r="GR75" i="5" s="1"/>
  <c r="GS75" i="5" s="1"/>
  <c r="GT75" i="5" s="1"/>
  <c r="GU75" i="5" s="1"/>
  <c r="GV75" i="5" s="1"/>
  <c r="GW75" i="5" s="1"/>
  <c r="GX75" i="5" s="1"/>
  <c r="GY75" i="5" s="1"/>
  <c r="GZ75" i="5" s="1"/>
  <c r="HA75" i="5" s="1"/>
  <c r="HB75" i="5" s="1"/>
  <c r="HC75" i="5" s="1"/>
  <c r="HD75" i="5" s="1"/>
  <c r="HE75" i="5" s="1"/>
  <c r="HF75" i="5" s="1"/>
  <c r="HG75" i="5" s="1"/>
  <c r="HH75" i="5" s="1"/>
  <c r="HI75" i="5" s="1"/>
  <c r="HJ75" i="5" s="1"/>
  <c r="HK75" i="5" s="1"/>
  <c r="HL75" i="5" s="1"/>
  <c r="HM75" i="5" s="1"/>
  <c r="HN75" i="5" s="1"/>
  <c r="HO75" i="5" s="1"/>
  <c r="HP75" i="5" s="1"/>
  <c r="HQ75" i="5" s="1"/>
  <c r="HR75" i="5" s="1"/>
  <c r="HS75" i="5" s="1"/>
  <c r="HT75" i="5" s="1"/>
  <c r="HU75" i="5" s="1"/>
  <c r="HV75" i="5" s="1"/>
  <c r="HW75" i="5" s="1"/>
  <c r="HX75" i="5" s="1"/>
  <c r="HY75" i="5" s="1"/>
  <c r="HZ75" i="5" s="1"/>
  <c r="IA75" i="5" s="1"/>
  <c r="IB75" i="5" s="1"/>
  <c r="IC75" i="5" s="1"/>
  <c r="ID75" i="5" s="1"/>
  <c r="IE75" i="5" s="1"/>
  <c r="IF75" i="5" s="1"/>
  <c r="IG75" i="5" s="1"/>
  <c r="IH75" i="5" s="1"/>
  <c r="II75" i="5" s="1"/>
  <c r="IJ75" i="5" s="1"/>
  <c r="IK75" i="5" s="1"/>
  <c r="IL75" i="5" s="1"/>
  <c r="IM75" i="5" s="1"/>
  <c r="IN75" i="5" s="1"/>
  <c r="IO75" i="5" s="1"/>
  <c r="IP75" i="5" s="1"/>
  <c r="IQ75" i="5" s="1"/>
  <c r="IR75" i="5" s="1"/>
  <c r="IS75" i="5" s="1"/>
  <c r="IT75" i="5" s="1"/>
  <c r="IU75" i="5" s="1"/>
  <c r="F67" i="5"/>
  <c r="G67" i="5" s="1"/>
  <c r="H67" i="5" s="1"/>
  <c r="I67" i="5" s="1"/>
  <c r="J67" i="5" s="1"/>
  <c r="K67" i="5" s="1"/>
  <c r="L67" i="5" s="1"/>
  <c r="M67" i="5" s="1"/>
  <c r="N67" i="5" s="1"/>
  <c r="O67" i="5" s="1"/>
  <c r="P67" i="5" s="1"/>
  <c r="Q67" i="5" s="1"/>
  <c r="R67" i="5" s="1"/>
  <c r="S67" i="5" s="1"/>
  <c r="T67" i="5" s="1"/>
  <c r="U67" i="5" s="1"/>
  <c r="V67" i="5" s="1"/>
  <c r="W67" i="5" s="1"/>
  <c r="X67" i="5" s="1"/>
  <c r="Y67" i="5" s="1"/>
  <c r="Z67" i="5" s="1"/>
  <c r="AA67" i="5" s="1"/>
  <c r="AB67" i="5" s="1"/>
  <c r="AC67" i="5" s="1"/>
  <c r="AD67" i="5" s="1"/>
  <c r="AE67" i="5" s="1"/>
  <c r="AF67" i="5" s="1"/>
  <c r="AG67" i="5" s="1"/>
  <c r="AH67" i="5" s="1"/>
  <c r="AI67" i="5" s="1"/>
  <c r="AJ67" i="5" s="1"/>
  <c r="AK67" i="5" s="1"/>
  <c r="AL67" i="5" s="1"/>
  <c r="AM67" i="5" s="1"/>
  <c r="AN67" i="5" s="1"/>
  <c r="AO67" i="5" s="1"/>
  <c r="AP67" i="5" s="1"/>
  <c r="AQ67" i="5" s="1"/>
  <c r="AR67" i="5" s="1"/>
  <c r="AS67" i="5" s="1"/>
  <c r="AT67" i="5" s="1"/>
  <c r="AU67" i="5" s="1"/>
  <c r="AV67" i="5" s="1"/>
  <c r="AW67" i="5" s="1"/>
  <c r="AX67" i="5" s="1"/>
  <c r="AY67" i="5" s="1"/>
  <c r="AZ67" i="5" s="1"/>
  <c r="BA67" i="5" s="1"/>
  <c r="BB67" i="5" s="1"/>
  <c r="BC67" i="5" s="1"/>
  <c r="BD67" i="5" s="1"/>
  <c r="BE67" i="5" s="1"/>
  <c r="BF67" i="5" s="1"/>
  <c r="BG67" i="5" s="1"/>
  <c r="BH67" i="5" s="1"/>
  <c r="BI67" i="5" s="1"/>
  <c r="BJ67" i="5" s="1"/>
  <c r="BK67" i="5" s="1"/>
  <c r="BL67" i="5" s="1"/>
  <c r="BM67" i="5" s="1"/>
  <c r="BN67" i="5" s="1"/>
  <c r="BO67" i="5" s="1"/>
  <c r="BP67" i="5" s="1"/>
  <c r="BQ67" i="5" s="1"/>
  <c r="BR67" i="5" s="1"/>
  <c r="BS67" i="5" s="1"/>
  <c r="BT67" i="5" s="1"/>
  <c r="BU67" i="5" s="1"/>
  <c r="BV67" i="5" s="1"/>
  <c r="BW67" i="5" s="1"/>
  <c r="BX67" i="5" s="1"/>
  <c r="BY67" i="5" s="1"/>
  <c r="BZ67" i="5" s="1"/>
  <c r="CA67" i="5" s="1"/>
  <c r="CB67" i="5" s="1"/>
  <c r="CC67" i="5" s="1"/>
  <c r="CD67" i="5" s="1"/>
  <c r="CE67" i="5" s="1"/>
  <c r="CF67" i="5" s="1"/>
  <c r="CG67" i="5" s="1"/>
  <c r="CH67" i="5" s="1"/>
  <c r="CI67" i="5" s="1"/>
  <c r="CJ67" i="5" s="1"/>
  <c r="CK67" i="5" s="1"/>
  <c r="CL67" i="5" s="1"/>
  <c r="CM67" i="5" s="1"/>
  <c r="CN67" i="5" s="1"/>
  <c r="CO67" i="5" s="1"/>
  <c r="CP67" i="5" s="1"/>
  <c r="CQ67" i="5" s="1"/>
  <c r="CR67" i="5" s="1"/>
  <c r="CS67" i="5" s="1"/>
  <c r="CT67" i="5" s="1"/>
  <c r="CU67" i="5" s="1"/>
  <c r="CV67" i="5" s="1"/>
  <c r="CW67" i="5" s="1"/>
  <c r="CX67" i="5" s="1"/>
  <c r="CY67" i="5" s="1"/>
  <c r="CZ67" i="5" s="1"/>
  <c r="DA67" i="5" s="1"/>
  <c r="DB67" i="5" s="1"/>
  <c r="DC67" i="5" s="1"/>
  <c r="DD67" i="5" s="1"/>
  <c r="DE67" i="5" s="1"/>
  <c r="DF67" i="5" s="1"/>
  <c r="DG67" i="5" s="1"/>
  <c r="DH67" i="5" s="1"/>
  <c r="DI67" i="5" s="1"/>
  <c r="DJ67" i="5" s="1"/>
  <c r="DK67" i="5" s="1"/>
  <c r="DL67" i="5" s="1"/>
  <c r="DM67" i="5" s="1"/>
  <c r="DN67" i="5" s="1"/>
  <c r="DO67" i="5" s="1"/>
  <c r="DP67" i="5" s="1"/>
  <c r="DQ67" i="5" s="1"/>
  <c r="DR67" i="5" s="1"/>
  <c r="DS67" i="5" s="1"/>
  <c r="DT67" i="5" s="1"/>
  <c r="DU67" i="5" s="1"/>
  <c r="DV67" i="5" s="1"/>
  <c r="DW67" i="5" s="1"/>
  <c r="DX67" i="5" s="1"/>
  <c r="DY67" i="5" s="1"/>
  <c r="DZ67" i="5" s="1"/>
  <c r="EA67" i="5" s="1"/>
  <c r="EB67" i="5" s="1"/>
  <c r="EC67" i="5" s="1"/>
  <c r="ED67" i="5" s="1"/>
  <c r="EE67" i="5" s="1"/>
  <c r="EF67" i="5" s="1"/>
  <c r="EG67" i="5" s="1"/>
  <c r="EH67" i="5" s="1"/>
  <c r="EI67" i="5" s="1"/>
  <c r="EJ67" i="5" s="1"/>
  <c r="EK67" i="5" s="1"/>
  <c r="EL67" i="5" s="1"/>
  <c r="EM67" i="5" s="1"/>
  <c r="EN67" i="5" s="1"/>
  <c r="EO67" i="5" s="1"/>
  <c r="EP67" i="5" s="1"/>
  <c r="EQ67" i="5" s="1"/>
  <c r="ER67" i="5" s="1"/>
  <c r="ES67" i="5" s="1"/>
  <c r="ET67" i="5" s="1"/>
  <c r="EU67" i="5" s="1"/>
  <c r="EV67" i="5" s="1"/>
  <c r="EW67" i="5" s="1"/>
  <c r="EX67" i="5" s="1"/>
  <c r="EY67" i="5" s="1"/>
  <c r="EZ67" i="5" s="1"/>
  <c r="FA67" i="5" s="1"/>
  <c r="FB67" i="5" s="1"/>
  <c r="FC67" i="5" s="1"/>
  <c r="FD67" i="5" s="1"/>
  <c r="FE67" i="5" s="1"/>
  <c r="FF67" i="5" s="1"/>
  <c r="FG67" i="5" s="1"/>
  <c r="FH67" i="5" s="1"/>
  <c r="FI67" i="5" s="1"/>
  <c r="FJ67" i="5" s="1"/>
  <c r="FK67" i="5" s="1"/>
  <c r="FL67" i="5" s="1"/>
  <c r="FM67" i="5" s="1"/>
  <c r="FN67" i="5" s="1"/>
  <c r="FO67" i="5" s="1"/>
  <c r="FP67" i="5" s="1"/>
  <c r="FQ67" i="5" s="1"/>
  <c r="FR67" i="5" s="1"/>
  <c r="FS67" i="5" s="1"/>
  <c r="FT67" i="5" s="1"/>
  <c r="FU67" i="5" s="1"/>
  <c r="FV67" i="5" s="1"/>
  <c r="FW67" i="5" s="1"/>
  <c r="FX67" i="5" s="1"/>
  <c r="FY67" i="5" s="1"/>
  <c r="FZ67" i="5" s="1"/>
  <c r="GA67" i="5" s="1"/>
  <c r="GB67" i="5" s="1"/>
  <c r="GC67" i="5" s="1"/>
  <c r="GD67" i="5" s="1"/>
  <c r="GE67" i="5" s="1"/>
  <c r="GF67" i="5" s="1"/>
  <c r="GG67" i="5" s="1"/>
  <c r="GH67" i="5" s="1"/>
  <c r="GI67" i="5" s="1"/>
  <c r="GJ67" i="5" s="1"/>
  <c r="GK67" i="5" s="1"/>
  <c r="GL67" i="5" s="1"/>
  <c r="GM67" i="5" s="1"/>
  <c r="GN67" i="5" s="1"/>
  <c r="GO67" i="5" s="1"/>
  <c r="GP67" i="5" s="1"/>
  <c r="GQ67" i="5" s="1"/>
  <c r="GR67" i="5" s="1"/>
  <c r="GS67" i="5" s="1"/>
  <c r="GT67" i="5" s="1"/>
  <c r="GU67" i="5" s="1"/>
  <c r="GV67" i="5" s="1"/>
  <c r="GW67" i="5" s="1"/>
  <c r="GX67" i="5" s="1"/>
  <c r="GY67" i="5" s="1"/>
  <c r="GZ67" i="5" s="1"/>
  <c r="HA67" i="5" s="1"/>
  <c r="HB67" i="5" s="1"/>
  <c r="HC67" i="5" s="1"/>
  <c r="HD67" i="5" s="1"/>
  <c r="HE67" i="5" s="1"/>
  <c r="HF67" i="5" s="1"/>
  <c r="HG67" i="5" s="1"/>
  <c r="HH67" i="5" s="1"/>
  <c r="HI67" i="5" s="1"/>
  <c r="HJ67" i="5" s="1"/>
  <c r="HK67" i="5" s="1"/>
  <c r="HL67" i="5" s="1"/>
  <c r="HM67" i="5" s="1"/>
  <c r="HN67" i="5" s="1"/>
  <c r="HO67" i="5" s="1"/>
  <c r="HP67" i="5" s="1"/>
  <c r="HQ67" i="5" s="1"/>
  <c r="HR67" i="5" s="1"/>
  <c r="HS67" i="5" s="1"/>
  <c r="HT67" i="5" s="1"/>
  <c r="HU67" i="5" s="1"/>
  <c r="HV67" i="5" s="1"/>
  <c r="HW67" i="5" s="1"/>
  <c r="HX67" i="5" s="1"/>
  <c r="HY67" i="5" s="1"/>
  <c r="HZ67" i="5" s="1"/>
  <c r="IA67" i="5" s="1"/>
  <c r="IB67" i="5" s="1"/>
  <c r="IC67" i="5" s="1"/>
  <c r="ID67" i="5" s="1"/>
  <c r="IE67" i="5" s="1"/>
  <c r="IF67" i="5" s="1"/>
  <c r="IG67" i="5" s="1"/>
  <c r="IH67" i="5" s="1"/>
  <c r="II67" i="5" s="1"/>
  <c r="IJ67" i="5" s="1"/>
  <c r="IK67" i="5" s="1"/>
  <c r="IL67" i="5" s="1"/>
  <c r="IM67" i="5" s="1"/>
  <c r="IN67" i="5" s="1"/>
  <c r="IO67" i="5" s="1"/>
  <c r="IP67" i="5" s="1"/>
  <c r="IQ67" i="5" s="1"/>
  <c r="IR67" i="5" s="1"/>
  <c r="IS67" i="5" s="1"/>
  <c r="IT67" i="5" s="1"/>
  <c r="IU67" i="5" s="1"/>
  <c r="F59" i="5"/>
  <c r="G59" i="5" s="1"/>
  <c r="H59" i="5" s="1"/>
  <c r="I59" i="5" s="1"/>
  <c r="J59" i="5" s="1"/>
  <c r="K59" i="5" s="1"/>
  <c r="L59" i="5" s="1"/>
  <c r="M59" i="5" s="1"/>
  <c r="N59" i="5" s="1"/>
  <c r="O59" i="5" s="1"/>
  <c r="P59" i="5" s="1"/>
  <c r="Q59" i="5" s="1"/>
  <c r="R59" i="5" s="1"/>
  <c r="S59" i="5" s="1"/>
  <c r="T59" i="5" s="1"/>
  <c r="U59" i="5" s="1"/>
  <c r="V59" i="5" s="1"/>
  <c r="W59" i="5" s="1"/>
  <c r="X59" i="5" s="1"/>
  <c r="Y59" i="5" s="1"/>
  <c r="Z59" i="5" s="1"/>
  <c r="AA59" i="5" s="1"/>
  <c r="AB59" i="5" s="1"/>
  <c r="AC59" i="5" s="1"/>
  <c r="AD59" i="5" s="1"/>
  <c r="AE59" i="5" s="1"/>
  <c r="AF59" i="5" s="1"/>
  <c r="AG59" i="5" s="1"/>
  <c r="AH59" i="5" s="1"/>
  <c r="AI59" i="5" s="1"/>
  <c r="AJ59" i="5" s="1"/>
  <c r="AK59" i="5" s="1"/>
  <c r="AL59" i="5" s="1"/>
  <c r="AM59" i="5" s="1"/>
  <c r="AN59" i="5" s="1"/>
  <c r="AO59" i="5" s="1"/>
  <c r="AP59" i="5" s="1"/>
  <c r="AQ59" i="5" s="1"/>
  <c r="AR59" i="5" s="1"/>
  <c r="AS59" i="5" s="1"/>
  <c r="AT59" i="5" s="1"/>
  <c r="AU59" i="5" s="1"/>
  <c r="AV59" i="5" s="1"/>
  <c r="AW59" i="5" s="1"/>
  <c r="AX59" i="5" s="1"/>
  <c r="AY59" i="5" s="1"/>
  <c r="AZ59" i="5" s="1"/>
  <c r="BA59" i="5" s="1"/>
  <c r="BB59" i="5" s="1"/>
  <c r="BC59" i="5" s="1"/>
  <c r="BD59" i="5" s="1"/>
  <c r="BE59" i="5" s="1"/>
  <c r="BF59" i="5" s="1"/>
  <c r="BG59" i="5" s="1"/>
  <c r="BH59" i="5" s="1"/>
  <c r="BI59" i="5" s="1"/>
  <c r="BJ59" i="5" s="1"/>
  <c r="BK59" i="5" s="1"/>
  <c r="BL59" i="5" s="1"/>
  <c r="BM59" i="5" s="1"/>
  <c r="BN59" i="5" s="1"/>
  <c r="BO59" i="5" s="1"/>
  <c r="BP59" i="5" s="1"/>
  <c r="BQ59" i="5" s="1"/>
  <c r="BR59" i="5" s="1"/>
  <c r="BS59" i="5" s="1"/>
  <c r="BT59" i="5" s="1"/>
  <c r="BU59" i="5" s="1"/>
  <c r="BV59" i="5" s="1"/>
  <c r="BW59" i="5" s="1"/>
  <c r="BX59" i="5" s="1"/>
  <c r="BY59" i="5" s="1"/>
  <c r="BZ59" i="5" s="1"/>
  <c r="CA59" i="5" s="1"/>
  <c r="CB59" i="5" s="1"/>
  <c r="CC59" i="5" s="1"/>
  <c r="CD59" i="5" s="1"/>
  <c r="CE59" i="5" s="1"/>
  <c r="CF59" i="5" s="1"/>
  <c r="CG59" i="5" s="1"/>
  <c r="CH59" i="5" s="1"/>
  <c r="CI59" i="5" s="1"/>
  <c r="CJ59" i="5" s="1"/>
  <c r="CK59" i="5" s="1"/>
  <c r="CL59" i="5" s="1"/>
  <c r="CM59" i="5" s="1"/>
  <c r="CN59" i="5" s="1"/>
  <c r="CO59" i="5" s="1"/>
  <c r="CP59" i="5" s="1"/>
  <c r="CQ59" i="5" s="1"/>
  <c r="CR59" i="5" s="1"/>
  <c r="CS59" i="5" s="1"/>
  <c r="CT59" i="5" s="1"/>
  <c r="CU59" i="5" s="1"/>
  <c r="CV59" i="5" s="1"/>
  <c r="CW59" i="5" s="1"/>
  <c r="CX59" i="5" s="1"/>
  <c r="CY59" i="5" s="1"/>
  <c r="CZ59" i="5" s="1"/>
  <c r="DA59" i="5" s="1"/>
  <c r="DB59" i="5" s="1"/>
  <c r="DC59" i="5" s="1"/>
  <c r="DD59" i="5" s="1"/>
  <c r="DE59" i="5" s="1"/>
  <c r="DF59" i="5" s="1"/>
  <c r="DG59" i="5" s="1"/>
  <c r="DH59" i="5" s="1"/>
  <c r="DI59" i="5" s="1"/>
  <c r="DJ59" i="5" s="1"/>
  <c r="DK59" i="5" s="1"/>
  <c r="DL59" i="5" s="1"/>
  <c r="DM59" i="5" s="1"/>
  <c r="DN59" i="5" s="1"/>
  <c r="DO59" i="5" s="1"/>
  <c r="DP59" i="5" s="1"/>
  <c r="DQ59" i="5" s="1"/>
  <c r="DR59" i="5" s="1"/>
  <c r="DS59" i="5" s="1"/>
  <c r="DT59" i="5" s="1"/>
  <c r="DU59" i="5" s="1"/>
  <c r="DV59" i="5" s="1"/>
  <c r="DW59" i="5" s="1"/>
  <c r="DX59" i="5" s="1"/>
  <c r="DY59" i="5" s="1"/>
  <c r="DZ59" i="5" s="1"/>
  <c r="EA59" i="5" s="1"/>
  <c r="EB59" i="5" s="1"/>
  <c r="EC59" i="5" s="1"/>
  <c r="ED59" i="5" s="1"/>
  <c r="EE59" i="5" s="1"/>
  <c r="EF59" i="5" s="1"/>
  <c r="EG59" i="5" s="1"/>
  <c r="EH59" i="5" s="1"/>
  <c r="EI59" i="5" s="1"/>
  <c r="EJ59" i="5" s="1"/>
  <c r="EK59" i="5" s="1"/>
  <c r="EL59" i="5" s="1"/>
  <c r="EM59" i="5" s="1"/>
  <c r="EN59" i="5" s="1"/>
  <c r="EO59" i="5" s="1"/>
  <c r="EP59" i="5" s="1"/>
  <c r="EQ59" i="5" s="1"/>
  <c r="ER59" i="5" s="1"/>
  <c r="ES59" i="5" s="1"/>
  <c r="ET59" i="5" s="1"/>
  <c r="EU59" i="5" s="1"/>
  <c r="EV59" i="5" s="1"/>
  <c r="EW59" i="5" s="1"/>
  <c r="EX59" i="5" s="1"/>
  <c r="EY59" i="5" s="1"/>
  <c r="EZ59" i="5" s="1"/>
  <c r="FA59" i="5" s="1"/>
  <c r="FB59" i="5" s="1"/>
  <c r="FC59" i="5" s="1"/>
  <c r="FD59" i="5" s="1"/>
  <c r="FE59" i="5" s="1"/>
  <c r="FF59" i="5" s="1"/>
  <c r="FG59" i="5" s="1"/>
  <c r="FH59" i="5" s="1"/>
  <c r="FI59" i="5" s="1"/>
  <c r="FJ59" i="5" s="1"/>
  <c r="FK59" i="5" s="1"/>
  <c r="FL59" i="5" s="1"/>
  <c r="FM59" i="5" s="1"/>
  <c r="FN59" i="5" s="1"/>
  <c r="FO59" i="5" s="1"/>
  <c r="FP59" i="5" s="1"/>
  <c r="FQ59" i="5" s="1"/>
  <c r="FR59" i="5" s="1"/>
  <c r="FS59" i="5" s="1"/>
  <c r="FT59" i="5" s="1"/>
  <c r="FU59" i="5" s="1"/>
  <c r="FV59" i="5" s="1"/>
  <c r="FW59" i="5" s="1"/>
  <c r="FX59" i="5" s="1"/>
  <c r="FY59" i="5" s="1"/>
  <c r="FZ59" i="5" s="1"/>
  <c r="GA59" i="5" s="1"/>
  <c r="GB59" i="5" s="1"/>
  <c r="GC59" i="5" s="1"/>
  <c r="GD59" i="5" s="1"/>
  <c r="GE59" i="5" s="1"/>
  <c r="GF59" i="5" s="1"/>
  <c r="GG59" i="5" s="1"/>
  <c r="GH59" i="5" s="1"/>
  <c r="GI59" i="5" s="1"/>
  <c r="GJ59" i="5" s="1"/>
  <c r="GK59" i="5" s="1"/>
  <c r="GL59" i="5" s="1"/>
  <c r="GM59" i="5" s="1"/>
  <c r="GN59" i="5" s="1"/>
  <c r="GO59" i="5" s="1"/>
  <c r="GP59" i="5" s="1"/>
  <c r="GQ59" i="5" s="1"/>
  <c r="GR59" i="5" s="1"/>
  <c r="GS59" i="5" s="1"/>
  <c r="GT59" i="5" s="1"/>
  <c r="GU59" i="5" s="1"/>
  <c r="GV59" i="5" s="1"/>
  <c r="GW59" i="5" s="1"/>
  <c r="GX59" i="5" s="1"/>
  <c r="GY59" i="5" s="1"/>
  <c r="GZ59" i="5" s="1"/>
  <c r="HA59" i="5" s="1"/>
  <c r="HB59" i="5" s="1"/>
  <c r="HC59" i="5" s="1"/>
  <c r="HD59" i="5" s="1"/>
  <c r="HE59" i="5" s="1"/>
  <c r="HF59" i="5" s="1"/>
  <c r="HG59" i="5" s="1"/>
  <c r="HH59" i="5" s="1"/>
  <c r="HI59" i="5" s="1"/>
  <c r="HJ59" i="5" s="1"/>
  <c r="HK59" i="5" s="1"/>
  <c r="HL59" i="5" s="1"/>
  <c r="HM59" i="5" s="1"/>
  <c r="HN59" i="5" s="1"/>
  <c r="HO59" i="5" s="1"/>
  <c r="HP59" i="5" s="1"/>
  <c r="HQ59" i="5" s="1"/>
  <c r="HR59" i="5" s="1"/>
  <c r="HS59" i="5" s="1"/>
  <c r="HT59" i="5" s="1"/>
  <c r="HU59" i="5" s="1"/>
  <c r="HV59" i="5" s="1"/>
  <c r="HW59" i="5" s="1"/>
  <c r="HX59" i="5" s="1"/>
  <c r="HY59" i="5" s="1"/>
  <c r="HZ59" i="5" s="1"/>
  <c r="IA59" i="5" s="1"/>
  <c r="IB59" i="5" s="1"/>
  <c r="IC59" i="5" s="1"/>
  <c r="ID59" i="5" s="1"/>
  <c r="IE59" i="5" s="1"/>
  <c r="IF59" i="5" s="1"/>
  <c r="IG59" i="5" s="1"/>
  <c r="IH59" i="5" s="1"/>
  <c r="II59" i="5" s="1"/>
  <c r="IJ59" i="5" s="1"/>
  <c r="IK59" i="5" s="1"/>
  <c r="IL59" i="5" s="1"/>
  <c r="IM59" i="5" s="1"/>
  <c r="IN59" i="5" s="1"/>
  <c r="IO59" i="5" s="1"/>
  <c r="IP59" i="5" s="1"/>
  <c r="IQ59" i="5" s="1"/>
  <c r="IR59" i="5" s="1"/>
  <c r="IS59" i="5" s="1"/>
  <c r="IT59" i="5" s="1"/>
  <c r="IU59" i="5" s="1"/>
  <c r="F51" i="5"/>
  <c r="G51" i="5" s="1"/>
  <c r="H51" i="5" s="1"/>
  <c r="I51" i="5" s="1"/>
  <c r="J51" i="5" s="1"/>
  <c r="K51" i="5" s="1"/>
  <c r="L51" i="5" s="1"/>
  <c r="M51" i="5" s="1"/>
  <c r="N51" i="5" s="1"/>
  <c r="O51" i="5" s="1"/>
  <c r="P51" i="5" s="1"/>
  <c r="Q51" i="5" s="1"/>
  <c r="R51" i="5" s="1"/>
  <c r="S51" i="5" s="1"/>
  <c r="T51" i="5" s="1"/>
  <c r="U51" i="5" s="1"/>
  <c r="V51" i="5" s="1"/>
  <c r="W51" i="5" s="1"/>
  <c r="X51" i="5" s="1"/>
  <c r="Y51" i="5" s="1"/>
  <c r="Z51" i="5" s="1"/>
  <c r="AA51" i="5" s="1"/>
  <c r="AB51" i="5" s="1"/>
  <c r="AC51" i="5" s="1"/>
  <c r="AD51" i="5" s="1"/>
  <c r="AE51" i="5" s="1"/>
  <c r="AF51" i="5" s="1"/>
  <c r="AG51" i="5" s="1"/>
  <c r="AH51" i="5" s="1"/>
  <c r="AI51" i="5" s="1"/>
  <c r="AJ51" i="5" s="1"/>
  <c r="AK51" i="5" s="1"/>
  <c r="AL51" i="5" s="1"/>
  <c r="AM51" i="5" s="1"/>
  <c r="AN51" i="5" s="1"/>
  <c r="AO51" i="5" s="1"/>
  <c r="AP51" i="5" s="1"/>
  <c r="AQ51" i="5" s="1"/>
  <c r="AR51" i="5" s="1"/>
  <c r="AS51" i="5" s="1"/>
  <c r="AT51" i="5" s="1"/>
  <c r="AU51" i="5" s="1"/>
  <c r="AV51" i="5" s="1"/>
  <c r="AW51" i="5" s="1"/>
  <c r="AX51" i="5" s="1"/>
  <c r="AY51" i="5" s="1"/>
  <c r="AZ51" i="5" s="1"/>
  <c r="BA51" i="5" s="1"/>
  <c r="BB51" i="5" s="1"/>
  <c r="BC51" i="5" s="1"/>
  <c r="BD51" i="5" s="1"/>
  <c r="BE51" i="5" s="1"/>
  <c r="BF51" i="5" s="1"/>
  <c r="BG51" i="5" s="1"/>
  <c r="BH51" i="5" s="1"/>
  <c r="BI51" i="5" s="1"/>
  <c r="BJ51" i="5" s="1"/>
  <c r="BK51" i="5" s="1"/>
  <c r="BL51" i="5" s="1"/>
  <c r="BM51" i="5" s="1"/>
  <c r="BN51" i="5" s="1"/>
  <c r="BO51" i="5" s="1"/>
  <c r="BP51" i="5" s="1"/>
  <c r="BQ51" i="5" s="1"/>
  <c r="BR51" i="5" s="1"/>
  <c r="BS51" i="5" s="1"/>
  <c r="BT51" i="5" s="1"/>
  <c r="BU51" i="5" s="1"/>
  <c r="BV51" i="5" s="1"/>
  <c r="BW51" i="5" s="1"/>
  <c r="BX51" i="5" s="1"/>
  <c r="BY51" i="5" s="1"/>
  <c r="BZ51" i="5" s="1"/>
  <c r="CA51" i="5" s="1"/>
  <c r="CB51" i="5" s="1"/>
  <c r="CC51" i="5" s="1"/>
  <c r="CD51" i="5" s="1"/>
  <c r="CE51" i="5" s="1"/>
  <c r="CF51" i="5" s="1"/>
  <c r="CG51" i="5" s="1"/>
  <c r="CH51" i="5" s="1"/>
  <c r="CI51" i="5" s="1"/>
  <c r="CJ51" i="5" s="1"/>
  <c r="CK51" i="5" s="1"/>
  <c r="CL51" i="5" s="1"/>
  <c r="CM51" i="5" s="1"/>
  <c r="CN51" i="5" s="1"/>
  <c r="CO51" i="5" s="1"/>
  <c r="CP51" i="5" s="1"/>
  <c r="CQ51" i="5" s="1"/>
  <c r="CR51" i="5" s="1"/>
  <c r="CS51" i="5" s="1"/>
  <c r="CT51" i="5" s="1"/>
  <c r="CU51" i="5" s="1"/>
  <c r="CV51" i="5" s="1"/>
  <c r="CW51" i="5" s="1"/>
  <c r="CX51" i="5" s="1"/>
  <c r="CY51" i="5" s="1"/>
  <c r="CZ51" i="5" s="1"/>
  <c r="DA51" i="5" s="1"/>
  <c r="DB51" i="5" s="1"/>
  <c r="DC51" i="5" s="1"/>
  <c r="DD51" i="5" s="1"/>
  <c r="DE51" i="5" s="1"/>
  <c r="DF51" i="5" s="1"/>
  <c r="DG51" i="5" s="1"/>
  <c r="DH51" i="5" s="1"/>
  <c r="DI51" i="5" s="1"/>
  <c r="DJ51" i="5" s="1"/>
  <c r="DK51" i="5" s="1"/>
  <c r="DL51" i="5" s="1"/>
  <c r="DM51" i="5" s="1"/>
  <c r="DN51" i="5" s="1"/>
  <c r="DO51" i="5" s="1"/>
  <c r="DP51" i="5" s="1"/>
  <c r="DQ51" i="5" s="1"/>
  <c r="DR51" i="5" s="1"/>
  <c r="DS51" i="5" s="1"/>
  <c r="DT51" i="5" s="1"/>
  <c r="DU51" i="5" s="1"/>
  <c r="DV51" i="5" s="1"/>
  <c r="DW51" i="5" s="1"/>
  <c r="DX51" i="5" s="1"/>
  <c r="DY51" i="5" s="1"/>
  <c r="DZ51" i="5" s="1"/>
  <c r="EA51" i="5" s="1"/>
  <c r="EB51" i="5" s="1"/>
  <c r="EC51" i="5" s="1"/>
  <c r="ED51" i="5" s="1"/>
  <c r="EE51" i="5" s="1"/>
  <c r="EF51" i="5" s="1"/>
  <c r="EG51" i="5" s="1"/>
  <c r="EH51" i="5" s="1"/>
  <c r="EI51" i="5" s="1"/>
  <c r="EJ51" i="5" s="1"/>
  <c r="EK51" i="5" s="1"/>
  <c r="EL51" i="5" s="1"/>
  <c r="EM51" i="5" s="1"/>
  <c r="EN51" i="5" s="1"/>
  <c r="EO51" i="5" s="1"/>
  <c r="EP51" i="5" s="1"/>
  <c r="EQ51" i="5" s="1"/>
  <c r="ER51" i="5" s="1"/>
  <c r="ES51" i="5" s="1"/>
  <c r="ET51" i="5" s="1"/>
  <c r="EU51" i="5" s="1"/>
  <c r="EV51" i="5" s="1"/>
  <c r="EW51" i="5" s="1"/>
  <c r="EX51" i="5" s="1"/>
  <c r="EY51" i="5" s="1"/>
  <c r="EZ51" i="5" s="1"/>
  <c r="FA51" i="5" s="1"/>
  <c r="FB51" i="5" s="1"/>
  <c r="FC51" i="5" s="1"/>
  <c r="FD51" i="5" s="1"/>
  <c r="FE51" i="5" s="1"/>
  <c r="FF51" i="5" s="1"/>
  <c r="FG51" i="5" s="1"/>
  <c r="FH51" i="5" s="1"/>
  <c r="FI51" i="5" s="1"/>
  <c r="FJ51" i="5" s="1"/>
  <c r="FK51" i="5" s="1"/>
  <c r="FL51" i="5" s="1"/>
  <c r="FM51" i="5" s="1"/>
  <c r="FN51" i="5" s="1"/>
  <c r="FO51" i="5" s="1"/>
  <c r="FP51" i="5" s="1"/>
  <c r="FQ51" i="5" s="1"/>
  <c r="FR51" i="5" s="1"/>
  <c r="FS51" i="5" s="1"/>
  <c r="FT51" i="5" s="1"/>
  <c r="FU51" i="5" s="1"/>
  <c r="FV51" i="5" s="1"/>
  <c r="FW51" i="5" s="1"/>
  <c r="FX51" i="5" s="1"/>
  <c r="FY51" i="5" s="1"/>
  <c r="FZ51" i="5" s="1"/>
  <c r="GA51" i="5" s="1"/>
  <c r="GB51" i="5" s="1"/>
  <c r="GC51" i="5" s="1"/>
  <c r="GD51" i="5" s="1"/>
  <c r="GE51" i="5" s="1"/>
  <c r="GF51" i="5" s="1"/>
  <c r="GG51" i="5" s="1"/>
  <c r="GH51" i="5" s="1"/>
  <c r="GI51" i="5" s="1"/>
  <c r="GJ51" i="5" s="1"/>
  <c r="GK51" i="5" s="1"/>
  <c r="GL51" i="5" s="1"/>
  <c r="GM51" i="5" s="1"/>
  <c r="GN51" i="5" s="1"/>
  <c r="GO51" i="5" s="1"/>
  <c r="GP51" i="5" s="1"/>
  <c r="GQ51" i="5" s="1"/>
  <c r="GR51" i="5" s="1"/>
  <c r="GS51" i="5" s="1"/>
  <c r="GT51" i="5" s="1"/>
  <c r="GU51" i="5" s="1"/>
  <c r="GV51" i="5" s="1"/>
  <c r="GW51" i="5" s="1"/>
  <c r="GX51" i="5" s="1"/>
  <c r="GY51" i="5" s="1"/>
  <c r="GZ51" i="5" s="1"/>
  <c r="HA51" i="5" s="1"/>
  <c r="HB51" i="5" s="1"/>
  <c r="HC51" i="5" s="1"/>
  <c r="HD51" i="5" s="1"/>
  <c r="HE51" i="5" s="1"/>
  <c r="HF51" i="5" s="1"/>
  <c r="HG51" i="5" s="1"/>
  <c r="HH51" i="5" s="1"/>
  <c r="HI51" i="5" s="1"/>
  <c r="HJ51" i="5" s="1"/>
  <c r="HK51" i="5" s="1"/>
  <c r="HL51" i="5" s="1"/>
  <c r="HM51" i="5" s="1"/>
  <c r="HN51" i="5" s="1"/>
  <c r="HO51" i="5" s="1"/>
  <c r="HP51" i="5" s="1"/>
  <c r="HQ51" i="5" s="1"/>
  <c r="HR51" i="5" s="1"/>
  <c r="HS51" i="5" s="1"/>
  <c r="HT51" i="5" s="1"/>
  <c r="HU51" i="5" s="1"/>
  <c r="HV51" i="5" s="1"/>
  <c r="HW51" i="5" s="1"/>
  <c r="HX51" i="5" s="1"/>
  <c r="HY51" i="5" s="1"/>
  <c r="HZ51" i="5" s="1"/>
  <c r="IA51" i="5" s="1"/>
  <c r="IB51" i="5" s="1"/>
  <c r="IC51" i="5" s="1"/>
  <c r="ID51" i="5" s="1"/>
  <c r="IE51" i="5" s="1"/>
  <c r="IF51" i="5" s="1"/>
  <c r="IG51" i="5" s="1"/>
  <c r="IH51" i="5" s="1"/>
  <c r="II51" i="5" s="1"/>
  <c r="IJ51" i="5" s="1"/>
  <c r="IK51" i="5" s="1"/>
  <c r="IL51" i="5" s="1"/>
  <c r="IM51" i="5" s="1"/>
  <c r="IN51" i="5" s="1"/>
  <c r="IO51" i="5" s="1"/>
  <c r="IP51" i="5" s="1"/>
  <c r="IQ51" i="5" s="1"/>
  <c r="IR51" i="5" s="1"/>
  <c r="IS51" i="5" s="1"/>
  <c r="IT51" i="5" s="1"/>
  <c r="IU51" i="5" s="1"/>
  <c r="F43" i="5"/>
  <c r="G43" i="5" s="1"/>
  <c r="H43" i="5" s="1"/>
  <c r="I43" i="5" s="1"/>
  <c r="J43" i="5" s="1"/>
  <c r="K43" i="5" s="1"/>
  <c r="L43" i="5" s="1"/>
  <c r="M43" i="5" s="1"/>
  <c r="N43" i="5" s="1"/>
  <c r="O43" i="5" s="1"/>
  <c r="P43" i="5" s="1"/>
  <c r="Q43" i="5" s="1"/>
  <c r="R43" i="5" s="1"/>
  <c r="S43" i="5" s="1"/>
  <c r="T43" i="5" s="1"/>
  <c r="U43" i="5" s="1"/>
  <c r="V43" i="5" s="1"/>
  <c r="W43" i="5" s="1"/>
  <c r="X43" i="5" s="1"/>
  <c r="Y43" i="5" s="1"/>
  <c r="Z43" i="5" s="1"/>
  <c r="AA43" i="5" s="1"/>
  <c r="AB43" i="5" s="1"/>
  <c r="AC43" i="5" s="1"/>
  <c r="AD43" i="5" s="1"/>
  <c r="AE43" i="5" s="1"/>
  <c r="AF43" i="5" s="1"/>
  <c r="AG43" i="5" s="1"/>
  <c r="AH43" i="5" s="1"/>
  <c r="AI43" i="5" s="1"/>
  <c r="AJ43" i="5" s="1"/>
  <c r="AK43" i="5" s="1"/>
  <c r="AL43" i="5" s="1"/>
  <c r="AM43" i="5" s="1"/>
  <c r="AN43" i="5" s="1"/>
  <c r="AO43" i="5" s="1"/>
  <c r="AP43" i="5" s="1"/>
  <c r="AQ43" i="5" s="1"/>
  <c r="AR43" i="5" s="1"/>
  <c r="AS43" i="5" s="1"/>
  <c r="AT43" i="5" s="1"/>
  <c r="AU43" i="5" s="1"/>
  <c r="AV43" i="5" s="1"/>
  <c r="AW43" i="5" s="1"/>
  <c r="AX43" i="5" s="1"/>
  <c r="AY43" i="5" s="1"/>
  <c r="AZ43" i="5" s="1"/>
  <c r="BA43" i="5" s="1"/>
  <c r="BB43" i="5" s="1"/>
  <c r="BC43" i="5" s="1"/>
  <c r="BD43" i="5" s="1"/>
  <c r="BE43" i="5" s="1"/>
  <c r="BF43" i="5" s="1"/>
  <c r="BG43" i="5" s="1"/>
  <c r="BH43" i="5" s="1"/>
  <c r="BI43" i="5" s="1"/>
  <c r="BJ43" i="5" s="1"/>
  <c r="BK43" i="5" s="1"/>
  <c r="BL43" i="5" s="1"/>
  <c r="BM43" i="5" s="1"/>
  <c r="BN43" i="5" s="1"/>
  <c r="BO43" i="5" s="1"/>
  <c r="BP43" i="5" s="1"/>
  <c r="BQ43" i="5" s="1"/>
  <c r="BR43" i="5" s="1"/>
  <c r="BS43" i="5" s="1"/>
  <c r="BT43" i="5" s="1"/>
  <c r="BU43" i="5" s="1"/>
  <c r="BV43" i="5" s="1"/>
  <c r="BW43" i="5" s="1"/>
  <c r="BX43" i="5" s="1"/>
  <c r="BY43" i="5" s="1"/>
  <c r="BZ43" i="5" s="1"/>
  <c r="CA43" i="5" s="1"/>
  <c r="CB43" i="5" s="1"/>
  <c r="CC43" i="5" s="1"/>
  <c r="CD43" i="5" s="1"/>
  <c r="CE43" i="5" s="1"/>
  <c r="CF43" i="5" s="1"/>
  <c r="CG43" i="5" s="1"/>
  <c r="CH43" i="5" s="1"/>
  <c r="CI43" i="5" s="1"/>
  <c r="CJ43" i="5" s="1"/>
  <c r="CK43" i="5" s="1"/>
  <c r="CL43" i="5" s="1"/>
  <c r="CM43" i="5" s="1"/>
  <c r="CN43" i="5" s="1"/>
  <c r="CO43" i="5" s="1"/>
  <c r="CP43" i="5" s="1"/>
  <c r="CQ43" i="5" s="1"/>
  <c r="CR43" i="5" s="1"/>
  <c r="CS43" i="5" s="1"/>
  <c r="CT43" i="5" s="1"/>
  <c r="CU43" i="5" s="1"/>
  <c r="CV43" i="5" s="1"/>
  <c r="CW43" i="5" s="1"/>
  <c r="CX43" i="5" s="1"/>
  <c r="CY43" i="5" s="1"/>
  <c r="CZ43" i="5" s="1"/>
  <c r="DA43" i="5" s="1"/>
  <c r="DB43" i="5" s="1"/>
  <c r="DC43" i="5" s="1"/>
  <c r="DD43" i="5" s="1"/>
  <c r="DE43" i="5" s="1"/>
  <c r="DF43" i="5" s="1"/>
  <c r="DG43" i="5" s="1"/>
  <c r="DH43" i="5" s="1"/>
  <c r="DI43" i="5" s="1"/>
  <c r="DJ43" i="5" s="1"/>
  <c r="DK43" i="5" s="1"/>
  <c r="DL43" i="5" s="1"/>
  <c r="DM43" i="5" s="1"/>
  <c r="DN43" i="5" s="1"/>
  <c r="DO43" i="5" s="1"/>
  <c r="DP43" i="5" s="1"/>
  <c r="DQ43" i="5" s="1"/>
  <c r="DR43" i="5" s="1"/>
  <c r="DS43" i="5" s="1"/>
  <c r="DT43" i="5" s="1"/>
  <c r="DU43" i="5" s="1"/>
  <c r="DV43" i="5" s="1"/>
  <c r="DW43" i="5" s="1"/>
  <c r="DX43" i="5" s="1"/>
  <c r="DY43" i="5" s="1"/>
  <c r="DZ43" i="5" s="1"/>
  <c r="EA43" i="5" s="1"/>
  <c r="EB43" i="5" s="1"/>
  <c r="EC43" i="5" s="1"/>
  <c r="ED43" i="5" s="1"/>
  <c r="EE43" i="5" s="1"/>
  <c r="EF43" i="5" s="1"/>
  <c r="EG43" i="5" s="1"/>
  <c r="EH43" i="5" s="1"/>
  <c r="EI43" i="5" s="1"/>
  <c r="EJ43" i="5" s="1"/>
  <c r="EK43" i="5" s="1"/>
  <c r="EL43" i="5" s="1"/>
  <c r="EM43" i="5" s="1"/>
  <c r="EN43" i="5" s="1"/>
  <c r="EO43" i="5" s="1"/>
  <c r="EP43" i="5" s="1"/>
  <c r="EQ43" i="5" s="1"/>
  <c r="ER43" i="5" s="1"/>
  <c r="ES43" i="5" s="1"/>
  <c r="ET43" i="5" s="1"/>
  <c r="EU43" i="5" s="1"/>
  <c r="EV43" i="5" s="1"/>
  <c r="EW43" i="5" s="1"/>
  <c r="EX43" i="5" s="1"/>
  <c r="EY43" i="5" s="1"/>
  <c r="EZ43" i="5" s="1"/>
  <c r="FA43" i="5" s="1"/>
  <c r="FB43" i="5" s="1"/>
  <c r="FC43" i="5" s="1"/>
  <c r="FD43" i="5" s="1"/>
  <c r="FE43" i="5" s="1"/>
  <c r="FF43" i="5" s="1"/>
  <c r="FG43" i="5" s="1"/>
  <c r="FH43" i="5" s="1"/>
  <c r="FI43" i="5" s="1"/>
  <c r="FJ43" i="5" s="1"/>
  <c r="FK43" i="5" s="1"/>
  <c r="FL43" i="5" s="1"/>
  <c r="FM43" i="5" s="1"/>
  <c r="FN43" i="5" s="1"/>
  <c r="FO43" i="5" s="1"/>
  <c r="FP43" i="5" s="1"/>
  <c r="FQ43" i="5" s="1"/>
  <c r="FR43" i="5" s="1"/>
  <c r="FS43" i="5" s="1"/>
  <c r="FT43" i="5" s="1"/>
  <c r="FU43" i="5" s="1"/>
  <c r="FV43" i="5" s="1"/>
  <c r="FW43" i="5" s="1"/>
  <c r="FX43" i="5" s="1"/>
  <c r="FY43" i="5" s="1"/>
  <c r="FZ43" i="5" s="1"/>
  <c r="GA43" i="5" s="1"/>
  <c r="GB43" i="5" s="1"/>
  <c r="GC43" i="5" s="1"/>
  <c r="GD43" i="5" s="1"/>
  <c r="GE43" i="5" s="1"/>
  <c r="GF43" i="5" s="1"/>
  <c r="GG43" i="5" s="1"/>
  <c r="GH43" i="5" s="1"/>
  <c r="GI43" i="5" s="1"/>
  <c r="GJ43" i="5" s="1"/>
  <c r="GK43" i="5" s="1"/>
  <c r="GL43" i="5" s="1"/>
  <c r="GM43" i="5" s="1"/>
  <c r="GN43" i="5" s="1"/>
  <c r="GO43" i="5" s="1"/>
  <c r="GP43" i="5" s="1"/>
  <c r="GQ43" i="5" s="1"/>
  <c r="GR43" i="5" s="1"/>
  <c r="GS43" i="5" s="1"/>
  <c r="GT43" i="5" s="1"/>
  <c r="GU43" i="5" s="1"/>
  <c r="GV43" i="5" s="1"/>
  <c r="GW43" i="5" s="1"/>
  <c r="GX43" i="5" s="1"/>
  <c r="GY43" i="5" s="1"/>
  <c r="GZ43" i="5" s="1"/>
  <c r="HA43" i="5" s="1"/>
  <c r="HB43" i="5" s="1"/>
  <c r="HC43" i="5" s="1"/>
  <c r="HD43" i="5" s="1"/>
  <c r="HE43" i="5" s="1"/>
  <c r="HF43" i="5" s="1"/>
  <c r="HG43" i="5" s="1"/>
  <c r="HH43" i="5" s="1"/>
  <c r="HI43" i="5" s="1"/>
  <c r="HJ43" i="5" s="1"/>
  <c r="HK43" i="5" s="1"/>
  <c r="HL43" i="5" s="1"/>
  <c r="HM43" i="5" s="1"/>
  <c r="HN43" i="5" s="1"/>
  <c r="HO43" i="5" s="1"/>
  <c r="HP43" i="5" s="1"/>
  <c r="HQ43" i="5" s="1"/>
  <c r="HR43" i="5" s="1"/>
  <c r="HS43" i="5" s="1"/>
  <c r="HT43" i="5" s="1"/>
  <c r="HU43" i="5" s="1"/>
  <c r="HV43" i="5" s="1"/>
  <c r="HW43" i="5" s="1"/>
  <c r="HX43" i="5" s="1"/>
  <c r="HY43" i="5" s="1"/>
  <c r="HZ43" i="5" s="1"/>
  <c r="IA43" i="5" s="1"/>
  <c r="IB43" i="5" s="1"/>
  <c r="IC43" i="5" s="1"/>
  <c r="ID43" i="5" s="1"/>
  <c r="IE43" i="5" s="1"/>
  <c r="IF43" i="5" s="1"/>
  <c r="IG43" i="5" s="1"/>
  <c r="IH43" i="5" s="1"/>
  <c r="II43" i="5" s="1"/>
  <c r="IJ43" i="5" s="1"/>
  <c r="IK43" i="5" s="1"/>
  <c r="IL43" i="5" s="1"/>
  <c r="IM43" i="5" s="1"/>
  <c r="IN43" i="5" s="1"/>
  <c r="IO43" i="5" s="1"/>
  <c r="IP43" i="5" s="1"/>
  <c r="IQ43" i="5" s="1"/>
  <c r="IR43" i="5" s="1"/>
  <c r="IS43" i="5" s="1"/>
  <c r="IT43" i="5" s="1"/>
  <c r="IU43" i="5" s="1"/>
  <c r="F35" i="5"/>
  <c r="G35" i="5" s="1"/>
  <c r="H35" i="5" s="1"/>
  <c r="I35" i="5" s="1"/>
  <c r="J35" i="5" s="1"/>
  <c r="K35" i="5" s="1"/>
  <c r="L35" i="5" s="1"/>
  <c r="M35" i="5" s="1"/>
  <c r="N35" i="5" s="1"/>
  <c r="O35" i="5" s="1"/>
  <c r="P35" i="5" s="1"/>
  <c r="Q35" i="5" s="1"/>
  <c r="R35" i="5" s="1"/>
  <c r="S35" i="5" s="1"/>
  <c r="T35" i="5" s="1"/>
  <c r="U35" i="5" s="1"/>
  <c r="V35" i="5" s="1"/>
  <c r="W35" i="5" s="1"/>
  <c r="X35" i="5" s="1"/>
  <c r="Y35" i="5" s="1"/>
  <c r="Z35" i="5" s="1"/>
  <c r="AA35" i="5" s="1"/>
  <c r="AB35" i="5" s="1"/>
  <c r="AC35" i="5" s="1"/>
  <c r="AD35" i="5" s="1"/>
  <c r="AE35" i="5" s="1"/>
  <c r="AF35" i="5" s="1"/>
  <c r="AG35" i="5" s="1"/>
  <c r="AH35" i="5" s="1"/>
  <c r="AI35" i="5" s="1"/>
  <c r="AJ35" i="5" s="1"/>
  <c r="AK35" i="5" s="1"/>
  <c r="AL35" i="5" s="1"/>
  <c r="AM35" i="5" s="1"/>
  <c r="AN35" i="5" s="1"/>
  <c r="AO35" i="5" s="1"/>
  <c r="AP35" i="5" s="1"/>
  <c r="AQ35" i="5" s="1"/>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CD35" i="5" s="1"/>
  <c r="CE35" i="5" s="1"/>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DR35" i="5" s="1"/>
  <c r="DS35" i="5" s="1"/>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FF35" i="5" s="1"/>
  <c r="FG35" i="5" s="1"/>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GT35" i="5" s="1"/>
  <c r="GU35" i="5" s="1"/>
  <c r="GV35" i="5" s="1"/>
  <c r="GW35" i="5" s="1"/>
  <c r="GX35" i="5" s="1"/>
  <c r="GY35" i="5" s="1"/>
  <c r="GZ35" i="5" s="1"/>
  <c r="HA35" i="5" s="1"/>
  <c r="HB35" i="5" s="1"/>
  <c r="HC35" i="5" s="1"/>
  <c r="HD35" i="5" s="1"/>
  <c r="HE35" i="5" s="1"/>
  <c r="HF35" i="5" s="1"/>
  <c r="HG35" i="5" s="1"/>
  <c r="HH35" i="5" s="1"/>
  <c r="HI35" i="5" s="1"/>
  <c r="HJ35" i="5" s="1"/>
  <c r="HK35" i="5" s="1"/>
  <c r="HL35" i="5" s="1"/>
  <c r="HM35" i="5" s="1"/>
  <c r="HN35" i="5" s="1"/>
  <c r="HO35" i="5" s="1"/>
  <c r="HP35" i="5" s="1"/>
  <c r="HQ35" i="5" s="1"/>
  <c r="HR35" i="5" s="1"/>
  <c r="HS35" i="5" s="1"/>
  <c r="HT35" i="5" s="1"/>
  <c r="HU35" i="5" s="1"/>
  <c r="HV35" i="5" s="1"/>
  <c r="HW35" i="5" s="1"/>
  <c r="HX35" i="5" s="1"/>
  <c r="HY35" i="5" s="1"/>
  <c r="HZ35" i="5" s="1"/>
  <c r="IA35" i="5" s="1"/>
  <c r="IB35" i="5" s="1"/>
  <c r="IC35" i="5" s="1"/>
  <c r="ID35" i="5" s="1"/>
  <c r="IE35" i="5" s="1"/>
  <c r="IF35" i="5" s="1"/>
  <c r="IG35" i="5" s="1"/>
  <c r="IH35" i="5" s="1"/>
  <c r="II35" i="5" s="1"/>
  <c r="IJ35" i="5" s="1"/>
  <c r="IK35" i="5" s="1"/>
  <c r="IL35" i="5" s="1"/>
  <c r="IM35" i="5" s="1"/>
  <c r="IN35" i="5" s="1"/>
  <c r="IO35" i="5" s="1"/>
  <c r="IP35" i="5" s="1"/>
  <c r="IQ35" i="5" s="1"/>
  <c r="IR35" i="5" s="1"/>
  <c r="IS35" i="5" s="1"/>
  <c r="IT35" i="5" s="1"/>
  <c r="IU35" i="5" s="1"/>
  <c r="F27" i="5"/>
  <c r="G27" i="5" s="1"/>
  <c r="H27" i="5" s="1"/>
  <c r="I27" i="5" s="1"/>
  <c r="J27" i="5" s="1"/>
  <c r="K27" i="5" s="1"/>
  <c r="L27" i="5" s="1"/>
  <c r="M27" i="5" s="1"/>
  <c r="N27" i="5" s="1"/>
  <c r="O27" i="5" s="1"/>
  <c r="P27" i="5" s="1"/>
  <c r="Q27" i="5" s="1"/>
  <c r="R27" i="5" s="1"/>
  <c r="S27" i="5" s="1"/>
  <c r="T27" i="5" s="1"/>
  <c r="U27" i="5" s="1"/>
  <c r="V27" i="5" s="1"/>
  <c r="W27" i="5" s="1"/>
  <c r="X27" i="5" s="1"/>
  <c r="Y27" i="5" s="1"/>
  <c r="Z27" i="5" s="1"/>
  <c r="AA27" i="5" s="1"/>
  <c r="AB27" i="5" s="1"/>
  <c r="AC27" i="5" s="1"/>
  <c r="AD27" i="5" s="1"/>
  <c r="AE27" i="5" s="1"/>
  <c r="AF27" i="5" s="1"/>
  <c r="AG27" i="5" s="1"/>
  <c r="AH27" i="5" s="1"/>
  <c r="AI27" i="5" s="1"/>
  <c r="AJ27" i="5" s="1"/>
  <c r="AK27" i="5" s="1"/>
  <c r="AL27" i="5" s="1"/>
  <c r="AM27" i="5" s="1"/>
  <c r="AN27" i="5" s="1"/>
  <c r="AO27" i="5" s="1"/>
  <c r="AP27" i="5" s="1"/>
  <c r="AQ27" i="5" s="1"/>
  <c r="AR27" i="5" s="1"/>
  <c r="AS27" i="5" s="1"/>
  <c r="AT27" i="5" s="1"/>
  <c r="AU27" i="5" s="1"/>
  <c r="AV27" i="5" s="1"/>
  <c r="AW27" i="5" s="1"/>
  <c r="AX27" i="5" s="1"/>
  <c r="AY27" i="5" s="1"/>
  <c r="AZ27" i="5" s="1"/>
  <c r="BA27" i="5" s="1"/>
  <c r="BB27" i="5" s="1"/>
  <c r="BC27" i="5" s="1"/>
  <c r="BD27" i="5" s="1"/>
  <c r="BE27" i="5" s="1"/>
  <c r="BF27" i="5" s="1"/>
  <c r="BG27" i="5" s="1"/>
  <c r="BH27" i="5" s="1"/>
  <c r="BI27" i="5" s="1"/>
  <c r="BJ27" i="5" s="1"/>
  <c r="BK27" i="5" s="1"/>
  <c r="BL27" i="5" s="1"/>
  <c r="BM27" i="5" s="1"/>
  <c r="BN27" i="5" s="1"/>
  <c r="BO27" i="5" s="1"/>
  <c r="BP27" i="5" s="1"/>
  <c r="BQ27" i="5" s="1"/>
  <c r="BR27" i="5" s="1"/>
  <c r="BS27" i="5" s="1"/>
  <c r="BT27" i="5" s="1"/>
  <c r="BU27" i="5" s="1"/>
  <c r="BV27" i="5" s="1"/>
  <c r="BW27" i="5" s="1"/>
  <c r="BX27" i="5" s="1"/>
  <c r="BY27" i="5" s="1"/>
  <c r="BZ27" i="5" s="1"/>
  <c r="CA27" i="5" s="1"/>
  <c r="CB27" i="5" s="1"/>
  <c r="CC27" i="5" s="1"/>
  <c r="CD27" i="5" s="1"/>
  <c r="CE27" i="5" s="1"/>
  <c r="CF27" i="5" s="1"/>
  <c r="CG27" i="5" s="1"/>
  <c r="CH27" i="5" s="1"/>
  <c r="CI27" i="5" s="1"/>
  <c r="CJ27" i="5" s="1"/>
  <c r="CK27" i="5" s="1"/>
  <c r="CL27" i="5" s="1"/>
  <c r="CM27" i="5" s="1"/>
  <c r="CN27" i="5" s="1"/>
  <c r="CO27" i="5" s="1"/>
  <c r="CP27" i="5" s="1"/>
  <c r="CQ27" i="5" s="1"/>
  <c r="CR27" i="5" s="1"/>
  <c r="CS27" i="5" s="1"/>
  <c r="CT27" i="5" s="1"/>
  <c r="CU27" i="5" s="1"/>
  <c r="CV27" i="5" s="1"/>
  <c r="CW27" i="5" s="1"/>
  <c r="CX27" i="5" s="1"/>
  <c r="CY27" i="5" s="1"/>
  <c r="CZ27" i="5" s="1"/>
  <c r="DA27" i="5" s="1"/>
  <c r="DB27" i="5" s="1"/>
  <c r="DC27" i="5" s="1"/>
  <c r="DD27" i="5" s="1"/>
  <c r="DE27" i="5" s="1"/>
  <c r="DF27" i="5" s="1"/>
  <c r="DG27" i="5" s="1"/>
  <c r="DH27" i="5" s="1"/>
  <c r="DI27" i="5" s="1"/>
  <c r="DJ27" i="5" s="1"/>
  <c r="DK27" i="5" s="1"/>
  <c r="DL27" i="5" s="1"/>
  <c r="DM27" i="5" s="1"/>
  <c r="DN27" i="5" s="1"/>
  <c r="DO27" i="5" s="1"/>
  <c r="DP27" i="5" s="1"/>
  <c r="DQ27" i="5" s="1"/>
  <c r="DR27" i="5" s="1"/>
  <c r="DS27" i="5" s="1"/>
  <c r="DT27" i="5" s="1"/>
  <c r="DU27" i="5" s="1"/>
  <c r="DV27" i="5" s="1"/>
  <c r="DW27" i="5" s="1"/>
  <c r="DX27" i="5" s="1"/>
  <c r="DY27" i="5" s="1"/>
  <c r="DZ27" i="5" s="1"/>
  <c r="EA27" i="5" s="1"/>
  <c r="EB27" i="5" s="1"/>
  <c r="EC27" i="5" s="1"/>
  <c r="ED27" i="5" s="1"/>
  <c r="EE27" i="5" s="1"/>
  <c r="EF27" i="5" s="1"/>
  <c r="EG27" i="5" s="1"/>
  <c r="EH27" i="5" s="1"/>
  <c r="EI27" i="5" s="1"/>
  <c r="EJ27" i="5" s="1"/>
  <c r="EK27" i="5" s="1"/>
  <c r="EL27" i="5" s="1"/>
  <c r="EM27" i="5" s="1"/>
  <c r="EN27" i="5" s="1"/>
  <c r="EO27" i="5" s="1"/>
  <c r="EP27" i="5" s="1"/>
  <c r="EQ27" i="5" s="1"/>
  <c r="ER27" i="5" s="1"/>
  <c r="ES27" i="5" s="1"/>
  <c r="ET27" i="5" s="1"/>
  <c r="EU27" i="5" s="1"/>
  <c r="EV27" i="5" s="1"/>
  <c r="EW27" i="5" s="1"/>
  <c r="EX27" i="5" s="1"/>
  <c r="EY27" i="5" s="1"/>
  <c r="EZ27" i="5" s="1"/>
  <c r="FA27" i="5" s="1"/>
  <c r="FB27" i="5" s="1"/>
  <c r="FC27" i="5" s="1"/>
  <c r="FD27" i="5" s="1"/>
  <c r="FE27" i="5" s="1"/>
  <c r="FF27" i="5" s="1"/>
  <c r="FG27" i="5" s="1"/>
  <c r="FH27" i="5" s="1"/>
  <c r="FI27" i="5" s="1"/>
  <c r="FJ27" i="5" s="1"/>
  <c r="FK27" i="5" s="1"/>
  <c r="FL27" i="5" s="1"/>
  <c r="FM27" i="5" s="1"/>
  <c r="FN27" i="5" s="1"/>
  <c r="FO27" i="5" s="1"/>
  <c r="FP27" i="5" s="1"/>
  <c r="FQ27" i="5" s="1"/>
  <c r="FR27" i="5" s="1"/>
  <c r="FS27" i="5" s="1"/>
  <c r="FT27" i="5" s="1"/>
  <c r="FU27" i="5" s="1"/>
  <c r="FV27" i="5" s="1"/>
  <c r="FW27" i="5" s="1"/>
  <c r="FX27" i="5" s="1"/>
  <c r="FY27" i="5" s="1"/>
  <c r="FZ27" i="5" s="1"/>
  <c r="GA27" i="5" s="1"/>
  <c r="GB27" i="5" s="1"/>
  <c r="GC27" i="5" s="1"/>
  <c r="GD27" i="5" s="1"/>
  <c r="GE27" i="5" s="1"/>
  <c r="GF27" i="5" s="1"/>
  <c r="GG27" i="5" s="1"/>
  <c r="GH27" i="5" s="1"/>
  <c r="GI27" i="5" s="1"/>
  <c r="GJ27" i="5" s="1"/>
  <c r="GK27" i="5" s="1"/>
  <c r="GL27" i="5" s="1"/>
  <c r="GM27" i="5" s="1"/>
  <c r="GN27" i="5" s="1"/>
  <c r="GO27" i="5" s="1"/>
  <c r="GP27" i="5" s="1"/>
  <c r="GQ27" i="5" s="1"/>
  <c r="GR27" i="5" s="1"/>
  <c r="GS27" i="5" s="1"/>
  <c r="GT27" i="5" s="1"/>
  <c r="GU27" i="5" s="1"/>
  <c r="GV27" i="5" s="1"/>
  <c r="GW27" i="5" s="1"/>
  <c r="GX27" i="5" s="1"/>
  <c r="GY27" i="5" s="1"/>
  <c r="GZ27" i="5" s="1"/>
  <c r="HA27" i="5" s="1"/>
  <c r="HB27" i="5" s="1"/>
  <c r="HC27" i="5" s="1"/>
  <c r="HD27" i="5" s="1"/>
  <c r="HE27" i="5" s="1"/>
  <c r="HF27" i="5" s="1"/>
  <c r="HG27" i="5" s="1"/>
  <c r="HH27" i="5" s="1"/>
  <c r="HI27" i="5" s="1"/>
  <c r="HJ27" i="5" s="1"/>
  <c r="HK27" i="5" s="1"/>
  <c r="HL27" i="5" s="1"/>
  <c r="HM27" i="5" s="1"/>
  <c r="HN27" i="5" s="1"/>
  <c r="HO27" i="5" s="1"/>
  <c r="HP27" i="5" s="1"/>
  <c r="HQ27" i="5" s="1"/>
  <c r="HR27" i="5" s="1"/>
  <c r="HS27" i="5" s="1"/>
  <c r="HT27" i="5" s="1"/>
  <c r="HU27" i="5" s="1"/>
  <c r="HV27" i="5" s="1"/>
  <c r="HW27" i="5" s="1"/>
  <c r="HX27" i="5" s="1"/>
  <c r="HY27" i="5" s="1"/>
  <c r="HZ27" i="5" s="1"/>
  <c r="IA27" i="5" s="1"/>
  <c r="IB27" i="5" s="1"/>
  <c r="IC27" i="5" s="1"/>
  <c r="ID27" i="5" s="1"/>
  <c r="IE27" i="5" s="1"/>
  <c r="IF27" i="5" s="1"/>
  <c r="IG27" i="5" s="1"/>
  <c r="IH27" i="5" s="1"/>
  <c r="II27" i="5" s="1"/>
  <c r="IJ27" i="5" s="1"/>
  <c r="IK27" i="5" s="1"/>
  <c r="IL27" i="5" s="1"/>
  <c r="IM27" i="5" s="1"/>
  <c r="IN27" i="5" s="1"/>
  <c r="IO27" i="5" s="1"/>
  <c r="IP27" i="5" s="1"/>
  <c r="IQ27" i="5" s="1"/>
  <c r="IR27" i="5" s="1"/>
  <c r="IS27" i="5" s="1"/>
  <c r="IT27" i="5" s="1"/>
  <c r="IU27" i="5" s="1"/>
  <c r="F19" i="5"/>
  <c r="G19" i="5" s="1"/>
  <c r="H19" i="5" s="1"/>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BF19" i="5" s="1"/>
  <c r="BG19" i="5" s="1"/>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CT19" i="5" s="1"/>
  <c r="CU19" i="5" s="1"/>
  <c r="CV19" i="5" s="1"/>
  <c r="CW19" i="5" s="1"/>
  <c r="CX19" i="5" s="1"/>
  <c r="CY19" i="5" s="1"/>
  <c r="CZ19" i="5" s="1"/>
  <c r="DA19" i="5" s="1"/>
  <c r="DB19" i="5" s="1"/>
  <c r="DC19" i="5" s="1"/>
  <c r="DD19" i="5" s="1"/>
  <c r="DE19" i="5" s="1"/>
  <c r="DF19" i="5" s="1"/>
  <c r="DG19" i="5" s="1"/>
  <c r="DH19" i="5" s="1"/>
  <c r="DI19" i="5" s="1"/>
  <c r="DJ19" i="5" s="1"/>
  <c r="DK19" i="5" s="1"/>
  <c r="DL19" i="5" s="1"/>
  <c r="DM19" i="5" s="1"/>
  <c r="DN19" i="5" s="1"/>
  <c r="DO19" i="5" s="1"/>
  <c r="DP19" i="5" s="1"/>
  <c r="DQ19" i="5" s="1"/>
  <c r="DR19" i="5" s="1"/>
  <c r="DS19" i="5" s="1"/>
  <c r="DT19" i="5" s="1"/>
  <c r="DU19" i="5" s="1"/>
  <c r="DV19" i="5" s="1"/>
  <c r="DW19" i="5" s="1"/>
  <c r="DX19" i="5" s="1"/>
  <c r="DY19" i="5" s="1"/>
  <c r="DZ19" i="5" s="1"/>
  <c r="EA19" i="5" s="1"/>
  <c r="EB19" i="5" s="1"/>
  <c r="EC19" i="5" s="1"/>
  <c r="ED19" i="5" s="1"/>
  <c r="EE19" i="5" s="1"/>
  <c r="EF19" i="5" s="1"/>
  <c r="EG19" i="5" s="1"/>
  <c r="EH19" i="5" s="1"/>
  <c r="EI19" i="5" s="1"/>
  <c r="EJ19" i="5" s="1"/>
  <c r="EK19" i="5" s="1"/>
  <c r="EL19" i="5" s="1"/>
  <c r="EM19" i="5" s="1"/>
  <c r="EN19" i="5" s="1"/>
  <c r="EO19" i="5" s="1"/>
  <c r="EP19" i="5" s="1"/>
  <c r="EQ19" i="5" s="1"/>
  <c r="ER19" i="5" s="1"/>
  <c r="ES19" i="5" s="1"/>
  <c r="ET19" i="5" s="1"/>
  <c r="EU19" i="5" s="1"/>
  <c r="EV19" i="5" s="1"/>
  <c r="EW19" i="5" s="1"/>
  <c r="EX19" i="5" s="1"/>
  <c r="EY19" i="5" s="1"/>
  <c r="EZ19" i="5" s="1"/>
  <c r="FA19" i="5" s="1"/>
  <c r="FB19" i="5" s="1"/>
  <c r="FC19" i="5" s="1"/>
  <c r="FD19" i="5" s="1"/>
  <c r="FE19" i="5" s="1"/>
  <c r="FF19" i="5" s="1"/>
  <c r="FG19" i="5" s="1"/>
  <c r="FH19" i="5" s="1"/>
  <c r="FI19" i="5" s="1"/>
  <c r="FJ19" i="5" s="1"/>
  <c r="FK19" i="5" s="1"/>
  <c r="FL19" i="5" s="1"/>
  <c r="FM19" i="5" s="1"/>
  <c r="FN19" i="5" s="1"/>
  <c r="FO19" i="5" s="1"/>
  <c r="FP19" i="5" s="1"/>
  <c r="FQ19" i="5" s="1"/>
  <c r="FR19" i="5" s="1"/>
  <c r="FS19" i="5" s="1"/>
  <c r="FT19" i="5" s="1"/>
  <c r="FU19" i="5" s="1"/>
  <c r="FV19" i="5" s="1"/>
  <c r="FW19" i="5" s="1"/>
  <c r="FX19" i="5" s="1"/>
  <c r="FY19" i="5" s="1"/>
  <c r="FZ19" i="5" s="1"/>
  <c r="GA19" i="5" s="1"/>
  <c r="GB19" i="5" s="1"/>
  <c r="GC19" i="5" s="1"/>
  <c r="GD19" i="5" s="1"/>
  <c r="GE19" i="5" s="1"/>
  <c r="GF19" i="5" s="1"/>
  <c r="GG19" i="5" s="1"/>
  <c r="GH19" i="5" s="1"/>
  <c r="GI19" i="5" s="1"/>
  <c r="GJ19" i="5" s="1"/>
  <c r="GK19" i="5" s="1"/>
  <c r="GL19" i="5" s="1"/>
  <c r="GM19" i="5" s="1"/>
  <c r="GN19" i="5" s="1"/>
  <c r="GO19" i="5" s="1"/>
  <c r="GP19" i="5" s="1"/>
  <c r="GQ19" i="5" s="1"/>
  <c r="GR19" i="5" s="1"/>
  <c r="GS19" i="5" s="1"/>
  <c r="GT19" i="5" s="1"/>
  <c r="GU19" i="5" s="1"/>
  <c r="GV19" i="5" s="1"/>
  <c r="GW19" i="5" s="1"/>
  <c r="GX19" i="5" s="1"/>
  <c r="GY19" i="5" s="1"/>
  <c r="GZ19" i="5" s="1"/>
  <c r="HA19" i="5" s="1"/>
  <c r="HB19" i="5" s="1"/>
  <c r="HC19" i="5" s="1"/>
  <c r="HD19" i="5" s="1"/>
  <c r="HE19" i="5" s="1"/>
  <c r="HF19" i="5" s="1"/>
  <c r="HG19" i="5" s="1"/>
  <c r="HH19" i="5" s="1"/>
  <c r="HI19" i="5" s="1"/>
  <c r="HJ19" i="5" s="1"/>
  <c r="HK19" i="5" s="1"/>
  <c r="HL19" i="5" s="1"/>
  <c r="HM19" i="5" s="1"/>
  <c r="HN19" i="5" s="1"/>
  <c r="HO19" i="5" s="1"/>
  <c r="HP19" i="5" s="1"/>
  <c r="HQ19" i="5" s="1"/>
  <c r="HR19" i="5" s="1"/>
  <c r="HS19" i="5" s="1"/>
  <c r="HT19" i="5" s="1"/>
  <c r="HU19" i="5" s="1"/>
  <c r="HV19" i="5" s="1"/>
  <c r="HW19" i="5" s="1"/>
  <c r="HX19" i="5" s="1"/>
  <c r="HY19" i="5" s="1"/>
  <c r="HZ19" i="5" s="1"/>
  <c r="IA19" i="5" s="1"/>
  <c r="IB19" i="5" s="1"/>
  <c r="IC19" i="5" s="1"/>
  <c r="ID19" i="5" s="1"/>
  <c r="IE19" i="5" s="1"/>
  <c r="IF19" i="5" s="1"/>
  <c r="IG19" i="5" s="1"/>
  <c r="IH19" i="5" s="1"/>
  <c r="II19" i="5" s="1"/>
  <c r="IJ19" i="5" s="1"/>
  <c r="IK19" i="5" s="1"/>
  <c r="IL19" i="5" s="1"/>
  <c r="IM19" i="5" s="1"/>
  <c r="IN19" i="5" s="1"/>
  <c r="IO19" i="5" s="1"/>
  <c r="IP19" i="5" s="1"/>
  <c r="IQ19" i="5" s="1"/>
  <c r="IR19" i="5" s="1"/>
  <c r="IS19" i="5" s="1"/>
  <c r="IT19" i="5" s="1"/>
  <c r="IU19" i="5" s="1"/>
  <c r="F106" i="5"/>
  <c r="G106" i="5" s="1"/>
  <c r="H106" i="5" s="1"/>
  <c r="I106" i="5" s="1"/>
  <c r="J106" i="5" s="1"/>
  <c r="K106" i="5" s="1"/>
  <c r="L106" i="5" s="1"/>
  <c r="M106" i="5" s="1"/>
  <c r="N106" i="5" s="1"/>
  <c r="O106" i="5" s="1"/>
  <c r="P106" i="5" s="1"/>
  <c r="Q106" i="5" s="1"/>
  <c r="R106" i="5" s="1"/>
  <c r="S106" i="5" s="1"/>
  <c r="T106" i="5" s="1"/>
  <c r="U106" i="5" s="1"/>
  <c r="V106" i="5" s="1"/>
  <c r="W106" i="5" s="1"/>
  <c r="X106" i="5" s="1"/>
  <c r="Y106" i="5" s="1"/>
  <c r="Z106" i="5" s="1"/>
  <c r="AA106" i="5" s="1"/>
  <c r="AB106" i="5" s="1"/>
  <c r="AC106" i="5" s="1"/>
  <c r="AD106" i="5" s="1"/>
  <c r="AE106" i="5" s="1"/>
  <c r="AF106" i="5" s="1"/>
  <c r="AG106" i="5" s="1"/>
  <c r="AH106" i="5" s="1"/>
  <c r="AI106" i="5" s="1"/>
  <c r="AJ106" i="5" s="1"/>
  <c r="AK106" i="5" s="1"/>
  <c r="AL106" i="5" s="1"/>
  <c r="AM106" i="5" s="1"/>
  <c r="AN106" i="5" s="1"/>
  <c r="AO106" i="5" s="1"/>
  <c r="AP106" i="5" s="1"/>
  <c r="AQ106" i="5" s="1"/>
  <c r="AR106" i="5" s="1"/>
  <c r="AS106" i="5" s="1"/>
  <c r="AT106" i="5" s="1"/>
  <c r="AU106" i="5" s="1"/>
  <c r="AV106" i="5" s="1"/>
  <c r="AW106" i="5" s="1"/>
  <c r="AX106" i="5" s="1"/>
  <c r="AY106" i="5" s="1"/>
  <c r="AZ106" i="5" s="1"/>
  <c r="BA106" i="5" s="1"/>
  <c r="BB106" i="5" s="1"/>
  <c r="BC106" i="5" s="1"/>
  <c r="BD106" i="5" s="1"/>
  <c r="BE106" i="5" s="1"/>
  <c r="BF106" i="5" s="1"/>
  <c r="BG106" i="5" s="1"/>
  <c r="BH106" i="5" s="1"/>
  <c r="BI106" i="5" s="1"/>
  <c r="BJ106" i="5" s="1"/>
  <c r="BK106" i="5" s="1"/>
  <c r="BL106" i="5" s="1"/>
  <c r="BM106" i="5" s="1"/>
  <c r="BN106" i="5" s="1"/>
  <c r="BO106" i="5" s="1"/>
  <c r="BP106" i="5" s="1"/>
  <c r="BQ106" i="5" s="1"/>
  <c r="BR106" i="5" s="1"/>
  <c r="BS106" i="5" s="1"/>
  <c r="BT106" i="5" s="1"/>
  <c r="BU106" i="5" s="1"/>
  <c r="BV106" i="5" s="1"/>
  <c r="BW106" i="5" s="1"/>
  <c r="BX106" i="5" s="1"/>
  <c r="BY106" i="5" s="1"/>
  <c r="BZ106" i="5" s="1"/>
  <c r="CA106" i="5" s="1"/>
  <c r="CB106" i="5" s="1"/>
  <c r="CC106" i="5" s="1"/>
  <c r="CD106" i="5" s="1"/>
  <c r="CE106" i="5" s="1"/>
  <c r="CF106" i="5" s="1"/>
  <c r="CG106" i="5" s="1"/>
  <c r="CH106" i="5" s="1"/>
  <c r="CI106" i="5" s="1"/>
  <c r="CJ106" i="5" s="1"/>
  <c r="CK106" i="5" s="1"/>
  <c r="CL106" i="5" s="1"/>
  <c r="CM106" i="5" s="1"/>
  <c r="CN106" i="5" s="1"/>
  <c r="CO106" i="5" s="1"/>
  <c r="CP106" i="5" s="1"/>
  <c r="CQ106" i="5" s="1"/>
  <c r="CR106" i="5" s="1"/>
  <c r="CS106" i="5" s="1"/>
  <c r="CT106" i="5" s="1"/>
  <c r="CU106" i="5" s="1"/>
  <c r="CV106" i="5" s="1"/>
  <c r="CW106" i="5" s="1"/>
  <c r="CX106" i="5" s="1"/>
  <c r="CY106" i="5" s="1"/>
  <c r="CZ106" i="5" s="1"/>
  <c r="DA106" i="5" s="1"/>
  <c r="DB106" i="5" s="1"/>
  <c r="DC106" i="5" s="1"/>
  <c r="DD106" i="5" s="1"/>
  <c r="DE106" i="5" s="1"/>
  <c r="DF106" i="5" s="1"/>
  <c r="DG106" i="5" s="1"/>
  <c r="DH106" i="5" s="1"/>
  <c r="DI106" i="5" s="1"/>
  <c r="DJ106" i="5" s="1"/>
  <c r="DK106" i="5" s="1"/>
  <c r="DL106" i="5" s="1"/>
  <c r="DM106" i="5" s="1"/>
  <c r="DN106" i="5" s="1"/>
  <c r="DO106" i="5" s="1"/>
  <c r="DP106" i="5" s="1"/>
  <c r="DQ106" i="5" s="1"/>
  <c r="DR106" i="5" s="1"/>
  <c r="DS106" i="5" s="1"/>
  <c r="DT106" i="5" s="1"/>
  <c r="DU106" i="5" s="1"/>
  <c r="DV106" i="5" s="1"/>
  <c r="DW106" i="5" s="1"/>
  <c r="DX106" i="5" s="1"/>
  <c r="DY106" i="5" s="1"/>
  <c r="DZ106" i="5" s="1"/>
  <c r="EA106" i="5" s="1"/>
  <c r="EB106" i="5" s="1"/>
  <c r="EC106" i="5" s="1"/>
  <c r="ED106" i="5" s="1"/>
  <c r="EE106" i="5" s="1"/>
  <c r="EF106" i="5" s="1"/>
  <c r="EG106" i="5" s="1"/>
  <c r="EH106" i="5" s="1"/>
  <c r="EI106" i="5" s="1"/>
  <c r="EJ106" i="5" s="1"/>
  <c r="EK106" i="5" s="1"/>
  <c r="EL106" i="5" s="1"/>
  <c r="EM106" i="5" s="1"/>
  <c r="EN106" i="5" s="1"/>
  <c r="EO106" i="5" s="1"/>
  <c r="EP106" i="5" s="1"/>
  <c r="EQ106" i="5" s="1"/>
  <c r="ER106" i="5" s="1"/>
  <c r="ES106" i="5" s="1"/>
  <c r="ET106" i="5" s="1"/>
  <c r="EU106" i="5" s="1"/>
  <c r="EV106" i="5" s="1"/>
  <c r="EW106" i="5" s="1"/>
  <c r="EX106" i="5" s="1"/>
  <c r="EY106" i="5" s="1"/>
  <c r="EZ106" i="5" s="1"/>
  <c r="FA106" i="5" s="1"/>
  <c r="FB106" i="5" s="1"/>
  <c r="FC106" i="5" s="1"/>
  <c r="FD106" i="5" s="1"/>
  <c r="FE106" i="5" s="1"/>
  <c r="FF106" i="5" s="1"/>
  <c r="FG106" i="5" s="1"/>
  <c r="FH106" i="5" s="1"/>
  <c r="FI106" i="5" s="1"/>
  <c r="FJ106" i="5" s="1"/>
  <c r="FK106" i="5" s="1"/>
  <c r="FL106" i="5" s="1"/>
  <c r="FM106" i="5" s="1"/>
  <c r="FN106" i="5" s="1"/>
  <c r="FO106" i="5" s="1"/>
  <c r="FP106" i="5" s="1"/>
  <c r="FQ106" i="5" s="1"/>
  <c r="FR106" i="5" s="1"/>
  <c r="FS106" i="5" s="1"/>
  <c r="FT106" i="5" s="1"/>
  <c r="FU106" i="5" s="1"/>
  <c r="FV106" i="5" s="1"/>
  <c r="FW106" i="5" s="1"/>
  <c r="FX106" i="5" s="1"/>
  <c r="FY106" i="5" s="1"/>
  <c r="FZ106" i="5" s="1"/>
  <c r="GA106" i="5" s="1"/>
  <c r="GB106" i="5" s="1"/>
  <c r="GC106" i="5" s="1"/>
  <c r="GD106" i="5" s="1"/>
  <c r="GE106" i="5" s="1"/>
  <c r="GF106" i="5" s="1"/>
  <c r="GG106" i="5" s="1"/>
  <c r="GH106" i="5" s="1"/>
  <c r="GI106" i="5" s="1"/>
  <c r="GJ106" i="5" s="1"/>
  <c r="GK106" i="5" s="1"/>
  <c r="GL106" i="5" s="1"/>
  <c r="GM106" i="5" s="1"/>
  <c r="GN106" i="5" s="1"/>
  <c r="GO106" i="5" s="1"/>
  <c r="GP106" i="5" s="1"/>
  <c r="GQ106" i="5" s="1"/>
  <c r="GR106" i="5" s="1"/>
  <c r="GS106" i="5" s="1"/>
  <c r="GT106" i="5" s="1"/>
  <c r="GU106" i="5" s="1"/>
  <c r="GV106" i="5" s="1"/>
  <c r="GW106" i="5" s="1"/>
  <c r="GX106" i="5" s="1"/>
  <c r="GY106" i="5" s="1"/>
  <c r="GZ106" i="5" s="1"/>
  <c r="HA106" i="5" s="1"/>
  <c r="HB106" i="5" s="1"/>
  <c r="HC106" i="5" s="1"/>
  <c r="HD106" i="5" s="1"/>
  <c r="HE106" i="5" s="1"/>
  <c r="HF106" i="5" s="1"/>
  <c r="HG106" i="5" s="1"/>
  <c r="HH106" i="5" s="1"/>
  <c r="HI106" i="5" s="1"/>
  <c r="HJ106" i="5" s="1"/>
  <c r="HK106" i="5" s="1"/>
  <c r="HL106" i="5" s="1"/>
  <c r="HM106" i="5" s="1"/>
  <c r="HN106" i="5" s="1"/>
  <c r="HO106" i="5" s="1"/>
  <c r="HP106" i="5" s="1"/>
  <c r="HQ106" i="5" s="1"/>
  <c r="HR106" i="5" s="1"/>
  <c r="HS106" i="5" s="1"/>
  <c r="HT106" i="5" s="1"/>
  <c r="HU106" i="5" s="1"/>
  <c r="HV106" i="5" s="1"/>
  <c r="HW106" i="5" s="1"/>
  <c r="HX106" i="5" s="1"/>
  <c r="HY106" i="5" s="1"/>
  <c r="HZ106" i="5" s="1"/>
  <c r="IA106" i="5" s="1"/>
  <c r="IB106" i="5" s="1"/>
  <c r="IC106" i="5" s="1"/>
  <c r="ID106" i="5" s="1"/>
  <c r="IE106" i="5" s="1"/>
  <c r="IF106" i="5" s="1"/>
  <c r="IG106" i="5" s="1"/>
  <c r="IH106" i="5" s="1"/>
  <c r="II106" i="5" s="1"/>
  <c r="IJ106" i="5" s="1"/>
  <c r="IK106" i="5" s="1"/>
  <c r="IL106" i="5" s="1"/>
  <c r="IM106" i="5" s="1"/>
  <c r="IN106" i="5" s="1"/>
  <c r="IO106" i="5" s="1"/>
  <c r="IP106" i="5" s="1"/>
  <c r="IQ106" i="5" s="1"/>
  <c r="IR106" i="5" s="1"/>
  <c r="IS106" i="5" s="1"/>
  <c r="IT106" i="5" s="1"/>
  <c r="IU106" i="5" s="1"/>
  <c r="F98" i="5"/>
  <c r="G98" i="5" s="1"/>
  <c r="H98" i="5" s="1"/>
  <c r="I98" i="5" s="1"/>
  <c r="J98" i="5" s="1"/>
  <c r="K98" i="5" s="1"/>
  <c r="L98" i="5" s="1"/>
  <c r="M98" i="5" s="1"/>
  <c r="N98" i="5" s="1"/>
  <c r="O98" i="5" s="1"/>
  <c r="P98" i="5" s="1"/>
  <c r="Q98" i="5" s="1"/>
  <c r="R98" i="5" s="1"/>
  <c r="S98" i="5" s="1"/>
  <c r="T98" i="5" s="1"/>
  <c r="U98" i="5" s="1"/>
  <c r="V98" i="5" s="1"/>
  <c r="W98" i="5" s="1"/>
  <c r="X98" i="5" s="1"/>
  <c r="Y98" i="5" s="1"/>
  <c r="Z98" i="5" s="1"/>
  <c r="AA98" i="5" s="1"/>
  <c r="AB98" i="5" s="1"/>
  <c r="AC98" i="5" s="1"/>
  <c r="AD98" i="5" s="1"/>
  <c r="AE98" i="5" s="1"/>
  <c r="AF98" i="5" s="1"/>
  <c r="AG98" i="5" s="1"/>
  <c r="AH98" i="5" s="1"/>
  <c r="AI98" i="5" s="1"/>
  <c r="AJ98" i="5" s="1"/>
  <c r="AK98" i="5" s="1"/>
  <c r="AL98" i="5" s="1"/>
  <c r="AM98" i="5" s="1"/>
  <c r="AN98" i="5" s="1"/>
  <c r="AO98" i="5" s="1"/>
  <c r="AP98" i="5" s="1"/>
  <c r="AQ98" i="5" s="1"/>
  <c r="AR98" i="5" s="1"/>
  <c r="AS98" i="5" s="1"/>
  <c r="AT98" i="5" s="1"/>
  <c r="AU98" i="5" s="1"/>
  <c r="AV98" i="5" s="1"/>
  <c r="AW98" i="5" s="1"/>
  <c r="AX98" i="5" s="1"/>
  <c r="AY98" i="5" s="1"/>
  <c r="AZ98" i="5" s="1"/>
  <c r="BA98" i="5" s="1"/>
  <c r="BB98" i="5" s="1"/>
  <c r="BC98" i="5" s="1"/>
  <c r="BD98" i="5" s="1"/>
  <c r="BE98" i="5" s="1"/>
  <c r="BF98" i="5" s="1"/>
  <c r="BG98" i="5" s="1"/>
  <c r="BH98" i="5" s="1"/>
  <c r="BI98" i="5" s="1"/>
  <c r="BJ98" i="5" s="1"/>
  <c r="BK98" i="5" s="1"/>
  <c r="BL98" i="5" s="1"/>
  <c r="BM98" i="5" s="1"/>
  <c r="BN98" i="5" s="1"/>
  <c r="BO98" i="5" s="1"/>
  <c r="BP98" i="5" s="1"/>
  <c r="BQ98" i="5" s="1"/>
  <c r="BR98" i="5" s="1"/>
  <c r="BS98" i="5" s="1"/>
  <c r="BT98" i="5" s="1"/>
  <c r="BU98" i="5" s="1"/>
  <c r="BV98" i="5" s="1"/>
  <c r="BW98" i="5" s="1"/>
  <c r="BX98" i="5" s="1"/>
  <c r="BY98" i="5" s="1"/>
  <c r="BZ98" i="5" s="1"/>
  <c r="CA98" i="5" s="1"/>
  <c r="CB98" i="5" s="1"/>
  <c r="CC98" i="5" s="1"/>
  <c r="CD98" i="5" s="1"/>
  <c r="CE98" i="5" s="1"/>
  <c r="CF98" i="5" s="1"/>
  <c r="CG98" i="5" s="1"/>
  <c r="CH98" i="5" s="1"/>
  <c r="CI98" i="5" s="1"/>
  <c r="CJ98" i="5" s="1"/>
  <c r="CK98" i="5" s="1"/>
  <c r="CL98" i="5" s="1"/>
  <c r="CM98" i="5" s="1"/>
  <c r="CN98" i="5" s="1"/>
  <c r="CO98" i="5" s="1"/>
  <c r="CP98" i="5" s="1"/>
  <c r="CQ98" i="5" s="1"/>
  <c r="CR98" i="5" s="1"/>
  <c r="CS98" i="5" s="1"/>
  <c r="CT98" i="5" s="1"/>
  <c r="CU98" i="5" s="1"/>
  <c r="CV98" i="5" s="1"/>
  <c r="CW98" i="5" s="1"/>
  <c r="CX98" i="5" s="1"/>
  <c r="CY98" i="5" s="1"/>
  <c r="CZ98" i="5" s="1"/>
  <c r="DA98" i="5" s="1"/>
  <c r="DB98" i="5" s="1"/>
  <c r="DC98" i="5" s="1"/>
  <c r="DD98" i="5" s="1"/>
  <c r="DE98" i="5" s="1"/>
  <c r="DF98" i="5" s="1"/>
  <c r="DG98" i="5" s="1"/>
  <c r="DH98" i="5" s="1"/>
  <c r="DI98" i="5" s="1"/>
  <c r="DJ98" i="5" s="1"/>
  <c r="DK98" i="5" s="1"/>
  <c r="DL98" i="5" s="1"/>
  <c r="DM98" i="5" s="1"/>
  <c r="DN98" i="5" s="1"/>
  <c r="DO98" i="5" s="1"/>
  <c r="DP98" i="5" s="1"/>
  <c r="DQ98" i="5" s="1"/>
  <c r="DR98" i="5" s="1"/>
  <c r="DS98" i="5" s="1"/>
  <c r="DT98" i="5" s="1"/>
  <c r="DU98" i="5" s="1"/>
  <c r="DV98" i="5" s="1"/>
  <c r="DW98" i="5" s="1"/>
  <c r="DX98" i="5" s="1"/>
  <c r="DY98" i="5" s="1"/>
  <c r="DZ98" i="5" s="1"/>
  <c r="EA98" i="5" s="1"/>
  <c r="EB98" i="5" s="1"/>
  <c r="EC98" i="5" s="1"/>
  <c r="ED98" i="5" s="1"/>
  <c r="EE98" i="5" s="1"/>
  <c r="EF98" i="5" s="1"/>
  <c r="EG98" i="5" s="1"/>
  <c r="EH98" i="5" s="1"/>
  <c r="EI98" i="5" s="1"/>
  <c r="EJ98" i="5" s="1"/>
  <c r="EK98" i="5" s="1"/>
  <c r="EL98" i="5" s="1"/>
  <c r="EM98" i="5" s="1"/>
  <c r="EN98" i="5" s="1"/>
  <c r="EO98" i="5" s="1"/>
  <c r="EP98" i="5" s="1"/>
  <c r="EQ98" i="5" s="1"/>
  <c r="ER98" i="5" s="1"/>
  <c r="ES98" i="5" s="1"/>
  <c r="ET98" i="5" s="1"/>
  <c r="EU98" i="5" s="1"/>
  <c r="EV98" i="5" s="1"/>
  <c r="EW98" i="5" s="1"/>
  <c r="EX98" i="5" s="1"/>
  <c r="EY98" i="5" s="1"/>
  <c r="EZ98" i="5" s="1"/>
  <c r="FA98" i="5" s="1"/>
  <c r="FB98" i="5" s="1"/>
  <c r="FC98" i="5" s="1"/>
  <c r="FD98" i="5" s="1"/>
  <c r="FE98" i="5" s="1"/>
  <c r="FF98" i="5" s="1"/>
  <c r="FG98" i="5" s="1"/>
  <c r="FH98" i="5" s="1"/>
  <c r="FI98" i="5" s="1"/>
  <c r="FJ98" i="5" s="1"/>
  <c r="FK98" i="5" s="1"/>
  <c r="FL98" i="5" s="1"/>
  <c r="FM98" i="5" s="1"/>
  <c r="FN98" i="5" s="1"/>
  <c r="FO98" i="5" s="1"/>
  <c r="FP98" i="5" s="1"/>
  <c r="FQ98" i="5" s="1"/>
  <c r="FR98" i="5" s="1"/>
  <c r="FS98" i="5" s="1"/>
  <c r="FT98" i="5" s="1"/>
  <c r="FU98" i="5" s="1"/>
  <c r="FV98" i="5" s="1"/>
  <c r="FW98" i="5" s="1"/>
  <c r="FX98" i="5" s="1"/>
  <c r="FY98" i="5" s="1"/>
  <c r="FZ98" i="5" s="1"/>
  <c r="GA98" i="5" s="1"/>
  <c r="GB98" i="5" s="1"/>
  <c r="GC98" i="5" s="1"/>
  <c r="GD98" i="5" s="1"/>
  <c r="GE98" i="5" s="1"/>
  <c r="GF98" i="5" s="1"/>
  <c r="GG98" i="5" s="1"/>
  <c r="GH98" i="5" s="1"/>
  <c r="GI98" i="5" s="1"/>
  <c r="GJ98" i="5" s="1"/>
  <c r="GK98" i="5" s="1"/>
  <c r="GL98" i="5" s="1"/>
  <c r="GM98" i="5" s="1"/>
  <c r="GN98" i="5" s="1"/>
  <c r="GO98" i="5" s="1"/>
  <c r="GP98" i="5" s="1"/>
  <c r="GQ98" i="5" s="1"/>
  <c r="GR98" i="5" s="1"/>
  <c r="GS98" i="5" s="1"/>
  <c r="GT98" i="5" s="1"/>
  <c r="GU98" i="5" s="1"/>
  <c r="GV98" i="5" s="1"/>
  <c r="GW98" i="5" s="1"/>
  <c r="GX98" i="5" s="1"/>
  <c r="GY98" i="5" s="1"/>
  <c r="GZ98" i="5" s="1"/>
  <c r="HA98" i="5" s="1"/>
  <c r="HB98" i="5" s="1"/>
  <c r="HC98" i="5" s="1"/>
  <c r="HD98" i="5" s="1"/>
  <c r="HE98" i="5" s="1"/>
  <c r="HF98" i="5" s="1"/>
  <c r="HG98" i="5" s="1"/>
  <c r="HH98" i="5" s="1"/>
  <c r="HI98" i="5" s="1"/>
  <c r="HJ98" i="5" s="1"/>
  <c r="HK98" i="5" s="1"/>
  <c r="HL98" i="5" s="1"/>
  <c r="HM98" i="5" s="1"/>
  <c r="HN98" i="5" s="1"/>
  <c r="HO98" i="5" s="1"/>
  <c r="HP98" i="5" s="1"/>
  <c r="HQ98" i="5" s="1"/>
  <c r="HR98" i="5" s="1"/>
  <c r="HS98" i="5" s="1"/>
  <c r="HT98" i="5" s="1"/>
  <c r="HU98" i="5" s="1"/>
  <c r="HV98" i="5" s="1"/>
  <c r="HW98" i="5" s="1"/>
  <c r="HX98" i="5" s="1"/>
  <c r="HY98" i="5" s="1"/>
  <c r="HZ98" i="5" s="1"/>
  <c r="IA98" i="5" s="1"/>
  <c r="IB98" i="5" s="1"/>
  <c r="IC98" i="5" s="1"/>
  <c r="ID98" i="5" s="1"/>
  <c r="IE98" i="5" s="1"/>
  <c r="IF98" i="5" s="1"/>
  <c r="IG98" i="5" s="1"/>
  <c r="IH98" i="5" s="1"/>
  <c r="II98" i="5" s="1"/>
  <c r="IJ98" i="5" s="1"/>
  <c r="IK98" i="5" s="1"/>
  <c r="IL98" i="5" s="1"/>
  <c r="IM98" i="5" s="1"/>
  <c r="IN98" i="5" s="1"/>
  <c r="IO98" i="5" s="1"/>
  <c r="IP98" i="5" s="1"/>
  <c r="IQ98" i="5" s="1"/>
  <c r="IR98" i="5" s="1"/>
  <c r="IS98" i="5" s="1"/>
  <c r="IT98" i="5" s="1"/>
  <c r="IU98" i="5" s="1"/>
  <c r="F90" i="5"/>
  <c r="G90" i="5" s="1"/>
  <c r="H90" i="5" s="1"/>
  <c r="I90" i="5" s="1"/>
  <c r="J90" i="5" s="1"/>
  <c r="K90" i="5" s="1"/>
  <c r="L90" i="5" s="1"/>
  <c r="M90" i="5" s="1"/>
  <c r="N90" i="5" s="1"/>
  <c r="O90" i="5" s="1"/>
  <c r="P90" i="5" s="1"/>
  <c r="Q90" i="5" s="1"/>
  <c r="R90" i="5" s="1"/>
  <c r="S90" i="5" s="1"/>
  <c r="T90" i="5" s="1"/>
  <c r="U90" i="5" s="1"/>
  <c r="V90" i="5" s="1"/>
  <c r="W90" i="5" s="1"/>
  <c r="X90" i="5" s="1"/>
  <c r="Y90" i="5" s="1"/>
  <c r="Z90" i="5" s="1"/>
  <c r="AA90" i="5" s="1"/>
  <c r="AB90" i="5" s="1"/>
  <c r="AC90" i="5" s="1"/>
  <c r="AD90" i="5" s="1"/>
  <c r="AE90" i="5" s="1"/>
  <c r="AF90" i="5" s="1"/>
  <c r="AG90" i="5" s="1"/>
  <c r="AH90" i="5" s="1"/>
  <c r="AI90" i="5" s="1"/>
  <c r="AJ90" i="5" s="1"/>
  <c r="AK90" i="5" s="1"/>
  <c r="AL90" i="5" s="1"/>
  <c r="AM90" i="5" s="1"/>
  <c r="AN90" i="5" s="1"/>
  <c r="AO90" i="5" s="1"/>
  <c r="AP90" i="5" s="1"/>
  <c r="AQ90" i="5" s="1"/>
  <c r="AR90" i="5" s="1"/>
  <c r="AS90" i="5" s="1"/>
  <c r="AT90" i="5" s="1"/>
  <c r="AU90" i="5" s="1"/>
  <c r="AV90" i="5" s="1"/>
  <c r="AW90" i="5" s="1"/>
  <c r="AX90" i="5" s="1"/>
  <c r="AY90" i="5" s="1"/>
  <c r="AZ90" i="5" s="1"/>
  <c r="BA90" i="5" s="1"/>
  <c r="BB90" i="5" s="1"/>
  <c r="BC90" i="5" s="1"/>
  <c r="BD90" i="5" s="1"/>
  <c r="BE90" i="5" s="1"/>
  <c r="BF90" i="5" s="1"/>
  <c r="BG90" i="5" s="1"/>
  <c r="BH90" i="5" s="1"/>
  <c r="BI90" i="5" s="1"/>
  <c r="BJ90" i="5" s="1"/>
  <c r="BK90" i="5" s="1"/>
  <c r="BL90" i="5" s="1"/>
  <c r="BM90" i="5" s="1"/>
  <c r="BN90" i="5" s="1"/>
  <c r="BO90" i="5" s="1"/>
  <c r="BP90" i="5" s="1"/>
  <c r="BQ90" i="5" s="1"/>
  <c r="BR90" i="5" s="1"/>
  <c r="BS90" i="5" s="1"/>
  <c r="BT90" i="5" s="1"/>
  <c r="BU90" i="5" s="1"/>
  <c r="BV90" i="5" s="1"/>
  <c r="BW90" i="5" s="1"/>
  <c r="BX90" i="5" s="1"/>
  <c r="BY90" i="5" s="1"/>
  <c r="BZ90" i="5" s="1"/>
  <c r="CA90" i="5" s="1"/>
  <c r="CB90" i="5" s="1"/>
  <c r="CC90" i="5" s="1"/>
  <c r="CD90" i="5" s="1"/>
  <c r="CE90" i="5" s="1"/>
  <c r="CF90" i="5" s="1"/>
  <c r="CG90" i="5" s="1"/>
  <c r="CH90" i="5" s="1"/>
  <c r="CI90" i="5" s="1"/>
  <c r="CJ90" i="5" s="1"/>
  <c r="CK90" i="5" s="1"/>
  <c r="CL90" i="5" s="1"/>
  <c r="CM90" i="5" s="1"/>
  <c r="CN90" i="5" s="1"/>
  <c r="CO90" i="5" s="1"/>
  <c r="CP90" i="5" s="1"/>
  <c r="CQ90" i="5" s="1"/>
  <c r="CR90" i="5" s="1"/>
  <c r="CS90" i="5" s="1"/>
  <c r="CT90" i="5" s="1"/>
  <c r="CU90" i="5" s="1"/>
  <c r="CV90" i="5" s="1"/>
  <c r="CW90" i="5" s="1"/>
  <c r="CX90" i="5" s="1"/>
  <c r="CY90" i="5" s="1"/>
  <c r="CZ90" i="5" s="1"/>
  <c r="DA90" i="5" s="1"/>
  <c r="DB90" i="5" s="1"/>
  <c r="DC90" i="5" s="1"/>
  <c r="DD90" i="5" s="1"/>
  <c r="DE90" i="5" s="1"/>
  <c r="DF90" i="5" s="1"/>
  <c r="DG90" i="5" s="1"/>
  <c r="DH90" i="5" s="1"/>
  <c r="DI90" i="5" s="1"/>
  <c r="DJ90" i="5" s="1"/>
  <c r="DK90" i="5" s="1"/>
  <c r="DL90" i="5" s="1"/>
  <c r="DM90" i="5" s="1"/>
  <c r="DN90" i="5" s="1"/>
  <c r="DO90" i="5" s="1"/>
  <c r="DP90" i="5" s="1"/>
  <c r="DQ90" i="5" s="1"/>
  <c r="DR90" i="5" s="1"/>
  <c r="DS90" i="5" s="1"/>
  <c r="DT90" i="5" s="1"/>
  <c r="DU90" i="5" s="1"/>
  <c r="DV90" i="5" s="1"/>
  <c r="DW90" i="5" s="1"/>
  <c r="DX90" i="5" s="1"/>
  <c r="DY90" i="5" s="1"/>
  <c r="DZ90" i="5" s="1"/>
  <c r="EA90" i="5" s="1"/>
  <c r="EB90" i="5" s="1"/>
  <c r="EC90" i="5" s="1"/>
  <c r="ED90" i="5" s="1"/>
  <c r="EE90" i="5" s="1"/>
  <c r="EF90" i="5" s="1"/>
  <c r="EG90" i="5" s="1"/>
  <c r="EH90" i="5" s="1"/>
  <c r="EI90" i="5" s="1"/>
  <c r="EJ90" i="5" s="1"/>
  <c r="EK90" i="5" s="1"/>
  <c r="EL90" i="5" s="1"/>
  <c r="EM90" i="5" s="1"/>
  <c r="EN90" i="5" s="1"/>
  <c r="EO90" i="5" s="1"/>
  <c r="EP90" i="5" s="1"/>
  <c r="EQ90" i="5" s="1"/>
  <c r="ER90" i="5" s="1"/>
  <c r="ES90" i="5" s="1"/>
  <c r="ET90" i="5" s="1"/>
  <c r="EU90" i="5" s="1"/>
  <c r="EV90" i="5" s="1"/>
  <c r="EW90" i="5" s="1"/>
  <c r="EX90" i="5" s="1"/>
  <c r="EY90" i="5" s="1"/>
  <c r="EZ90" i="5" s="1"/>
  <c r="FA90" i="5" s="1"/>
  <c r="FB90" i="5" s="1"/>
  <c r="FC90" i="5" s="1"/>
  <c r="FD90" i="5" s="1"/>
  <c r="FE90" i="5" s="1"/>
  <c r="FF90" i="5" s="1"/>
  <c r="FG90" i="5" s="1"/>
  <c r="FH90" i="5" s="1"/>
  <c r="FI90" i="5" s="1"/>
  <c r="FJ90" i="5" s="1"/>
  <c r="FK90" i="5" s="1"/>
  <c r="FL90" i="5" s="1"/>
  <c r="FM90" i="5" s="1"/>
  <c r="FN90" i="5" s="1"/>
  <c r="FO90" i="5" s="1"/>
  <c r="FP90" i="5" s="1"/>
  <c r="FQ90" i="5" s="1"/>
  <c r="FR90" i="5" s="1"/>
  <c r="FS90" i="5" s="1"/>
  <c r="FT90" i="5" s="1"/>
  <c r="FU90" i="5" s="1"/>
  <c r="FV90" i="5" s="1"/>
  <c r="FW90" i="5" s="1"/>
  <c r="FX90" i="5" s="1"/>
  <c r="FY90" i="5" s="1"/>
  <c r="FZ90" i="5" s="1"/>
  <c r="GA90" i="5" s="1"/>
  <c r="GB90" i="5" s="1"/>
  <c r="GC90" i="5" s="1"/>
  <c r="GD90" i="5" s="1"/>
  <c r="GE90" i="5" s="1"/>
  <c r="GF90" i="5" s="1"/>
  <c r="GG90" i="5" s="1"/>
  <c r="GH90" i="5" s="1"/>
  <c r="GI90" i="5" s="1"/>
  <c r="GJ90" i="5" s="1"/>
  <c r="GK90" i="5" s="1"/>
  <c r="GL90" i="5" s="1"/>
  <c r="GM90" i="5" s="1"/>
  <c r="GN90" i="5" s="1"/>
  <c r="GO90" i="5" s="1"/>
  <c r="GP90" i="5" s="1"/>
  <c r="GQ90" i="5" s="1"/>
  <c r="GR90" i="5" s="1"/>
  <c r="GS90" i="5" s="1"/>
  <c r="GT90" i="5" s="1"/>
  <c r="GU90" i="5" s="1"/>
  <c r="GV90" i="5" s="1"/>
  <c r="GW90" i="5" s="1"/>
  <c r="GX90" i="5" s="1"/>
  <c r="GY90" i="5" s="1"/>
  <c r="GZ90" i="5" s="1"/>
  <c r="HA90" i="5" s="1"/>
  <c r="HB90" i="5" s="1"/>
  <c r="HC90" i="5" s="1"/>
  <c r="HD90" i="5" s="1"/>
  <c r="HE90" i="5" s="1"/>
  <c r="HF90" i="5" s="1"/>
  <c r="HG90" i="5" s="1"/>
  <c r="HH90" i="5" s="1"/>
  <c r="HI90" i="5" s="1"/>
  <c r="HJ90" i="5" s="1"/>
  <c r="HK90" i="5" s="1"/>
  <c r="HL90" i="5" s="1"/>
  <c r="HM90" i="5" s="1"/>
  <c r="HN90" i="5" s="1"/>
  <c r="HO90" i="5" s="1"/>
  <c r="HP90" i="5" s="1"/>
  <c r="HQ90" i="5" s="1"/>
  <c r="HR90" i="5" s="1"/>
  <c r="HS90" i="5" s="1"/>
  <c r="HT90" i="5" s="1"/>
  <c r="HU90" i="5" s="1"/>
  <c r="HV90" i="5" s="1"/>
  <c r="HW90" i="5" s="1"/>
  <c r="HX90" i="5" s="1"/>
  <c r="HY90" i="5" s="1"/>
  <c r="HZ90" i="5" s="1"/>
  <c r="IA90" i="5" s="1"/>
  <c r="IB90" i="5" s="1"/>
  <c r="IC90" i="5" s="1"/>
  <c r="ID90" i="5" s="1"/>
  <c r="IE90" i="5" s="1"/>
  <c r="IF90" i="5" s="1"/>
  <c r="IG90" i="5" s="1"/>
  <c r="IH90" i="5" s="1"/>
  <c r="II90" i="5" s="1"/>
  <c r="IJ90" i="5" s="1"/>
  <c r="IK90" i="5" s="1"/>
  <c r="IL90" i="5" s="1"/>
  <c r="IM90" i="5" s="1"/>
  <c r="IN90" i="5" s="1"/>
  <c r="IO90" i="5" s="1"/>
  <c r="IP90" i="5" s="1"/>
  <c r="IQ90" i="5" s="1"/>
  <c r="IR90" i="5" s="1"/>
  <c r="IS90" i="5" s="1"/>
  <c r="IT90" i="5" s="1"/>
  <c r="IU90" i="5" s="1"/>
  <c r="F82" i="5"/>
  <c r="G82" i="5" s="1"/>
  <c r="H82" i="5" s="1"/>
  <c r="I82" i="5" s="1"/>
  <c r="J82" i="5" s="1"/>
  <c r="K82" i="5" s="1"/>
  <c r="L82" i="5" s="1"/>
  <c r="M82" i="5" s="1"/>
  <c r="N82" i="5" s="1"/>
  <c r="O82" i="5" s="1"/>
  <c r="P82" i="5" s="1"/>
  <c r="Q82" i="5" s="1"/>
  <c r="R82" i="5" s="1"/>
  <c r="S82" i="5" s="1"/>
  <c r="T82" i="5" s="1"/>
  <c r="U82" i="5" s="1"/>
  <c r="V82" i="5" s="1"/>
  <c r="W82" i="5" s="1"/>
  <c r="X82" i="5" s="1"/>
  <c r="Y82" i="5" s="1"/>
  <c r="Z82" i="5" s="1"/>
  <c r="AA82" i="5" s="1"/>
  <c r="AB82" i="5" s="1"/>
  <c r="AC82" i="5" s="1"/>
  <c r="AD82" i="5" s="1"/>
  <c r="AE82" i="5" s="1"/>
  <c r="AF82" i="5" s="1"/>
  <c r="AG82" i="5" s="1"/>
  <c r="AH82" i="5" s="1"/>
  <c r="AI82" i="5" s="1"/>
  <c r="AJ82" i="5" s="1"/>
  <c r="AK82" i="5" s="1"/>
  <c r="AL82" i="5" s="1"/>
  <c r="AM82" i="5" s="1"/>
  <c r="AN82" i="5" s="1"/>
  <c r="AO82" i="5" s="1"/>
  <c r="AP82" i="5" s="1"/>
  <c r="AQ82" i="5" s="1"/>
  <c r="AR82" i="5" s="1"/>
  <c r="AS82" i="5" s="1"/>
  <c r="AT82" i="5" s="1"/>
  <c r="AU82" i="5" s="1"/>
  <c r="AV82" i="5" s="1"/>
  <c r="AW82" i="5" s="1"/>
  <c r="AX82" i="5" s="1"/>
  <c r="AY82" i="5" s="1"/>
  <c r="AZ82" i="5" s="1"/>
  <c r="BA82" i="5" s="1"/>
  <c r="BB82" i="5" s="1"/>
  <c r="BC82" i="5" s="1"/>
  <c r="BD82" i="5" s="1"/>
  <c r="BE82" i="5" s="1"/>
  <c r="BF82" i="5" s="1"/>
  <c r="BG82" i="5" s="1"/>
  <c r="BH82" i="5" s="1"/>
  <c r="BI82" i="5" s="1"/>
  <c r="BJ82" i="5" s="1"/>
  <c r="BK82" i="5" s="1"/>
  <c r="BL82" i="5" s="1"/>
  <c r="BM82" i="5" s="1"/>
  <c r="BN82" i="5" s="1"/>
  <c r="BO82" i="5" s="1"/>
  <c r="BP82" i="5" s="1"/>
  <c r="BQ82" i="5" s="1"/>
  <c r="BR82" i="5" s="1"/>
  <c r="BS82" i="5" s="1"/>
  <c r="BT82" i="5" s="1"/>
  <c r="BU82" i="5" s="1"/>
  <c r="BV82" i="5" s="1"/>
  <c r="BW82" i="5" s="1"/>
  <c r="BX82" i="5" s="1"/>
  <c r="BY82" i="5" s="1"/>
  <c r="BZ82" i="5" s="1"/>
  <c r="CA82" i="5" s="1"/>
  <c r="CB82" i="5" s="1"/>
  <c r="CC82" i="5" s="1"/>
  <c r="CD82" i="5" s="1"/>
  <c r="CE82" i="5" s="1"/>
  <c r="CF82" i="5" s="1"/>
  <c r="CG82" i="5" s="1"/>
  <c r="CH82" i="5" s="1"/>
  <c r="CI82" i="5" s="1"/>
  <c r="CJ82" i="5" s="1"/>
  <c r="CK82" i="5" s="1"/>
  <c r="CL82" i="5" s="1"/>
  <c r="CM82" i="5" s="1"/>
  <c r="CN82" i="5" s="1"/>
  <c r="CO82" i="5" s="1"/>
  <c r="CP82" i="5" s="1"/>
  <c r="CQ82" i="5" s="1"/>
  <c r="CR82" i="5" s="1"/>
  <c r="CS82" i="5" s="1"/>
  <c r="CT82" i="5" s="1"/>
  <c r="CU82" i="5" s="1"/>
  <c r="CV82" i="5" s="1"/>
  <c r="CW82" i="5" s="1"/>
  <c r="CX82" i="5" s="1"/>
  <c r="CY82" i="5" s="1"/>
  <c r="CZ82" i="5" s="1"/>
  <c r="DA82" i="5" s="1"/>
  <c r="DB82" i="5" s="1"/>
  <c r="DC82" i="5" s="1"/>
  <c r="DD82" i="5" s="1"/>
  <c r="DE82" i="5" s="1"/>
  <c r="DF82" i="5" s="1"/>
  <c r="DG82" i="5" s="1"/>
  <c r="DH82" i="5" s="1"/>
  <c r="DI82" i="5" s="1"/>
  <c r="DJ82" i="5" s="1"/>
  <c r="DK82" i="5" s="1"/>
  <c r="DL82" i="5" s="1"/>
  <c r="DM82" i="5" s="1"/>
  <c r="DN82" i="5" s="1"/>
  <c r="DO82" i="5" s="1"/>
  <c r="DP82" i="5" s="1"/>
  <c r="DQ82" i="5" s="1"/>
  <c r="DR82" i="5" s="1"/>
  <c r="DS82" i="5" s="1"/>
  <c r="DT82" i="5" s="1"/>
  <c r="DU82" i="5" s="1"/>
  <c r="DV82" i="5" s="1"/>
  <c r="DW82" i="5" s="1"/>
  <c r="DX82" i="5" s="1"/>
  <c r="DY82" i="5" s="1"/>
  <c r="DZ82" i="5" s="1"/>
  <c r="EA82" i="5" s="1"/>
  <c r="EB82" i="5" s="1"/>
  <c r="EC82" i="5" s="1"/>
  <c r="ED82" i="5" s="1"/>
  <c r="EE82" i="5" s="1"/>
  <c r="EF82" i="5" s="1"/>
  <c r="EG82" i="5" s="1"/>
  <c r="EH82" i="5" s="1"/>
  <c r="EI82" i="5" s="1"/>
  <c r="EJ82" i="5" s="1"/>
  <c r="EK82" i="5" s="1"/>
  <c r="EL82" i="5" s="1"/>
  <c r="EM82" i="5" s="1"/>
  <c r="EN82" i="5" s="1"/>
  <c r="EO82" i="5" s="1"/>
  <c r="EP82" i="5" s="1"/>
  <c r="EQ82" i="5" s="1"/>
  <c r="ER82" i="5" s="1"/>
  <c r="ES82" i="5" s="1"/>
  <c r="ET82" i="5" s="1"/>
  <c r="EU82" i="5" s="1"/>
  <c r="EV82" i="5" s="1"/>
  <c r="EW82" i="5" s="1"/>
  <c r="EX82" i="5" s="1"/>
  <c r="EY82" i="5" s="1"/>
  <c r="EZ82" i="5" s="1"/>
  <c r="FA82" i="5" s="1"/>
  <c r="FB82" i="5" s="1"/>
  <c r="FC82" i="5" s="1"/>
  <c r="FD82" i="5" s="1"/>
  <c r="FE82" i="5" s="1"/>
  <c r="FF82" i="5" s="1"/>
  <c r="FG82" i="5" s="1"/>
  <c r="FH82" i="5" s="1"/>
  <c r="FI82" i="5" s="1"/>
  <c r="FJ82" i="5" s="1"/>
  <c r="FK82" i="5" s="1"/>
  <c r="FL82" i="5" s="1"/>
  <c r="FM82" i="5" s="1"/>
  <c r="FN82" i="5" s="1"/>
  <c r="FO82" i="5" s="1"/>
  <c r="FP82" i="5" s="1"/>
  <c r="FQ82" i="5" s="1"/>
  <c r="FR82" i="5" s="1"/>
  <c r="FS82" i="5" s="1"/>
  <c r="FT82" i="5" s="1"/>
  <c r="FU82" i="5" s="1"/>
  <c r="FV82" i="5" s="1"/>
  <c r="FW82" i="5" s="1"/>
  <c r="FX82" i="5" s="1"/>
  <c r="FY82" i="5" s="1"/>
  <c r="FZ82" i="5" s="1"/>
  <c r="GA82" i="5" s="1"/>
  <c r="GB82" i="5" s="1"/>
  <c r="GC82" i="5" s="1"/>
  <c r="GD82" i="5" s="1"/>
  <c r="GE82" i="5" s="1"/>
  <c r="GF82" i="5" s="1"/>
  <c r="GG82" i="5" s="1"/>
  <c r="GH82" i="5" s="1"/>
  <c r="GI82" i="5" s="1"/>
  <c r="GJ82" i="5" s="1"/>
  <c r="GK82" i="5" s="1"/>
  <c r="GL82" i="5" s="1"/>
  <c r="GM82" i="5" s="1"/>
  <c r="GN82" i="5" s="1"/>
  <c r="GO82" i="5" s="1"/>
  <c r="GP82" i="5" s="1"/>
  <c r="GQ82" i="5" s="1"/>
  <c r="GR82" i="5" s="1"/>
  <c r="GS82" i="5" s="1"/>
  <c r="GT82" i="5" s="1"/>
  <c r="GU82" i="5" s="1"/>
  <c r="GV82" i="5" s="1"/>
  <c r="GW82" i="5" s="1"/>
  <c r="GX82" i="5" s="1"/>
  <c r="GY82" i="5" s="1"/>
  <c r="GZ82" i="5" s="1"/>
  <c r="HA82" i="5" s="1"/>
  <c r="HB82" i="5" s="1"/>
  <c r="HC82" i="5" s="1"/>
  <c r="HD82" i="5" s="1"/>
  <c r="HE82" i="5" s="1"/>
  <c r="HF82" i="5" s="1"/>
  <c r="HG82" i="5" s="1"/>
  <c r="HH82" i="5" s="1"/>
  <c r="HI82" i="5" s="1"/>
  <c r="HJ82" i="5" s="1"/>
  <c r="HK82" i="5" s="1"/>
  <c r="HL82" i="5" s="1"/>
  <c r="HM82" i="5" s="1"/>
  <c r="HN82" i="5" s="1"/>
  <c r="HO82" i="5" s="1"/>
  <c r="HP82" i="5" s="1"/>
  <c r="HQ82" i="5" s="1"/>
  <c r="HR82" i="5" s="1"/>
  <c r="HS82" i="5" s="1"/>
  <c r="HT82" i="5" s="1"/>
  <c r="HU82" i="5" s="1"/>
  <c r="HV82" i="5" s="1"/>
  <c r="HW82" i="5" s="1"/>
  <c r="HX82" i="5" s="1"/>
  <c r="HY82" i="5" s="1"/>
  <c r="HZ82" i="5" s="1"/>
  <c r="IA82" i="5" s="1"/>
  <c r="IB82" i="5" s="1"/>
  <c r="IC82" i="5" s="1"/>
  <c r="ID82" i="5" s="1"/>
  <c r="IE82" i="5" s="1"/>
  <c r="IF82" i="5" s="1"/>
  <c r="IG82" i="5" s="1"/>
  <c r="IH82" i="5" s="1"/>
  <c r="II82" i="5" s="1"/>
  <c r="IJ82" i="5" s="1"/>
  <c r="IK82" i="5" s="1"/>
  <c r="IL82" i="5" s="1"/>
  <c r="IM82" i="5" s="1"/>
  <c r="IN82" i="5" s="1"/>
  <c r="IO82" i="5" s="1"/>
  <c r="IP82" i="5" s="1"/>
  <c r="IQ82" i="5" s="1"/>
  <c r="IR82" i="5" s="1"/>
  <c r="IS82" i="5" s="1"/>
  <c r="IT82" i="5" s="1"/>
  <c r="IU82" i="5" s="1"/>
  <c r="F74" i="5"/>
  <c r="G74" i="5" s="1"/>
  <c r="H74" i="5" s="1"/>
  <c r="I74" i="5" s="1"/>
  <c r="J74" i="5" s="1"/>
  <c r="K74" i="5" s="1"/>
  <c r="L74" i="5" s="1"/>
  <c r="M74" i="5" s="1"/>
  <c r="N74" i="5" s="1"/>
  <c r="O74" i="5" s="1"/>
  <c r="P74" i="5" s="1"/>
  <c r="Q74" i="5" s="1"/>
  <c r="R74" i="5" s="1"/>
  <c r="S74" i="5" s="1"/>
  <c r="T74" i="5" s="1"/>
  <c r="U74" i="5" s="1"/>
  <c r="V74" i="5" s="1"/>
  <c r="W74" i="5" s="1"/>
  <c r="X74" i="5" s="1"/>
  <c r="Y74" i="5" s="1"/>
  <c r="Z74" i="5" s="1"/>
  <c r="AA74" i="5" s="1"/>
  <c r="AB74" i="5" s="1"/>
  <c r="AC74" i="5" s="1"/>
  <c r="AD74" i="5" s="1"/>
  <c r="AE74" i="5" s="1"/>
  <c r="AF74" i="5" s="1"/>
  <c r="AG74" i="5" s="1"/>
  <c r="AH74" i="5" s="1"/>
  <c r="AI74" i="5" s="1"/>
  <c r="AJ74" i="5" s="1"/>
  <c r="AK74" i="5" s="1"/>
  <c r="AL74" i="5" s="1"/>
  <c r="AM74" i="5" s="1"/>
  <c r="AN74" i="5" s="1"/>
  <c r="AO74" i="5" s="1"/>
  <c r="AP74" i="5" s="1"/>
  <c r="AQ74" i="5" s="1"/>
  <c r="AR74" i="5" s="1"/>
  <c r="AS74" i="5" s="1"/>
  <c r="AT74" i="5" s="1"/>
  <c r="AU74" i="5" s="1"/>
  <c r="AV74" i="5" s="1"/>
  <c r="AW74" i="5" s="1"/>
  <c r="AX74" i="5" s="1"/>
  <c r="AY74" i="5" s="1"/>
  <c r="AZ74" i="5" s="1"/>
  <c r="BA74" i="5" s="1"/>
  <c r="BB74" i="5" s="1"/>
  <c r="BC74" i="5" s="1"/>
  <c r="BD74" i="5" s="1"/>
  <c r="BE74" i="5" s="1"/>
  <c r="BF74" i="5" s="1"/>
  <c r="BG74" i="5" s="1"/>
  <c r="BH74" i="5" s="1"/>
  <c r="BI74" i="5" s="1"/>
  <c r="BJ74" i="5" s="1"/>
  <c r="BK74" i="5" s="1"/>
  <c r="BL74" i="5" s="1"/>
  <c r="BM74" i="5" s="1"/>
  <c r="BN74" i="5" s="1"/>
  <c r="BO74" i="5" s="1"/>
  <c r="BP74" i="5" s="1"/>
  <c r="BQ74" i="5" s="1"/>
  <c r="BR74" i="5" s="1"/>
  <c r="BS74" i="5" s="1"/>
  <c r="BT74" i="5" s="1"/>
  <c r="BU74" i="5" s="1"/>
  <c r="BV74" i="5" s="1"/>
  <c r="BW74" i="5" s="1"/>
  <c r="BX74" i="5" s="1"/>
  <c r="BY74" i="5" s="1"/>
  <c r="BZ74" i="5" s="1"/>
  <c r="CA74" i="5" s="1"/>
  <c r="CB74" i="5" s="1"/>
  <c r="CC74" i="5" s="1"/>
  <c r="CD74" i="5" s="1"/>
  <c r="CE74" i="5" s="1"/>
  <c r="CF74" i="5" s="1"/>
  <c r="CG74" i="5" s="1"/>
  <c r="CH74" i="5" s="1"/>
  <c r="CI74" i="5" s="1"/>
  <c r="CJ74" i="5" s="1"/>
  <c r="CK74" i="5" s="1"/>
  <c r="CL74" i="5" s="1"/>
  <c r="CM74" i="5" s="1"/>
  <c r="CN74" i="5" s="1"/>
  <c r="CO74" i="5" s="1"/>
  <c r="CP74" i="5" s="1"/>
  <c r="CQ74" i="5" s="1"/>
  <c r="CR74" i="5" s="1"/>
  <c r="CS74" i="5" s="1"/>
  <c r="CT74" i="5" s="1"/>
  <c r="CU74" i="5" s="1"/>
  <c r="CV74" i="5" s="1"/>
  <c r="CW74" i="5" s="1"/>
  <c r="CX74" i="5" s="1"/>
  <c r="CY74" i="5" s="1"/>
  <c r="CZ74" i="5" s="1"/>
  <c r="DA74" i="5" s="1"/>
  <c r="DB74" i="5" s="1"/>
  <c r="DC74" i="5" s="1"/>
  <c r="DD74" i="5" s="1"/>
  <c r="DE74" i="5" s="1"/>
  <c r="DF74" i="5" s="1"/>
  <c r="DG74" i="5" s="1"/>
  <c r="DH74" i="5" s="1"/>
  <c r="DI74" i="5" s="1"/>
  <c r="DJ74" i="5" s="1"/>
  <c r="DK74" i="5" s="1"/>
  <c r="DL74" i="5" s="1"/>
  <c r="DM74" i="5" s="1"/>
  <c r="DN74" i="5" s="1"/>
  <c r="DO74" i="5" s="1"/>
  <c r="DP74" i="5" s="1"/>
  <c r="DQ74" i="5" s="1"/>
  <c r="DR74" i="5" s="1"/>
  <c r="DS74" i="5" s="1"/>
  <c r="DT74" i="5" s="1"/>
  <c r="DU74" i="5" s="1"/>
  <c r="DV74" i="5" s="1"/>
  <c r="DW74" i="5" s="1"/>
  <c r="DX74" i="5" s="1"/>
  <c r="DY74" i="5" s="1"/>
  <c r="DZ74" i="5" s="1"/>
  <c r="EA74" i="5" s="1"/>
  <c r="EB74" i="5" s="1"/>
  <c r="EC74" i="5" s="1"/>
  <c r="ED74" i="5" s="1"/>
  <c r="EE74" i="5" s="1"/>
  <c r="EF74" i="5" s="1"/>
  <c r="EG74" i="5" s="1"/>
  <c r="EH74" i="5" s="1"/>
  <c r="EI74" i="5" s="1"/>
  <c r="EJ74" i="5" s="1"/>
  <c r="EK74" i="5" s="1"/>
  <c r="EL74" i="5" s="1"/>
  <c r="EM74" i="5" s="1"/>
  <c r="EN74" i="5" s="1"/>
  <c r="EO74" i="5" s="1"/>
  <c r="EP74" i="5" s="1"/>
  <c r="EQ74" i="5" s="1"/>
  <c r="ER74" i="5" s="1"/>
  <c r="ES74" i="5" s="1"/>
  <c r="ET74" i="5" s="1"/>
  <c r="EU74" i="5" s="1"/>
  <c r="EV74" i="5" s="1"/>
  <c r="EW74" i="5" s="1"/>
  <c r="EX74" i="5" s="1"/>
  <c r="EY74" i="5" s="1"/>
  <c r="EZ74" i="5" s="1"/>
  <c r="FA74" i="5" s="1"/>
  <c r="FB74" i="5" s="1"/>
  <c r="FC74" i="5" s="1"/>
  <c r="FD74" i="5" s="1"/>
  <c r="FE74" i="5" s="1"/>
  <c r="FF74" i="5" s="1"/>
  <c r="FG74" i="5" s="1"/>
  <c r="FH74" i="5" s="1"/>
  <c r="FI74" i="5" s="1"/>
  <c r="FJ74" i="5" s="1"/>
  <c r="FK74" i="5" s="1"/>
  <c r="FL74" i="5" s="1"/>
  <c r="FM74" i="5" s="1"/>
  <c r="FN74" i="5" s="1"/>
  <c r="FO74" i="5" s="1"/>
  <c r="FP74" i="5" s="1"/>
  <c r="FQ74" i="5" s="1"/>
  <c r="FR74" i="5" s="1"/>
  <c r="FS74" i="5" s="1"/>
  <c r="FT74" i="5" s="1"/>
  <c r="FU74" i="5" s="1"/>
  <c r="FV74" i="5" s="1"/>
  <c r="FW74" i="5" s="1"/>
  <c r="FX74" i="5" s="1"/>
  <c r="FY74" i="5" s="1"/>
  <c r="FZ74" i="5" s="1"/>
  <c r="GA74" i="5" s="1"/>
  <c r="GB74" i="5" s="1"/>
  <c r="GC74" i="5" s="1"/>
  <c r="GD74" i="5" s="1"/>
  <c r="GE74" i="5" s="1"/>
  <c r="GF74" i="5" s="1"/>
  <c r="GG74" i="5" s="1"/>
  <c r="GH74" i="5" s="1"/>
  <c r="GI74" i="5" s="1"/>
  <c r="GJ74" i="5" s="1"/>
  <c r="GK74" i="5" s="1"/>
  <c r="GL74" i="5" s="1"/>
  <c r="GM74" i="5" s="1"/>
  <c r="GN74" i="5" s="1"/>
  <c r="GO74" i="5" s="1"/>
  <c r="GP74" i="5" s="1"/>
  <c r="GQ74" i="5" s="1"/>
  <c r="GR74" i="5" s="1"/>
  <c r="GS74" i="5" s="1"/>
  <c r="GT74" i="5" s="1"/>
  <c r="GU74" i="5" s="1"/>
  <c r="GV74" i="5" s="1"/>
  <c r="GW74" i="5" s="1"/>
  <c r="GX74" i="5" s="1"/>
  <c r="GY74" i="5" s="1"/>
  <c r="GZ74" i="5" s="1"/>
  <c r="HA74" i="5" s="1"/>
  <c r="HB74" i="5" s="1"/>
  <c r="HC74" i="5" s="1"/>
  <c r="HD74" i="5" s="1"/>
  <c r="HE74" i="5" s="1"/>
  <c r="HF74" i="5" s="1"/>
  <c r="HG74" i="5" s="1"/>
  <c r="HH74" i="5" s="1"/>
  <c r="HI74" i="5" s="1"/>
  <c r="HJ74" i="5" s="1"/>
  <c r="HK74" i="5" s="1"/>
  <c r="HL74" i="5" s="1"/>
  <c r="HM74" i="5" s="1"/>
  <c r="HN74" i="5" s="1"/>
  <c r="HO74" i="5" s="1"/>
  <c r="HP74" i="5" s="1"/>
  <c r="HQ74" i="5" s="1"/>
  <c r="HR74" i="5" s="1"/>
  <c r="HS74" i="5" s="1"/>
  <c r="HT74" i="5" s="1"/>
  <c r="HU74" i="5" s="1"/>
  <c r="HV74" i="5" s="1"/>
  <c r="HW74" i="5" s="1"/>
  <c r="HX74" i="5" s="1"/>
  <c r="HY74" i="5" s="1"/>
  <c r="HZ74" i="5" s="1"/>
  <c r="IA74" i="5" s="1"/>
  <c r="IB74" i="5" s="1"/>
  <c r="IC74" i="5" s="1"/>
  <c r="ID74" i="5" s="1"/>
  <c r="IE74" i="5" s="1"/>
  <c r="IF74" i="5" s="1"/>
  <c r="IG74" i="5" s="1"/>
  <c r="IH74" i="5" s="1"/>
  <c r="II74" i="5" s="1"/>
  <c r="IJ74" i="5" s="1"/>
  <c r="IK74" i="5" s="1"/>
  <c r="IL74" i="5" s="1"/>
  <c r="IM74" i="5" s="1"/>
  <c r="IN74" i="5" s="1"/>
  <c r="IO74" i="5" s="1"/>
  <c r="IP74" i="5" s="1"/>
  <c r="IQ74" i="5" s="1"/>
  <c r="IR74" i="5" s="1"/>
  <c r="IS74" i="5" s="1"/>
  <c r="IT74" i="5" s="1"/>
  <c r="IU74" i="5" s="1"/>
  <c r="F66" i="5"/>
  <c r="G66" i="5" s="1"/>
  <c r="H66" i="5" s="1"/>
  <c r="I66" i="5" s="1"/>
  <c r="J66" i="5" s="1"/>
  <c r="K66" i="5" s="1"/>
  <c r="L66" i="5" s="1"/>
  <c r="M66" i="5" s="1"/>
  <c r="N66" i="5" s="1"/>
  <c r="O66" i="5" s="1"/>
  <c r="P66" i="5" s="1"/>
  <c r="Q66" i="5" s="1"/>
  <c r="R66" i="5" s="1"/>
  <c r="S66" i="5" s="1"/>
  <c r="T66" i="5" s="1"/>
  <c r="U66" i="5" s="1"/>
  <c r="V66" i="5" s="1"/>
  <c r="W66" i="5" s="1"/>
  <c r="X66" i="5" s="1"/>
  <c r="Y66" i="5" s="1"/>
  <c r="Z66" i="5" s="1"/>
  <c r="AA66" i="5" s="1"/>
  <c r="AB66" i="5" s="1"/>
  <c r="AC66" i="5" s="1"/>
  <c r="AD66" i="5" s="1"/>
  <c r="AE66" i="5" s="1"/>
  <c r="AF66" i="5" s="1"/>
  <c r="AG66" i="5" s="1"/>
  <c r="AH66" i="5" s="1"/>
  <c r="AI66" i="5" s="1"/>
  <c r="AJ66" i="5" s="1"/>
  <c r="AK66" i="5" s="1"/>
  <c r="AL66" i="5" s="1"/>
  <c r="AM66" i="5" s="1"/>
  <c r="AN66" i="5" s="1"/>
  <c r="AO66" i="5" s="1"/>
  <c r="AP66" i="5" s="1"/>
  <c r="AQ66" i="5" s="1"/>
  <c r="AR66" i="5" s="1"/>
  <c r="AS66" i="5" s="1"/>
  <c r="AT66" i="5" s="1"/>
  <c r="AU66" i="5" s="1"/>
  <c r="AV66" i="5" s="1"/>
  <c r="AW66" i="5" s="1"/>
  <c r="AX66" i="5" s="1"/>
  <c r="AY66" i="5" s="1"/>
  <c r="AZ66" i="5" s="1"/>
  <c r="BA66" i="5" s="1"/>
  <c r="BB66" i="5" s="1"/>
  <c r="BC66" i="5" s="1"/>
  <c r="BD66" i="5" s="1"/>
  <c r="BE66" i="5" s="1"/>
  <c r="BF66" i="5" s="1"/>
  <c r="BG66" i="5" s="1"/>
  <c r="BH66" i="5" s="1"/>
  <c r="BI66" i="5" s="1"/>
  <c r="BJ66" i="5" s="1"/>
  <c r="BK66" i="5" s="1"/>
  <c r="BL66" i="5" s="1"/>
  <c r="BM66" i="5" s="1"/>
  <c r="BN66" i="5" s="1"/>
  <c r="BO66" i="5" s="1"/>
  <c r="BP66" i="5" s="1"/>
  <c r="BQ66" i="5" s="1"/>
  <c r="BR66" i="5" s="1"/>
  <c r="BS66" i="5" s="1"/>
  <c r="BT66" i="5" s="1"/>
  <c r="BU66" i="5" s="1"/>
  <c r="BV66" i="5" s="1"/>
  <c r="BW66" i="5" s="1"/>
  <c r="BX66" i="5" s="1"/>
  <c r="BY66" i="5" s="1"/>
  <c r="BZ66" i="5" s="1"/>
  <c r="CA66" i="5" s="1"/>
  <c r="CB66" i="5" s="1"/>
  <c r="CC66" i="5" s="1"/>
  <c r="CD66" i="5" s="1"/>
  <c r="CE66" i="5" s="1"/>
  <c r="CF66" i="5" s="1"/>
  <c r="CG66" i="5" s="1"/>
  <c r="CH66" i="5" s="1"/>
  <c r="CI66" i="5" s="1"/>
  <c r="CJ66" i="5" s="1"/>
  <c r="CK66" i="5" s="1"/>
  <c r="CL66" i="5" s="1"/>
  <c r="CM66" i="5" s="1"/>
  <c r="CN66" i="5" s="1"/>
  <c r="CO66" i="5" s="1"/>
  <c r="CP66" i="5" s="1"/>
  <c r="CQ66" i="5" s="1"/>
  <c r="CR66" i="5" s="1"/>
  <c r="CS66" i="5" s="1"/>
  <c r="CT66" i="5" s="1"/>
  <c r="CU66" i="5" s="1"/>
  <c r="CV66" i="5" s="1"/>
  <c r="CW66" i="5" s="1"/>
  <c r="CX66" i="5" s="1"/>
  <c r="CY66" i="5" s="1"/>
  <c r="CZ66" i="5" s="1"/>
  <c r="DA66" i="5" s="1"/>
  <c r="DB66" i="5" s="1"/>
  <c r="DC66" i="5" s="1"/>
  <c r="DD66" i="5" s="1"/>
  <c r="DE66" i="5" s="1"/>
  <c r="DF66" i="5" s="1"/>
  <c r="DG66" i="5" s="1"/>
  <c r="DH66" i="5" s="1"/>
  <c r="DI66" i="5" s="1"/>
  <c r="DJ66" i="5" s="1"/>
  <c r="DK66" i="5" s="1"/>
  <c r="DL66" i="5" s="1"/>
  <c r="DM66" i="5" s="1"/>
  <c r="DN66" i="5" s="1"/>
  <c r="DO66" i="5" s="1"/>
  <c r="DP66" i="5" s="1"/>
  <c r="DQ66" i="5" s="1"/>
  <c r="DR66" i="5" s="1"/>
  <c r="DS66" i="5" s="1"/>
  <c r="DT66" i="5" s="1"/>
  <c r="DU66" i="5" s="1"/>
  <c r="DV66" i="5" s="1"/>
  <c r="DW66" i="5" s="1"/>
  <c r="DX66" i="5" s="1"/>
  <c r="DY66" i="5" s="1"/>
  <c r="DZ66" i="5" s="1"/>
  <c r="EA66" i="5" s="1"/>
  <c r="EB66" i="5" s="1"/>
  <c r="EC66" i="5" s="1"/>
  <c r="ED66" i="5" s="1"/>
  <c r="EE66" i="5" s="1"/>
  <c r="EF66" i="5" s="1"/>
  <c r="EG66" i="5" s="1"/>
  <c r="EH66" i="5" s="1"/>
  <c r="EI66" i="5" s="1"/>
  <c r="EJ66" i="5" s="1"/>
  <c r="EK66" i="5" s="1"/>
  <c r="EL66" i="5" s="1"/>
  <c r="EM66" i="5" s="1"/>
  <c r="EN66" i="5" s="1"/>
  <c r="EO66" i="5" s="1"/>
  <c r="EP66" i="5" s="1"/>
  <c r="EQ66" i="5" s="1"/>
  <c r="ER66" i="5" s="1"/>
  <c r="ES66" i="5" s="1"/>
  <c r="ET66" i="5" s="1"/>
  <c r="EU66" i="5" s="1"/>
  <c r="EV66" i="5" s="1"/>
  <c r="EW66" i="5" s="1"/>
  <c r="EX66" i="5" s="1"/>
  <c r="EY66" i="5" s="1"/>
  <c r="EZ66" i="5" s="1"/>
  <c r="FA66" i="5" s="1"/>
  <c r="FB66" i="5" s="1"/>
  <c r="FC66" i="5" s="1"/>
  <c r="FD66" i="5" s="1"/>
  <c r="FE66" i="5" s="1"/>
  <c r="FF66" i="5" s="1"/>
  <c r="FG66" i="5" s="1"/>
  <c r="FH66" i="5" s="1"/>
  <c r="FI66" i="5" s="1"/>
  <c r="FJ66" i="5" s="1"/>
  <c r="FK66" i="5" s="1"/>
  <c r="FL66" i="5" s="1"/>
  <c r="FM66" i="5" s="1"/>
  <c r="FN66" i="5" s="1"/>
  <c r="FO66" i="5" s="1"/>
  <c r="FP66" i="5" s="1"/>
  <c r="FQ66" i="5" s="1"/>
  <c r="FR66" i="5" s="1"/>
  <c r="FS66" i="5" s="1"/>
  <c r="FT66" i="5" s="1"/>
  <c r="FU66" i="5" s="1"/>
  <c r="FV66" i="5" s="1"/>
  <c r="FW66" i="5" s="1"/>
  <c r="FX66" i="5" s="1"/>
  <c r="FY66" i="5" s="1"/>
  <c r="FZ66" i="5" s="1"/>
  <c r="GA66" i="5" s="1"/>
  <c r="GB66" i="5" s="1"/>
  <c r="GC66" i="5" s="1"/>
  <c r="GD66" i="5" s="1"/>
  <c r="GE66" i="5" s="1"/>
  <c r="GF66" i="5" s="1"/>
  <c r="GG66" i="5" s="1"/>
  <c r="GH66" i="5" s="1"/>
  <c r="GI66" i="5" s="1"/>
  <c r="GJ66" i="5" s="1"/>
  <c r="GK66" i="5" s="1"/>
  <c r="GL66" i="5" s="1"/>
  <c r="GM66" i="5" s="1"/>
  <c r="GN66" i="5" s="1"/>
  <c r="GO66" i="5" s="1"/>
  <c r="GP66" i="5" s="1"/>
  <c r="GQ66" i="5" s="1"/>
  <c r="GR66" i="5" s="1"/>
  <c r="GS66" i="5" s="1"/>
  <c r="GT66" i="5" s="1"/>
  <c r="GU66" i="5" s="1"/>
  <c r="GV66" i="5" s="1"/>
  <c r="GW66" i="5" s="1"/>
  <c r="GX66" i="5" s="1"/>
  <c r="GY66" i="5" s="1"/>
  <c r="GZ66" i="5" s="1"/>
  <c r="HA66" i="5" s="1"/>
  <c r="HB66" i="5" s="1"/>
  <c r="HC66" i="5" s="1"/>
  <c r="HD66" i="5" s="1"/>
  <c r="HE66" i="5" s="1"/>
  <c r="HF66" i="5" s="1"/>
  <c r="HG66" i="5" s="1"/>
  <c r="HH66" i="5" s="1"/>
  <c r="HI66" i="5" s="1"/>
  <c r="HJ66" i="5" s="1"/>
  <c r="HK66" i="5" s="1"/>
  <c r="HL66" i="5" s="1"/>
  <c r="HM66" i="5" s="1"/>
  <c r="HN66" i="5" s="1"/>
  <c r="HO66" i="5" s="1"/>
  <c r="HP66" i="5" s="1"/>
  <c r="HQ66" i="5" s="1"/>
  <c r="HR66" i="5" s="1"/>
  <c r="HS66" i="5" s="1"/>
  <c r="HT66" i="5" s="1"/>
  <c r="HU66" i="5" s="1"/>
  <c r="HV66" i="5" s="1"/>
  <c r="HW66" i="5" s="1"/>
  <c r="HX66" i="5" s="1"/>
  <c r="HY66" i="5" s="1"/>
  <c r="HZ66" i="5" s="1"/>
  <c r="IA66" i="5" s="1"/>
  <c r="IB66" i="5" s="1"/>
  <c r="IC66" i="5" s="1"/>
  <c r="ID66" i="5" s="1"/>
  <c r="IE66" i="5" s="1"/>
  <c r="IF66" i="5" s="1"/>
  <c r="IG66" i="5" s="1"/>
  <c r="IH66" i="5" s="1"/>
  <c r="II66" i="5" s="1"/>
  <c r="IJ66" i="5" s="1"/>
  <c r="IK66" i="5" s="1"/>
  <c r="IL66" i="5" s="1"/>
  <c r="IM66" i="5" s="1"/>
  <c r="IN66" i="5" s="1"/>
  <c r="IO66" i="5" s="1"/>
  <c r="IP66" i="5" s="1"/>
  <c r="IQ66" i="5" s="1"/>
  <c r="IR66" i="5" s="1"/>
  <c r="IS66" i="5" s="1"/>
  <c r="IT66" i="5" s="1"/>
  <c r="IU66" i="5" s="1"/>
  <c r="F58" i="5"/>
  <c r="G58" i="5" s="1"/>
  <c r="H58" i="5" s="1"/>
  <c r="I58" i="5" s="1"/>
  <c r="J58" i="5" s="1"/>
  <c r="K58" i="5" s="1"/>
  <c r="L58" i="5" s="1"/>
  <c r="M58" i="5" s="1"/>
  <c r="N58" i="5" s="1"/>
  <c r="O58" i="5" s="1"/>
  <c r="P58" i="5" s="1"/>
  <c r="Q58" i="5" s="1"/>
  <c r="R58" i="5" s="1"/>
  <c r="S58" i="5" s="1"/>
  <c r="T58" i="5" s="1"/>
  <c r="U58" i="5" s="1"/>
  <c r="V58" i="5" s="1"/>
  <c r="W58" i="5" s="1"/>
  <c r="X58" i="5" s="1"/>
  <c r="Y58" i="5" s="1"/>
  <c r="Z58" i="5" s="1"/>
  <c r="AA58" i="5" s="1"/>
  <c r="AB58" i="5" s="1"/>
  <c r="AC58" i="5" s="1"/>
  <c r="AD58" i="5" s="1"/>
  <c r="AE58" i="5" s="1"/>
  <c r="AF58" i="5" s="1"/>
  <c r="AG58" i="5" s="1"/>
  <c r="AH58" i="5" s="1"/>
  <c r="AI58" i="5" s="1"/>
  <c r="AJ58" i="5" s="1"/>
  <c r="AK58" i="5" s="1"/>
  <c r="AL58" i="5" s="1"/>
  <c r="AM58" i="5" s="1"/>
  <c r="AN58" i="5" s="1"/>
  <c r="AO58" i="5" s="1"/>
  <c r="AP58" i="5" s="1"/>
  <c r="AQ58" i="5" s="1"/>
  <c r="AR58" i="5" s="1"/>
  <c r="AS58" i="5" s="1"/>
  <c r="AT58" i="5" s="1"/>
  <c r="AU58" i="5" s="1"/>
  <c r="AV58" i="5" s="1"/>
  <c r="AW58" i="5" s="1"/>
  <c r="AX58" i="5" s="1"/>
  <c r="AY58" i="5" s="1"/>
  <c r="AZ58" i="5" s="1"/>
  <c r="BA58" i="5" s="1"/>
  <c r="BB58" i="5" s="1"/>
  <c r="BC58" i="5" s="1"/>
  <c r="BD58" i="5" s="1"/>
  <c r="BE58" i="5" s="1"/>
  <c r="BF58" i="5" s="1"/>
  <c r="BG58" i="5" s="1"/>
  <c r="BH58" i="5" s="1"/>
  <c r="BI58" i="5" s="1"/>
  <c r="BJ58" i="5" s="1"/>
  <c r="BK58" i="5" s="1"/>
  <c r="BL58" i="5" s="1"/>
  <c r="BM58" i="5" s="1"/>
  <c r="BN58" i="5" s="1"/>
  <c r="BO58" i="5" s="1"/>
  <c r="BP58" i="5" s="1"/>
  <c r="BQ58" i="5" s="1"/>
  <c r="BR58" i="5" s="1"/>
  <c r="BS58" i="5" s="1"/>
  <c r="BT58" i="5" s="1"/>
  <c r="BU58" i="5" s="1"/>
  <c r="BV58" i="5" s="1"/>
  <c r="BW58" i="5" s="1"/>
  <c r="BX58" i="5" s="1"/>
  <c r="BY58" i="5" s="1"/>
  <c r="BZ58" i="5" s="1"/>
  <c r="CA58" i="5" s="1"/>
  <c r="CB58" i="5" s="1"/>
  <c r="CC58" i="5" s="1"/>
  <c r="CD58" i="5" s="1"/>
  <c r="CE58" i="5" s="1"/>
  <c r="CF58" i="5" s="1"/>
  <c r="CG58" i="5" s="1"/>
  <c r="CH58" i="5" s="1"/>
  <c r="CI58" i="5" s="1"/>
  <c r="CJ58" i="5" s="1"/>
  <c r="CK58" i="5" s="1"/>
  <c r="CL58" i="5" s="1"/>
  <c r="CM58" i="5" s="1"/>
  <c r="CN58" i="5" s="1"/>
  <c r="CO58" i="5" s="1"/>
  <c r="CP58" i="5" s="1"/>
  <c r="CQ58" i="5" s="1"/>
  <c r="CR58" i="5" s="1"/>
  <c r="CS58" i="5" s="1"/>
  <c r="CT58" i="5" s="1"/>
  <c r="CU58" i="5" s="1"/>
  <c r="CV58" i="5" s="1"/>
  <c r="CW58" i="5" s="1"/>
  <c r="CX58" i="5" s="1"/>
  <c r="CY58" i="5" s="1"/>
  <c r="CZ58" i="5" s="1"/>
  <c r="DA58" i="5" s="1"/>
  <c r="DB58" i="5" s="1"/>
  <c r="DC58" i="5" s="1"/>
  <c r="DD58" i="5" s="1"/>
  <c r="DE58" i="5" s="1"/>
  <c r="DF58" i="5" s="1"/>
  <c r="DG58" i="5" s="1"/>
  <c r="DH58" i="5" s="1"/>
  <c r="DI58" i="5" s="1"/>
  <c r="DJ58" i="5" s="1"/>
  <c r="DK58" i="5" s="1"/>
  <c r="DL58" i="5" s="1"/>
  <c r="DM58" i="5" s="1"/>
  <c r="DN58" i="5" s="1"/>
  <c r="DO58" i="5" s="1"/>
  <c r="DP58" i="5" s="1"/>
  <c r="DQ58" i="5" s="1"/>
  <c r="DR58" i="5" s="1"/>
  <c r="DS58" i="5" s="1"/>
  <c r="DT58" i="5" s="1"/>
  <c r="DU58" i="5" s="1"/>
  <c r="DV58" i="5" s="1"/>
  <c r="DW58" i="5" s="1"/>
  <c r="DX58" i="5" s="1"/>
  <c r="DY58" i="5" s="1"/>
  <c r="DZ58" i="5" s="1"/>
  <c r="EA58" i="5" s="1"/>
  <c r="EB58" i="5" s="1"/>
  <c r="EC58" i="5" s="1"/>
  <c r="ED58" i="5" s="1"/>
  <c r="EE58" i="5" s="1"/>
  <c r="EF58" i="5" s="1"/>
  <c r="EG58" i="5" s="1"/>
  <c r="EH58" i="5" s="1"/>
  <c r="EI58" i="5" s="1"/>
  <c r="EJ58" i="5" s="1"/>
  <c r="EK58" i="5" s="1"/>
  <c r="EL58" i="5" s="1"/>
  <c r="EM58" i="5" s="1"/>
  <c r="EN58" i="5" s="1"/>
  <c r="EO58" i="5" s="1"/>
  <c r="EP58" i="5" s="1"/>
  <c r="EQ58" i="5" s="1"/>
  <c r="ER58" i="5" s="1"/>
  <c r="ES58" i="5" s="1"/>
  <c r="ET58" i="5" s="1"/>
  <c r="EU58" i="5" s="1"/>
  <c r="EV58" i="5" s="1"/>
  <c r="EW58" i="5" s="1"/>
  <c r="EX58" i="5" s="1"/>
  <c r="EY58" i="5" s="1"/>
  <c r="EZ58" i="5" s="1"/>
  <c r="FA58" i="5" s="1"/>
  <c r="FB58" i="5" s="1"/>
  <c r="FC58" i="5" s="1"/>
  <c r="FD58" i="5" s="1"/>
  <c r="FE58" i="5" s="1"/>
  <c r="FF58" i="5" s="1"/>
  <c r="FG58" i="5" s="1"/>
  <c r="FH58" i="5" s="1"/>
  <c r="FI58" i="5" s="1"/>
  <c r="FJ58" i="5" s="1"/>
  <c r="FK58" i="5" s="1"/>
  <c r="FL58" i="5" s="1"/>
  <c r="FM58" i="5" s="1"/>
  <c r="FN58" i="5" s="1"/>
  <c r="FO58" i="5" s="1"/>
  <c r="FP58" i="5" s="1"/>
  <c r="FQ58" i="5" s="1"/>
  <c r="FR58" i="5" s="1"/>
  <c r="FS58" i="5" s="1"/>
  <c r="FT58" i="5" s="1"/>
  <c r="FU58" i="5" s="1"/>
  <c r="FV58" i="5" s="1"/>
  <c r="FW58" i="5" s="1"/>
  <c r="FX58" i="5" s="1"/>
  <c r="FY58" i="5" s="1"/>
  <c r="FZ58" i="5" s="1"/>
  <c r="GA58" i="5" s="1"/>
  <c r="GB58" i="5" s="1"/>
  <c r="GC58" i="5" s="1"/>
  <c r="GD58" i="5" s="1"/>
  <c r="GE58" i="5" s="1"/>
  <c r="GF58" i="5" s="1"/>
  <c r="GG58" i="5" s="1"/>
  <c r="GH58" i="5" s="1"/>
  <c r="GI58" i="5" s="1"/>
  <c r="GJ58" i="5" s="1"/>
  <c r="GK58" i="5" s="1"/>
  <c r="GL58" i="5" s="1"/>
  <c r="GM58" i="5" s="1"/>
  <c r="GN58" i="5" s="1"/>
  <c r="GO58" i="5" s="1"/>
  <c r="GP58" i="5" s="1"/>
  <c r="GQ58" i="5" s="1"/>
  <c r="GR58" i="5" s="1"/>
  <c r="GS58" i="5" s="1"/>
  <c r="GT58" i="5" s="1"/>
  <c r="GU58" i="5" s="1"/>
  <c r="GV58" i="5" s="1"/>
  <c r="GW58" i="5" s="1"/>
  <c r="GX58" i="5" s="1"/>
  <c r="GY58" i="5" s="1"/>
  <c r="GZ58" i="5" s="1"/>
  <c r="HA58" i="5" s="1"/>
  <c r="HB58" i="5" s="1"/>
  <c r="HC58" i="5" s="1"/>
  <c r="HD58" i="5" s="1"/>
  <c r="HE58" i="5" s="1"/>
  <c r="HF58" i="5" s="1"/>
  <c r="HG58" i="5" s="1"/>
  <c r="HH58" i="5" s="1"/>
  <c r="HI58" i="5" s="1"/>
  <c r="HJ58" i="5" s="1"/>
  <c r="HK58" i="5" s="1"/>
  <c r="HL58" i="5" s="1"/>
  <c r="HM58" i="5" s="1"/>
  <c r="HN58" i="5" s="1"/>
  <c r="HO58" i="5" s="1"/>
  <c r="HP58" i="5" s="1"/>
  <c r="HQ58" i="5" s="1"/>
  <c r="HR58" i="5" s="1"/>
  <c r="HS58" i="5" s="1"/>
  <c r="HT58" i="5" s="1"/>
  <c r="HU58" i="5" s="1"/>
  <c r="HV58" i="5" s="1"/>
  <c r="HW58" i="5" s="1"/>
  <c r="HX58" i="5" s="1"/>
  <c r="HY58" i="5" s="1"/>
  <c r="HZ58" i="5" s="1"/>
  <c r="IA58" i="5" s="1"/>
  <c r="IB58" i="5" s="1"/>
  <c r="IC58" i="5" s="1"/>
  <c r="ID58" i="5" s="1"/>
  <c r="IE58" i="5" s="1"/>
  <c r="IF58" i="5" s="1"/>
  <c r="IG58" i="5" s="1"/>
  <c r="IH58" i="5" s="1"/>
  <c r="II58" i="5" s="1"/>
  <c r="IJ58" i="5" s="1"/>
  <c r="IK58" i="5" s="1"/>
  <c r="IL58" i="5" s="1"/>
  <c r="IM58" i="5" s="1"/>
  <c r="IN58" i="5" s="1"/>
  <c r="IO58" i="5" s="1"/>
  <c r="IP58" i="5" s="1"/>
  <c r="IQ58" i="5" s="1"/>
  <c r="IR58" i="5" s="1"/>
  <c r="IS58" i="5" s="1"/>
  <c r="IT58" i="5" s="1"/>
  <c r="IU58" i="5" s="1"/>
  <c r="F50" i="5"/>
  <c r="G50" i="5" s="1"/>
  <c r="H50" i="5" s="1"/>
  <c r="I50" i="5" s="1"/>
  <c r="J50" i="5" s="1"/>
  <c r="K50" i="5" s="1"/>
  <c r="L50" i="5" s="1"/>
  <c r="M50" i="5" s="1"/>
  <c r="N50" i="5" s="1"/>
  <c r="O50" i="5" s="1"/>
  <c r="P50" i="5" s="1"/>
  <c r="Q50" i="5" s="1"/>
  <c r="R50" i="5" s="1"/>
  <c r="S50" i="5" s="1"/>
  <c r="T50" i="5" s="1"/>
  <c r="U50" i="5" s="1"/>
  <c r="V50" i="5" s="1"/>
  <c r="W50" i="5" s="1"/>
  <c r="X50" i="5" s="1"/>
  <c r="Y50" i="5" s="1"/>
  <c r="Z50" i="5" s="1"/>
  <c r="AA50" i="5" s="1"/>
  <c r="AB50" i="5" s="1"/>
  <c r="AC50" i="5" s="1"/>
  <c r="AD50" i="5" s="1"/>
  <c r="AE50" i="5" s="1"/>
  <c r="AF50" i="5" s="1"/>
  <c r="AG50" i="5" s="1"/>
  <c r="AH50" i="5" s="1"/>
  <c r="AI50" i="5" s="1"/>
  <c r="AJ50" i="5" s="1"/>
  <c r="AK50" i="5" s="1"/>
  <c r="AL50" i="5" s="1"/>
  <c r="AM50" i="5" s="1"/>
  <c r="AN50" i="5" s="1"/>
  <c r="AO50" i="5" s="1"/>
  <c r="AP50" i="5" s="1"/>
  <c r="AQ50" i="5" s="1"/>
  <c r="AR50" i="5" s="1"/>
  <c r="AS50" i="5" s="1"/>
  <c r="AT50" i="5" s="1"/>
  <c r="AU50" i="5" s="1"/>
  <c r="AV50" i="5" s="1"/>
  <c r="AW50" i="5" s="1"/>
  <c r="AX50" i="5" s="1"/>
  <c r="AY50" i="5" s="1"/>
  <c r="AZ50" i="5" s="1"/>
  <c r="BA50" i="5" s="1"/>
  <c r="BB50" i="5" s="1"/>
  <c r="BC50" i="5" s="1"/>
  <c r="BD50" i="5" s="1"/>
  <c r="BE50" i="5" s="1"/>
  <c r="BF50" i="5" s="1"/>
  <c r="BG50" i="5" s="1"/>
  <c r="BH50" i="5" s="1"/>
  <c r="BI50" i="5" s="1"/>
  <c r="BJ50" i="5" s="1"/>
  <c r="BK50" i="5" s="1"/>
  <c r="BL50" i="5" s="1"/>
  <c r="BM50" i="5" s="1"/>
  <c r="BN50" i="5" s="1"/>
  <c r="BO50" i="5" s="1"/>
  <c r="BP50" i="5" s="1"/>
  <c r="BQ50" i="5" s="1"/>
  <c r="BR50" i="5" s="1"/>
  <c r="BS50" i="5" s="1"/>
  <c r="BT50" i="5" s="1"/>
  <c r="BU50" i="5" s="1"/>
  <c r="BV50" i="5" s="1"/>
  <c r="BW50" i="5" s="1"/>
  <c r="BX50" i="5" s="1"/>
  <c r="BY50" i="5" s="1"/>
  <c r="BZ50" i="5" s="1"/>
  <c r="CA50" i="5" s="1"/>
  <c r="CB50" i="5" s="1"/>
  <c r="CC50" i="5" s="1"/>
  <c r="CD50" i="5" s="1"/>
  <c r="CE50" i="5" s="1"/>
  <c r="CF50" i="5" s="1"/>
  <c r="CG50" i="5" s="1"/>
  <c r="CH50" i="5" s="1"/>
  <c r="CI50" i="5" s="1"/>
  <c r="CJ50" i="5" s="1"/>
  <c r="CK50" i="5" s="1"/>
  <c r="CL50" i="5" s="1"/>
  <c r="CM50" i="5" s="1"/>
  <c r="CN50" i="5" s="1"/>
  <c r="CO50" i="5" s="1"/>
  <c r="CP50" i="5" s="1"/>
  <c r="CQ50" i="5" s="1"/>
  <c r="CR50" i="5" s="1"/>
  <c r="CS50" i="5" s="1"/>
  <c r="CT50" i="5" s="1"/>
  <c r="CU50" i="5" s="1"/>
  <c r="CV50" i="5" s="1"/>
  <c r="CW50" i="5" s="1"/>
  <c r="CX50" i="5" s="1"/>
  <c r="CY50" i="5" s="1"/>
  <c r="CZ50" i="5" s="1"/>
  <c r="DA50" i="5" s="1"/>
  <c r="DB50" i="5" s="1"/>
  <c r="DC50" i="5" s="1"/>
  <c r="DD50" i="5" s="1"/>
  <c r="DE50" i="5" s="1"/>
  <c r="DF50" i="5" s="1"/>
  <c r="DG50" i="5" s="1"/>
  <c r="DH50" i="5" s="1"/>
  <c r="DI50" i="5" s="1"/>
  <c r="DJ50" i="5" s="1"/>
  <c r="DK50" i="5" s="1"/>
  <c r="DL50" i="5" s="1"/>
  <c r="DM50" i="5" s="1"/>
  <c r="DN50" i="5" s="1"/>
  <c r="DO50" i="5" s="1"/>
  <c r="DP50" i="5" s="1"/>
  <c r="DQ50" i="5" s="1"/>
  <c r="DR50" i="5" s="1"/>
  <c r="DS50" i="5" s="1"/>
  <c r="DT50" i="5" s="1"/>
  <c r="DU50" i="5" s="1"/>
  <c r="DV50" i="5" s="1"/>
  <c r="DW50" i="5" s="1"/>
  <c r="DX50" i="5" s="1"/>
  <c r="DY50" i="5" s="1"/>
  <c r="DZ50" i="5" s="1"/>
  <c r="EA50" i="5" s="1"/>
  <c r="EB50" i="5" s="1"/>
  <c r="EC50" i="5" s="1"/>
  <c r="ED50" i="5" s="1"/>
  <c r="EE50" i="5" s="1"/>
  <c r="EF50" i="5" s="1"/>
  <c r="EG50" i="5" s="1"/>
  <c r="EH50" i="5" s="1"/>
  <c r="EI50" i="5" s="1"/>
  <c r="EJ50" i="5" s="1"/>
  <c r="EK50" i="5" s="1"/>
  <c r="EL50" i="5" s="1"/>
  <c r="EM50" i="5" s="1"/>
  <c r="EN50" i="5" s="1"/>
  <c r="EO50" i="5" s="1"/>
  <c r="EP50" i="5" s="1"/>
  <c r="EQ50" i="5" s="1"/>
  <c r="ER50" i="5" s="1"/>
  <c r="ES50" i="5" s="1"/>
  <c r="ET50" i="5" s="1"/>
  <c r="EU50" i="5" s="1"/>
  <c r="EV50" i="5" s="1"/>
  <c r="EW50" i="5" s="1"/>
  <c r="EX50" i="5" s="1"/>
  <c r="EY50" i="5" s="1"/>
  <c r="EZ50" i="5" s="1"/>
  <c r="FA50" i="5" s="1"/>
  <c r="FB50" i="5" s="1"/>
  <c r="FC50" i="5" s="1"/>
  <c r="FD50" i="5" s="1"/>
  <c r="FE50" i="5" s="1"/>
  <c r="FF50" i="5" s="1"/>
  <c r="FG50" i="5" s="1"/>
  <c r="FH50" i="5" s="1"/>
  <c r="FI50" i="5" s="1"/>
  <c r="FJ50" i="5" s="1"/>
  <c r="FK50" i="5" s="1"/>
  <c r="FL50" i="5" s="1"/>
  <c r="FM50" i="5" s="1"/>
  <c r="FN50" i="5" s="1"/>
  <c r="FO50" i="5" s="1"/>
  <c r="FP50" i="5" s="1"/>
  <c r="FQ50" i="5" s="1"/>
  <c r="FR50" i="5" s="1"/>
  <c r="FS50" i="5" s="1"/>
  <c r="FT50" i="5" s="1"/>
  <c r="FU50" i="5" s="1"/>
  <c r="FV50" i="5" s="1"/>
  <c r="FW50" i="5" s="1"/>
  <c r="FX50" i="5" s="1"/>
  <c r="FY50" i="5" s="1"/>
  <c r="FZ50" i="5" s="1"/>
  <c r="GA50" i="5" s="1"/>
  <c r="GB50" i="5" s="1"/>
  <c r="GC50" i="5" s="1"/>
  <c r="GD50" i="5" s="1"/>
  <c r="GE50" i="5" s="1"/>
  <c r="GF50" i="5" s="1"/>
  <c r="GG50" i="5" s="1"/>
  <c r="GH50" i="5" s="1"/>
  <c r="GI50" i="5" s="1"/>
  <c r="GJ50" i="5" s="1"/>
  <c r="GK50" i="5" s="1"/>
  <c r="GL50" i="5" s="1"/>
  <c r="GM50" i="5" s="1"/>
  <c r="GN50" i="5" s="1"/>
  <c r="GO50" i="5" s="1"/>
  <c r="GP50" i="5" s="1"/>
  <c r="GQ50" i="5" s="1"/>
  <c r="GR50" i="5" s="1"/>
  <c r="GS50" i="5" s="1"/>
  <c r="GT50" i="5" s="1"/>
  <c r="GU50" i="5" s="1"/>
  <c r="GV50" i="5" s="1"/>
  <c r="GW50" i="5" s="1"/>
  <c r="GX50" i="5" s="1"/>
  <c r="GY50" i="5" s="1"/>
  <c r="GZ50" i="5" s="1"/>
  <c r="HA50" i="5" s="1"/>
  <c r="HB50" i="5" s="1"/>
  <c r="HC50" i="5" s="1"/>
  <c r="HD50" i="5" s="1"/>
  <c r="HE50" i="5" s="1"/>
  <c r="HF50" i="5" s="1"/>
  <c r="HG50" i="5" s="1"/>
  <c r="HH50" i="5" s="1"/>
  <c r="HI50" i="5" s="1"/>
  <c r="HJ50" i="5" s="1"/>
  <c r="HK50" i="5" s="1"/>
  <c r="HL50" i="5" s="1"/>
  <c r="HM50" i="5" s="1"/>
  <c r="HN50" i="5" s="1"/>
  <c r="HO50" i="5" s="1"/>
  <c r="HP50" i="5" s="1"/>
  <c r="HQ50" i="5" s="1"/>
  <c r="HR50" i="5" s="1"/>
  <c r="HS50" i="5" s="1"/>
  <c r="HT50" i="5" s="1"/>
  <c r="HU50" i="5" s="1"/>
  <c r="HV50" i="5" s="1"/>
  <c r="HW50" i="5" s="1"/>
  <c r="HX50" i="5" s="1"/>
  <c r="HY50" i="5" s="1"/>
  <c r="HZ50" i="5" s="1"/>
  <c r="IA50" i="5" s="1"/>
  <c r="IB50" i="5" s="1"/>
  <c r="IC50" i="5" s="1"/>
  <c r="ID50" i="5" s="1"/>
  <c r="IE50" i="5" s="1"/>
  <c r="IF50" i="5" s="1"/>
  <c r="IG50" i="5" s="1"/>
  <c r="IH50" i="5" s="1"/>
  <c r="II50" i="5" s="1"/>
  <c r="IJ50" i="5" s="1"/>
  <c r="IK50" i="5" s="1"/>
  <c r="IL50" i="5" s="1"/>
  <c r="IM50" i="5" s="1"/>
  <c r="IN50" i="5" s="1"/>
  <c r="IO50" i="5" s="1"/>
  <c r="IP50" i="5" s="1"/>
  <c r="IQ50" i="5" s="1"/>
  <c r="IR50" i="5" s="1"/>
  <c r="IS50" i="5" s="1"/>
  <c r="IT50" i="5" s="1"/>
  <c r="IU50" i="5" s="1"/>
  <c r="F42" i="5"/>
  <c r="G42" i="5" s="1"/>
  <c r="H42" i="5" s="1"/>
  <c r="I42" i="5" s="1"/>
  <c r="J42" i="5" s="1"/>
  <c r="K42" i="5" s="1"/>
  <c r="L42" i="5" s="1"/>
  <c r="M42" i="5" s="1"/>
  <c r="N42" i="5" s="1"/>
  <c r="O42" i="5" s="1"/>
  <c r="P42" i="5" s="1"/>
  <c r="Q42" i="5" s="1"/>
  <c r="R42" i="5" s="1"/>
  <c r="S42" i="5" s="1"/>
  <c r="T42" i="5" s="1"/>
  <c r="U42" i="5" s="1"/>
  <c r="V42" i="5" s="1"/>
  <c r="W42" i="5" s="1"/>
  <c r="X42" i="5" s="1"/>
  <c r="Y42" i="5" s="1"/>
  <c r="Z42" i="5" s="1"/>
  <c r="AA42" i="5" s="1"/>
  <c r="AB42" i="5" s="1"/>
  <c r="AC42" i="5" s="1"/>
  <c r="AD42" i="5" s="1"/>
  <c r="AE42" i="5" s="1"/>
  <c r="AF42" i="5" s="1"/>
  <c r="AG42" i="5" s="1"/>
  <c r="AH42" i="5" s="1"/>
  <c r="AI42" i="5" s="1"/>
  <c r="AJ42" i="5" s="1"/>
  <c r="AK42" i="5" s="1"/>
  <c r="AL42" i="5" s="1"/>
  <c r="AM42" i="5" s="1"/>
  <c r="AN42" i="5" s="1"/>
  <c r="AO42" i="5" s="1"/>
  <c r="AP42" i="5" s="1"/>
  <c r="AQ42" i="5" s="1"/>
  <c r="AR42" i="5" s="1"/>
  <c r="AS42" i="5" s="1"/>
  <c r="AT42" i="5" s="1"/>
  <c r="AU42" i="5" s="1"/>
  <c r="AV42" i="5" s="1"/>
  <c r="AW42" i="5" s="1"/>
  <c r="AX42" i="5" s="1"/>
  <c r="AY42" i="5" s="1"/>
  <c r="AZ42" i="5" s="1"/>
  <c r="BA42" i="5" s="1"/>
  <c r="BB42" i="5" s="1"/>
  <c r="BC42" i="5" s="1"/>
  <c r="BD42" i="5" s="1"/>
  <c r="BE42" i="5" s="1"/>
  <c r="BF42" i="5" s="1"/>
  <c r="BG42" i="5" s="1"/>
  <c r="BH42" i="5" s="1"/>
  <c r="BI42" i="5" s="1"/>
  <c r="BJ42" i="5" s="1"/>
  <c r="BK42" i="5" s="1"/>
  <c r="BL42" i="5" s="1"/>
  <c r="BM42" i="5" s="1"/>
  <c r="BN42" i="5" s="1"/>
  <c r="BO42" i="5" s="1"/>
  <c r="BP42" i="5" s="1"/>
  <c r="BQ42" i="5" s="1"/>
  <c r="BR42" i="5" s="1"/>
  <c r="BS42" i="5" s="1"/>
  <c r="BT42" i="5" s="1"/>
  <c r="BU42" i="5" s="1"/>
  <c r="BV42" i="5" s="1"/>
  <c r="BW42" i="5" s="1"/>
  <c r="BX42" i="5" s="1"/>
  <c r="BY42" i="5" s="1"/>
  <c r="BZ42" i="5" s="1"/>
  <c r="CA42" i="5" s="1"/>
  <c r="CB42" i="5" s="1"/>
  <c r="CC42" i="5" s="1"/>
  <c r="CD42" i="5" s="1"/>
  <c r="CE42" i="5" s="1"/>
  <c r="CF42" i="5" s="1"/>
  <c r="CG42" i="5" s="1"/>
  <c r="CH42" i="5" s="1"/>
  <c r="CI42" i="5" s="1"/>
  <c r="CJ42" i="5" s="1"/>
  <c r="CK42" i="5" s="1"/>
  <c r="CL42" i="5" s="1"/>
  <c r="CM42" i="5" s="1"/>
  <c r="CN42" i="5" s="1"/>
  <c r="CO42" i="5" s="1"/>
  <c r="CP42" i="5" s="1"/>
  <c r="CQ42" i="5" s="1"/>
  <c r="CR42" i="5" s="1"/>
  <c r="CS42" i="5" s="1"/>
  <c r="CT42" i="5" s="1"/>
  <c r="CU42" i="5" s="1"/>
  <c r="CV42" i="5" s="1"/>
  <c r="CW42" i="5" s="1"/>
  <c r="CX42" i="5" s="1"/>
  <c r="CY42" i="5" s="1"/>
  <c r="CZ42" i="5" s="1"/>
  <c r="DA42" i="5" s="1"/>
  <c r="DB42" i="5" s="1"/>
  <c r="DC42" i="5" s="1"/>
  <c r="DD42" i="5" s="1"/>
  <c r="DE42" i="5" s="1"/>
  <c r="DF42" i="5" s="1"/>
  <c r="DG42" i="5" s="1"/>
  <c r="DH42" i="5" s="1"/>
  <c r="DI42" i="5" s="1"/>
  <c r="DJ42" i="5" s="1"/>
  <c r="DK42" i="5" s="1"/>
  <c r="DL42" i="5" s="1"/>
  <c r="DM42" i="5" s="1"/>
  <c r="DN42" i="5" s="1"/>
  <c r="DO42" i="5" s="1"/>
  <c r="DP42" i="5" s="1"/>
  <c r="DQ42" i="5" s="1"/>
  <c r="DR42" i="5" s="1"/>
  <c r="DS42" i="5" s="1"/>
  <c r="DT42" i="5" s="1"/>
  <c r="DU42" i="5" s="1"/>
  <c r="DV42" i="5" s="1"/>
  <c r="DW42" i="5" s="1"/>
  <c r="DX42" i="5" s="1"/>
  <c r="DY42" i="5" s="1"/>
  <c r="DZ42" i="5" s="1"/>
  <c r="EA42" i="5" s="1"/>
  <c r="EB42" i="5" s="1"/>
  <c r="EC42" i="5" s="1"/>
  <c r="ED42" i="5" s="1"/>
  <c r="EE42" i="5" s="1"/>
  <c r="EF42" i="5" s="1"/>
  <c r="EG42" i="5" s="1"/>
  <c r="EH42" i="5" s="1"/>
  <c r="EI42" i="5" s="1"/>
  <c r="EJ42" i="5" s="1"/>
  <c r="EK42" i="5" s="1"/>
  <c r="EL42" i="5" s="1"/>
  <c r="EM42" i="5" s="1"/>
  <c r="EN42" i="5" s="1"/>
  <c r="EO42" i="5" s="1"/>
  <c r="EP42" i="5" s="1"/>
  <c r="EQ42" i="5" s="1"/>
  <c r="ER42" i="5" s="1"/>
  <c r="ES42" i="5" s="1"/>
  <c r="ET42" i="5" s="1"/>
  <c r="EU42" i="5" s="1"/>
  <c r="EV42" i="5" s="1"/>
  <c r="EW42" i="5" s="1"/>
  <c r="EX42" i="5" s="1"/>
  <c r="EY42" i="5" s="1"/>
  <c r="EZ42" i="5" s="1"/>
  <c r="FA42" i="5" s="1"/>
  <c r="FB42" i="5" s="1"/>
  <c r="FC42" i="5" s="1"/>
  <c r="FD42" i="5" s="1"/>
  <c r="FE42" i="5" s="1"/>
  <c r="FF42" i="5" s="1"/>
  <c r="FG42" i="5" s="1"/>
  <c r="FH42" i="5" s="1"/>
  <c r="FI42" i="5" s="1"/>
  <c r="FJ42" i="5" s="1"/>
  <c r="FK42" i="5" s="1"/>
  <c r="FL42" i="5" s="1"/>
  <c r="FM42" i="5" s="1"/>
  <c r="FN42" i="5" s="1"/>
  <c r="FO42" i="5" s="1"/>
  <c r="FP42" i="5" s="1"/>
  <c r="FQ42" i="5" s="1"/>
  <c r="FR42" i="5" s="1"/>
  <c r="FS42" i="5" s="1"/>
  <c r="FT42" i="5" s="1"/>
  <c r="FU42" i="5" s="1"/>
  <c r="FV42" i="5" s="1"/>
  <c r="FW42" i="5" s="1"/>
  <c r="FX42" i="5" s="1"/>
  <c r="FY42" i="5" s="1"/>
  <c r="FZ42" i="5" s="1"/>
  <c r="GA42" i="5" s="1"/>
  <c r="GB42" i="5" s="1"/>
  <c r="GC42" i="5" s="1"/>
  <c r="GD42" i="5" s="1"/>
  <c r="GE42" i="5" s="1"/>
  <c r="GF42" i="5" s="1"/>
  <c r="GG42" i="5" s="1"/>
  <c r="GH42" i="5" s="1"/>
  <c r="GI42" i="5" s="1"/>
  <c r="GJ42" i="5" s="1"/>
  <c r="GK42" i="5" s="1"/>
  <c r="GL42" i="5" s="1"/>
  <c r="GM42" i="5" s="1"/>
  <c r="GN42" i="5" s="1"/>
  <c r="GO42" i="5" s="1"/>
  <c r="GP42" i="5" s="1"/>
  <c r="GQ42" i="5" s="1"/>
  <c r="GR42" i="5" s="1"/>
  <c r="GS42" i="5" s="1"/>
  <c r="GT42" i="5" s="1"/>
  <c r="GU42" i="5" s="1"/>
  <c r="GV42" i="5" s="1"/>
  <c r="GW42" i="5" s="1"/>
  <c r="GX42" i="5" s="1"/>
  <c r="GY42" i="5" s="1"/>
  <c r="GZ42" i="5" s="1"/>
  <c r="HA42" i="5" s="1"/>
  <c r="HB42" i="5" s="1"/>
  <c r="HC42" i="5" s="1"/>
  <c r="HD42" i="5" s="1"/>
  <c r="HE42" i="5" s="1"/>
  <c r="HF42" i="5" s="1"/>
  <c r="HG42" i="5" s="1"/>
  <c r="HH42" i="5" s="1"/>
  <c r="HI42" i="5" s="1"/>
  <c r="HJ42" i="5" s="1"/>
  <c r="HK42" i="5" s="1"/>
  <c r="HL42" i="5" s="1"/>
  <c r="HM42" i="5" s="1"/>
  <c r="HN42" i="5" s="1"/>
  <c r="HO42" i="5" s="1"/>
  <c r="HP42" i="5" s="1"/>
  <c r="HQ42" i="5" s="1"/>
  <c r="HR42" i="5" s="1"/>
  <c r="HS42" i="5" s="1"/>
  <c r="HT42" i="5" s="1"/>
  <c r="HU42" i="5" s="1"/>
  <c r="HV42" i="5" s="1"/>
  <c r="HW42" i="5" s="1"/>
  <c r="HX42" i="5" s="1"/>
  <c r="HY42" i="5" s="1"/>
  <c r="HZ42" i="5" s="1"/>
  <c r="IA42" i="5" s="1"/>
  <c r="IB42" i="5" s="1"/>
  <c r="IC42" i="5" s="1"/>
  <c r="ID42" i="5" s="1"/>
  <c r="IE42" i="5" s="1"/>
  <c r="IF42" i="5" s="1"/>
  <c r="IG42" i="5" s="1"/>
  <c r="IH42" i="5" s="1"/>
  <c r="II42" i="5" s="1"/>
  <c r="IJ42" i="5" s="1"/>
  <c r="IK42" i="5" s="1"/>
  <c r="IL42" i="5" s="1"/>
  <c r="IM42" i="5" s="1"/>
  <c r="IN42" i="5" s="1"/>
  <c r="IO42" i="5" s="1"/>
  <c r="IP42" i="5" s="1"/>
  <c r="IQ42" i="5" s="1"/>
  <c r="IR42" i="5" s="1"/>
  <c r="IS42" i="5" s="1"/>
  <c r="IT42" i="5" s="1"/>
  <c r="IU42" i="5" s="1"/>
  <c r="F34" i="5"/>
  <c r="G34" i="5" s="1"/>
  <c r="H34" i="5" s="1"/>
  <c r="I34" i="5" s="1"/>
  <c r="J34" i="5" s="1"/>
  <c r="K34" i="5" s="1"/>
  <c r="L34" i="5" s="1"/>
  <c r="M34" i="5" s="1"/>
  <c r="N34" i="5" s="1"/>
  <c r="O34" i="5" s="1"/>
  <c r="P34" i="5" s="1"/>
  <c r="Q34" i="5" s="1"/>
  <c r="R34" i="5" s="1"/>
  <c r="S34" i="5" s="1"/>
  <c r="T34" i="5" s="1"/>
  <c r="U34" i="5" s="1"/>
  <c r="V34" i="5" s="1"/>
  <c r="W34" i="5" s="1"/>
  <c r="X34" i="5" s="1"/>
  <c r="Y34" i="5" s="1"/>
  <c r="Z34" i="5" s="1"/>
  <c r="AA34" i="5" s="1"/>
  <c r="AB34" i="5" s="1"/>
  <c r="AC34" i="5" s="1"/>
  <c r="AD34" i="5" s="1"/>
  <c r="AE34" i="5" s="1"/>
  <c r="AF34" i="5" s="1"/>
  <c r="AG34" i="5" s="1"/>
  <c r="AH34" i="5" s="1"/>
  <c r="AI34" i="5" s="1"/>
  <c r="AJ34" i="5" s="1"/>
  <c r="AK34" i="5" s="1"/>
  <c r="AL34" i="5" s="1"/>
  <c r="AM34" i="5" s="1"/>
  <c r="AN34" i="5" s="1"/>
  <c r="AO34" i="5" s="1"/>
  <c r="AP34" i="5" s="1"/>
  <c r="AQ34" i="5" s="1"/>
  <c r="AR34" i="5" s="1"/>
  <c r="AS34" i="5" s="1"/>
  <c r="AT34" i="5" s="1"/>
  <c r="AU34" i="5" s="1"/>
  <c r="AV34" i="5" s="1"/>
  <c r="AW34" i="5" s="1"/>
  <c r="AX34" i="5" s="1"/>
  <c r="AY34" i="5" s="1"/>
  <c r="AZ34" i="5" s="1"/>
  <c r="BA34" i="5" s="1"/>
  <c r="BB34" i="5" s="1"/>
  <c r="BC34" i="5" s="1"/>
  <c r="BD34" i="5" s="1"/>
  <c r="BE34" i="5" s="1"/>
  <c r="BF34" i="5" s="1"/>
  <c r="BG34" i="5" s="1"/>
  <c r="BH34" i="5" s="1"/>
  <c r="BI34" i="5" s="1"/>
  <c r="BJ34" i="5" s="1"/>
  <c r="BK34" i="5" s="1"/>
  <c r="BL34" i="5" s="1"/>
  <c r="BM34" i="5" s="1"/>
  <c r="BN34" i="5" s="1"/>
  <c r="BO34" i="5" s="1"/>
  <c r="BP34" i="5" s="1"/>
  <c r="BQ34" i="5" s="1"/>
  <c r="BR34" i="5" s="1"/>
  <c r="BS34" i="5" s="1"/>
  <c r="BT34" i="5" s="1"/>
  <c r="BU34" i="5" s="1"/>
  <c r="BV34" i="5" s="1"/>
  <c r="BW34" i="5" s="1"/>
  <c r="BX34" i="5" s="1"/>
  <c r="BY34" i="5" s="1"/>
  <c r="BZ34" i="5" s="1"/>
  <c r="CA34" i="5" s="1"/>
  <c r="CB34" i="5" s="1"/>
  <c r="CC34" i="5" s="1"/>
  <c r="CD34" i="5" s="1"/>
  <c r="CE34" i="5" s="1"/>
  <c r="CF34" i="5" s="1"/>
  <c r="CG34" i="5" s="1"/>
  <c r="CH34" i="5" s="1"/>
  <c r="CI34" i="5" s="1"/>
  <c r="CJ34" i="5" s="1"/>
  <c r="CK34" i="5" s="1"/>
  <c r="CL34" i="5" s="1"/>
  <c r="CM34" i="5" s="1"/>
  <c r="CN34" i="5" s="1"/>
  <c r="CO34" i="5" s="1"/>
  <c r="CP34" i="5" s="1"/>
  <c r="CQ34" i="5" s="1"/>
  <c r="CR34" i="5" s="1"/>
  <c r="CS34" i="5" s="1"/>
  <c r="CT34" i="5" s="1"/>
  <c r="CU34" i="5" s="1"/>
  <c r="CV34" i="5" s="1"/>
  <c r="CW34" i="5" s="1"/>
  <c r="CX34" i="5" s="1"/>
  <c r="CY34" i="5" s="1"/>
  <c r="CZ34" i="5" s="1"/>
  <c r="DA34" i="5" s="1"/>
  <c r="DB34" i="5" s="1"/>
  <c r="DC34" i="5" s="1"/>
  <c r="DD34" i="5" s="1"/>
  <c r="DE34" i="5" s="1"/>
  <c r="DF34" i="5" s="1"/>
  <c r="DG34" i="5" s="1"/>
  <c r="DH34" i="5" s="1"/>
  <c r="DI34" i="5" s="1"/>
  <c r="DJ34" i="5" s="1"/>
  <c r="DK34" i="5" s="1"/>
  <c r="DL34" i="5" s="1"/>
  <c r="DM34" i="5" s="1"/>
  <c r="DN34" i="5" s="1"/>
  <c r="DO34" i="5" s="1"/>
  <c r="DP34" i="5" s="1"/>
  <c r="DQ34" i="5" s="1"/>
  <c r="DR34" i="5" s="1"/>
  <c r="DS34" i="5" s="1"/>
  <c r="DT34" i="5" s="1"/>
  <c r="DU34" i="5" s="1"/>
  <c r="DV34" i="5" s="1"/>
  <c r="DW34" i="5" s="1"/>
  <c r="DX34" i="5" s="1"/>
  <c r="DY34" i="5" s="1"/>
  <c r="DZ34" i="5" s="1"/>
  <c r="EA34" i="5" s="1"/>
  <c r="EB34" i="5" s="1"/>
  <c r="EC34" i="5" s="1"/>
  <c r="ED34" i="5" s="1"/>
  <c r="EE34" i="5" s="1"/>
  <c r="EF34" i="5" s="1"/>
  <c r="EG34" i="5" s="1"/>
  <c r="EH34" i="5" s="1"/>
  <c r="EI34" i="5" s="1"/>
  <c r="EJ34" i="5" s="1"/>
  <c r="EK34" i="5" s="1"/>
  <c r="EL34" i="5" s="1"/>
  <c r="EM34" i="5" s="1"/>
  <c r="EN34" i="5" s="1"/>
  <c r="EO34" i="5" s="1"/>
  <c r="EP34" i="5" s="1"/>
  <c r="EQ34" i="5" s="1"/>
  <c r="ER34" i="5" s="1"/>
  <c r="ES34" i="5" s="1"/>
  <c r="ET34" i="5" s="1"/>
  <c r="EU34" i="5" s="1"/>
  <c r="EV34" i="5" s="1"/>
  <c r="EW34" i="5" s="1"/>
  <c r="EX34" i="5" s="1"/>
  <c r="EY34" i="5" s="1"/>
  <c r="EZ34" i="5" s="1"/>
  <c r="FA34" i="5" s="1"/>
  <c r="FB34" i="5" s="1"/>
  <c r="FC34" i="5" s="1"/>
  <c r="FD34" i="5" s="1"/>
  <c r="FE34" i="5" s="1"/>
  <c r="FF34" i="5" s="1"/>
  <c r="FG34" i="5" s="1"/>
  <c r="FH34" i="5" s="1"/>
  <c r="FI34" i="5" s="1"/>
  <c r="FJ34" i="5" s="1"/>
  <c r="FK34" i="5" s="1"/>
  <c r="FL34" i="5" s="1"/>
  <c r="FM34" i="5" s="1"/>
  <c r="FN34" i="5" s="1"/>
  <c r="FO34" i="5" s="1"/>
  <c r="FP34" i="5" s="1"/>
  <c r="FQ34" i="5" s="1"/>
  <c r="FR34" i="5" s="1"/>
  <c r="FS34" i="5" s="1"/>
  <c r="FT34" i="5" s="1"/>
  <c r="FU34" i="5" s="1"/>
  <c r="FV34" i="5" s="1"/>
  <c r="FW34" i="5" s="1"/>
  <c r="FX34" i="5" s="1"/>
  <c r="FY34" i="5" s="1"/>
  <c r="FZ34" i="5" s="1"/>
  <c r="GA34" i="5" s="1"/>
  <c r="GB34" i="5" s="1"/>
  <c r="GC34" i="5" s="1"/>
  <c r="GD34" i="5" s="1"/>
  <c r="GE34" i="5" s="1"/>
  <c r="GF34" i="5" s="1"/>
  <c r="GG34" i="5" s="1"/>
  <c r="GH34" i="5" s="1"/>
  <c r="GI34" i="5" s="1"/>
  <c r="GJ34" i="5" s="1"/>
  <c r="GK34" i="5" s="1"/>
  <c r="GL34" i="5" s="1"/>
  <c r="GM34" i="5" s="1"/>
  <c r="GN34" i="5" s="1"/>
  <c r="GO34" i="5" s="1"/>
  <c r="GP34" i="5" s="1"/>
  <c r="GQ34" i="5" s="1"/>
  <c r="GR34" i="5" s="1"/>
  <c r="GS34" i="5" s="1"/>
  <c r="GT34" i="5" s="1"/>
  <c r="GU34" i="5" s="1"/>
  <c r="GV34" i="5" s="1"/>
  <c r="GW34" i="5" s="1"/>
  <c r="GX34" i="5" s="1"/>
  <c r="GY34" i="5" s="1"/>
  <c r="GZ34" i="5" s="1"/>
  <c r="HA34" i="5" s="1"/>
  <c r="HB34" i="5" s="1"/>
  <c r="HC34" i="5" s="1"/>
  <c r="HD34" i="5" s="1"/>
  <c r="HE34" i="5" s="1"/>
  <c r="HF34" i="5" s="1"/>
  <c r="HG34" i="5" s="1"/>
  <c r="HH34" i="5" s="1"/>
  <c r="HI34" i="5" s="1"/>
  <c r="HJ34" i="5" s="1"/>
  <c r="HK34" i="5" s="1"/>
  <c r="HL34" i="5" s="1"/>
  <c r="HM34" i="5" s="1"/>
  <c r="HN34" i="5" s="1"/>
  <c r="HO34" i="5" s="1"/>
  <c r="HP34" i="5" s="1"/>
  <c r="HQ34" i="5" s="1"/>
  <c r="HR34" i="5" s="1"/>
  <c r="HS34" i="5" s="1"/>
  <c r="HT34" i="5" s="1"/>
  <c r="HU34" i="5" s="1"/>
  <c r="HV34" i="5" s="1"/>
  <c r="HW34" i="5" s="1"/>
  <c r="HX34" i="5" s="1"/>
  <c r="HY34" i="5" s="1"/>
  <c r="HZ34" i="5" s="1"/>
  <c r="IA34" i="5" s="1"/>
  <c r="IB34" i="5" s="1"/>
  <c r="IC34" i="5" s="1"/>
  <c r="ID34" i="5" s="1"/>
  <c r="IE34" i="5" s="1"/>
  <c r="IF34" i="5" s="1"/>
  <c r="IG34" i="5" s="1"/>
  <c r="IH34" i="5" s="1"/>
  <c r="II34" i="5" s="1"/>
  <c r="IJ34" i="5" s="1"/>
  <c r="IK34" i="5" s="1"/>
  <c r="IL34" i="5" s="1"/>
  <c r="IM34" i="5" s="1"/>
  <c r="IN34" i="5" s="1"/>
  <c r="IO34" i="5" s="1"/>
  <c r="IP34" i="5" s="1"/>
  <c r="IQ34" i="5" s="1"/>
  <c r="IR34" i="5" s="1"/>
  <c r="IS34" i="5" s="1"/>
  <c r="IT34" i="5" s="1"/>
  <c r="IU34" i="5" s="1"/>
  <c r="F26" i="5"/>
  <c r="G26" i="5" s="1"/>
  <c r="H26" i="5" s="1"/>
  <c r="I26" i="5" s="1"/>
  <c r="J26" i="5" s="1"/>
  <c r="K26" i="5" s="1"/>
  <c r="L26" i="5" s="1"/>
  <c r="M26" i="5" s="1"/>
  <c r="N26" i="5" s="1"/>
  <c r="O26" i="5" s="1"/>
  <c r="P26" i="5" s="1"/>
  <c r="Q26" i="5" s="1"/>
  <c r="R26" i="5" s="1"/>
  <c r="S26" i="5" s="1"/>
  <c r="T26" i="5" s="1"/>
  <c r="U26" i="5" s="1"/>
  <c r="V26" i="5" s="1"/>
  <c r="W26" i="5" s="1"/>
  <c r="X26" i="5" s="1"/>
  <c r="Y26" i="5" s="1"/>
  <c r="Z26" i="5" s="1"/>
  <c r="AA26" i="5" s="1"/>
  <c r="AB26" i="5" s="1"/>
  <c r="AC26" i="5" s="1"/>
  <c r="AD26" i="5" s="1"/>
  <c r="AE26" i="5" s="1"/>
  <c r="AF26" i="5" s="1"/>
  <c r="AG26" i="5" s="1"/>
  <c r="AH26" i="5" s="1"/>
  <c r="AI26" i="5" s="1"/>
  <c r="AJ26" i="5" s="1"/>
  <c r="AK26" i="5" s="1"/>
  <c r="AL26" i="5" s="1"/>
  <c r="AM26" i="5" s="1"/>
  <c r="AN26" i="5" s="1"/>
  <c r="AO26" i="5" s="1"/>
  <c r="AP26" i="5" s="1"/>
  <c r="AQ26" i="5" s="1"/>
  <c r="AR26" i="5" s="1"/>
  <c r="AS26" i="5" s="1"/>
  <c r="AT26" i="5" s="1"/>
  <c r="AU26" i="5" s="1"/>
  <c r="AV26" i="5" s="1"/>
  <c r="AW26" i="5" s="1"/>
  <c r="AX26" i="5" s="1"/>
  <c r="AY26" i="5" s="1"/>
  <c r="AZ26" i="5" s="1"/>
  <c r="BA26" i="5" s="1"/>
  <c r="BB26" i="5" s="1"/>
  <c r="BC26" i="5" s="1"/>
  <c r="BD26" i="5" s="1"/>
  <c r="BE26" i="5" s="1"/>
  <c r="BF26" i="5" s="1"/>
  <c r="BG26" i="5" s="1"/>
  <c r="BH26" i="5" s="1"/>
  <c r="BI26" i="5" s="1"/>
  <c r="BJ26" i="5" s="1"/>
  <c r="BK26" i="5" s="1"/>
  <c r="BL26" i="5" s="1"/>
  <c r="BM26" i="5" s="1"/>
  <c r="BN26" i="5" s="1"/>
  <c r="BO26" i="5" s="1"/>
  <c r="BP26" i="5" s="1"/>
  <c r="BQ26" i="5" s="1"/>
  <c r="BR26" i="5" s="1"/>
  <c r="BS26" i="5" s="1"/>
  <c r="BT26" i="5" s="1"/>
  <c r="BU26" i="5" s="1"/>
  <c r="BV26" i="5" s="1"/>
  <c r="BW26" i="5" s="1"/>
  <c r="BX26" i="5" s="1"/>
  <c r="BY26" i="5" s="1"/>
  <c r="BZ26" i="5" s="1"/>
  <c r="CA26" i="5" s="1"/>
  <c r="CB26" i="5" s="1"/>
  <c r="CC26" i="5" s="1"/>
  <c r="CD26" i="5" s="1"/>
  <c r="CE26" i="5" s="1"/>
  <c r="CF26" i="5" s="1"/>
  <c r="CG26" i="5" s="1"/>
  <c r="CH26" i="5" s="1"/>
  <c r="CI26" i="5" s="1"/>
  <c r="CJ26" i="5" s="1"/>
  <c r="CK26" i="5" s="1"/>
  <c r="CL26" i="5" s="1"/>
  <c r="CM26" i="5" s="1"/>
  <c r="CN26" i="5" s="1"/>
  <c r="CO26" i="5" s="1"/>
  <c r="CP26" i="5" s="1"/>
  <c r="CQ26" i="5" s="1"/>
  <c r="CR26" i="5" s="1"/>
  <c r="CS26" i="5" s="1"/>
  <c r="CT26" i="5" s="1"/>
  <c r="CU26" i="5" s="1"/>
  <c r="CV26" i="5" s="1"/>
  <c r="CW26" i="5" s="1"/>
  <c r="CX26" i="5" s="1"/>
  <c r="CY26" i="5" s="1"/>
  <c r="CZ26" i="5" s="1"/>
  <c r="DA26" i="5" s="1"/>
  <c r="DB26" i="5" s="1"/>
  <c r="DC26" i="5" s="1"/>
  <c r="DD26" i="5" s="1"/>
  <c r="DE26" i="5" s="1"/>
  <c r="DF26" i="5" s="1"/>
  <c r="DG26" i="5" s="1"/>
  <c r="DH26" i="5" s="1"/>
  <c r="DI26" i="5" s="1"/>
  <c r="DJ26" i="5" s="1"/>
  <c r="DK26" i="5" s="1"/>
  <c r="DL26" i="5" s="1"/>
  <c r="DM26" i="5" s="1"/>
  <c r="DN26" i="5" s="1"/>
  <c r="DO26" i="5" s="1"/>
  <c r="DP26" i="5" s="1"/>
  <c r="DQ26" i="5" s="1"/>
  <c r="DR26" i="5" s="1"/>
  <c r="DS26" i="5" s="1"/>
  <c r="DT26" i="5" s="1"/>
  <c r="DU26" i="5" s="1"/>
  <c r="DV26" i="5" s="1"/>
  <c r="DW26" i="5" s="1"/>
  <c r="DX26" i="5" s="1"/>
  <c r="DY26" i="5" s="1"/>
  <c r="DZ26" i="5" s="1"/>
  <c r="EA26" i="5" s="1"/>
  <c r="EB26" i="5" s="1"/>
  <c r="EC26" i="5" s="1"/>
  <c r="ED26" i="5" s="1"/>
  <c r="EE26" i="5" s="1"/>
  <c r="EF26" i="5" s="1"/>
  <c r="EG26" i="5" s="1"/>
  <c r="EH26" i="5" s="1"/>
  <c r="EI26" i="5" s="1"/>
  <c r="EJ26" i="5" s="1"/>
  <c r="EK26" i="5" s="1"/>
  <c r="EL26" i="5" s="1"/>
  <c r="EM26" i="5" s="1"/>
  <c r="EN26" i="5" s="1"/>
  <c r="EO26" i="5" s="1"/>
  <c r="EP26" i="5" s="1"/>
  <c r="EQ26" i="5" s="1"/>
  <c r="ER26" i="5" s="1"/>
  <c r="ES26" i="5" s="1"/>
  <c r="ET26" i="5" s="1"/>
  <c r="EU26" i="5" s="1"/>
  <c r="EV26" i="5" s="1"/>
  <c r="EW26" i="5" s="1"/>
  <c r="EX26" i="5" s="1"/>
  <c r="EY26" i="5" s="1"/>
  <c r="EZ26" i="5" s="1"/>
  <c r="FA26" i="5" s="1"/>
  <c r="FB26" i="5" s="1"/>
  <c r="FC26" i="5" s="1"/>
  <c r="FD26" i="5" s="1"/>
  <c r="FE26" i="5" s="1"/>
  <c r="FF26" i="5" s="1"/>
  <c r="FG26" i="5" s="1"/>
  <c r="FH26" i="5" s="1"/>
  <c r="FI26" i="5" s="1"/>
  <c r="FJ26" i="5" s="1"/>
  <c r="FK26" i="5" s="1"/>
  <c r="FL26" i="5" s="1"/>
  <c r="FM26" i="5" s="1"/>
  <c r="FN26" i="5" s="1"/>
  <c r="FO26" i="5" s="1"/>
  <c r="FP26" i="5" s="1"/>
  <c r="FQ26" i="5" s="1"/>
  <c r="FR26" i="5" s="1"/>
  <c r="FS26" i="5" s="1"/>
  <c r="FT26" i="5" s="1"/>
  <c r="FU26" i="5" s="1"/>
  <c r="FV26" i="5" s="1"/>
  <c r="FW26" i="5" s="1"/>
  <c r="FX26" i="5" s="1"/>
  <c r="FY26" i="5" s="1"/>
  <c r="FZ26" i="5" s="1"/>
  <c r="GA26" i="5" s="1"/>
  <c r="GB26" i="5" s="1"/>
  <c r="GC26" i="5" s="1"/>
  <c r="GD26" i="5" s="1"/>
  <c r="GE26" i="5" s="1"/>
  <c r="GF26" i="5" s="1"/>
  <c r="GG26" i="5" s="1"/>
  <c r="GH26" i="5" s="1"/>
  <c r="GI26" i="5" s="1"/>
  <c r="GJ26" i="5" s="1"/>
  <c r="GK26" i="5" s="1"/>
  <c r="GL26" i="5" s="1"/>
  <c r="GM26" i="5" s="1"/>
  <c r="GN26" i="5" s="1"/>
  <c r="GO26" i="5" s="1"/>
  <c r="GP26" i="5" s="1"/>
  <c r="GQ26" i="5" s="1"/>
  <c r="GR26" i="5" s="1"/>
  <c r="GS26" i="5" s="1"/>
  <c r="GT26" i="5" s="1"/>
  <c r="GU26" i="5" s="1"/>
  <c r="GV26" i="5" s="1"/>
  <c r="GW26" i="5" s="1"/>
  <c r="GX26" i="5" s="1"/>
  <c r="GY26" i="5" s="1"/>
  <c r="GZ26" i="5" s="1"/>
  <c r="HA26" i="5" s="1"/>
  <c r="HB26" i="5" s="1"/>
  <c r="HC26" i="5" s="1"/>
  <c r="HD26" i="5" s="1"/>
  <c r="HE26" i="5" s="1"/>
  <c r="HF26" i="5" s="1"/>
  <c r="HG26" i="5" s="1"/>
  <c r="HH26" i="5" s="1"/>
  <c r="HI26" i="5" s="1"/>
  <c r="HJ26" i="5" s="1"/>
  <c r="HK26" i="5" s="1"/>
  <c r="HL26" i="5" s="1"/>
  <c r="HM26" i="5" s="1"/>
  <c r="HN26" i="5" s="1"/>
  <c r="HO26" i="5" s="1"/>
  <c r="HP26" i="5" s="1"/>
  <c r="HQ26" i="5" s="1"/>
  <c r="HR26" i="5" s="1"/>
  <c r="HS26" i="5" s="1"/>
  <c r="HT26" i="5" s="1"/>
  <c r="HU26" i="5" s="1"/>
  <c r="HV26" i="5" s="1"/>
  <c r="HW26" i="5" s="1"/>
  <c r="HX26" i="5" s="1"/>
  <c r="HY26" i="5" s="1"/>
  <c r="HZ26" i="5" s="1"/>
  <c r="IA26" i="5" s="1"/>
  <c r="IB26" i="5" s="1"/>
  <c r="IC26" i="5" s="1"/>
  <c r="ID26" i="5" s="1"/>
  <c r="IE26" i="5" s="1"/>
  <c r="IF26" i="5" s="1"/>
  <c r="IG26" i="5" s="1"/>
  <c r="IH26" i="5" s="1"/>
  <c r="II26" i="5" s="1"/>
  <c r="IJ26" i="5" s="1"/>
  <c r="IK26" i="5" s="1"/>
  <c r="IL26" i="5" s="1"/>
  <c r="IM26" i="5" s="1"/>
  <c r="IN26" i="5" s="1"/>
  <c r="IO26" i="5" s="1"/>
  <c r="IP26" i="5" s="1"/>
  <c r="IQ26" i="5" s="1"/>
  <c r="IR26" i="5" s="1"/>
  <c r="IS26" i="5" s="1"/>
  <c r="IT26" i="5" s="1"/>
  <c r="IU26" i="5" s="1"/>
  <c r="F18" i="5"/>
  <c r="F105" i="5"/>
  <c r="G105" i="5" s="1"/>
  <c r="H105" i="5" s="1"/>
  <c r="I105" i="5" s="1"/>
  <c r="J105" i="5" s="1"/>
  <c r="K105" i="5" s="1"/>
  <c r="L105" i="5" s="1"/>
  <c r="M105" i="5" s="1"/>
  <c r="N105" i="5" s="1"/>
  <c r="O105" i="5" s="1"/>
  <c r="P105" i="5" s="1"/>
  <c r="Q105" i="5" s="1"/>
  <c r="R105" i="5" s="1"/>
  <c r="S105" i="5" s="1"/>
  <c r="T105" i="5" s="1"/>
  <c r="U105" i="5" s="1"/>
  <c r="V105" i="5" s="1"/>
  <c r="W105" i="5" s="1"/>
  <c r="X105" i="5" s="1"/>
  <c r="Y105" i="5" s="1"/>
  <c r="Z105" i="5" s="1"/>
  <c r="AA105" i="5" s="1"/>
  <c r="AB105" i="5" s="1"/>
  <c r="AC105" i="5" s="1"/>
  <c r="AD105" i="5" s="1"/>
  <c r="AE105" i="5" s="1"/>
  <c r="AF105" i="5" s="1"/>
  <c r="AG105" i="5" s="1"/>
  <c r="AH105" i="5" s="1"/>
  <c r="AI105" i="5" s="1"/>
  <c r="AJ105" i="5" s="1"/>
  <c r="AK105" i="5" s="1"/>
  <c r="AL105" i="5" s="1"/>
  <c r="AM105" i="5" s="1"/>
  <c r="AN105" i="5" s="1"/>
  <c r="AO105" i="5" s="1"/>
  <c r="AP105" i="5" s="1"/>
  <c r="AQ105" i="5" s="1"/>
  <c r="AR105" i="5" s="1"/>
  <c r="AS105" i="5" s="1"/>
  <c r="AT105" i="5" s="1"/>
  <c r="AU105" i="5" s="1"/>
  <c r="AV105" i="5" s="1"/>
  <c r="AW105" i="5" s="1"/>
  <c r="AX105" i="5" s="1"/>
  <c r="AY105" i="5" s="1"/>
  <c r="AZ105" i="5" s="1"/>
  <c r="BA105" i="5" s="1"/>
  <c r="BB105" i="5" s="1"/>
  <c r="BC105" i="5" s="1"/>
  <c r="BD105" i="5" s="1"/>
  <c r="BE105" i="5" s="1"/>
  <c r="BF105" i="5" s="1"/>
  <c r="BG105" i="5" s="1"/>
  <c r="BH105" i="5" s="1"/>
  <c r="BI105" i="5" s="1"/>
  <c r="BJ105" i="5" s="1"/>
  <c r="BK105" i="5" s="1"/>
  <c r="BL105" i="5" s="1"/>
  <c r="BM105" i="5" s="1"/>
  <c r="BN105" i="5" s="1"/>
  <c r="BO105" i="5" s="1"/>
  <c r="BP105" i="5" s="1"/>
  <c r="BQ105" i="5" s="1"/>
  <c r="BR105" i="5" s="1"/>
  <c r="BS105" i="5" s="1"/>
  <c r="BT105" i="5" s="1"/>
  <c r="BU105" i="5" s="1"/>
  <c r="BV105" i="5" s="1"/>
  <c r="BW105" i="5" s="1"/>
  <c r="BX105" i="5" s="1"/>
  <c r="BY105" i="5" s="1"/>
  <c r="BZ105" i="5" s="1"/>
  <c r="CA105" i="5" s="1"/>
  <c r="CB105" i="5" s="1"/>
  <c r="CC105" i="5" s="1"/>
  <c r="CD105" i="5" s="1"/>
  <c r="CE105" i="5" s="1"/>
  <c r="CF105" i="5" s="1"/>
  <c r="CG105" i="5" s="1"/>
  <c r="CH105" i="5" s="1"/>
  <c r="CI105" i="5" s="1"/>
  <c r="CJ105" i="5" s="1"/>
  <c r="CK105" i="5" s="1"/>
  <c r="CL105" i="5" s="1"/>
  <c r="CM105" i="5" s="1"/>
  <c r="CN105" i="5" s="1"/>
  <c r="CO105" i="5" s="1"/>
  <c r="CP105" i="5" s="1"/>
  <c r="CQ105" i="5" s="1"/>
  <c r="CR105" i="5" s="1"/>
  <c r="CS105" i="5" s="1"/>
  <c r="CT105" i="5" s="1"/>
  <c r="CU105" i="5" s="1"/>
  <c r="CV105" i="5" s="1"/>
  <c r="CW105" i="5" s="1"/>
  <c r="CX105" i="5" s="1"/>
  <c r="CY105" i="5" s="1"/>
  <c r="CZ105" i="5" s="1"/>
  <c r="DA105" i="5" s="1"/>
  <c r="DB105" i="5" s="1"/>
  <c r="DC105" i="5" s="1"/>
  <c r="DD105" i="5" s="1"/>
  <c r="DE105" i="5" s="1"/>
  <c r="DF105" i="5" s="1"/>
  <c r="DG105" i="5" s="1"/>
  <c r="DH105" i="5" s="1"/>
  <c r="DI105" i="5" s="1"/>
  <c r="DJ105" i="5" s="1"/>
  <c r="DK105" i="5" s="1"/>
  <c r="DL105" i="5" s="1"/>
  <c r="DM105" i="5" s="1"/>
  <c r="DN105" i="5" s="1"/>
  <c r="DO105" i="5" s="1"/>
  <c r="DP105" i="5" s="1"/>
  <c r="DQ105" i="5" s="1"/>
  <c r="DR105" i="5" s="1"/>
  <c r="DS105" i="5" s="1"/>
  <c r="DT105" i="5" s="1"/>
  <c r="DU105" i="5" s="1"/>
  <c r="DV105" i="5" s="1"/>
  <c r="DW105" i="5" s="1"/>
  <c r="DX105" i="5" s="1"/>
  <c r="DY105" i="5" s="1"/>
  <c r="DZ105" i="5" s="1"/>
  <c r="EA105" i="5" s="1"/>
  <c r="EB105" i="5" s="1"/>
  <c r="EC105" i="5" s="1"/>
  <c r="ED105" i="5" s="1"/>
  <c r="EE105" i="5" s="1"/>
  <c r="EF105" i="5" s="1"/>
  <c r="EG105" i="5" s="1"/>
  <c r="EH105" i="5" s="1"/>
  <c r="EI105" i="5" s="1"/>
  <c r="EJ105" i="5" s="1"/>
  <c r="EK105" i="5" s="1"/>
  <c r="EL105" i="5" s="1"/>
  <c r="EM105" i="5" s="1"/>
  <c r="EN105" i="5" s="1"/>
  <c r="EO105" i="5" s="1"/>
  <c r="EP105" i="5" s="1"/>
  <c r="EQ105" i="5" s="1"/>
  <c r="ER105" i="5" s="1"/>
  <c r="ES105" i="5" s="1"/>
  <c r="ET105" i="5" s="1"/>
  <c r="EU105" i="5" s="1"/>
  <c r="EV105" i="5" s="1"/>
  <c r="EW105" i="5" s="1"/>
  <c r="EX105" i="5" s="1"/>
  <c r="EY105" i="5" s="1"/>
  <c r="EZ105" i="5" s="1"/>
  <c r="FA105" i="5" s="1"/>
  <c r="FB105" i="5" s="1"/>
  <c r="FC105" i="5" s="1"/>
  <c r="FD105" i="5" s="1"/>
  <c r="FE105" i="5" s="1"/>
  <c r="FF105" i="5" s="1"/>
  <c r="FG105" i="5" s="1"/>
  <c r="FH105" i="5" s="1"/>
  <c r="FI105" i="5" s="1"/>
  <c r="FJ105" i="5" s="1"/>
  <c r="FK105" i="5" s="1"/>
  <c r="FL105" i="5" s="1"/>
  <c r="FM105" i="5" s="1"/>
  <c r="FN105" i="5" s="1"/>
  <c r="FO105" i="5" s="1"/>
  <c r="FP105" i="5" s="1"/>
  <c r="FQ105" i="5" s="1"/>
  <c r="FR105" i="5" s="1"/>
  <c r="FS105" i="5" s="1"/>
  <c r="FT105" i="5" s="1"/>
  <c r="FU105" i="5" s="1"/>
  <c r="FV105" i="5" s="1"/>
  <c r="FW105" i="5" s="1"/>
  <c r="FX105" i="5" s="1"/>
  <c r="FY105" i="5" s="1"/>
  <c r="FZ105" i="5" s="1"/>
  <c r="GA105" i="5" s="1"/>
  <c r="GB105" i="5" s="1"/>
  <c r="GC105" i="5" s="1"/>
  <c r="GD105" i="5" s="1"/>
  <c r="GE105" i="5" s="1"/>
  <c r="GF105" i="5" s="1"/>
  <c r="GG105" i="5" s="1"/>
  <c r="GH105" i="5" s="1"/>
  <c r="GI105" i="5" s="1"/>
  <c r="GJ105" i="5" s="1"/>
  <c r="GK105" i="5" s="1"/>
  <c r="GL105" i="5" s="1"/>
  <c r="GM105" i="5" s="1"/>
  <c r="GN105" i="5" s="1"/>
  <c r="GO105" i="5" s="1"/>
  <c r="GP105" i="5" s="1"/>
  <c r="GQ105" i="5" s="1"/>
  <c r="GR105" i="5" s="1"/>
  <c r="GS105" i="5" s="1"/>
  <c r="GT105" i="5" s="1"/>
  <c r="GU105" i="5" s="1"/>
  <c r="GV105" i="5" s="1"/>
  <c r="GW105" i="5" s="1"/>
  <c r="GX105" i="5" s="1"/>
  <c r="GY105" i="5" s="1"/>
  <c r="GZ105" i="5" s="1"/>
  <c r="HA105" i="5" s="1"/>
  <c r="HB105" i="5" s="1"/>
  <c r="HC105" i="5" s="1"/>
  <c r="HD105" i="5" s="1"/>
  <c r="HE105" i="5" s="1"/>
  <c r="HF105" i="5" s="1"/>
  <c r="HG105" i="5" s="1"/>
  <c r="HH105" i="5" s="1"/>
  <c r="HI105" i="5" s="1"/>
  <c r="HJ105" i="5" s="1"/>
  <c r="HK105" i="5" s="1"/>
  <c r="HL105" i="5" s="1"/>
  <c r="HM105" i="5" s="1"/>
  <c r="HN105" i="5" s="1"/>
  <c r="HO105" i="5" s="1"/>
  <c r="HP105" i="5" s="1"/>
  <c r="HQ105" i="5" s="1"/>
  <c r="HR105" i="5" s="1"/>
  <c r="HS105" i="5" s="1"/>
  <c r="HT105" i="5" s="1"/>
  <c r="HU105" i="5" s="1"/>
  <c r="HV105" i="5" s="1"/>
  <c r="HW105" i="5" s="1"/>
  <c r="HX105" i="5" s="1"/>
  <c r="HY105" i="5" s="1"/>
  <c r="HZ105" i="5" s="1"/>
  <c r="IA105" i="5" s="1"/>
  <c r="IB105" i="5" s="1"/>
  <c r="IC105" i="5" s="1"/>
  <c r="ID105" i="5" s="1"/>
  <c r="IE105" i="5" s="1"/>
  <c r="IF105" i="5" s="1"/>
  <c r="IG105" i="5" s="1"/>
  <c r="IH105" i="5" s="1"/>
  <c r="II105" i="5" s="1"/>
  <c r="IJ105" i="5" s="1"/>
  <c r="IK105" i="5" s="1"/>
  <c r="IL105" i="5" s="1"/>
  <c r="IM105" i="5" s="1"/>
  <c r="IN105" i="5" s="1"/>
  <c r="IO105" i="5" s="1"/>
  <c r="IP105" i="5" s="1"/>
  <c r="IQ105" i="5" s="1"/>
  <c r="IR105" i="5" s="1"/>
  <c r="IS105" i="5" s="1"/>
  <c r="IT105" i="5" s="1"/>
  <c r="IU105" i="5" s="1"/>
  <c r="F97" i="5"/>
  <c r="G97" i="5" s="1"/>
  <c r="H97" i="5" s="1"/>
  <c r="I97" i="5" s="1"/>
  <c r="J97" i="5" s="1"/>
  <c r="K97" i="5" s="1"/>
  <c r="L97" i="5" s="1"/>
  <c r="M97" i="5" s="1"/>
  <c r="N97" i="5" s="1"/>
  <c r="O97" i="5" s="1"/>
  <c r="P97" i="5" s="1"/>
  <c r="Q97" i="5" s="1"/>
  <c r="R97" i="5" s="1"/>
  <c r="S97" i="5" s="1"/>
  <c r="T97" i="5" s="1"/>
  <c r="U97" i="5" s="1"/>
  <c r="V97" i="5" s="1"/>
  <c r="W97" i="5" s="1"/>
  <c r="X97" i="5" s="1"/>
  <c r="Y97" i="5" s="1"/>
  <c r="Z97" i="5" s="1"/>
  <c r="AA97" i="5" s="1"/>
  <c r="AB97" i="5" s="1"/>
  <c r="AC97" i="5" s="1"/>
  <c r="AD97" i="5" s="1"/>
  <c r="AE97" i="5" s="1"/>
  <c r="AF97" i="5" s="1"/>
  <c r="AG97" i="5" s="1"/>
  <c r="AH97" i="5" s="1"/>
  <c r="AI97" i="5" s="1"/>
  <c r="AJ97" i="5" s="1"/>
  <c r="AK97" i="5" s="1"/>
  <c r="AL97" i="5" s="1"/>
  <c r="AM97" i="5" s="1"/>
  <c r="AN97" i="5" s="1"/>
  <c r="AO97" i="5" s="1"/>
  <c r="AP97" i="5" s="1"/>
  <c r="AQ97" i="5" s="1"/>
  <c r="AR97" i="5" s="1"/>
  <c r="AS97" i="5" s="1"/>
  <c r="AT97" i="5" s="1"/>
  <c r="AU97" i="5" s="1"/>
  <c r="AV97" i="5" s="1"/>
  <c r="AW97" i="5" s="1"/>
  <c r="AX97" i="5" s="1"/>
  <c r="AY97" i="5" s="1"/>
  <c r="AZ97" i="5" s="1"/>
  <c r="BA97" i="5" s="1"/>
  <c r="BB97" i="5" s="1"/>
  <c r="BC97" i="5" s="1"/>
  <c r="BD97" i="5" s="1"/>
  <c r="BE97" i="5" s="1"/>
  <c r="BF97" i="5" s="1"/>
  <c r="BG97" i="5" s="1"/>
  <c r="BH97" i="5" s="1"/>
  <c r="BI97" i="5" s="1"/>
  <c r="BJ97" i="5" s="1"/>
  <c r="BK97" i="5" s="1"/>
  <c r="BL97" i="5" s="1"/>
  <c r="BM97" i="5" s="1"/>
  <c r="BN97" i="5" s="1"/>
  <c r="BO97" i="5" s="1"/>
  <c r="BP97" i="5" s="1"/>
  <c r="BQ97" i="5" s="1"/>
  <c r="BR97" i="5" s="1"/>
  <c r="BS97" i="5" s="1"/>
  <c r="BT97" i="5" s="1"/>
  <c r="BU97" i="5" s="1"/>
  <c r="BV97" i="5" s="1"/>
  <c r="BW97" i="5" s="1"/>
  <c r="BX97" i="5" s="1"/>
  <c r="BY97" i="5" s="1"/>
  <c r="BZ97" i="5" s="1"/>
  <c r="CA97" i="5" s="1"/>
  <c r="CB97" i="5" s="1"/>
  <c r="CC97" i="5" s="1"/>
  <c r="CD97" i="5" s="1"/>
  <c r="CE97" i="5" s="1"/>
  <c r="CF97" i="5" s="1"/>
  <c r="CG97" i="5" s="1"/>
  <c r="CH97" i="5" s="1"/>
  <c r="CI97" i="5" s="1"/>
  <c r="CJ97" i="5" s="1"/>
  <c r="CK97" i="5" s="1"/>
  <c r="CL97" i="5" s="1"/>
  <c r="CM97" i="5" s="1"/>
  <c r="CN97" i="5" s="1"/>
  <c r="CO97" i="5" s="1"/>
  <c r="CP97" i="5" s="1"/>
  <c r="CQ97" i="5" s="1"/>
  <c r="CR97" i="5" s="1"/>
  <c r="CS97" i="5" s="1"/>
  <c r="CT97" i="5" s="1"/>
  <c r="CU97" i="5" s="1"/>
  <c r="CV97" i="5" s="1"/>
  <c r="CW97" i="5" s="1"/>
  <c r="CX97" i="5" s="1"/>
  <c r="CY97" i="5" s="1"/>
  <c r="CZ97" i="5" s="1"/>
  <c r="DA97" i="5" s="1"/>
  <c r="DB97" i="5" s="1"/>
  <c r="DC97" i="5" s="1"/>
  <c r="DD97" i="5" s="1"/>
  <c r="DE97" i="5" s="1"/>
  <c r="DF97" i="5" s="1"/>
  <c r="DG97" i="5" s="1"/>
  <c r="DH97" i="5" s="1"/>
  <c r="DI97" i="5" s="1"/>
  <c r="DJ97" i="5" s="1"/>
  <c r="DK97" i="5" s="1"/>
  <c r="DL97" i="5" s="1"/>
  <c r="DM97" i="5" s="1"/>
  <c r="DN97" i="5" s="1"/>
  <c r="DO97" i="5" s="1"/>
  <c r="DP97" i="5" s="1"/>
  <c r="DQ97" i="5" s="1"/>
  <c r="DR97" i="5" s="1"/>
  <c r="DS97" i="5" s="1"/>
  <c r="DT97" i="5" s="1"/>
  <c r="DU97" i="5" s="1"/>
  <c r="DV97" i="5" s="1"/>
  <c r="DW97" i="5" s="1"/>
  <c r="DX97" i="5" s="1"/>
  <c r="DY97" i="5" s="1"/>
  <c r="DZ97" i="5" s="1"/>
  <c r="EA97" i="5" s="1"/>
  <c r="EB97" i="5" s="1"/>
  <c r="EC97" i="5" s="1"/>
  <c r="ED97" i="5" s="1"/>
  <c r="EE97" i="5" s="1"/>
  <c r="EF97" i="5" s="1"/>
  <c r="EG97" i="5" s="1"/>
  <c r="EH97" i="5" s="1"/>
  <c r="EI97" i="5" s="1"/>
  <c r="EJ97" i="5" s="1"/>
  <c r="EK97" i="5" s="1"/>
  <c r="EL97" i="5" s="1"/>
  <c r="EM97" i="5" s="1"/>
  <c r="EN97" i="5" s="1"/>
  <c r="EO97" i="5" s="1"/>
  <c r="EP97" i="5" s="1"/>
  <c r="EQ97" i="5" s="1"/>
  <c r="ER97" i="5" s="1"/>
  <c r="ES97" i="5" s="1"/>
  <c r="ET97" i="5" s="1"/>
  <c r="EU97" i="5" s="1"/>
  <c r="EV97" i="5" s="1"/>
  <c r="EW97" i="5" s="1"/>
  <c r="EX97" i="5" s="1"/>
  <c r="EY97" i="5" s="1"/>
  <c r="EZ97" i="5" s="1"/>
  <c r="FA97" i="5" s="1"/>
  <c r="FB97" i="5" s="1"/>
  <c r="FC97" i="5" s="1"/>
  <c r="FD97" i="5" s="1"/>
  <c r="FE97" i="5" s="1"/>
  <c r="FF97" i="5" s="1"/>
  <c r="FG97" i="5" s="1"/>
  <c r="FH97" i="5" s="1"/>
  <c r="FI97" i="5" s="1"/>
  <c r="FJ97" i="5" s="1"/>
  <c r="FK97" i="5" s="1"/>
  <c r="FL97" i="5" s="1"/>
  <c r="FM97" i="5" s="1"/>
  <c r="FN97" i="5" s="1"/>
  <c r="FO97" i="5" s="1"/>
  <c r="FP97" i="5" s="1"/>
  <c r="FQ97" i="5" s="1"/>
  <c r="FR97" i="5" s="1"/>
  <c r="FS97" i="5" s="1"/>
  <c r="FT97" i="5" s="1"/>
  <c r="FU97" i="5" s="1"/>
  <c r="FV97" i="5" s="1"/>
  <c r="FW97" i="5" s="1"/>
  <c r="FX97" i="5" s="1"/>
  <c r="FY97" i="5" s="1"/>
  <c r="FZ97" i="5" s="1"/>
  <c r="GA97" i="5" s="1"/>
  <c r="GB97" i="5" s="1"/>
  <c r="GC97" i="5" s="1"/>
  <c r="GD97" i="5" s="1"/>
  <c r="GE97" i="5" s="1"/>
  <c r="GF97" i="5" s="1"/>
  <c r="GG97" i="5" s="1"/>
  <c r="GH97" i="5" s="1"/>
  <c r="GI97" i="5" s="1"/>
  <c r="GJ97" i="5" s="1"/>
  <c r="GK97" i="5" s="1"/>
  <c r="GL97" i="5" s="1"/>
  <c r="GM97" i="5" s="1"/>
  <c r="GN97" i="5" s="1"/>
  <c r="GO97" i="5" s="1"/>
  <c r="GP97" i="5" s="1"/>
  <c r="GQ97" i="5" s="1"/>
  <c r="GR97" i="5" s="1"/>
  <c r="GS97" i="5" s="1"/>
  <c r="GT97" i="5" s="1"/>
  <c r="GU97" i="5" s="1"/>
  <c r="GV97" i="5" s="1"/>
  <c r="GW97" i="5" s="1"/>
  <c r="GX97" i="5" s="1"/>
  <c r="GY97" i="5" s="1"/>
  <c r="GZ97" i="5" s="1"/>
  <c r="HA97" i="5" s="1"/>
  <c r="HB97" i="5" s="1"/>
  <c r="HC97" i="5" s="1"/>
  <c r="HD97" i="5" s="1"/>
  <c r="HE97" i="5" s="1"/>
  <c r="HF97" i="5" s="1"/>
  <c r="HG97" i="5" s="1"/>
  <c r="HH97" i="5" s="1"/>
  <c r="HI97" i="5" s="1"/>
  <c r="HJ97" i="5" s="1"/>
  <c r="HK97" i="5" s="1"/>
  <c r="HL97" i="5" s="1"/>
  <c r="HM97" i="5" s="1"/>
  <c r="HN97" i="5" s="1"/>
  <c r="HO97" i="5" s="1"/>
  <c r="HP97" i="5" s="1"/>
  <c r="HQ97" i="5" s="1"/>
  <c r="HR97" i="5" s="1"/>
  <c r="HS97" i="5" s="1"/>
  <c r="HT97" i="5" s="1"/>
  <c r="HU97" i="5" s="1"/>
  <c r="HV97" i="5" s="1"/>
  <c r="HW97" i="5" s="1"/>
  <c r="HX97" i="5" s="1"/>
  <c r="HY97" i="5" s="1"/>
  <c r="HZ97" i="5" s="1"/>
  <c r="IA97" i="5" s="1"/>
  <c r="IB97" i="5" s="1"/>
  <c r="IC97" i="5" s="1"/>
  <c r="ID97" i="5" s="1"/>
  <c r="IE97" i="5" s="1"/>
  <c r="IF97" i="5" s="1"/>
  <c r="IG97" i="5" s="1"/>
  <c r="IH97" i="5" s="1"/>
  <c r="II97" i="5" s="1"/>
  <c r="IJ97" i="5" s="1"/>
  <c r="IK97" i="5" s="1"/>
  <c r="IL97" i="5" s="1"/>
  <c r="IM97" i="5" s="1"/>
  <c r="IN97" i="5" s="1"/>
  <c r="IO97" i="5" s="1"/>
  <c r="IP97" i="5" s="1"/>
  <c r="IQ97" i="5" s="1"/>
  <c r="IR97" i="5" s="1"/>
  <c r="IS97" i="5" s="1"/>
  <c r="IT97" i="5" s="1"/>
  <c r="IU97" i="5" s="1"/>
  <c r="F89" i="5"/>
  <c r="G89" i="5" s="1"/>
  <c r="H89" i="5" s="1"/>
  <c r="I89" i="5" s="1"/>
  <c r="J89" i="5" s="1"/>
  <c r="K89" i="5" s="1"/>
  <c r="L89" i="5" s="1"/>
  <c r="M89" i="5" s="1"/>
  <c r="N89" i="5" s="1"/>
  <c r="O89" i="5" s="1"/>
  <c r="P89" i="5" s="1"/>
  <c r="Q89" i="5" s="1"/>
  <c r="R89" i="5" s="1"/>
  <c r="S89" i="5" s="1"/>
  <c r="T89" i="5" s="1"/>
  <c r="U89" i="5" s="1"/>
  <c r="V89" i="5" s="1"/>
  <c r="W89" i="5" s="1"/>
  <c r="X89" i="5" s="1"/>
  <c r="Y89" i="5" s="1"/>
  <c r="Z89" i="5" s="1"/>
  <c r="AA89" i="5" s="1"/>
  <c r="AB89" i="5" s="1"/>
  <c r="AC89" i="5" s="1"/>
  <c r="AD89" i="5" s="1"/>
  <c r="AE89" i="5" s="1"/>
  <c r="AF89" i="5" s="1"/>
  <c r="AG89" i="5" s="1"/>
  <c r="AH89" i="5" s="1"/>
  <c r="AI89" i="5" s="1"/>
  <c r="AJ89" i="5" s="1"/>
  <c r="AK89" i="5" s="1"/>
  <c r="AL89" i="5" s="1"/>
  <c r="AM89" i="5" s="1"/>
  <c r="AN89" i="5" s="1"/>
  <c r="AO89" i="5" s="1"/>
  <c r="AP89" i="5" s="1"/>
  <c r="AQ89" i="5" s="1"/>
  <c r="AR89" i="5" s="1"/>
  <c r="AS89" i="5" s="1"/>
  <c r="AT89" i="5" s="1"/>
  <c r="AU89" i="5" s="1"/>
  <c r="AV89" i="5" s="1"/>
  <c r="AW89" i="5" s="1"/>
  <c r="AX89" i="5" s="1"/>
  <c r="AY89" i="5" s="1"/>
  <c r="AZ89" i="5" s="1"/>
  <c r="BA89" i="5" s="1"/>
  <c r="BB89" i="5" s="1"/>
  <c r="BC89" i="5" s="1"/>
  <c r="BD89" i="5" s="1"/>
  <c r="BE89" i="5" s="1"/>
  <c r="BF89" i="5" s="1"/>
  <c r="BG89" i="5" s="1"/>
  <c r="BH89" i="5" s="1"/>
  <c r="BI89" i="5" s="1"/>
  <c r="BJ89" i="5" s="1"/>
  <c r="BK89" i="5" s="1"/>
  <c r="BL89" i="5" s="1"/>
  <c r="BM89" i="5" s="1"/>
  <c r="BN89" i="5" s="1"/>
  <c r="BO89" i="5" s="1"/>
  <c r="BP89" i="5" s="1"/>
  <c r="BQ89" i="5" s="1"/>
  <c r="BR89" i="5" s="1"/>
  <c r="BS89" i="5" s="1"/>
  <c r="BT89" i="5" s="1"/>
  <c r="BU89" i="5" s="1"/>
  <c r="BV89" i="5" s="1"/>
  <c r="BW89" i="5" s="1"/>
  <c r="BX89" i="5" s="1"/>
  <c r="BY89" i="5" s="1"/>
  <c r="BZ89" i="5" s="1"/>
  <c r="CA89" i="5" s="1"/>
  <c r="CB89" i="5" s="1"/>
  <c r="CC89" i="5" s="1"/>
  <c r="CD89" i="5" s="1"/>
  <c r="CE89" i="5" s="1"/>
  <c r="CF89" i="5" s="1"/>
  <c r="CG89" i="5" s="1"/>
  <c r="CH89" i="5" s="1"/>
  <c r="CI89" i="5" s="1"/>
  <c r="CJ89" i="5" s="1"/>
  <c r="CK89" i="5" s="1"/>
  <c r="CL89" i="5" s="1"/>
  <c r="CM89" i="5" s="1"/>
  <c r="CN89" i="5" s="1"/>
  <c r="CO89" i="5" s="1"/>
  <c r="CP89" i="5" s="1"/>
  <c r="CQ89" i="5" s="1"/>
  <c r="CR89" i="5" s="1"/>
  <c r="CS89" i="5" s="1"/>
  <c r="CT89" i="5" s="1"/>
  <c r="CU89" i="5" s="1"/>
  <c r="CV89" i="5" s="1"/>
  <c r="CW89" i="5" s="1"/>
  <c r="CX89" i="5" s="1"/>
  <c r="CY89" i="5" s="1"/>
  <c r="CZ89" i="5" s="1"/>
  <c r="DA89" i="5" s="1"/>
  <c r="DB89" i="5" s="1"/>
  <c r="DC89" i="5" s="1"/>
  <c r="DD89" i="5" s="1"/>
  <c r="DE89" i="5" s="1"/>
  <c r="DF89" i="5" s="1"/>
  <c r="DG89" i="5" s="1"/>
  <c r="DH89" i="5" s="1"/>
  <c r="DI89" i="5" s="1"/>
  <c r="DJ89" i="5" s="1"/>
  <c r="DK89" i="5" s="1"/>
  <c r="DL89" i="5" s="1"/>
  <c r="DM89" i="5" s="1"/>
  <c r="DN89" i="5" s="1"/>
  <c r="DO89" i="5" s="1"/>
  <c r="DP89" i="5" s="1"/>
  <c r="DQ89" i="5" s="1"/>
  <c r="DR89" i="5" s="1"/>
  <c r="DS89" i="5" s="1"/>
  <c r="DT89" i="5" s="1"/>
  <c r="DU89" i="5" s="1"/>
  <c r="DV89" i="5" s="1"/>
  <c r="DW89" i="5" s="1"/>
  <c r="DX89" i="5" s="1"/>
  <c r="DY89" i="5" s="1"/>
  <c r="DZ89" i="5" s="1"/>
  <c r="EA89" i="5" s="1"/>
  <c r="EB89" i="5" s="1"/>
  <c r="EC89" i="5" s="1"/>
  <c r="ED89" i="5" s="1"/>
  <c r="EE89" i="5" s="1"/>
  <c r="EF89" i="5" s="1"/>
  <c r="EG89" i="5" s="1"/>
  <c r="EH89" i="5" s="1"/>
  <c r="EI89" i="5" s="1"/>
  <c r="EJ89" i="5" s="1"/>
  <c r="EK89" i="5" s="1"/>
  <c r="EL89" i="5" s="1"/>
  <c r="EM89" i="5" s="1"/>
  <c r="EN89" i="5" s="1"/>
  <c r="EO89" i="5" s="1"/>
  <c r="EP89" i="5" s="1"/>
  <c r="EQ89" i="5" s="1"/>
  <c r="ER89" i="5" s="1"/>
  <c r="ES89" i="5" s="1"/>
  <c r="ET89" i="5" s="1"/>
  <c r="EU89" i="5" s="1"/>
  <c r="EV89" i="5" s="1"/>
  <c r="EW89" i="5" s="1"/>
  <c r="EX89" i="5" s="1"/>
  <c r="EY89" i="5" s="1"/>
  <c r="EZ89" i="5" s="1"/>
  <c r="FA89" i="5" s="1"/>
  <c r="FB89" i="5" s="1"/>
  <c r="FC89" i="5" s="1"/>
  <c r="FD89" i="5" s="1"/>
  <c r="FE89" i="5" s="1"/>
  <c r="FF89" i="5" s="1"/>
  <c r="FG89" i="5" s="1"/>
  <c r="FH89" i="5" s="1"/>
  <c r="FI89" i="5" s="1"/>
  <c r="FJ89" i="5" s="1"/>
  <c r="FK89" i="5" s="1"/>
  <c r="FL89" i="5" s="1"/>
  <c r="FM89" i="5" s="1"/>
  <c r="FN89" i="5" s="1"/>
  <c r="FO89" i="5" s="1"/>
  <c r="FP89" i="5" s="1"/>
  <c r="FQ89" i="5" s="1"/>
  <c r="FR89" i="5" s="1"/>
  <c r="FS89" i="5" s="1"/>
  <c r="FT89" i="5" s="1"/>
  <c r="FU89" i="5" s="1"/>
  <c r="FV89" i="5" s="1"/>
  <c r="FW89" i="5" s="1"/>
  <c r="FX89" i="5" s="1"/>
  <c r="FY89" i="5" s="1"/>
  <c r="FZ89" i="5" s="1"/>
  <c r="GA89" i="5" s="1"/>
  <c r="GB89" i="5" s="1"/>
  <c r="GC89" i="5" s="1"/>
  <c r="GD89" i="5" s="1"/>
  <c r="GE89" i="5" s="1"/>
  <c r="GF89" i="5" s="1"/>
  <c r="GG89" i="5" s="1"/>
  <c r="GH89" i="5" s="1"/>
  <c r="GI89" i="5" s="1"/>
  <c r="GJ89" i="5" s="1"/>
  <c r="GK89" i="5" s="1"/>
  <c r="GL89" i="5" s="1"/>
  <c r="GM89" i="5" s="1"/>
  <c r="GN89" i="5" s="1"/>
  <c r="GO89" i="5" s="1"/>
  <c r="GP89" i="5" s="1"/>
  <c r="GQ89" i="5" s="1"/>
  <c r="GR89" i="5" s="1"/>
  <c r="GS89" i="5" s="1"/>
  <c r="GT89" i="5" s="1"/>
  <c r="GU89" i="5" s="1"/>
  <c r="GV89" i="5" s="1"/>
  <c r="GW89" i="5" s="1"/>
  <c r="GX89" i="5" s="1"/>
  <c r="GY89" i="5" s="1"/>
  <c r="GZ89" i="5" s="1"/>
  <c r="HA89" i="5" s="1"/>
  <c r="HB89" i="5" s="1"/>
  <c r="HC89" i="5" s="1"/>
  <c r="HD89" i="5" s="1"/>
  <c r="HE89" i="5" s="1"/>
  <c r="HF89" i="5" s="1"/>
  <c r="HG89" i="5" s="1"/>
  <c r="HH89" i="5" s="1"/>
  <c r="HI89" i="5" s="1"/>
  <c r="HJ89" i="5" s="1"/>
  <c r="HK89" i="5" s="1"/>
  <c r="HL89" i="5" s="1"/>
  <c r="HM89" i="5" s="1"/>
  <c r="HN89" i="5" s="1"/>
  <c r="HO89" i="5" s="1"/>
  <c r="HP89" i="5" s="1"/>
  <c r="HQ89" i="5" s="1"/>
  <c r="HR89" i="5" s="1"/>
  <c r="HS89" i="5" s="1"/>
  <c r="HT89" i="5" s="1"/>
  <c r="HU89" i="5" s="1"/>
  <c r="HV89" i="5" s="1"/>
  <c r="HW89" i="5" s="1"/>
  <c r="HX89" i="5" s="1"/>
  <c r="HY89" i="5" s="1"/>
  <c r="HZ89" i="5" s="1"/>
  <c r="IA89" i="5" s="1"/>
  <c r="IB89" i="5" s="1"/>
  <c r="IC89" i="5" s="1"/>
  <c r="ID89" i="5" s="1"/>
  <c r="IE89" i="5" s="1"/>
  <c r="IF89" i="5" s="1"/>
  <c r="IG89" i="5" s="1"/>
  <c r="IH89" i="5" s="1"/>
  <c r="II89" i="5" s="1"/>
  <c r="IJ89" i="5" s="1"/>
  <c r="IK89" i="5" s="1"/>
  <c r="IL89" i="5" s="1"/>
  <c r="IM89" i="5" s="1"/>
  <c r="IN89" i="5" s="1"/>
  <c r="IO89" i="5" s="1"/>
  <c r="IP89" i="5" s="1"/>
  <c r="IQ89" i="5" s="1"/>
  <c r="IR89" i="5" s="1"/>
  <c r="IS89" i="5" s="1"/>
  <c r="IT89" i="5" s="1"/>
  <c r="IU89" i="5" s="1"/>
  <c r="F81" i="5"/>
  <c r="G81" i="5" s="1"/>
  <c r="H81" i="5" s="1"/>
  <c r="I81" i="5" s="1"/>
  <c r="J81" i="5" s="1"/>
  <c r="K81" i="5" s="1"/>
  <c r="L81" i="5" s="1"/>
  <c r="M81" i="5" s="1"/>
  <c r="N81" i="5" s="1"/>
  <c r="O81" i="5" s="1"/>
  <c r="P81" i="5" s="1"/>
  <c r="Q81" i="5" s="1"/>
  <c r="R81" i="5" s="1"/>
  <c r="S81" i="5" s="1"/>
  <c r="T81" i="5" s="1"/>
  <c r="U81" i="5" s="1"/>
  <c r="V81" i="5" s="1"/>
  <c r="W81" i="5" s="1"/>
  <c r="X81" i="5" s="1"/>
  <c r="Y81" i="5" s="1"/>
  <c r="Z81" i="5" s="1"/>
  <c r="AA81" i="5" s="1"/>
  <c r="AB81" i="5" s="1"/>
  <c r="AC81" i="5" s="1"/>
  <c r="AD81" i="5" s="1"/>
  <c r="AE81" i="5" s="1"/>
  <c r="AF81" i="5" s="1"/>
  <c r="AG81" i="5" s="1"/>
  <c r="AH81" i="5" s="1"/>
  <c r="AI81" i="5" s="1"/>
  <c r="AJ81" i="5" s="1"/>
  <c r="AK81" i="5" s="1"/>
  <c r="AL81" i="5" s="1"/>
  <c r="AM81" i="5" s="1"/>
  <c r="AN81" i="5" s="1"/>
  <c r="AO81" i="5" s="1"/>
  <c r="AP81" i="5" s="1"/>
  <c r="AQ81" i="5" s="1"/>
  <c r="AR81" i="5" s="1"/>
  <c r="AS81" i="5" s="1"/>
  <c r="AT81" i="5" s="1"/>
  <c r="AU81" i="5" s="1"/>
  <c r="AV81" i="5" s="1"/>
  <c r="AW81" i="5" s="1"/>
  <c r="AX81" i="5" s="1"/>
  <c r="AY81" i="5" s="1"/>
  <c r="AZ81" i="5" s="1"/>
  <c r="BA81" i="5" s="1"/>
  <c r="BB81" i="5" s="1"/>
  <c r="BC81" i="5" s="1"/>
  <c r="BD81" i="5" s="1"/>
  <c r="BE81" i="5" s="1"/>
  <c r="BF81" i="5" s="1"/>
  <c r="BG81" i="5" s="1"/>
  <c r="BH81" i="5" s="1"/>
  <c r="BI81" i="5" s="1"/>
  <c r="BJ81" i="5" s="1"/>
  <c r="BK81" i="5" s="1"/>
  <c r="BL81" i="5" s="1"/>
  <c r="BM81" i="5" s="1"/>
  <c r="BN81" i="5" s="1"/>
  <c r="BO81" i="5" s="1"/>
  <c r="BP81" i="5" s="1"/>
  <c r="BQ81" i="5" s="1"/>
  <c r="BR81" i="5" s="1"/>
  <c r="BS81" i="5" s="1"/>
  <c r="BT81" i="5" s="1"/>
  <c r="BU81" i="5" s="1"/>
  <c r="BV81" i="5" s="1"/>
  <c r="BW81" i="5" s="1"/>
  <c r="BX81" i="5" s="1"/>
  <c r="BY81" i="5" s="1"/>
  <c r="BZ81" i="5" s="1"/>
  <c r="CA81" i="5" s="1"/>
  <c r="CB81" i="5" s="1"/>
  <c r="CC81" i="5" s="1"/>
  <c r="CD81" i="5" s="1"/>
  <c r="CE81" i="5" s="1"/>
  <c r="CF81" i="5" s="1"/>
  <c r="CG81" i="5" s="1"/>
  <c r="CH81" i="5" s="1"/>
  <c r="CI81" i="5" s="1"/>
  <c r="CJ81" i="5" s="1"/>
  <c r="CK81" i="5" s="1"/>
  <c r="CL81" i="5" s="1"/>
  <c r="CM81" i="5" s="1"/>
  <c r="CN81" i="5" s="1"/>
  <c r="CO81" i="5" s="1"/>
  <c r="CP81" i="5" s="1"/>
  <c r="CQ81" i="5" s="1"/>
  <c r="CR81" i="5" s="1"/>
  <c r="CS81" i="5" s="1"/>
  <c r="CT81" i="5" s="1"/>
  <c r="CU81" i="5" s="1"/>
  <c r="CV81" i="5" s="1"/>
  <c r="CW81" i="5" s="1"/>
  <c r="CX81" i="5" s="1"/>
  <c r="CY81" i="5" s="1"/>
  <c r="CZ81" i="5" s="1"/>
  <c r="DA81" i="5" s="1"/>
  <c r="DB81" i="5" s="1"/>
  <c r="DC81" i="5" s="1"/>
  <c r="DD81" i="5" s="1"/>
  <c r="DE81" i="5" s="1"/>
  <c r="DF81" i="5" s="1"/>
  <c r="DG81" i="5" s="1"/>
  <c r="DH81" i="5" s="1"/>
  <c r="DI81" i="5" s="1"/>
  <c r="DJ81" i="5" s="1"/>
  <c r="DK81" i="5" s="1"/>
  <c r="DL81" i="5" s="1"/>
  <c r="DM81" i="5" s="1"/>
  <c r="DN81" i="5" s="1"/>
  <c r="DO81" i="5" s="1"/>
  <c r="DP81" i="5" s="1"/>
  <c r="DQ81" i="5" s="1"/>
  <c r="DR81" i="5" s="1"/>
  <c r="DS81" i="5" s="1"/>
  <c r="DT81" i="5" s="1"/>
  <c r="DU81" i="5" s="1"/>
  <c r="DV81" i="5" s="1"/>
  <c r="DW81" i="5" s="1"/>
  <c r="DX81" i="5" s="1"/>
  <c r="DY81" i="5" s="1"/>
  <c r="DZ81" i="5" s="1"/>
  <c r="EA81" i="5" s="1"/>
  <c r="EB81" i="5" s="1"/>
  <c r="EC81" i="5" s="1"/>
  <c r="ED81" i="5" s="1"/>
  <c r="EE81" i="5" s="1"/>
  <c r="EF81" i="5" s="1"/>
  <c r="EG81" i="5" s="1"/>
  <c r="EH81" i="5" s="1"/>
  <c r="EI81" i="5" s="1"/>
  <c r="EJ81" i="5" s="1"/>
  <c r="EK81" i="5" s="1"/>
  <c r="EL81" i="5" s="1"/>
  <c r="EM81" i="5" s="1"/>
  <c r="EN81" i="5" s="1"/>
  <c r="EO81" i="5" s="1"/>
  <c r="EP81" i="5" s="1"/>
  <c r="EQ81" i="5" s="1"/>
  <c r="ER81" i="5" s="1"/>
  <c r="ES81" i="5" s="1"/>
  <c r="ET81" i="5" s="1"/>
  <c r="EU81" i="5" s="1"/>
  <c r="EV81" i="5" s="1"/>
  <c r="EW81" i="5" s="1"/>
  <c r="EX81" i="5" s="1"/>
  <c r="EY81" i="5" s="1"/>
  <c r="EZ81" i="5" s="1"/>
  <c r="FA81" i="5" s="1"/>
  <c r="FB81" i="5" s="1"/>
  <c r="FC81" i="5" s="1"/>
  <c r="FD81" i="5" s="1"/>
  <c r="FE81" i="5" s="1"/>
  <c r="FF81" i="5" s="1"/>
  <c r="FG81" i="5" s="1"/>
  <c r="FH81" i="5" s="1"/>
  <c r="FI81" i="5" s="1"/>
  <c r="FJ81" i="5" s="1"/>
  <c r="FK81" i="5" s="1"/>
  <c r="FL81" i="5" s="1"/>
  <c r="FM81" i="5" s="1"/>
  <c r="FN81" i="5" s="1"/>
  <c r="FO81" i="5" s="1"/>
  <c r="FP81" i="5" s="1"/>
  <c r="FQ81" i="5" s="1"/>
  <c r="FR81" i="5" s="1"/>
  <c r="FS81" i="5" s="1"/>
  <c r="FT81" i="5" s="1"/>
  <c r="FU81" i="5" s="1"/>
  <c r="FV81" i="5" s="1"/>
  <c r="FW81" i="5" s="1"/>
  <c r="FX81" i="5" s="1"/>
  <c r="FY81" i="5" s="1"/>
  <c r="FZ81" i="5" s="1"/>
  <c r="GA81" i="5" s="1"/>
  <c r="GB81" i="5" s="1"/>
  <c r="GC81" i="5" s="1"/>
  <c r="GD81" i="5" s="1"/>
  <c r="GE81" i="5" s="1"/>
  <c r="GF81" i="5" s="1"/>
  <c r="GG81" i="5" s="1"/>
  <c r="GH81" i="5" s="1"/>
  <c r="GI81" i="5" s="1"/>
  <c r="GJ81" i="5" s="1"/>
  <c r="GK81" i="5" s="1"/>
  <c r="GL81" i="5" s="1"/>
  <c r="GM81" i="5" s="1"/>
  <c r="GN81" i="5" s="1"/>
  <c r="GO81" i="5" s="1"/>
  <c r="GP81" i="5" s="1"/>
  <c r="GQ81" i="5" s="1"/>
  <c r="GR81" i="5" s="1"/>
  <c r="GS81" i="5" s="1"/>
  <c r="GT81" i="5" s="1"/>
  <c r="GU81" i="5" s="1"/>
  <c r="GV81" i="5" s="1"/>
  <c r="GW81" i="5" s="1"/>
  <c r="GX81" i="5" s="1"/>
  <c r="GY81" i="5" s="1"/>
  <c r="GZ81" i="5" s="1"/>
  <c r="HA81" i="5" s="1"/>
  <c r="HB81" i="5" s="1"/>
  <c r="HC81" i="5" s="1"/>
  <c r="HD81" i="5" s="1"/>
  <c r="HE81" i="5" s="1"/>
  <c r="HF81" i="5" s="1"/>
  <c r="HG81" i="5" s="1"/>
  <c r="HH81" i="5" s="1"/>
  <c r="HI81" i="5" s="1"/>
  <c r="HJ81" i="5" s="1"/>
  <c r="HK81" i="5" s="1"/>
  <c r="HL81" i="5" s="1"/>
  <c r="HM81" i="5" s="1"/>
  <c r="HN81" i="5" s="1"/>
  <c r="HO81" i="5" s="1"/>
  <c r="HP81" i="5" s="1"/>
  <c r="HQ81" i="5" s="1"/>
  <c r="HR81" i="5" s="1"/>
  <c r="HS81" i="5" s="1"/>
  <c r="HT81" i="5" s="1"/>
  <c r="HU81" i="5" s="1"/>
  <c r="HV81" i="5" s="1"/>
  <c r="HW81" i="5" s="1"/>
  <c r="HX81" i="5" s="1"/>
  <c r="HY81" i="5" s="1"/>
  <c r="HZ81" i="5" s="1"/>
  <c r="IA81" i="5" s="1"/>
  <c r="IB81" i="5" s="1"/>
  <c r="IC81" i="5" s="1"/>
  <c r="ID81" i="5" s="1"/>
  <c r="IE81" i="5" s="1"/>
  <c r="IF81" i="5" s="1"/>
  <c r="IG81" i="5" s="1"/>
  <c r="IH81" i="5" s="1"/>
  <c r="II81" i="5" s="1"/>
  <c r="IJ81" i="5" s="1"/>
  <c r="IK81" i="5" s="1"/>
  <c r="IL81" i="5" s="1"/>
  <c r="IM81" i="5" s="1"/>
  <c r="IN81" i="5" s="1"/>
  <c r="IO81" i="5" s="1"/>
  <c r="IP81" i="5" s="1"/>
  <c r="IQ81" i="5" s="1"/>
  <c r="IR81" i="5" s="1"/>
  <c r="IS81" i="5" s="1"/>
  <c r="IT81" i="5" s="1"/>
  <c r="IU81" i="5" s="1"/>
  <c r="F73" i="5"/>
  <c r="G73" i="5" s="1"/>
  <c r="H73" i="5" s="1"/>
  <c r="I73" i="5" s="1"/>
  <c r="J73" i="5" s="1"/>
  <c r="K73" i="5" s="1"/>
  <c r="L73" i="5" s="1"/>
  <c r="M73" i="5" s="1"/>
  <c r="N73" i="5" s="1"/>
  <c r="O73" i="5" s="1"/>
  <c r="P73" i="5" s="1"/>
  <c r="Q73" i="5" s="1"/>
  <c r="R73" i="5" s="1"/>
  <c r="S73" i="5" s="1"/>
  <c r="T73" i="5" s="1"/>
  <c r="U73" i="5" s="1"/>
  <c r="V73" i="5" s="1"/>
  <c r="W73" i="5" s="1"/>
  <c r="X73" i="5" s="1"/>
  <c r="Y73" i="5" s="1"/>
  <c r="Z73" i="5" s="1"/>
  <c r="AA73" i="5" s="1"/>
  <c r="AB73" i="5" s="1"/>
  <c r="AC73" i="5" s="1"/>
  <c r="AD73" i="5" s="1"/>
  <c r="AE73" i="5" s="1"/>
  <c r="AF73" i="5" s="1"/>
  <c r="AG73" i="5" s="1"/>
  <c r="AH73" i="5" s="1"/>
  <c r="AI73" i="5" s="1"/>
  <c r="AJ73" i="5" s="1"/>
  <c r="AK73" i="5" s="1"/>
  <c r="AL73" i="5" s="1"/>
  <c r="AM73" i="5" s="1"/>
  <c r="AN73" i="5" s="1"/>
  <c r="AO73" i="5" s="1"/>
  <c r="AP73" i="5" s="1"/>
  <c r="AQ73" i="5" s="1"/>
  <c r="AR73" i="5" s="1"/>
  <c r="AS73" i="5" s="1"/>
  <c r="AT73" i="5" s="1"/>
  <c r="AU73" i="5" s="1"/>
  <c r="AV73" i="5" s="1"/>
  <c r="AW73" i="5" s="1"/>
  <c r="AX73" i="5" s="1"/>
  <c r="AY73" i="5" s="1"/>
  <c r="AZ73" i="5" s="1"/>
  <c r="BA73" i="5" s="1"/>
  <c r="BB73" i="5" s="1"/>
  <c r="BC73" i="5" s="1"/>
  <c r="BD73" i="5" s="1"/>
  <c r="BE73" i="5" s="1"/>
  <c r="BF73" i="5" s="1"/>
  <c r="BG73" i="5" s="1"/>
  <c r="BH73" i="5" s="1"/>
  <c r="BI73" i="5" s="1"/>
  <c r="BJ73" i="5" s="1"/>
  <c r="BK73" i="5" s="1"/>
  <c r="BL73" i="5" s="1"/>
  <c r="BM73" i="5" s="1"/>
  <c r="BN73" i="5" s="1"/>
  <c r="BO73" i="5" s="1"/>
  <c r="BP73" i="5" s="1"/>
  <c r="BQ73" i="5" s="1"/>
  <c r="BR73" i="5" s="1"/>
  <c r="BS73" i="5" s="1"/>
  <c r="BT73" i="5" s="1"/>
  <c r="BU73" i="5" s="1"/>
  <c r="BV73" i="5" s="1"/>
  <c r="BW73" i="5" s="1"/>
  <c r="BX73" i="5" s="1"/>
  <c r="BY73" i="5" s="1"/>
  <c r="BZ73" i="5" s="1"/>
  <c r="CA73" i="5" s="1"/>
  <c r="CB73" i="5" s="1"/>
  <c r="CC73" i="5" s="1"/>
  <c r="CD73" i="5" s="1"/>
  <c r="CE73" i="5" s="1"/>
  <c r="CF73" i="5" s="1"/>
  <c r="CG73" i="5" s="1"/>
  <c r="CH73" i="5" s="1"/>
  <c r="CI73" i="5" s="1"/>
  <c r="CJ73" i="5" s="1"/>
  <c r="CK73" i="5" s="1"/>
  <c r="CL73" i="5" s="1"/>
  <c r="CM73" i="5" s="1"/>
  <c r="CN73" i="5" s="1"/>
  <c r="CO73" i="5" s="1"/>
  <c r="CP73" i="5" s="1"/>
  <c r="CQ73" i="5" s="1"/>
  <c r="CR73" i="5" s="1"/>
  <c r="CS73" i="5" s="1"/>
  <c r="CT73" i="5" s="1"/>
  <c r="CU73" i="5" s="1"/>
  <c r="CV73" i="5" s="1"/>
  <c r="CW73" i="5" s="1"/>
  <c r="CX73" i="5" s="1"/>
  <c r="CY73" i="5" s="1"/>
  <c r="CZ73" i="5" s="1"/>
  <c r="DA73" i="5" s="1"/>
  <c r="DB73" i="5" s="1"/>
  <c r="DC73" i="5" s="1"/>
  <c r="DD73" i="5" s="1"/>
  <c r="DE73" i="5" s="1"/>
  <c r="DF73" i="5" s="1"/>
  <c r="DG73" i="5" s="1"/>
  <c r="DH73" i="5" s="1"/>
  <c r="DI73" i="5" s="1"/>
  <c r="DJ73" i="5" s="1"/>
  <c r="DK73" i="5" s="1"/>
  <c r="DL73" i="5" s="1"/>
  <c r="DM73" i="5" s="1"/>
  <c r="DN73" i="5" s="1"/>
  <c r="DO73" i="5" s="1"/>
  <c r="DP73" i="5" s="1"/>
  <c r="DQ73" i="5" s="1"/>
  <c r="DR73" i="5" s="1"/>
  <c r="DS73" i="5" s="1"/>
  <c r="DT73" i="5" s="1"/>
  <c r="DU73" i="5" s="1"/>
  <c r="DV73" i="5" s="1"/>
  <c r="DW73" i="5" s="1"/>
  <c r="DX73" i="5" s="1"/>
  <c r="DY73" i="5" s="1"/>
  <c r="DZ73" i="5" s="1"/>
  <c r="EA73" i="5" s="1"/>
  <c r="EB73" i="5" s="1"/>
  <c r="EC73" i="5" s="1"/>
  <c r="ED73" i="5" s="1"/>
  <c r="EE73" i="5" s="1"/>
  <c r="EF73" i="5" s="1"/>
  <c r="EG73" i="5" s="1"/>
  <c r="EH73" i="5" s="1"/>
  <c r="EI73" i="5" s="1"/>
  <c r="EJ73" i="5" s="1"/>
  <c r="EK73" i="5" s="1"/>
  <c r="EL73" i="5" s="1"/>
  <c r="EM73" i="5" s="1"/>
  <c r="EN73" i="5" s="1"/>
  <c r="EO73" i="5" s="1"/>
  <c r="EP73" i="5" s="1"/>
  <c r="EQ73" i="5" s="1"/>
  <c r="ER73" i="5" s="1"/>
  <c r="ES73" i="5" s="1"/>
  <c r="ET73" i="5" s="1"/>
  <c r="EU73" i="5" s="1"/>
  <c r="EV73" i="5" s="1"/>
  <c r="EW73" i="5" s="1"/>
  <c r="EX73" i="5" s="1"/>
  <c r="EY73" i="5" s="1"/>
  <c r="EZ73" i="5" s="1"/>
  <c r="FA73" i="5" s="1"/>
  <c r="FB73" i="5" s="1"/>
  <c r="FC73" i="5" s="1"/>
  <c r="FD73" i="5" s="1"/>
  <c r="FE73" i="5" s="1"/>
  <c r="FF73" i="5" s="1"/>
  <c r="FG73" i="5" s="1"/>
  <c r="FH73" i="5" s="1"/>
  <c r="FI73" i="5" s="1"/>
  <c r="FJ73" i="5" s="1"/>
  <c r="FK73" i="5" s="1"/>
  <c r="FL73" i="5" s="1"/>
  <c r="FM73" i="5" s="1"/>
  <c r="FN73" i="5" s="1"/>
  <c r="FO73" i="5" s="1"/>
  <c r="FP73" i="5" s="1"/>
  <c r="FQ73" i="5" s="1"/>
  <c r="FR73" i="5" s="1"/>
  <c r="FS73" i="5" s="1"/>
  <c r="FT73" i="5" s="1"/>
  <c r="FU73" i="5" s="1"/>
  <c r="FV73" i="5" s="1"/>
  <c r="FW73" i="5" s="1"/>
  <c r="FX73" i="5" s="1"/>
  <c r="FY73" i="5" s="1"/>
  <c r="FZ73" i="5" s="1"/>
  <c r="GA73" i="5" s="1"/>
  <c r="GB73" i="5" s="1"/>
  <c r="GC73" i="5" s="1"/>
  <c r="GD73" i="5" s="1"/>
  <c r="GE73" i="5" s="1"/>
  <c r="GF73" i="5" s="1"/>
  <c r="GG73" i="5" s="1"/>
  <c r="GH73" i="5" s="1"/>
  <c r="GI73" i="5" s="1"/>
  <c r="GJ73" i="5" s="1"/>
  <c r="GK73" i="5" s="1"/>
  <c r="GL73" i="5" s="1"/>
  <c r="GM73" i="5" s="1"/>
  <c r="GN73" i="5" s="1"/>
  <c r="GO73" i="5" s="1"/>
  <c r="GP73" i="5" s="1"/>
  <c r="GQ73" i="5" s="1"/>
  <c r="GR73" i="5" s="1"/>
  <c r="GS73" i="5" s="1"/>
  <c r="GT73" i="5" s="1"/>
  <c r="GU73" i="5" s="1"/>
  <c r="GV73" i="5" s="1"/>
  <c r="GW73" i="5" s="1"/>
  <c r="GX73" i="5" s="1"/>
  <c r="GY73" i="5" s="1"/>
  <c r="GZ73" i="5" s="1"/>
  <c r="HA73" i="5" s="1"/>
  <c r="HB73" i="5" s="1"/>
  <c r="HC73" i="5" s="1"/>
  <c r="HD73" i="5" s="1"/>
  <c r="HE73" i="5" s="1"/>
  <c r="HF73" i="5" s="1"/>
  <c r="HG73" i="5" s="1"/>
  <c r="HH73" i="5" s="1"/>
  <c r="HI73" i="5" s="1"/>
  <c r="HJ73" i="5" s="1"/>
  <c r="HK73" i="5" s="1"/>
  <c r="HL73" i="5" s="1"/>
  <c r="HM73" i="5" s="1"/>
  <c r="HN73" i="5" s="1"/>
  <c r="HO73" i="5" s="1"/>
  <c r="HP73" i="5" s="1"/>
  <c r="HQ73" i="5" s="1"/>
  <c r="HR73" i="5" s="1"/>
  <c r="HS73" i="5" s="1"/>
  <c r="HT73" i="5" s="1"/>
  <c r="HU73" i="5" s="1"/>
  <c r="HV73" i="5" s="1"/>
  <c r="HW73" i="5" s="1"/>
  <c r="HX73" i="5" s="1"/>
  <c r="HY73" i="5" s="1"/>
  <c r="HZ73" i="5" s="1"/>
  <c r="IA73" i="5" s="1"/>
  <c r="IB73" i="5" s="1"/>
  <c r="IC73" i="5" s="1"/>
  <c r="ID73" i="5" s="1"/>
  <c r="IE73" i="5" s="1"/>
  <c r="IF73" i="5" s="1"/>
  <c r="IG73" i="5" s="1"/>
  <c r="IH73" i="5" s="1"/>
  <c r="II73" i="5" s="1"/>
  <c r="IJ73" i="5" s="1"/>
  <c r="IK73" i="5" s="1"/>
  <c r="IL73" i="5" s="1"/>
  <c r="IM73" i="5" s="1"/>
  <c r="IN73" i="5" s="1"/>
  <c r="IO73" i="5" s="1"/>
  <c r="IP73" i="5" s="1"/>
  <c r="IQ73" i="5" s="1"/>
  <c r="IR73" i="5" s="1"/>
  <c r="IS73" i="5" s="1"/>
  <c r="IT73" i="5" s="1"/>
  <c r="IU73" i="5" s="1"/>
  <c r="F65" i="5"/>
  <c r="G65" i="5" s="1"/>
  <c r="H65" i="5" s="1"/>
  <c r="I65" i="5" s="1"/>
  <c r="J65" i="5" s="1"/>
  <c r="K65" i="5" s="1"/>
  <c r="L65" i="5" s="1"/>
  <c r="M65" i="5" s="1"/>
  <c r="N65" i="5" s="1"/>
  <c r="O65" i="5" s="1"/>
  <c r="P65" i="5" s="1"/>
  <c r="Q65" i="5" s="1"/>
  <c r="R65" i="5" s="1"/>
  <c r="S65" i="5" s="1"/>
  <c r="T65" i="5" s="1"/>
  <c r="U65" i="5" s="1"/>
  <c r="V65" i="5" s="1"/>
  <c r="W65" i="5" s="1"/>
  <c r="X65" i="5" s="1"/>
  <c r="Y65" i="5" s="1"/>
  <c r="Z65" i="5" s="1"/>
  <c r="AA65" i="5" s="1"/>
  <c r="AB65" i="5" s="1"/>
  <c r="AC65" i="5" s="1"/>
  <c r="AD65" i="5" s="1"/>
  <c r="AE65" i="5" s="1"/>
  <c r="AF65" i="5" s="1"/>
  <c r="AG65" i="5" s="1"/>
  <c r="AH65" i="5" s="1"/>
  <c r="AI65" i="5" s="1"/>
  <c r="AJ65" i="5" s="1"/>
  <c r="AK65" i="5" s="1"/>
  <c r="AL65" i="5" s="1"/>
  <c r="AM65" i="5" s="1"/>
  <c r="AN65" i="5" s="1"/>
  <c r="AO65" i="5" s="1"/>
  <c r="AP65" i="5" s="1"/>
  <c r="AQ65" i="5" s="1"/>
  <c r="AR65" i="5" s="1"/>
  <c r="AS65" i="5" s="1"/>
  <c r="AT65" i="5" s="1"/>
  <c r="AU65" i="5" s="1"/>
  <c r="AV65" i="5" s="1"/>
  <c r="AW65" i="5" s="1"/>
  <c r="AX65" i="5" s="1"/>
  <c r="AY65" i="5" s="1"/>
  <c r="AZ65" i="5" s="1"/>
  <c r="BA65" i="5" s="1"/>
  <c r="BB65" i="5" s="1"/>
  <c r="BC65" i="5" s="1"/>
  <c r="BD65" i="5" s="1"/>
  <c r="BE65" i="5" s="1"/>
  <c r="BF65" i="5" s="1"/>
  <c r="BG65" i="5" s="1"/>
  <c r="BH65" i="5" s="1"/>
  <c r="BI65" i="5" s="1"/>
  <c r="BJ65" i="5" s="1"/>
  <c r="BK65" i="5" s="1"/>
  <c r="BL65" i="5" s="1"/>
  <c r="BM65" i="5" s="1"/>
  <c r="BN65" i="5" s="1"/>
  <c r="BO65" i="5" s="1"/>
  <c r="BP65" i="5" s="1"/>
  <c r="BQ65" i="5" s="1"/>
  <c r="BR65" i="5" s="1"/>
  <c r="BS65" i="5" s="1"/>
  <c r="BT65" i="5" s="1"/>
  <c r="BU65" i="5" s="1"/>
  <c r="BV65" i="5" s="1"/>
  <c r="BW65" i="5" s="1"/>
  <c r="BX65" i="5" s="1"/>
  <c r="BY65" i="5" s="1"/>
  <c r="BZ65" i="5" s="1"/>
  <c r="CA65" i="5" s="1"/>
  <c r="CB65" i="5" s="1"/>
  <c r="CC65" i="5" s="1"/>
  <c r="CD65" i="5" s="1"/>
  <c r="CE65" i="5" s="1"/>
  <c r="CF65" i="5" s="1"/>
  <c r="CG65" i="5" s="1"/>
  <c r="CH65" i="5" s="1"/>
  <c r="CI65" i="5" s="1"/>
  <c r="CJ65" i="5" s="1"/>
  <c r="CK65" i="5" s="1"/>
  <c r="CL65" i="5" s="1"/>
  <c r="CM65" i="5" s="1"/>
  <c r="CN65" i="5" s="1"/>
  <c r="CO65" i="5" s="1"/>
  <c r="CP65" i="5" s="1"/>
  <c r="CQ65" i="5" s="1"/>
  <c r="CR65" i="5" s="1"/>
  <c r="CS65" i="5" s="1"/>
  <c r="CT65" i="5" s="1"/>
  <c r="CU65" i="5" s="1"/>
  <c r="CV65" i="5" s="1"/>
  <c r="CW65" i="5" s="1"/>
  <c r="CX65" i="5" s="1"/>
  <c r="CY65" i="5" s="1"/>
  <c r="CZ65" i="5" s="1"/>
  <c r="DA65" i="5" s="1"/>
  <c r="DB65" i="5" s="1"/>
  <c r="DC65" i="5" s="1"/>
  <c r="DD65" i="5" s="1"/>
  <c r="DE65" i="5" s="1"/>
  <c r="DF65" i="5" s="1"/>
  <c r="DG65" i="5" s="1"/>
  <c r="DH65" i="5" s="1"/>
  <c r="DI65" i="5" s="1"/>
  <c r="DJ65" i="5" s="1"/>
  <c r="DK65" i="5" s="1"/>
  <c r="DL65" i="5" s="1"/>
  <c r="DM65" i="5" s="1"/>
  <c r="DN65" i="5" s="1"/>
  <c r="DO65" i="5" s="1"/>
  <c r="DP65" i="5" s="1"/>
  <c r="DQ65" i="5" s="1"/>
  <c r="DR65" i="5" s="1"/>
  <c r="DS65" i="5" s="1"/>
  <c r="DT65" i="5" s="1"/>
  <c r="DU65" i="5" s="1"/>
  <c r="DV65" i="5" s="1"/>
  <c r="DW65" i="5" s="1"/>
  <c r="DX65" i="5" s="1"/>
  <c r="DY65" i="5" s="1"/>
  <c r="DZ65" i="5" s="1"/>
  <c r="EA65" i="5" s="1"/>
  <c r="EB65" i="5" s="1"/>
  <c r="EC65" i="5" s="1"/>
  <c r="ED65" i="5" s="1"/>
  <c r="EE65" i="5" s="1"/>
  <c r="EF65" i="5" s="1"/>
  <c r="EG65" i="5" s="1"/>
  <c r="EH65" i="5" s="1"/>
  <c r="EI65" i="5" s="1"/>
  <c r="EJ65" i="5" s="1"/>
  <c r="EK65" i="5" s="1"/>
  <c r="EL65" i="5" s="1"/>
  <c r="EM65" i="5" s="1"/>
  <c r="EN65" i="5" s="1"/>
  <c r="EO65" i="5" s="1"/>
  <c r="EP65" i="5" s="1"/>
  <c r="EQ65" i="5" s="1"/>
  <c r="ER65" i="5" s="1"/>
  <c r="ES65" i="5" s="1"/>
  <c r="ET65" i="5" s="1"/>
  <c r="EU65" i="5" s="1"/>
  <c r="EV65" i="5" s="1"/>
  <c r="EW65" i="5" s="1"/>
  <c r="EX65" i="5" s="1"/>
  <c r="EY65" i="5" s="1"/>
  <c r="EZ65" i="5" s="1"/>
  <c r="FA65" i="5" s="1"/>
  <c r="FB65" i="5" s="1"/>
  <c r="FC65" i="5" s="1"/>
  <c r="FD65" i="5" s="1"/>
  <c r="FE65" i="5" s="1"/>
  <c r="FF65" i="5" s="1"/>
  <c r="FG65" i="5" s="1"/>
  <c r="FH65" i="5" s="1"/>
  <c r="FI65" i="5" s="1"/>
  <c r="FJ65" i="5" s="1"/>
  <c r="FK65" i="5" s="1"/>
  <c r="FL65" i="5" s="1"/>
  <c r="FM65" i="5" s="1"/>
  <c r="FN65" i="5" s="1"/>
  <c r="FO65" i="5" s="1"/>
  <c r="FP65" i="5" s="1"/>
  <c r="FQ65" i="5" s="1"/>
  <c r="FR65" i="5" s="1"/>
  <c r="FS65" i="5" s="1"/>
  <c r="FT65" i="5" s="1"/>
  <c r="FU65" i="5" s="1"/>
  <c r="FV65" i="5" s="1"/>
  <c r="FW65" i="5" s="1"/>
  <c r="FX65" i="5" s="1"/>
  <c r="FY65" i="5" s="1"/>
  <c r="FZ65" i="5" s="1"/>
  <c r="GA65" i="5" s="1"/>
  <c r="GB65" i="5" s="1"/>
  <c r="GC65" i="5" s="1"/>
  <c r="GD65" i="5" s="1"/>
  <c r="GE65" i="5" s="1"/>
  <c r="GF65" i="5" s="1"/>
  <c r="GG65" i="5" s="1"/>
  <c r="GH65" i="5" s="1"/>
  <c r="GI65" i="5" s="1"/>
  <c r="GJ65" i="5" s="1"/>
  <c r="GK65" i="5" s="1"/>
  <c r="GL65" i="5" s="1"/>
  <c r="GM65" i="5" s="1"/>
  <c r="GN65" i="5" s="1"/>
  <c r="GO65" i="5" s="1"/>
  <c r="GP65" i="5" s="1"/>
  <c r="GQ65" i="5" s="1"/>
  <c r="GR65" i="5" s="1"/>
  <c r="GS65" i="5" s="1"/>
  <c r="GT65" i="5" s="1"/>
  <c r="GU65" i="5" s="1"/>
  <c r="GV65" i="5" s="1"/>
  <c r="GW65" i="5" s="1"/>
  <c r="GX65" i="5" s="1"/>
  <c r="GY65" i="5" s="1"/>
  <c r="GZ65" i="5" s="1"/>
  <c r="HA65" i="5" s="1"/>
  <c r="HB65" i="5" s="1"/>
  <c r="HC65" i="5" s="1"/>
  <c r="HD65" i="5" s="1"/>
  <c r="HE65" i="5" s="1"/>
  <c r="HF65" i="5" s="1"/>
  <c r="HG65" i="5" s="1"/>
  <c r="HH65" i="5" s="1"/>
  <c r="HI65" i="5" s="1"/>
  <c r="HJ65" i="5" s="1"/>
  <c r="HK65" i="5" s="1"/>
  <c r="HL65" i="5" s="1"/>
  <c r="HM65" i="5" s="1"/>
  <c r="HN65" i="5" s="1"/>
  <c r="HO65" i="5" s="1"/>
  <c r="HP65" i="5" s="1"/>
  <c r="HQ65" i="5" s="1"/>
  <c r="HR65" i="5" s="1"/>
  <c r="HS65" i="5" s="1"/>
  <c r="HT65" i="5" s="1"/>
  <c r="HU65" i="5" s="1"/>
  <c r="HV65" i="5" s="1"/>
  <c r="HW65" i="5" s="1"/>
  <c r="HX65" i="5" s="1"/>
  <c r="HY65" i="5" s="1"/>
  <c r="HZ65" i="5" s="1"/>
  <c r="IA65" i="5" s="1"/>
  <c r="IB65" i="5" s="1"/>
  <c r="IC65" i="5" s="1"/>
  <c r="ID65" i="5" s="1"/>
  <c r="IE65" i="5" s="1"/>
  <c r="IF65" i="5" s="1"/>
  <c r="IG65" i="5" s="1"/>
  <c r="IH65" i="5" s="1"/>
  <c r="II65" i="5" s="1"/>
  <c r="IJ65" i="5" s="1"/>
  <c r="IK65" i="5" s="1"/>
  <c r="IL65" i="5" s="1"/>
  <c r="IM65" i="5" s="1"/>
  <c r="IN65" i="5" s="1"/>
  <c r="IO65" i="5" s="1"/>
  <c r="IP65" i="5" s="1"/>
  <c r="IQ65" i="5" s="1"/>
  <c r="IR65" i="5" s="1"/>
  <c r="IS65" i="5" s="1"/>
  <c r="IT65" i="5" s="1"/>
  <c r="IU65" i="5" s="1"/>
  <c r="F57" i="5"/>
  <c r="G57" i="5" s="1"/>
  <c r="H57" i="5" s="1"/>
  <c r="I57" i="5" s="1"/>
  <c r="J57" i="5" s="1"/>
  <c r="K57" i="5" s="1"/>
  <c r="L57" i="5" s="1"/>
  <c r="M57" i="5" s="1"/>
  <c r="N57" i="5" s="1"/>
  <c r="O57" i="5" s="1"/>
  <c r="P57" i="5" s="1"/>
  <c r="Q57" i="5" s="1"/>
  <c r="R57" i="5" s="1"/>
  <c r="S57" i="5" s="1"/>
  <c r="T57" i="5" s="1"/>
  <c r="U57" i="5" s="1"/>
  <c r="V57" i="5" s="1"/>
  <c r="W57" i="5" s="1"/>
  <c r="X57" i="5" s="1"/>
  <c r="Y57" i="5" s="1"/>
  <c r="Z57" i="5" s="1"/>
  <c r="AA57" i="5" s="1"/>
  <c r="AB57" i="5" s="1"/>
  <c r="AC57" i="5" s="1"/>
  <c r="AD57" i="5" s="1"/>
  <c r="AE57" i="5" s="1"/>
  <c r="AF57" i="5" s="1"/>
  <c r="AG57" i="5" s="1"/>
  <c r="AH57" i="5" s="1"/>
  <c r="AI57" i="5" s="1"/>
  <c r="AJ57" i="5" s="1"/>
  <c r="AK57" i="5" s="1"/>
  <c r="AL57" i="5" s="1"/>
  <c r="AM57" i="5" s="1"/>
  <c r="AN57" i="5" s="1"/>
  <c r="AO57" i="5" s="1"/>
  <c r="AP57" i="5" s="1"/>
  <c r="AQ57" i="5" s="1"/>
  <c r="AR57" i="5" s="1"/>
  <c r="AS57" i="5" s="1"/>
  <c r="AT57" i="5" s="1"/>
  <c r="AU57" i="5" s="1"/>
  <c r="AV57" i="5" s="1"/>
  <c r="AW57" i="5" s="1"/>
  <c r="AX57" i="5" s="1"/>
  <c r="AY57" i="5" s="1"/>
  <c r="AZ57" i="5" s="1"/>
  <c r="BA57" i="5" s="1"/>
  <c r="BB57" i="5" s="1"/>
  <c r="BC57" i="5" s="1"/>
  <c r="BD57" i="5" s="1"/>
  <c r="BE57" i="5" s="1"/>
  <c r="BF57" i="5" s="1"/>
  <c r="BG57" i="5" s="1"/>
  <c r="BH57" i="5" s="1"/>
  <c r="BI57" i="5" s="1"/>
  <c r="BJ57" i="5" s="1"/>
  <c r="BK57" i="5" s="1"/>
  <c r="BL57" i="5" s="1"/>
  <c r="BM57" i="5" s="1"/>
  <c r="BN57" i="5" s="1"/>
  <c r="BO57" i="5" s="1"/>
  <c r="BP57" i="5" s="1"/>
  <c r="BQ57" i="5" s="1"/>
  <c r="BR57" i="5" s="1"/>
  <c r="BS57" i="5" s="1"/>
  <c r="BT57" i="5" s="1"/>
  <c r="BU57" i="5" s="1"/>
  <c r="BV57" i="5" s="1"/>
  <c r="BW57" i="5" s="1"/>
  <c r="BX57" i="5" s="1"/>
  <c r="BY57" i="5" s="1"/>
  <c r="BZ57" i="5" s="1"/>
  <c r="CA57" i="5" s="1"/>
  <c r="CB57" i="5" s="1"/>
  <c r="CC57" i="5" s="1"/>
  <c r="CD57" i="5" s="1"/>
  <c r="CE57" i="5" s="1"/>
  <c r="CF57" i="5" s="1"/>
  <c r="CG57" i="5" s="1"/>
  <c r="CH57" i="5" s="1"/>
  <c r="CI57" i="5" s="1"/>
  <c r="CJ57" i="5" s="1"/>
  <c r="CK57" i="5" s="1"/>
  <c r="CL57" i="5" s="1"/>
  <c r="CM57" i="5" s="1"/>
  <c r="CN57" i="5" s="1"/>
  <c r="CO57" i="5" s="1"/>
  <c r="CP57" i="5" s="1"/>
  <c r="CQ57" i="5" s="1"/>
  <c r="CR57" i="5" s="1"/>
  <c r="CS57" i="5" s="1"/>
  <c r="CT57" i="5" s="1"/>
  <c r="CU57" i="5" s="1"/>
  <c r="CV57" i="5" s="1"/>
  <c r="CW57" i="5" s="1"/>
  <c r="CX57" i="5" s="1"/>
  <c r="CY57" i="5" s="1"/>
  <c r="CZ57" i="5" s="1"/>
  <c r="DA57" i="5" s="1"/>
  <c r="DB57" i="5" s="1"/>
  <c r="DC57" i="5" s="1"/>
  <c r="DD57" i="5" s="1"/>
  <c r="DE57" i="5" s="1"/>
  <c r="DF57" i="5" s="1"/>
  <c r="DG57" i="5" s="1"/>
  <c r="DH57" i="5" s="1"/>
  <c r="DI57" i="5" s="1"/>
  <c r="DJ57" i="5" s="1"/>
  <c r="DK57" i="5" s="1"/>
  <c r="DL57" i="5" s="1"/>
  <c r="DM57" i="5" s="1"/>
  <c r="DN57" i="5" s="1"/>
  <c r="DO57" i="5" s="1"/>
  <c r="DP57" i="5" s="1"/>
  <c r="DQ57" i="5" s="1"/>
  <c r="DR57" i="5" s="1"/>
  <c r="DS57" i="5" s="1"/>
  <c r="DT57" i="5" s="1"/>
  <c r="DU57" i="5" s="1"/>
  <c r="DV57" i="5" s="1"/>
  <c r="DW57" i="5" s="1"/>
  <c r="DX57" i="5" s="1"/>
  <c r="DY57" i="5" s="1"/>
  <c r="DZ57" i="5" s="1"/>
  <c r="EA57" i="5" s="1"/>
  <c r="EB57" i="5" s="1"/>
  <c r="EC57" i="5" s="1"/>
  <c r="ED57" i="5" s="1"/>
  <c r="EE57" i="5" s="1"/>
  <c r="EF57" i="5" s="1"/>
  <c r="EG57" i="5" s="1"/>
  <c r="EH57" i="5" s="1"/>
  <c r="EI57" i="5" s="1"/>
  <c r="EJ57" i="5" s="1"/>
  <c r="EK57" i="5" s="1"/>
  <c r="EL57" i="5" s="1"/>
  <c r="EM57" i="5" s="1"/>
  <c r="EN57" i="5" s="1"/>
  <c r="EO57" i="5" s="1"/>
  <c r="EP57" i="5" s="1"/>
  <c r="EQ57" i="5" s="1"/>
  <c r="ER57" i="5" s="1"/>
  <c r="ES57" i="5" s="1"/>
  <c r="ET57" i="5" s="1"/>
  <c r="EU57" i="5" s="1"/>
  <c r="EV57" i="5" s="1"/>
  <c r="EW57" i="5" s="1"/>
  <c r="EX57" i="5" s="1"/>
  <c r="EY57" i="5" s="1"/>
  <c r="EZ57" i="5" s="1"/>
  <c r="FA57" i="5" s="1"/>
  <c r="FB57" i="5" s="1"/>
  <c r="FC57" i="5" s="1"/>
  <c r="FD57" i="5" s="1"/>
  <c r="FE57" i="5" s="1"/>
  <c r="FF57" i="5" s="1"/>
  <c r="FG57" i="5" s="1"/>
  <c r="FH57" i="5" s="1"/>
  <c r="FI57" i="5" s="1"/>
  <c r="FJ57" i="5" s="1"/>
  <c r="FK57" i="5" s="1"/>
  <c r="FL57" i="5" s="1"/>
  <c r="FM57" i="5" s="1"/>
  <c r="FN57" i="5" s="1"/>
  <c r="FO57" i="5" s="1"/>
  <c r="FP57" i="5" s="1"/>
  <c r="FQ57" i="5" s="1"/>
  <c r="FR57" i="5" s="1"/>
  <c r="FS57" i="5" s="1"/>
  <c r="FT57" i="5" s="1"/>
  <c r="FU57" i="5" s="1"/>
  <c r="FV57" i="5" s="1"/>
  <c r="FW57" i="5" s="1"/>
  <c r="FX57" i="5" s="1"/>
  <c r="FY57" i="5" s="1"/>
  <c r="FZ57" i="5" s="1"/>
  <c r="GA57" i="5" s="1"/>
  <c r="GB57" i="5" s="1"/>
  <c r="GC57" i="5" s="1"/>
  <c r="GD57" i="5" s="1"/>
  <c r="GE57" i="5" s="1"/>
  <c r="GF57" i="5" s="1"/>
  <c r="GG57" i="5" s="1"/>
  <c r="GH57" i="5" s="1"/>
  <c r="GI57" i="5" s="1"/>
  <c r="GJ57" i="5" s="1"/>
  <c r="GK57" i="5" s="1"/>
  <c r="GL57" i="5" s="1"/>
  <c r="GM57" i="5" s="1"/>
  <c r="GN57" i="5" s="1"/>
  <c r="GO57" i="5" s="1"/>
  <c r="GP57" i="5" s="1"/>
  <c r="GQ57" i="5" s="1"/>
  <c r="GR57" i="5" s="1"/>
  <c r="GS57" i="5" s="1"/>
  <c r="GT57" i="5" s="1"/>
  <c r="GU57" i="5" s="1"/>
  <c r="GV57" i="5" s="1"/>
  <c r="GW57" i="5" s="1"/>
  <c r="GX57" i="5" s="1"/>
  <c r="GY57" i="5" s="1"/>
  <c r="GZ57" i="5" s="1"/>
  <c r="HA57" i="5" s="1"/>
  <c r="HB57" i="5" s="1"/>
  <c r="HC57" i="5" s="1"/>
  <c r="HD57" i="5" s="1"/>
  <c r="HE57" i="5" s="1"/>
  <c r="HF57" i="5" s="1"/>
  <c r="HG57" i="5" s="1"/>
  <c r="HH57" i="5" s="1"/>
  <c r="HI57" i="5" s="1"/>
  <c r="HJ57" i="5" s="1"/>
  <c r="HK57" i="5" s="1"/>
  <c r="HL57" i="5" s="1"/>
  <c r="HM57" i="5" s="1"/>
  <c r="HN57" i="5" s="1"/>
  <c r="HO57" i="5" s="1"/>
  <c r="HP57" i="5" s="1"/>
  <c r="HQ57" i="5" s="1"/>
  <c r="HR57" i="5" s="1"/>
  <c r="HS57" i="5" s="1"/>
  <c r="HT57" i="5" s="1"/>
  <c r="HU57" i="5" s="1"/>
  <c r="HV57" i="5" s="1"/>
  <c r="HW57" i="5" s="1"/>
  <c r="HX57" i="5" s="1"/>
  <c r="HY57" i="5" s="1"/>
  <c r="HZ57" i="5" s="1"/>
  <c r="IA57" i="5" s="1"/>
  <c r="IB57" i="5" s="1"/>
  <c r="IC57" i="5" s="1"/>
  <c r="ID57" i="5" s="1"/>
  <c r="IE57" i="5" s="1"/>
  <c r="IF57" i="5" s="1"/>
  <c r="IG57" i="5" s="1"/>
  <c r="IH57" i="5" s="1"/>
  <c r="II57" i="5" s="1"/>
  <c r="IJ57" i="5" s="1"/>
  <c r="IK57" i="5" s="1"/>
  <c r="IL57" i="5" s="1"/>
  <c r="IM57" i="5" s="1"/>
  <c r="IN57" i="5" s="1"/>
  <c r="IO57" i="5" s="1"/>
  <c r="IP57" i="5" s="1"/>
  <c r="IQ57" i="5" s="1"/>
  <c r="IR57" i="5" s="1"/>
  <c r="IS57" i="5" s="1"/>
  <c r="IT57" i="5" s="1"/>
  <c r="IU57" i="5" s="1"/>
  <c r="F49" i="5"/>
  <c r="G49" i="5" s="1"/>
  <c r="H49" i="5" s="1"/>
  <c r="I49" i="5" s="1"/>
  <c r="J49" i="5" s="1"/>
  <c r="K49" i="5" s="1"/>
  <c r="L49" i="5" s="1"/>
  <c r="M49" i="5" s="1"/>
  <c r="N49" i="5" s="1"/>
  <c r="O49" i="5" s="1"/>
  <c r="P49" i="5" s="1"/>
  <c r="Q49" i="5" s="1"/>
  <c r="R49" i="5" s="1"/>
  <c r="S49" i="5" s="1"/>
  <c r="T49" i="5" s="1"/>
  <c r="U49" i="5" s="1"/>
  <c r="V49" i="5" s="1"/>
  <c r="W49" i="5" s="1"/>
  <c r="X49" i="5" s="1"/>
  <c r="Y49" i="5" s="1"/>
  <c r="Z49" i="5" s="1"/>
  <c r="AA49" i="5" s="1"/>
  <c r="AB49" i="5" s="1"/>
  <c r="AC49" i="5" s="1"/>
  <c r="AD49" i="5" s="1"/>
  <c r="AE49" i="5" s="1"/>
  <c r="AF49" i="5" s="1"/>
  <c r="AG49" i="5" s="1"/>
  <c r="AH49" i="5" s="1"/>
  <c r="AI49" i="5" s="1"/>
  <c r="AJ49" i="5" s="1"/>
  <c r="AK49" i="5" s="1"/>
  <c r="AL49" i="5" s="1"/>
  <c r="AM49" i="5" s="1"/>
  <c r="AN49" i="5" s="1"/>
  <c r="AO49" i="5" s="1"/>
  <c r="AP49" i="5" s="1"/>
  <c r="AQ49" i="5" s="1"/>
  <c r="AR49" i="5" s="1"/>
  <c r="AS49" i="5" s="1"/>
  <c r="AT49" i="5" s="1"/>
  <c r="AU49" i="5" s="1"/>
  <c r="AV49" i="5" s="1"/>
  <c r="AW49" i="5" s="1"/>
  <c r="AX49" i="5" s="1"/>
  <c r="AY49" i="5" s="1"/>
  <c r="AZ49" i="5" s="1"/>
  <c r="BA49" i="5" s="1"/>
  <c r="BB49" i="5" s="1"/>
  <c r="BC49" i="5" s="1"/>
  <c r="BD49" i="5" s="1"/>
  <c r="BE49" i="5" s="1"/>
  <c r="BF49" i="5" s="1"/>
  <c r="BG49" i="5" s="1"/>
  <c r="BH49" i="5" s="1"/>
  <c r="BI49" i="5" s="1"/>
  <c r="BJ49" i="5" s="1"/>
  <c r="BK49" i="5" s="1"/>
  <c r="BL49" i="5" s="1"/>
  <c r="BM49" i="5" s="1"/>
  <c r="BN49" i="5" s="1"/>
  <c r="BO49" i="5" s="1"/>
  <c r="BP49" i="5" s="1"/>
  <c r="BQ49" i="5" s="1"/>
  <c r="BR49" i="5" s="1"/>
  <c r="BS49" i="5" s="1"/>
  <c r="BT49" i="5" s="1"/>
  <c r="BU49" i="5" s="1"/>
  <c r="BV49" i="5" s="1"/>
  <c r="BW49" i="5" s="1"/>
  <c r="BX49" i="5" s="1"/>
  <c r="BY49" i="5" s="1"/>
  <c r="BZ49" i="5" s="1"/>
  <c r="CA49" i="5" s="1"/>
  <c r="CB49" i="5" s="1"/>
  <c r="CC49" i="5" s="1"/>
  <c r="CD49" i="5" s="1"/>
  <c r="CE49" i="5" s="1"/>
  <c r="CF49" i="5" s="1"/>
  <c r="CG49" i="5" s="1"/>
  <c r="CH49" i="5" s="1"/>
  <c r="CI49" i="5" s="1"/>
  <c r="CJ49" i="5" s="1"/>
  <c r="CK49" i="5" s="1"/>
  <c r="CL49" i="5" s="1"/>
  <c r="CM49" i="5" s="1"/>
  <c r="CN49" i="5" s="1"/>
  <c r="CO49" i="5" s="1"/>
  <c r="CP49" i="5" s="1"/>
  <c r="CQ49" i="5" s="1"/>
  <c r="CR49" i="5" s="1"/>
  <c r="CS49" i="5" s="1"/>
  <c r="CT49" i="5" s="1"/>
  <c r="CU49" i="5" s="1"/>
  <c r="CV49" i="5" s="1"/>
  <c r="CW49" i="5" s="1"/>
  <c r="CX49" i="5" s="1"/>
  <c r="CY49" i="5" s="1"/>
  <c r="CZ49" i="5" s="1"/>
  <c r="DA49" i="5" s="1"/>
  <c r="DB49" i="5" s="1"/>
  <c r="DC49" i="5" s="1"/>
  <c r="DD49" i="5" s="1"/>
  <c r="DE49" i="5" s="1"/>
  <c r="DF49" i="5" s="1"/>
  <c r="DG49" i="5" s="1"/>
  <c r="DH49" i="5" s="1"/>
  <c r="DI49" i="5" s="1"/>
  <c r="DJ49" i="5" s="1"/>
  <c r="DK49" i="5" s="1"/>
  <c r="DL49" i="5" s="1"/>
  <c r="DM49" i="5" s="1"/>
  <c r="DN49" i="5" s="1"/>
  <c r="DO49" i="5" s="1"/>
  <c r="DP49" i="5" s="1"/>
  <c r="DQ49" i="5" s="1"/>
  <c r="DR49" i="5" s="1"/>
  <c r="DS49" i="5" s="1"/>
  <c r="DT49" i="5" s="1"/>
  <c r="DU49" i="5" s="1"/>
  <c r="DV49" i="5" s="1"/>
  <c r="DW49" i="5" s="1"/>
  <c r="DX49" i="5" s="1"/>
  <c r="DY49" i="5" s="1"/>
  <c r="DZ49" i="5" s="1"/>
  <c r="EA49" i="5" s="1"/>
  <c r="EB49" i="5" s="1"/>
  <c r="EC49" i="5" s="1"/>
  <c r="ED49" i="5" s="1"/>
  <c r="EE49" i="5" s="1"/>
  <c r="EF49" i="5" s="1"/>
  <c r="EG49" i="5" s="1"/>
  <c r="EH49" i="5" s="1"/>
  <c r="EI49" i="5" s="1"/>
  <c r="EJ49" i="5" s="1"/>
  <c r="EK49" i="5" s="1"/>
  <c r="EL49" i="5" s="1"/>
  <c r="EM49" i="5" s="1"/>
  <c r="EN49" i="5" s="1"/>
  <c r="EO49" i="5" s="1"/>
  <c r="EP49" i="5" s="1"/>
  <c r="EQ49" i="5" s="1"/>
  <c r="ER49" i="5" s="1"/>
  <c r="ES49" i="5" s="1"/>
  <c r="ET49" i="5" s="1"/>
  <c r="EU49" i="5" s="1"/>
  <c r="EV49" i="5" s="1"/>
  <c r="EW49" i="5" s="1"/>
  <c r="EX49" i="5" s="1"/>
  <c r="EY49" i="5" s="1"/>
  <c r="EZ49" i="5" s="1"/>
  <c r="FA49" i="5" s="1"/>
  <c r="FB49" i="5" s="1"/>
  <c r="FC49" i="5" s="1"/>
  <c r="FD49" i="5" s="1"/>
  <c r="FE49" i="5" s="1"/>
  <c r="FF49" i="5" s="1"/>
  <c r="FG49" i="5" s="1"/>
  <c r="FH49" i="5" s="1"/>
  <c r="FI49" i="5" s="1"/>
  <c r="FJ49" i="5" s="1"/>
  <c r="FK49" i="5" s="1"/>
  <c r="FL49" i="5" s="1"/>
  <c r="FM49" i="5" s="1"/>
  <c r="FN49" i="5" s="1"/>
  <c r="FO49" i="5" s="1"/>
  <c r="FP49" i="5" s="1"/>
  <c r="FQ49" i="5" s="1"/>
  <c r="FR49" i="5" s="1"/>
  <c r="FS49" i="5" s="1"/>
  <c r="FT49" i="5" s="1"/>
  <c r="FU49" i="5" s="1"/>
  <c r="FV49" i="5" s="1"/>
  <c r="FW49" i="5" s="1"/>
  <c r="FX49" i="5" s="1"/>
  <c r="FY49" i="5" s="1"/>
  <c r="FZ49" i="5" s="1"/>
  <c r="GA49" i="5" s="1"/>
  <c r="GB49" i="5" s="1"/>
  <c r="GC49" i="5" s="1"/>
  <c r="GD49" i="5" s="1"/>
  <c r="GE49" i="5" s="1"/>
  <c r="GF49" i="5" s="1"/>
  <c r="GG49" i="5" s="1"/>
  <c r="GH49" i="5" s="1"/>
  <c r="GI49" i="5" s="1"/>
  <c r="GJ49" i="5" s="1"/>
  <c r="GK49" i="5" s="1"/>
  <c r="GL49" i="5" s="1"/>
  <c r="GM49" i="5" s="1"/>
  <c r="GN49" i="5" s="1"/>
  <c r="GO49" i="5" s="1"/>
  <c r="GP49" i="5" s="1"/>
  <c r="GQ49" i="5" s="1"/>
  <c r="GR49" i="5" s="1"/>
  <c r="GS49" i="5" s="1"/>
  <c r="GT49" i="5" s="1"/>
  <c r="GU49" i="5" s="1"/>
  <c r="GV49" i="5" s="1"/>
  <c r="GW49" i="5" s="1"/>
  <c r="GX49" i="5" s="1"/>
  <c r="GY49" i="5" s="1"/>
  <c r="GZ49" i="5" s="1"/>
  <c r="HA49" i="5" s="1"/>
  <c r="HB49" i="5" s="1"/>
  <c r="HC49" i="5" s="1"/>
  <c r="HD49" i="5" s="1"/>
  <c r="HE49" i="5" s="1"/>
  <c r="HF49" i="5" s="1"/>
  <c r="HG49" i="5" s="1"/>
  <c r="HH49" i="5" s="1"/>
  <c r="HI49" i="5" s="1"/>
  <c r="HJ49" i="5" s="1"/>
  <c r="HK49" i="5" s="1"/>
  <c r="HL49" i="5" s="1"/>
  <c r="HM49" i="5" s="1"/>
  <c r="HN49" i="5" s="1"/>
  <c r="HO49" i="5" s="1"/>
  <c r="HP49" i="5" s="1"/>
  <c r="HQ49" i="5" s="1"/>
  <c r="HR49" i="5" s="1"/>
  <c r="HS49" i="5" s="1"/>
  <c r="HT49" i="5" s="1"/>
  <c r="HU49" i="5" s="1"/>
  <c r="HV49" i="5" s="1"/>
  <c r="HW49" i="5" s="1"/>
  <c r="HX49" i="5" s="1"/>
  <c r="HY49" i="5" s="1"/>
  <c r="HZ49" i="5" s="1"/>
  <c r="IA49" i="5" s="1"/>
  <c r="IB49" i="5" s="1"/>
  <c r="IC49" i="5" s="1"/>
  <c r="ID49" i="5" s="1"/>
  <c r="IE49" i="5" s="1"/>
  <c r="IF49" i="5" s="1"/>
  <c r="IG49" i="5" s="1"/>
  <c r="IH49" i="5" s="1"/>
  <c r="II49" i="5" s="1"/>
  <c r="IJ49" i="5" s="1"/>
  <c r="IK49" i="5" s="1"/>
  <c r="IL49" i="5" s="1"/>
  <c r="IM49" i="5" s="1"/>
  <c r="IN49" i="5" s="1"/>
  <c r="IO49" i="5" s="1"/>
  <c r="IP49" i="5" s="1"/>
  <c r="IQ49" i="5" s="1"/>
  <c r="IR49" i="5" s="1"/>
  <c r="IS49" i="5" s="1"/>
  <c r="IT49" i="5" s="1"/>
  <c r="IU49" i="5" s="1"/>
  <c r="F41" i="5"/>
  <c r="G41" i="5" s="1"/>
  <c r="H41" i="5" s="1"/>
  <c r="I41" i="5" s="1"/>
  <c r="J41" i="5" s="1"/>
  <c r="K41" i="5" s="1"/>
  <c r="L41" i="5" s="1"/>
  <c r="M41" i="5" s="1"/>
  <c r="N41" i="5" s="1"/>
  <c r="O41" i="5" s="1"/>
  <c r="P41" i="5" s="1"/>
  <c r="Q41" i="5" s="1"/>
  <c r="R41" i="5" s="1"/>
  <c r="S41" i="5" s="1"/>
  <c r="T41" i="5" s="1"/>
  <c r="U41" i="5" s="1"/>
  <c r="V41" i="5" s="1"/>
  <c r="W41" i="5" s="1"/>
  <c r="X41" i="5" s="1"/>
  <c r="Y41" i="5" s="1"/>
  <c r="Z41" i="5" s="1"/>
  <c r="AA41" i="5" s="1"/>
  <c r="AB41" i="5" s="1"/>
  <c r="AC41" i="5" s="1"/>
  <c r="AD41" i="5" s="1"/>
  <c r="AE41" i="5" s="1"/>
  <c r="AF41" i="5" s="1"/>
  <c r="AG41" i="5" s="1"/>
  <c r="AH41" i="5" s="1"/>
  <c r="AI41" i="5" s="1"/>
  <c r="AJ41" i="5" s="1"/>
  <c r="AK41" i="5" s="1"/>
  <c r="AL41" i="5" s="1"/>
  <c r="AM41" i="5" s="1"/>
  <c r="AN41" i="5" s="1"/>
  <c r="AO41" i="5" s="1"/>
  <c r="AP41" i="5" s="1"/>
  <c r="AQ41" i="5" s="1"/>
  <c r="AR41" i="5" s="1"/>
  <c r="AS41" i="5" s="1"/>
  <c r="AT41" i="5" s="1"/>
  <c r="AU41" i="5" s="1"/>
  <c r="AV41" i="5" s="1"/>
  <c r="AW41" i="5" s="1"/>
  <c r="AX41" i="5" s="1"/>
  <c r="AY41" i="5" s="1"/>
  <c r="AZ41" i="5" s="1"/>
  <c r="BA41" i="5" s="1"/>
  <c r="BB41" i="5" s="1"/>
  <c r="BC41" i="5" s="1"/>
  <c r="BD41" i="5" s="1"/>
  <c r="BE41" i="5" s="1"/>
  <c r="BF41" i="5" s="1"/>
  <c r="BG41" i="5" s="1"/>
  <c r="BH41" i="5" s="1"/>
  <c r="BI41" i="5" s="1"/>
  <c r="BJ41" i="5" s="1"/>
  <c r="BK41" i="5" s="1"/>
  <c r="BL41" i="5" s="1"/>
  <c r="BM41" i="5" s="1"/>
  <c r="BN41" i="5" s="1"/>
  <c r="BO41" i="5" s="1"/>
  <c r="BP41" i="5" s="1"/>
  <c r="BQ41" i="5" s="1"/>
  <c r="BR41" i="5" s="1"/>
  <c r="BS41" i="5" s="1"/>
  <c r="BT41" i="5" s="1"/>
  <c r="BU41" i="5" s="1"/>
  <c r="BV41" i="5" s="1"/>
  <c r="BW41" i="5" s="1"/>
  <c r="BX41" i="5" s="1"/>
  <c r="BY41" i="5" s="1"/>
  <c r="BZ41" i="5" s="1"/>
  <c r="CA41" i="5" s="1"/>
  <c r="CB41" i="5" s="1"/>
  <c r="CC41" i="5" s="1"/>
  <c r="CD41" i="5" s="1"/>
  <c r="CE41" i="5" s="1"/>
  <c r="CF41" i="5" s="1"/>
  <c r="CG41" i="5" s="1"/>
  <c r="CH41" i="5" s="1"/>
  <c r="CI41" i="5" s="1"/>
  <c r="CJ41" i="5" s="1"/>
  <c r="CK41" i="5" s="1"/>
  <c r="CL41" i="5" s="1"/>
  <c r="CM41" i="5" s="1"/>
  <c r="CN41" i="5" s="1"/>
  <c r="CO41" i="5" s="1"/>
  <c r="CP41" i="5" s="1"/>
  <c r="CQ41" i="5" s="1"/>
  <c r="CR41" i="5" s="1"/>
  <c r="CS41" i="5" s="1"/>
  <c r="CT41" i="5" s="1"/>
  <c r="CU41" i="5" s="1"/>
  <c r="CV41" i="5" s="1"/>
  <c r="CW41" i="5" s="1"/>
  <c r="CX41" i="5" s="1"/>
  <c r="CY41" i="5" s="1"/>
  <c r="CZ41" i="5" s="1"/>
  <c r="DA41" i="5" s="1"/>
  <c r="DB41" i="5" s="1"/>
  <c r="DC41" i="5" s="1"/>
  <c r="DD41" i="5" s="1"/>
  <c r="DE41" i="5" s="1"/>
  <c r="DF41" i="5" s="1"/>
  <c r="DG41" i="5" s="1"/>
  <c r="DH41" i="5" s="1"/>
  <c r="DI41" i="5" s="1"/>
  <c r="DJ41" i="5" s="1"/>
  <c r="DK41" i="5" s="1"/>
  <c r="DL41" i="5" s="1"/>
  <c r="DM41" i="5" s="1"/>
  <c r="DN41" i="5" s="1"/>
  <c r="DO41" i="5" s="1"/>
  <c r="DP41" i="5" s="1"/>
  <c r="DQ41" i="5" s="1"/>
  <c r="DR41" i="5" s="1"/>
  <c r="DS41" i="5" s="1"/>
  <c r="DT41" i="5" s="1"/>
  <c r="DU41" i="5" s="1"/>
  <c r="DV41" i="5" s="1"/>
  <c r="DW41" i="5" s="1"/>
  <c r="DX41" i="5" s="1"/>
  <c r="DY41" i="5" s="1"/>
  <c r="DZ41" i="5" s="1"/>
  <c r="EA41" i="5" s="1"/>
  <c r="EB41" i="5" s="1"/>
  <c r="EC41" i="5" s="1"/>
  <c r="ED41" i="5" s="1"/>
  <c r="EE41" i="5" s="1"/>
  <c r="EF41" i="5" s="1"/>
  <c r="EG41" i="5" s="1"/>
  <c r="EH41" i="5" s="1"/>
  <c r="EI41" i="5" s="1"/>
  <c r="EJ41" i="5" s="1"/>
  <c r="EK41" i="5" s="1"/>
  <c r="EL41" i="5" s="1"/>
  <c r="EM41" i="5" s="1"/>
  <c r="EN41" i="5" s="1"/>
  <c r="EO41" i="5" s="1"/>
  <c r="EP41" i="5" s="1"/>
  <c r="EQ41" i="5" s="1"/>
  <c r="ER41" i="5" s="1"/>
  <c r="ES41" i="5" s="1"/>
  <c r="ET41" i="5" s="1"/>
  <c r="EU41" i="5" s="1"/>
  <c r="EV41" i="5" s="1"/>
  <c r="EW41" i="5" s="1"/>
  <c r="EX41" i="5" s="1"/>
  <c r="EY41" i="5" s="1"/>
  <c r="EZ41" i="5" s="1"/>
  <c r="FA41" i="5" s="1"/>
  <c r="FB41" i="5" s="1"/>
  <c r="FC41" i="5" s="1"/>
  <c r="FD41" i="5" s="1"/>
  <c r="FE41" i="5" s="1"/>
  <c r="FF41" i="5" s="1"/>
  <c r="FG41" i="5" s="1"/>
  <c r="FH41" i="5" s="1"/>
  <c r="FI41" i="5" s="1"/>
  <c r="FJ41" i="5" s="1"/>
  <c r="FK41" i="5" s="1"/>
  <c r="FL41" i="5" s="1"/>
  <c r="FM41" i="5" s="1"/>
  <c r="FN41" i="5" s="1"/>
  <c r="FO41" i="5" s="1"/>
  <c r="FP41" i="5" s="1"/>
  <c r="FQ41" i="5" s="1"/>
  <c r="FR41" i="5" s="1"/>
  <c r="FS41" i="5" s="1"/>
  <c r="FT41" i="5" s="1"/>
  <c r="FU41" i="5" s="1"/>
  <c r="FV41" i="5" s="1"/>
  <c r="FW41" i="5" s="1"/>
  <c r="FX41" i="5" s="1"/>
  <c r="FY41" i="5" s="1"/>
  <c r="FZ41" i="5" s="1"/>
  <c r="GA41" i="5" s="1"/>
  <c r="GB41" i="5" s="1"/>
  <c r="GC41" i="5" s="1"/>
  <c r="GD41" i="5" s="1"/>
  <c r="GE41" i="5" s="1"/>
  <c r="GF41" i="5" s="1"/>
  <c r="GG41" i="5" s="1"/>
  <c r="GH41" i="5" s="1"/>
  <c r="GI41" i="5" s="1"/>
  <c r="GJ41" i="5" s="1"/>
  <c r="GK41" i="5" s="1"/>
  <c r="GL41" i="5" s="1"/>
  <c r="GM41" i="5" s="1"/>
  <c r="GN41" i="5" s="1"/>
  <c r="GO41" i="5" s="1"/>
  <c r="GP41" i="5" s="1"/>
  <c r="GQ41" i="5" s="1"/>
  <c r="GR41" i="5" s="1"/>
  <c r="GS41" i="5" s="1"/>
  <c r="GT41" i="5" s="1"/>
  <c r="GU41" i="5" s="1"/>
  <c r="GV41" i="5" s="1"/>
  <c r="GW41" i="5" s="1"/>
  <c r="GX41" i="5" s="1"/>
  <c r="GY41" i="5" s="1"/>
  <c r="GZ41" i="5" s="1"/>
  <c r="HA41" i="5" s="1"/>
  <c r="HB41" i="5" s="1"/>
  <c r="HC41" i="5" s="1"/>
  <c r="HD41" i="5" s="1"/>
  <c r="HE41" i="5" s="1"/>
  <c r="HF41" i="5" s="1"/>
  <c r="HG41" i="5" s="1"/>
  <c r="HH41" i="5" s="1"/>
  <c r="HI41" i="5" s="1"/>
  <c r="HJ41" i="5" s="1"/>
  <c r="HK41" i="5" s="1"/>
  <c r="HL41" i="5" s="1"/>
  <c r="HM41" i="5" s="1"/>
  <c r="HN41" i="5" s="1"/>
  <c r="HO41" i="5" s="1"/>
  <c r="HP41" i="5" s="1"/>
  <c r="HQ41" i="5" s="1"/>
  <c r="HR41" i="5" s="1"/>
  <c r="HS41" i="5" s="1"/>
  <c r="HT41" i="5" s="1"/>
  <c r="HU41" i="5" s="1"/>
  <c r="HV41" i="5" s="1"/>
  <c r="HW41" i="5" s="1"/>
  <c r="HX41" i="5" s="1"/>
  <c r="HY41" i="5" s="1"/>
  <c r="HZ41" i="5" s="1"/>
  <c r="IA41" i="5" s="1"/>
  <c r="IB41" i="5" s="1"/>
  <c r="IC41" i="5" s="1"/>
  <c r="ID41" i="5" s="1"/>
  <c r="IE41" i="5" s="1"/>
  <c r="IF41" i="5" s="1"/>
  <c r="IG41" i="5" s="1"/>
  <c r="IH41" i="5" s="1"/>
  <c r="II41" i="5" s="1"/>
  <c r="IJ41" i="5" s="1"/>
  <c r="IK41" i="5" s="1"/>
  <c r="IL41" i="5" s="1"/>
  <c r="IM41" i="5" s="1"/>
  <c r="IN41" i="5" s="1"/>
  <c r="IO41" i="5" s="1"/>
  <c r="IP41" i="5" s="1"/>
  <c r="IQ41" i="5" s="1"/>
  <c r="IR41" i="5" s="1"/>
  <c r="IS41" i="5" s="1"/>
  <c r="IT41" i="5" s="1"/>
  <c r="IU41" i="5" s="1"/>
  <c r="F33" i="5"/>
  <c r="G33" i="5" s="1"/>
  <c r="H33" i="5" s="1"/>
  <c r="I33" i="5" s="1"/>
  <c r="J33" i="5" s="1"/>
  <c r="K33" i="5" s="1"/>
  <c r="L33" i="5" s="1"/>
  <c r="M33" i="5" s="1"/>
  <c r="N33" i="5" s="1"/>
  <c r="O33" i="5" s="1"/>
  <c r="P33" i="5" s="1"/>
  <c r="Q33" i="5" s="1"/>
  <c r="R33" i="5" s="1"/>
  <c r="S33" i="5" s="1"/>
  <c r="T33" i="5" s="1"/>
  <c r="U33" i="5" s="1"/>
  <c r="V33" i="5" s="1"/>
  <c r="W33" i="5" s="1"/>
  <c r="X33" i="5" s="1"/>
  <c r="Y33" i="5" s="1"/>
  <c r="Z33" i="5" s="1"/>
  <c r="AA33" i="5" s="1"/>
  <c r="AB33" i="5" s="1"/>
  <c r="AC33" i="5" s="1"/>
  <c r="AD33" i="5" s="1"/>
  <c r="AE33" i="5" s="1"/>
  <c r="AF33" i="5" s="1"/>
  <c r="AG33" i="5" s="1"/>
  <c r="AH33" i="5" s="1"/>
  <c r="AI33" i="5" s="1"/>
  <c r="AJ33" i="5" s="1"/>
  <c r="AK33" i="5" s="1"/>
  <c r="AL33" i="5" s="1"/>
  <c r="AM33" i="5" s="1"/>
  <c r="AN33" i="5" s="1"/>
  <c r="AO33" i="5" s="1"/>
  <c r="AP33" i="5" s="1"/>
  <c r="AQ33" i="5" s="1"/>
  <c r="AR33" i="5" s="1"/>
  <c r="AS33" i="5" s="1"/>
  <c r="AT33" i="5" s="1"/>
  <c r="AU33" i="5" s="1"/>
  <c r="AV33" i="5" s="1"/>
  <c r="AW33" i="5" s="1"/>
  <c r="AX33" i="5" s="1"/>
  <c r="AY33" i="5" s="1"/>
  <c r="AZ33" i="5" s="1"/>
  <c r="BA33" i="5" s="1"/>
  <c r="BB33" i="5" s="1"/>
  <c r="BC33" i="5" s="1"/>
  <c r="BD33" i="5" s="1"/>
  <c r="BE33" i="5" s="1"/>
  <c r="BF33" i="5" s="1"/>
  <c r="BG33" i="5" s="1"/>
  <c r="BH33" i="5" s="1"/>
  <c r="BI33" i="5" s="1"/>
  <c r="BJ33" i="5" s="1"/>
  <c r="BK33" i="5" s="1"/>
  <c r="BL33" i="5" s="1"/>
  <c r="BM33" i="5" s="1"/>
  <c r="BN33" i="5" s="1"/>
  <c r="BO33" i="5" s="1"/>
  <c r="BP33" i="5" s="1"/>
  <c r="BQ33" i="5" s="1"/>
  <c r="BR33" i="5" s="1"/>
  <c r="BS33" i="5" s="1"/>
  <c r="BT33" i="5" s="1"/>
  <c r="BU33" i="5" s="1"/>
  <c r="BV33" i="5" s="1"/>
  <c r="BW33" i="5" s="1"/>
  <c r="BX33" i="5" s="1"/>
  <c r="BY33" i="5" s="1"/>
  <c r="BZ33" i="5" s="1"/>
  <c r="CA33" i="5" s="1"/>
  <c r="CB33" i="5" s="1"/>
  <c r="CC33" i="5" s="1"/>
  <c r="CD33" i="5" s="1"/>
  <c r="CE33" i="5" s="1"/>
  <c r="CF33" i="5" s="1"/>
  <c r="CG33" i="5" s="1"/>
  <c r="CH33" i="5" s="1"/>
  <c r="CI33" i="5" s="1"/>
  <c r="CJ33" i="5" s="1"/>
  <c r="CK33" i="5" s="1"/>
  <c r="CL33" i="5" s="1"/>
  <c r="CM33" i="5" s="1"/>
  <c r="CN33" i="5" s="1"/>
  <c r="CO33" i="5" s="1"/>
  <c r="CP33" i="5" s="1"/>
  <c r="CQ33" i="5" s="1"/>
  <c r="CR33" i="5" s="1"/>
  <c r="CS33" i="5" s="1"/>
  <c r="CT33" i="5" s="1"/>
  <c r="CU33" i="5" s="1"/>
  <c r="CV33" i="5" s="1"/>
  <c r="CW33" i="5" s="1"/>
  <c r="CX33" i="5" s="1"/>
  <c r="CY33" i="5" s="1"/>
  <c r="CZ33" i="5" s="1"/>
  <c r="DA33" i="5" s="1"/>
  <c r="DB33" i="5" s="1"/>
  <c r="DC33" i="5" s="1"/>
  <c r="DD33" i="5" s="1"/>
  <c r="DE33" i="5" s="1"/>
  <c r="DF33" i="5" s="1"/>
  <c r="DG33" i="5" s="1"/>
  <c r="DH33" i="5" s="1"/>
  <c r="DI33" i="5" s="1"/>
  <c r="DJ33" i="5" s="1"/>
  <c r="DK33" i="5" s="1"/>
  <c r="DL33" i="5" s="1"/>
  <c r="DM33" i="5" s="1"/>
  <c r="DN33" i="5" s="1"/>
  <c r="DO33" i="5" s="1"/>
  <c r="DP33" i="5" s="1"/>
  <c r="DQ33" i="5" s="1"/>
  <c r="DR33" i="5" s="1"/>
  <c r="DS33" i="5" s="1"/>
  <c r="DT33" i="5" s="1"/>
  <c r="DU33" i="5" s="1"/>
  <c r="DV33" i="5" s="1"/>
  <c r="DW33" i="5" s="1"/>
  <c r="DX33" i="5" s="1"/>
  <c r="DY33" i="5" s="1"/>
  <c r="DZ33" i="5" s="1"/>
  <c r="EA33" i="5" s="1"/>
  <c r="EB33" i="5" s="1"/>
  <c r="EC33" i="5" s="1"/>
  <c r="ED33" i="5" s="1"/>
  <c r="EE33" i="5" s="1"/>
  <c r="EF33" i="5" s="1"/>
  <c r="EG33" i="5" s="1"/>
  <c r="EH33" i="5" s="1"/>
  <c r="EI33" i="5" s="1"/>
  <c r="EJ33" i="5" s="1"/>
  <c r="EK33" i="5" s="1"/>
  <c r="EL33" i="5" s="1"/>
  <c r="EM33" i="5" s="1"/>
  <c r="EN33" i="5" s="1"/>
  <c r="EO33" i="5" s="1"/>
  <c r="EP33" i="5" s="1"/>
  <c r="EQ33" i="5" s="1"/>
  <c r="ER33" i="5" s="1"/>
  <c r="ES33" i="5" s="1"/>
  <c r="ET33" i="5" s="1"/>
  <c r="EU33" i="5" s="1"/>
  <c r="EV33" i="5" s="1"/>
  <c r="EW33" i="5" s="1"/>
  <c r="EX33" i="5" s="1"/>
  <c r="EY33" i="5" s="1"/>
  <c r="EZ33" i="5" s="1"/>
  <c r="FA33" i="5" s="1"/>
  <c r="FB33" i="5" s="1"/>
  <c r="FC33" i="5" s="1"/>
  <c r="FD33" i="5" s="1"/>
  <c r="FE33" i="5" s="1"/>
  <c r="FF33" i="5" s="1"/>
  <c r="FG33" i="5" s="1"/>
  <c r="FH33" i="5" s="1"/>
  <c r="FI33" i="5" s="1"/>
  <c r="FJ33" i="5" s="1"/>
  <c r="FK33" i="5" s="1"/>
  <c r="FL33" i="5" s="1"/>
  <c r="FM33" i="5" s="1"/>
  <c r="FN33" i="5" s="1"/>
  <c r="FO33" i="5" s="1"/>
  <c r="FP33" i="5" s="1"/>
  <c r="FQ33" i="5" s="1"/>
  <c r="FR33" i="5" s="1"/>
  <c r="FS33" i="5" s="1"/>
  <c r="FT33" i="5" s="1"/>
  <c r="FU33" i="5" s="1"/>
  <c r="FV33" i="5" s="1"/>
  <c r="FW33" i="5" s="1"/>
  <c r="FX33" i="5" s="1"/>
  <c r="FY33" i="5" s="1"/>
  <c r="FZ33" i="5" s="1"/>
  <c r="GA33" i="5" s="1"/>
  <c r="GB33" i="5" s="1"/>
  <c r="GC33" i="5" s="1"/>
  <c r="GD33" i="5" s="1"/>
  <c r="GE33" i="5" s="1"/>
  <c r="GF33" i="5" s="1"/>
  <c r="GG33" i="5" s="1"/>
  <c r="GH33" i="5" s="1"/>
  <c r="GI33" i="5" s="1"/>
  <c r="GJ33" i="5" s="1"/>
  <c r="GK33" i="5" s="1"/>
  <c r="GL33" i="5" s="1"/>
  <c r="GM33" i="5" s="1"/>
  <c r="GN33" i="5" s="1"/>
  <c r="GO33" i="5" s="1"/>
  <c r="GP33" i="5" s="1"/>
  <c r="GQ33" i="5" s="1"/>
  <c r="GR33" i="5" s="1"/>
  <c r="GS33" i="5" s="1"/>
  <c r="GT33" i="5" s="1"/>
  <c r="GU33" i="5" s="1"/>
  <c r="GV33" i="5" s="1"/>
  <c r="GW33" i="5" s="1"/>
  <c r="GX33" i="5" s="1"/>
  <c r="GY33" i="5" s="1"/>
  <c r="GZ33" i="5" s="1"/>
  <c r="HA33" i="5" s="1"/>
  <c r="HB33" i="5" s="1"/>
  <c r="HC33" i="5" s="1"/>
  <c r="HD33" i="5" s="1"/>
  <c r="HE33" i="5" s="1"/>
  <c r="HF33" i="5" s="1"/>
  <c r="HG33" i="5" s="1"/>
  <c r="HH33" i="5" s="1"/>
  <c r="HI33" i="5" s="1"/>
  <c r="HJ33" i="5" s="1"/>
  <c r="HK33" i="5" s="1"/>
  <c r="HL33" i="5" s="1"/>
  <c r="HM33" i="5" s="1"/>
  <c r="HN33" i="5" s="1"/>
  <c r="HO33" i="5" s="1"/>
  <c r="HP33" i="5" s="1"/>
  <c r="HQ33" i="5" s="1"/>
  <c r="HR33" i="5" s="1"/>
  <c r="HS33" i="5" s="1"/>
  <c r="HT33" i="5" s="1"/>
  <c r="HU33" i="5" s="1"/>
  <c r="HV33" i="5" s="1"/>
  <c r="HW33" i="5" s="1"/>
  <c r="HX33" i="5" s="1"/>
  <c r="HY33" i="5" s="1"/>
  <c r="HZ33" i="5" s="1"/>
  <c r="IA33" i="5" s="1"/>
  <c r="IB33" i="5" s="1"/>
  <c r="IC33" i="5" s="1"/>
  <c r="ID33" i="5" s="1"/>
  <c r="IE33" i="5" s="1"/>
  <c r="IF33" i="5" s="1"/>
  <c r="IG33" i="5" s="1"/>
  <c r="IH33" i="5" s="1"/>
  <c r="II33" i="5" s="1"/>
  <c r="IJ33" i="5" s="1"/>
  <c r="IK33" i="5" s="1"/>
  <c r="IL33" i="5" s="1"/>
  <c r="IM33" i="5" s="1"/>
  <c r="IN33" i="5" s="1"/>
  <c r="IO33" i="5" s="1"/>
  <c r="IP33" i="5" s="1"/>
  <c r="IQ33" i="5" s="1"/>
  <c r="IR33" i="5" s="1"/>
  <c r="IS33" i="5" s="1"/>
  <c r="IT33" i="5" s="1"/>
  <c r="IU33" i="5" s="1"/>
  <c r="F25" i="5"/>
  <c r="G25" i="5" s="1"/>
  <c r="H25" i="5" s="1"/>
  <c r="I25" i="5" s="1"/>
  <c r="J25" i="5" s="1"/>
  <c r="K25" i="5" s="1"/>
  <c r="L25" i="5" s="1"/>
  <c r="M25" i="5" s="1"/>
  <c r="N25" i="5" s="1"/>
  <c r="O25" i="5" s="1"/>
  <c r="P25" i="5" s="1"/>
  <c r="Q25" i="5" s="1"/>
  <c r="R25" i="5" s="1"/>
  <c r="S25" i="5" s="1"/>
  <c r="T25" i="5" s="1"/>
  <c r="U25" i="5" s="1"/>
  <c r="V25" i="5" s="1"/>
  <c r="W25" i="5" s="1"/>
  <c r="X25" i="5" s="1"/>
  <c r="Y25" i="5" s="1"/>
  <c r="Z25" i="5" s="1"/>
  <c r="AA25" i="5" s="1"/>
  <c r="AB25" i="5" s="1"/>
  <c r="AC25" i="5" s="1"/>
  <c r="AD25" i="5" s="1"/>
  <c r="AE25" i="5" s="1"/>
  <c r="AF25" i="5" s="1"/>
  <c r="AG25" i="5" s="1"/>
  <c r="AH25" i="5" s="1"/>
  <c r="AI25" i="5" s="1"/>
  <c r="AJ25" i="5" s="1"/>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CQ25" i="5" s="1"/>
  <c r="CR25" i="5" s="1"/>
  <c r="CS25" i="5" s="1"/>
  <c r="CT25" i="5" s="1"/>
  <c r="CU25" i="5" s="1"/>
  <c r="CV25" i="5" s="1"/>
  <c r="CW25" i="5" s="1"/>
  <c r="CX25" i="5" s="1"/>
  <c r="CY25" i="5" s="1"/>
  <c r="CZ25" i="5" s="1"/>
  <c r="DA25" i="5" s="1"/>
  <c r="DB25" i="5" s="1"/>
  <c r="DC25" i="5" s="1"/>
  <c r="DD25" i="5" s="1"/>
  <c r="DE25" i="5" s="1"/>
  <c r="DF25" i="5" s="1"/>
  <c r="DG25" i="5" s="1"/>
  <c r="DH25" i="5" s="1"/>
  <c r="DI25" i="5" s="1"/>
  <c r="DJ25" i="5" s="1"/>
  <c r="DK25" i="5" s="1"/>
  <c r="DL25" i="5" s="1"/>
  <c r="DM25" i="5" s="1"/>
  <c r="DN25" i="5" s="1"/>
  <c r="DO25" i="5" s="1"/>
  <c r="DP25" i="5" s="1"/>
  <c r="DQ25" i="5" s="1"/>
  <c r="DR25" i="5" s="1"/>
  <c r="DS25" i="5" s="1"/>
  <c r="DT25" i="5" s="1"/>
  <c r="DU25" i="5" s="1"/>
  <c r="DV25" i="5" s="1"/>
  <c r="DW25" i="5" s="1"/>
  <c r="DX25" i="5" s="1"/>
  <c r="DY25" i="5" s="1"/>
  <c r="DZ25" i="5" s="1"/>
  <c r="EA25" i="5" s="1"/>
  <c r="EB25" i="5" s="1"/>
  <c r="EC25" i="5" s="1"/>
  <c r="ED25" i="5" s="1"/>
  <c r="EE25" i="5" s="1"/>
  <c r="EF25" i="5" s="1"/>
  <c r="EG25" i="5" s="1"/>
  <c r="EH25" i="5" s="1"/>
  <c r="EI25" i="5" s="1"/>
  <c r="EJ25" i="5" s="1"/>
  <c r="EK25" i="5" s="1"/>
  <c r="EL25" i="5" s="1"/>
  <c r="EM25" i="5" s="1"/>
  <c r="EN25" i="5" s="1"/>
  <c r="EO25" i="5" s="1"/>
  <c r="EP25" i="5" s="1"/>
  <c r="EQ25" i="5" s="1"/>
  <c r="ER25" i="5" s="1"/>
  <c r="ES25" i="5" s="1"/>
  <c r="ET25" i="5" s="1"/>
  <c r="EU25" i="5" s="1"/>
  <c r="EV25" i="5" s="1"/>
  <c r="EW25" i="5" s="1"/>
  <c r="EX25" i="5" s="1"/>
  <c r="EY25" i="5" s="1"/>
  <c r="EZ25" i="5" s="1"/>
  <c r="FA25" i="5" s="1"/>
  <c r="FB25" i="5" s="1"/>
  <c r="FC25" i="5" s="1"/>
  <c r="FD25" i="5" s="1"/>
  <c r="FE25" i="5" s="1"/>
  <c r="FF25" i="5" s="1"/>
  <c r="FG25" i="5" s="1"/>
  <c r="FH25" i="5" s="1"/>
  <c r="FI25" i="5" s="1"/>
  <c r="FJ25" i="5" s="1"/>
  <c r="FK25" i="5" s="1"/>
  <c r="FL25" i="5" s="1"/>
  <c r="FM25" i="5" s="1"/>
  <c r="FN25" i="5" s="1"/>
  <c r="FO25" i="5" s="1"/>
  <c r="FP25" i="5" s="1"/>
  <c r="FQ25" i="5" s="1"/>
  <c r="FR25" i="5" s="1"/>
  <c r="FS25" i="5" s="1"/>
  <c r="FT25" i="5" s="1"/>
  <c r="FU25" i="5" s="1"/>
  <c r="FV25" i="5" s="1"/>
  <c r="FW25" i="5" s="1"/>
  <c r="FX25" i="5" s="1"/>
  <c r="FY25" i="5" s="1"/>
  <c r="FZ25" i="5" s="1"/>
  <c r="GA25" i="5" s="1"/>
  <c r="GB25" i="5" s="1"/>
  <c r="GC25" i="5" s="1"/>
  <c r="GD25" i="5" s="1"/>
  <c r="GE25" i="5" s="1"/>
  <c r="GF25" i="5" s="1"/>
  <c r="GG25" i="5" s="1"/>
  <c r="GH25" i="5" s="1"/>
  <c r="GI25" i="5" s="1"/>
  <c r="GJ25" i="5" s="1"/>
  <c r="GK25" i="5" s="1"/>
  <c r="GL25" i="5" s="1"/>
  <c r="GM25" i="5" s="1"/>
  <c r="GN25" i="5" s="1"/>
  <c r="GO25" i="5" s="1"/>
  <c r="GP25" i="5" s="1"/>
  <c r="GQ25" i="5" s="1"/>
  <c r="GR25" i="5" s="1"/>
  <c r="GS25" i="5" s="1"/>
  <c r="GT25" i="5" s="1"/>
  <c r="GU25" i="5" s="1"/>
  <c r="GV25" i="5" s="1"/>
  <c r="GW25" i="5" s="1"/>
  <c r="GX25" i="5" s="1"/>
  <c r="GY25" i="5" s="1"/>
  <c r="GZ25" i="5" s="1"/>
  <c r="HA25" i="5" s="1"/>
  <c r="HB25" i="5" s="1"/>
  <c r="HC25" i="5" s="1"/>
  <c r="HD25" i="5" s="1"/>
  <c r="HE25" i="5" s="1"/>
  <c r="HF25" i="5" s="1"/>
  <c r="HG25" i="5" s="1"/>
  <c r="HH25" i="5" s="1"/>
  <c r="HI25" i="5" s="1"/>
  <c r="HJ25" i="5" s="1"/>
  <c r="HK25" i="5" s="1"/>
  <c r="HL25" i="5" s="1"/>
  <c r="HM25" i="5" s="1"/>
  <c r="HN25" i="5" s="1"/>
  <c r="HO25" i="5" s="1"/>
  <c r="HP25" i="5" s="1"/>
  <c r="HQ25" i="5" s="1"/>
  <c r="HR25" i="5" s="1"/>
  <c r="HS25" i="5" s="1"/>
  <c r="HT25" i="5" s="1"/>
  <c r="HU25" i="5" s="1"/>
  <c r="HV25" i="5" s="1"/>
  <c r="HW25" i="5" s="1"/>
  <c r="HX25" i="5" s="1"/>
  <c r="HY25" i="5" s="1"/>
  <c r="HZ25" i="5" s="1"/>
  <c r="IA25" i="5" s="1"/>
  <c r="IB25" i="5" s="1"/>
  <c r="IC25" i="5" s="1"/>
  <c r="ID25" i="5" s="1"/>
  <c r="IE25" i="5" s="1"/>
  <c r="IF25" i="5" s="1"/>
  <c r="IG25" i="5" s="1"/>
  <c r="IH25" i="5" s="1"/>
  <c r="II25" i="5" s="1"/>
  <c r="IJ25" i="5" s="1"/>
  <c r="IK25" i="5" s="1"/>
  <c r="IL25" i="5" s="1"/>
  <c r="IM25" i="5" s="1"/>
  <c r="IN25" i="5" s="1"/>
  <c r="IO25" i="5" s="1"/>
  <c r="IP25" i="5" s="1"/>
  <c r="IQ25" i="5" s="1"/>
  <c r="IR25" i="5" s="1"/>
  <c r="IS25" i="5" s="1"/>
  <c r="IT25" i="5" s="1"/>
  <c r="IU25" i="5" s="1"/>
  <c r="F17" i="5"/>
  <c r="G17" i="5" s="1"/>
  <c r="H17" i="5" s="1"/>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CT17" i="5" s="1"/>
  <c r="CU17" i="5" s="1"/>
  <c r="CV17" i="5" s="1"/>
  <c r="CW17" i="5" s="1"/>
  <c r="CX17" i="5" s="1"/>
  <c r="CY17" i="5" s="1"/>
  <c r="CZ17" i="5" s="1"/>
  <c r="DA17" i="5" s="1"/>
  <c r="DB17" i="5" s="1"/>
  <c r="DC17" i="5" s="1"/>
  <c r="DD17" i="5" s="1"/>
  <c r="DE17" i="5" s="1"/>
  <c r="DF17" i="5" s="1"/>
  <c r="DG17" i="5" s="1"/>
  <c r="DH17" i="5" s="1"/>
  <c r="DI17" i="5" s="1"/>
  <c r="DJ17" i="5" s="1"/>
  <c r="DK17" i="5" s="1"/>
  <c r="DL17" i="5" s="1"/>
  <c r="DM17" i="5" s="1"/>
  <c r="DN17" i="5" s="1"/>
  <c r="DO17" i="5" s="1"/>
  <c r="DP17" i="5" s="1"/>
  <c r="DQ17" i="5" s="1"/>
  <c r="DR17" i="5" s="1"/>
  <c r="DS17" i="5" s="1"/>
  <c r="DT17" i="5" s="1"/>
  <c r="DU17" i="5" s="1"/>
  <c r="DV17" i="5" s="1"/>
  <c r="DW17" i="5" s="1"/>
  <c r="DX17" i="5" s="1"/>
  <c r="DY17" i="5" s="1"/>
  <c r="DZ17" i="5" s="1"/>
  <c r="EA17" i="5" s="1"/>
  <c r="EB17" i="5" s="1"/>
  <c r="EC17" i="5" s="1"/>
  <c r="ED17" i="5" s="1"/>
  <c r="EE17" i="5" s="1"/>
  <c r="EF17" i="5" s="1"/>
  <c r="EG17" i="5" s="1"/>
  <c r="EH17" i="5" s="1"/>
  <c r="EI17" i="5" s="1"/>
  <c r="EJ17" i="5" s="1"/>
  <c r="EK17" i="5" s="1"/>
  <c r="EL17" i="5" s="1"/>
  <c r="EM17" i="5" s="1"/>
  <c r="EN17" i="5" s="1"/>
  <c r="EO17" i="5" s="1"/>
  <c r="EP17" i="5" s="1"/>
  <c r="EQ17" i="5" s="1"/>
  <c r="ER17" i="5" s="1"/>
  <c r="ES17" i="5" s="1"/>
  <c r="ET17" i="5" s="1"/>
  <c r="EU17" i="5" s="1"/>
  <c r="EV17" i="5" s="1"/>
  <c r="EW17" i="5" s="1"/>
  <c r="EX17" i="5" s="1"/>
  <c r="EY17" i="5" s="1"/>
  <c r="EZ17" i="5" s="1"/>
  <c r="FA17" i="5" s="1"/>
  <c r="FB17" i="5" s="1"/>
  <c r="FC17" i="5" s="1"/>
  <c r="FD17" i="5" s="1"/>
  <c r="FE17" i="5" s="1"/>
  <c r="FF17" i="5" s="1"/>
  <c r="FG17" i="5" s="1"/>
  <c r="FH17" i="5" s="1"/>
  <c r="FI17" i="5" s="1"/>
  <c r="FJ17" i="5" s="1"/>
  <c r="FK17" i="5" s="1"/>
  <c r="FL17" i="5" s="1"/>
  <c r="FM17" i="5" s="1"/>
  <c r="FN17" i="5" s="1"/>
  <c r="FO17" i="5" s="1"/>
  <c r="FP17" i="5" s="1"/>
  <c r="FQ17" i="5" s="1"/>
  <c r="FR17" i="5" s="1"/>
  <c r="FS17" i="5" s="1"/>
  <c r="FT17" i="5" s="1"/>
  <c r="FU17" i="5" s="1"/>
  <c r="FV17" i="5" s="1"/>
  <c r="FW17" i="5" s="1"/>
  <c r="FX17" i="5" s="1"/>
  <c r="FY17" i="5" s="1"/>
  <c r="FZ17" i="5" s="1"/>
  <c r="GA17" i="5" s="1"/>
  <c r="GB17" i="5" s="1"/>
  <c r="GC17" i="5" s="1"/>
  <c r="GD17" i="5" s="1"/>
  <c r="GE17" i="5" s="1"/>
  <c r="GF17" i="5" s="1"/>
  <c r="GG17" i="5" s="1"/>
  <c r="GH17" i="5" s="1"/>
  <c r="GI17" i="5" s="1"/>
  <c r="GJ17" i="5" s="1"/>
  <c r="GK17" i="5" s="1"/>
  <c r="GL17" i="5" s="1"/>
  <c r="GM17" i="5" s="1"/>
  <c r="GN17" i="5" s="1"/>
  <c r="GO17" i="5" s="1"/>
  <c r="GP17" i="5" s="1"/>
  <c r="GQ17" i="5" s="1"/>
  <c r="GR17" i="5" s="1"/>
  <c r="GS17" i="5" s="1"/>
  <c r="GT17" i="5" s="1"/>
  <c r="GU17" i="5" s="1"/>
  <c r="GV17" i="5" s="1"/>
  <c r="GW17" i="5" s="1"/>
  <c r="GX17" i="5" s="1"/>
  <c r="GY17" i="5" s="1"/>
  <c r="GZ17" i="5" s="1"/>
  <c r="HA17" i="5" s="1"/>
  <c r="HB17" i="5" s="1"/>
  <c r="HC17" i="5" s="1"/>
  <c r="HD17" i="5" s="1"/>
  <c r="HE17" i="5" s="1"/>
  <c r="HF17" i="5" s="1"/>
  <c r="HG17" i="5" s="1"/>
  <c r="HH17" i="5" s="1"/>
  <c r="HI17" i="5" s="1"/>
  <c r="HJ17" i="5" s="1"/>
  <c r="HK17" i="5" s="1"/>
  <c r="HL17" i="5" s="1"/>
  <c r="HM17" i="5" s="1"/>
  <c r="HN17" i="5" s="1"/>
  <c r="HO17" i="5" s="1"/>
  <c r="HP17" i="5" s="1"/>
  <c r="HQ17" i="5" s="1"/>
  <c r="HR17" i="5" s="1"/>
  <c r="HS17" i="5" s="1"/>
  <c r="HT17" i="5" s="1"/>
  <c r="HU17" i="5" s="1"/>
  <c r="HV17" i="5" s="1"/>
  <c r="HW17" i="5" s="1"/>
  <c r="HX17" i="5" s="1"/>
  <c r="HY17" i="5" s="1"/>
  <c r="HZ17" i="5" s="1"/>
  <c r="IA17" i="5" s="1"/>
  <c r="IB17" i="5" s="1"/>
  <c r="IC17" i="5" s="1"/>
  <c r="ID17" i="5" s="1"/>
  <c r="IE17" i="5" s="1"/>
  <c r="IF17" i="5" s="1"/>
  <c r="IG17" i="5" s="1"/>
  <c r="IH17" i="5" s="1"/>
  <c r="II17" i="5" s="1"/>
  <c r="IJ17" i="5" s="1"/>
  <c r="IK17" i="5" s="1"/>
  <c r="IL17" i="5" s="1"/>
  <c r="IM17" i="5" s="1"/>
  <c r="IN17" i="5" s="1"/>
  <c r="IO17" i="5" s="1"/>
  <c r="IP17" i="5" s="1"/>
  <c r="IQ17" i="5" s="1"/>
  <c r="IR17" i="5" s="1"/>
  <c r="IS17" i="5" s="1"/>
  <c r="IT17" i="5" s="1"/>
  <c r="IU17" i="5" s="1"/>
  <c r="F104" i="5"/>
  <c r="G104" i="5" s="1"/>
  <c r="H104" i="5" s="1"/>
  <c r="I104" i="5" s="1"/>
  <c r="J104" i="5" s="1"/>
  <c r="K104" i="5" s="1"/>
  <c r="L104" i="5" s="1"/>
  <c r="M104" i="5" s="1"/>
  <c r="N104" i="5" s="1"/>
  <c r="O104" i="5" s="1"/>
  <c r="P104" i="5" s="1"/>
  <c r="Q104" i="5" s="1"/>
  <c r="R104" i="5" s="1"/>
  <c r="S104" i="5" s="1"/>
  <c r="T104" i="5" s="1"/>
  <c r="U104" i="5" s="1"/>
  <c r="V104" i="5" s="1"/>
  <c r="W104" i="5" s="1"/>
  <c r="X104" i="5" s="1"/>
  <c r="Y104" i="5" s="1"/>
  <c r="Z104" i="5" s="1"/>
  <c r="AA104" i="5" s="1"/>
  <c r="AB104" i="5" s="1"/>
  <c r="AC104" i="5" s="1"/>
  <c r="AD104" i="5" s="1"/>
  <c r="AE104" i="5" s="1"/>
  <c r="AF104" i="5" s="1"/>
  <c r="AG104" i="5" s="1"/>
  <c r="AH104" i="5" s="1"/>
  <c r="AI104" i="5" s="1"/>
  <c r="AJ104" i="5" s="1"/>
  <c r="AK104" i="5" s="1"/>
  <c r="AL104" i="5" s="1"/>
  <c r="AM104" i="5" s="1"/>
  <c r="AN104" i="5" s="1"/>
  <c r="AO104" i="5" s="1"/>
  <c r="AP104" i="5" s="1"/>
  <c r="AQ104" i="5" s="1"/>
  <c r="AR104" i="5" s="1"/>
  <c r="AS104" i="5" s="1"/>
  <c r="AT104" i="5" s="1"/>
  <c r="AU104" i="5" s="1"/>
  <c r="AV104" i="5" s="1"/>
  <c r="AW104" i="5" s="1"/>
  <c r="AX104" i="5" s="1"/>
  <c r="AY104" i="5" s="1"/>
  <c r="AZ104" i="5" s="1"/>
  <c r="BA104" i="5" s="1"/>
  <c r="BB104" i="5" s="1"/>
  <c r="BC104" i="5" s="1"/>
  <c r="BD104" i="5" s="1"/>
  <c r="BE104" i="5" s="1"/>
  <c r="BF104" i="5" s="1"/>
  <c r="BG104" i="5" s="1"/>
  <c r="BH104" i="5" s="1"/>
  <c r="BI104" i="5" s="1"/>
  <c r="BJ104" i="5" s="1"/>
  <c r="BK104" i="5" s="1"/>
  <c r="BL104" i="5" s="1"/>
  <c r="BM104" i="5" s="1"/>
  <c r="BN104" i="5" s="1"/>
  <c r="BO104" i="5" s="1"/>
  <c r="BP104" i="5" s="1"/>
  <c r="BQ104" i="5" s="1"/>
  <c r="BR104" i="5" s="1"/>
  <c r="BS104" i="5" s="1"/>
  <c r="BT104" i="5" s="1"/>
  <c r="BU104" i="5" s="1"/>
  <c r="BV104" i="5" s="1"/>
  <c r="BW104" i="5" s="1"/>
  <c r="BX104" i="5" s="1"/>
  <c r="BY104" i="5" s="1"/>
  <c r="BZ104" i="5" s="1"/>
  <c r="CA104" i="5" s="1"/>
  <c r="CB104" i="5" s="1"/>
  <c r="CC104" i="5" s="1"/>
  <c r="CD104" i="5" s="1"/>
  <c r="CE104" i="5" s="1"/>
  <c r="CF104" i="5" s="1"/>
  <c r="CG104" i="5" s="1"/>
  <c r="CH104" i="5" s="1"/>
  <c r="CI104" i="5" s="1"/>
  <c r="CJ104" i="5" s="1"/>
  <c r="CK104" i="5" s="1"/>
  <c r="CL104" i="5" s="1"/>
  <c r="CM104" i="5" s="1"/>
  <c r="CN104" i="5" s="1"/>
  <c r="CO104" i="5" s="1"/>
  <c r="CP104" i="5" s="1"/>
  <c r="CQ104" i="5" s="1"/>
  <c r="CR104" i="5" s="1"/>
  <c r="CS104" i="5" s="1"/>
  <c r="CT104" i="5" s="1"/>
  <c r="CU104" i="5" s="1"/>
  <c r="CV104" i="5" s="1"/>
  <c r="CW104" i="5" s="1"/>
  <c r="CX104" i="5" s="1"/>
  <c r="CY104" i="5" s="1"/>
  <c r="CZ104" i="5" s="1"/>
  <c r="DA104" i="5" s="1"/>
  <c r="DB104" i="5" s="1"/>
  <c r="DC104" i="5" s="1"/>
  <c r="DD104" i="5" s="1"/>
  <c r="DE104" i="5" s="1"/>
  <c r="DF104" i="5" s="1"/>
  <c r="DG104" i="5" s="1"/>
  <c r="DH104" i="5" s="1"/>
  <c r="DI104" i="5" s="1"/>
  <c r="DJ104" i="5" s="1"/>
  <c r="DK104" i="5" s="1"/>
  <c r="DL104" i="5" s="1"/>
  <c r="DM104" i="5" s="1"/>
  <c r="DN104" i="5" s="1"/>
  <c r="DO104" i="5" s="1"/>
  <c r="DP104" i="5" s="1"/>
  <c r="DQ104" i="5" s="1"/>
  <c r="DR104" i="5" s="1"/>
  <c r="DS104" i="5" s="1"/>
  <c r="DT104" i="5" s="1"/>
  <c r="DU104" i="5" s="1"/>
  <c r="DV104" i="5" s="1"/>
  <c r="DW104" i="5" s="1"/>
  <c r="DX104" i="5" s="1"/>
  <c r="DY104" i="5" s="1"/>
  <c r="DZ104" i="5" s="1"/>
  <c r="EA104" i="5" s="1"/>
  <c r="EB104" i="5" s="1"/>
  <c r="EC104" i="5" s="1"/>
  <c r="ED104" i="5" s="1"/>
  <c r="EE104" i="5" s="1"/>
  <c r="EF104" i="5" s="1"/>
  <c r="EG104" i="5" s="1"/>
  <c r="EH104" i="5" s="1"/>
  <c r="EI104" i="5" s="1"/>
  <c r="EJ104" i="5" s="1"/>
  <c r="EK104" i="5" s="1"/>
  <c r="EL104" i="5" s="1"/>
  <c r="EM104" i="5" s="1"/>
  <c r="EN104" i="5" s="1"/>
  <c r="EO104" i="5" s="1"/>
  <c r="EP104" i="5" s="1"/>
  <c r="EQ104" i="5" s="1"/>
  <c r="ER104" i="5" s="1"/>
  <c r="ES104" i="5" s="1"/>
  <c r="ET104" i="5" s="1"/>
  <c r="EU104" i="5" s="1"/>
  <c r="EV104" i="5" s="1"/>
  <c r="EW104" i="5" s="1"/>
  <c r="EX104" i="5" s="1"/>
  <c r="EY104" i="5" s="1"/>
  <c r="EZ104" i="5" s="1"/>
  <c r="FA104" i="5" s="1"/>
  <c r="FB104" i="5" s="1"/>
  <c r="FC104" i="5" s="1"/>
  <c r="FD104" i="5" s="1"/>
  <c r="FE104" i="5" s="1"/>
  <c r="FF104" i="5" s="1"/>
  <c r="FG104" i="5" s="1"/>
  <c r="FH104" i="5" s="1"/>
  <c r="FI104" i="5" s="1"/>
  <c r="FJ104" i="5" s="1"/>
  <c r="FK104" i="5" s="1"/>
  <c r="FL104" i="5" s="1"/>
  <c r="FM104" i="5" s="1"/>
  <c r="FN104" i="5" s="1"/>
  <c r="FO104" i="5" s="1"/>
  <c r="FP104" i="5" s="1"/>
  <c r="FQ104" i="5" s="1"/>
  <c r="FR104" i="5" s="1"/>
  <c r="FS104" i="5" s="1"/>
  <c r="FT104" i="5" s="1"/>
  <c r="FU104" i="5" s="1"/>
  <c r="FV104" i="5" s="1"/>
  <c r="FW104" i="5" s="1"/>
  <c r="FX104" i="5" s="1"/>
  <c r="FY104" i="5" s="1"/>
  <c r="FZ104" i="5" s="1"/>
  <c r="GA104" i="5" s="1"/>
  <c r="GB104" i="5" s="1"/>
  <c r="GC104" i="5" s="1"/>
  <c r="GD104" i="5" s="1"/>
  <c r="GE104" i="5" s="1"/>
  <c r="GF104" i="5" s="1"/>
  <c r="GG104" i="5" s="1"/>
  <c r="GH104" i="5" s="1"/>
  <c r="GI104" i="5" s="1"/>
  <c r="GJ104" i="5" s="1"/>
  <c r="GK104" i="5" s="1"/>
  <c r="GL104" i="5" s="1"/>
  <c r="GM104" i="5" s="1"/>
  <c r="GN104" i="5" s="1"/>
  <c r="GO104" i="5" s="1"/>
  <c r="GP104" i="5" s="1"/>
  <c r="GQ104" i="5" s="1"/>
  <c r="GR104" i="5" s="1"/>
  <c r="GS104" i="5" s="1"/>
  <c r="GT104" i="5" s="1"/>
  <c r="GU104" i="5" s="1"/>
  <c r="GV104" i="5" s="1"/>
  <c r="GW104" i="5" s="1"/>
  <c r="GX104" i="5" s="1"/>
  <c r="GY104" i="5" s="1"/>
  <c r="GZ104" i="5" s="1"/>
  <c r="HA104" i="5" s="1"/>
  <c r="HB104" i="5" s="1"/>
  <c r="HC104" i="5" s="1"/>
  <c r="HD104" i="5" s="1"/>
  <c r="HE104" i="5" s="1"/>
  <c r="HF104" i="5" s="1"/>
  <c r="HG104" i="5" s="1"/>
  <c r="HH104" i="5" s="1"/>
  <c r="HI104" i="5" s="1"/>
  <c r="HJ104" i="5" s="1"/>
  <c r="HK104" i="5" s="1"/>
  <c r="HL104" i="5" s="1"/>
  <c r="HM104" i="5" s="1"/>
  <c r="HN104" i="5" s="1"/>
  <c r="HO104" i="5" s="1"/>
  <c r="HP104" i="5" s="1"/>
  <c r="HQ104" i="5" s="1"/>
  <c r="HR104" i="5" s="1"/>
  <c r="HS104" i="5" s="1"/>
  <c r="HT104" i="5" s="1"/>
  <c r="HU104" i="5" s="1"/>
  <c r="HV104" i="5" s="1"/>
  <c r="HW104" i="5" s="1"/>
  <c r="HX104" i="5" s="1"/>
  <c r="HY104" i="5" s="1"/>
  <c r="HZ104" i="5" s="1"/>
  <c r="IA104" i="5" s="1"/>
  <c r="IB104" i="5" s="1"/>
  <c r="IC104" i="5" s="1"/>
  <c r="ID104" i="5" s="1"/>
  <c r="IE104" i="5" s="1"/>
  <c r="IF104" i="5" s="1"/>
  <c r="IG104" i="5" s="1"/>
  <c r="IH104" i="5" s="1"/>
  <c r="II104" i="5" s="1"/>
  <c r="IJ104" i="5" s="1"/>
  <c r="IK104" i="5" s="1"/>
  <c r="IL104" i="5" s="1"/>
  <c r="IM104" i="5" s="1"/>
  <c r="IN104" i="5" s="1"/>
  <c r="IO104" i="5" s="1"/>
  <c r="IP104" i="5" s="1"/>
  <c r="IQ104" i="5" s="1"/>
  <c r="IR104" i="5" s="1"/>
  <c r="IS104" i="5" s="1"/>
  <c r="IT104" i="5" s="1"/>
  <c r="IU104" i="5" s="1"/>
  <c r="F96" i="5"/>
  <c r="G96" i="5" s="1"/>
  <c r="H96" i="5" s="1"/>
  <c r="I96" i="5" s="1"/>
  <c r="J96" i="5" s="1"/>
  <c r="K96" i="5" s="1"/>
  <c r="L96" i="5" s="1"/>
  <c r="M96" i="5" s="1"/>
  <c r="N96" i="5" s="1"/>
  <c r="O96" i="5" s="1"/>
  <c r="P96" i="5" s="1"/>
  <c r="Q96" i="5" s="1"/>
  <c r="R96" i="5" s="1"/>
  <c r="S96" i="5" s="1"/>
  <c r="T96" i="5" s="1"/>
  <c r="U96" i="5" s="1"/>
  <c r="V96" i="5" s="1"/>
  <c r="W96" i="5" s="1"/>
  <c r="X96" i="5" s="1"/>
  <c r="Y96" i="5" s="1"/>
  <c r="Z96" i="5" s="1"/>
  <c r="AA96" i="5" s="1"/>
  <c r="AB96" i="5" s="1"/>
  <c r="AC96" i="5" s="1"/>
  <c r="AD96" i="5" s="1"/>
  <c r="AE96" i="5" s="1"/>
  <c r="AF96" i="5" s="1"/>
  <c r="AG96" i="5" s="1"/>
  <c r="AH96" i="5" s="1"/>
  <c r="AI96" i="5" s="1"/>
  <c r="AJ96" i="5" s="1"/>
  <c r="AK96" i="5" s="1"/>
  <c r="AL96" i="5" s="1"/>
  <c r="AM96" i="5" s="1"/>
  <c r="AN96" i="5" s="1"/>
  <c r="AO96" i="5" s="1"/>
  <c r="AP96" i="5" s="1"/>
  <c r="AQ96" i="5" s="1"/>
  <c r="AR96" i="5" s="1"/>
  <c r="AS96" i="5" s="1"/>
  <c r="AT96" i="5" s="1"/>
  <c r="AU96" i="5" s="1"/>
  <c r="AV96" i="5" s="1"/>
  <c r="AW96" i="5" s="1"/>
  <c r="AX96" i="5" s="1"/>
  <c r="AY96" i="5" s="1"/>
  <c r="AZ96" i="5" s="1"/>
  <c r="BA96" i="5" s="1"/>
  <c r="BB96" i="5" s="1"/>
  <c r="BC96" i="5" s="1"/>
  <c r="BD96" i="5" s="1"/>
  <c r="BE96" i="5" s="1"/>
  <c r="BF96" i="5" s="1"/>
  <c r="BG96" i="5" s="1"/>
  <c r="BH96" i="5" s="1"/>
  <c r="BI96" i="5" s="1"/>
  <c r="BJ96" i="5" s="1"/>
  <c r="BK96" i="5" s="1"/>
  <c r="BL96" i="5" s="1"/>
  <c r="BM96" i="5" s="1"/>
  <c r="BN96" i="5" s="1"/>
  <c r="BO96" i="5" s="1"/>
  <c r="BP96" i="5" s="1"/>
  <c r="BQ96" i="5" s="1"/>
  <c r="BR96" i="5" s="1"/>
  <c r="BS96" i="5" s="1"/>
  <c r="BT96" i="5" s="1"/>
  <c r="BU96" i="5" s="1"/>
  <c r="BV96" i="5" s="1"/>
  <c r="BW96" i="5" s="1"/>
  <c r="BX96" i="5" s="1"/>
  <c r="BY96" i="5" s="1"/>
  <c r="BZ96" i="5" s="1"/>
  <c r="CA96" i="5" s="1"/>
  <c r="CB96" i="5" s="1"/>
  <c r="CC96" i="5" s="1"/>
  <c r="CD96" i="5" s="1"/>
  <c r="CE96" i="5" s="1"/>
  <c r="CF96" i="5" s="1"/>
  <c r="CG96" i="5" s="1"/>
  <c r="CH96" i="5" s="1"/>
  <c r="CI96" i="5" s="1"/>
  <c r="CJ96" i="5" s="1"/>
  <c r="CK96" i="5" s="1"/>
  <c r="CL96" i="5" s="1"/>
  <c r="CM96" i="5" s="1"/>
  <c r="CN96" i="5" s="1"/>
  <c r="CO96" i="5" s="1"/>
  <c r="CP96" i="5" s="1"/>
  <c r="CQ96" i="5" s="1"/>
  <c r="CR96" i="5" s="1"/>
  <c r="CS96" i="5" s="1"/>
  <c r="CT96" i="5" s="1"/>
  <c r="CU96" i="5" s="1"/>
  <c r="CV96" i="5" s="1"/>
  <c r="CW96" i="5" s="1"/>
  <c r="CX96" i="5" s="1"/>
  <c r="CY96" i="5" s="1"/>
  <c r="CZ96" i="5" s="1"/>
  <c r="DA96" i="5" s="1"/>
  <c r="DB96" i="5" s="1"/>
  <c r="DC96" i="5" s="1"/>
  <c r="DD96" i="5" s="1"/>
  <c r="DE96" i="5" s="1"/>
  <c r="DF96" i="5" s="1"/>
  <c r="DG96" i="5" s="1"/>
  <c r="DH96" i="5" s="1"/>
  <c r="DI96" i="5" s="1"/>
  <c r="DJ96" i="5" s="1"/>
  <c r="DK96" i="5" s="1"/>
  <c r="DL96" i="5" s="1"/>
  <c r="DM96" i="5" s="1"/>
  <c r="DN96" i="5" s="1"/>
  <c r="DO96" i="5" s="1"/>
  <c r="DP96" i="5" s="1"/>
  <c r="DQ96" i="5" s="1"/>
  <c r="DR96" i="5" s="1"/>
  <c r="DS96" i="5" s="1"/>
  <c r="DT96" i="5" s="1"/>
  <c r="DU96" i="5" s="1"/>
  <c r="DV96" i="5" s="1"/>
  <c r="DW96" i="5" s="1"/>
  <c r="DX96" i="5" s="1"/>
  <c r="DY96" i="5" s="1"/>
  <c r="DZ96" i="5" s="1"/>
  <c r="EA96" i="5" s="1"/>
  <c r="EB96" i="5" s="1"/>
  <c r="EC96" i="5" s="1"/>
  <c r="ED96" i="5" s="1"/>
  <c r="EE96" i="5" s="1"/>
  <c r="EF96" i="5" s="1"/>
  <c r="EG96" i="5" s="1"/>
  <c r="EH96" i="5" s="1"/>
  <c r="EI96" i="5" s="1"/>
  <c r="EJ96" i="5" s="1"/>
  <c r="EK96" i="5" s="1"/>
  <c r="EL96" i="5" s="1"/>
  <c r="EM96" i="5" s="1"/>
  <c r="EN96" i="5" s="1"/>
  <c r="EO96" i="5" s="1"/>
  <c r="EP96" i="5" s="1"/>
  <c r="EQ96" i="5" s="1"/>
  <c r="ER96" i="5" s="1"/>
  <c r="ES96" i="5" s="1"/>
  <c r="ET96" i="5" s="1"/>
  <c r="EU96" i="5" s="1"/>
  <c r="EV96" i="5" s="1"/>
  <c r="EW96" i="5" s="1"/>
  <c r="EX96" i="5" s="1"/>
  <c r="EY96" i="5" s="1"/>
  <c r="EZ96" i="5" s="1"/>
  <c r="FA96" i="5" s="1"/>
  <c r="FB96" i="5" s="1"/>
  <c r="FC96" i="5" s="1"/>
  <c r="FD96" i="5" s="1"/>
  <c r="FE96" i="5" s="1"/>
  <c r="FF96" i="5" s="1"/>
  <c r="FG96" i="5" s="1"/>
  <c r="FH96" i="5" s="1"/>
  <c r="FI96" i="5" s="1"/>
  <c r="FJ96" i="5" s="1"/>
  <c r="FK96" i="5" s="1"/>
  <c r="FL96" i="5" s="1"/>
  <c r="FM96" i="5" s="1"/>
  <c r="FN96" i="5" s="1"/>
  <c r="FO96" i="5" s="1"/>
  <c r="FP96" i="5" s="1"/>
  <c r="FQ96" i="5" s="1"/>
  <c r="FR96" i="5" s="1"/>
  <c r="FS96" i="5" s="1"/>
  <c r="FT96" i="5" s="1"/>
  <c r="FU96" i="5" s="1"/>
  <c r="FV96" i="5" s="1"/>
  <c r="FW96" i="5" s="1"/>
  <c r="FX96" i="5" s="1"/>
  <c r="FY96" i="5" s="1"/>
  <c r="FZ96" i="5" s="1"/>
  <c r="GA96" i="5" s="1"/>
  <c r="GB96" i="5" s="1"/>
  <c r="GC96" i="5" s="1"/>
  <c r="GD96" i="5" s="1"/>
  <c r="GE96" i="5" s="1"/>
  <c r="GF96" i="5" s="1"/>
  <c r="GG96" i="5" s="1"/>
  <c r="GH96" i="5" s="1"/>
  <c r="GI96" i="5" s="1"/>
  <c r="GJ96" i="5" s="1"/>
  <c r="GK96" i="5" s="1"/>
  <c r="GL96" i="5" s="1"/>
  <c r="GM96" i="5" s="1"/>
  <c r="GN96" i="5" s="1"/>
  <c r="GO96" i="5" s="1"/>
  <c r="GP96" i="5" s="1"/>
  <c r="GQ96" i="5" s="1"/>
  <c r="GR96" i="5" s="1"/>
  <c r="GS96" i="5" s="1"/>
  <c r="GT96" i="5" s="1"/>
  <c r="GU96" i="5" s="1"/>
  <c r="GV96" i="5" s="1"/>
  <c r="GW96" i="5" s="1"/>
  <c r="GX96" i="5" s="1"/>
  <c r="GY96" i="5" s="1"/>
  <c r="GZ96" i="5" s="1"/>
  <c r="HA96" i="5" s="1"/>
  <c r="HB96" i="5" s="1"/>
  <c r="HC96" i="5" s="1"/>
  <c r="HD96" i="5" s="1"/>
  <c r="HE96" i="5" s="1"/>
  <c r="HF96" i="5" s="1"/>
  <c r="HG96" i="5" s="1"/>
  <c r="HH96" i="5" s="1"/>
  <c r="HI96" i="5" s="1"/>
  <c r="HJ96" i="5" s="1"/>
  <c r="HK96" i="5" s="1"/>
  <c r="HL96" i="5" s="1"/>
  <c r="HM96" i="5" s="1"/>
  <c r="HN96" i="5" s="1"/>
  <c r="HO96" i="5" s="1"/>
  <c r="HP96" i="5" s="1"/>
  <c r="HQ96" i="5" s="1"/>
  <c r="HR96" i="5" s="1"/>
  <c r="HS96" i="5" s="1"/>
  <c r="HT96" i="5" s="1"/>
  <c r="HU96" i="5" s="1"/>
  <c r="HV96" i="5" s="1"/>
  <c r="HW96" i="5" s="1"/>
  <c r="HX96" i="5" s="1"/>
  <c r="HY96" i="5" s="1"/>
  <c r="HZ96" i="5" s="1"/>
  <c r="IA96" i="5" s="1"/>
  <c r="IB96" i="5" s="1"/>
  <c r="IC96" i="5" s="1"/>
  <c r="ID96" i="5" s="1"/>
  <c r="IE96" i="5" s="1"/>
  <c r="IF96" i="5" s="1"/>
  <c r="IG96" i="5" s="1"/>
  <c r="IH96" i="5" s="1"/>
  <c r="II96" i="5" s="1"/>
  <c r="IJ96" i="5" s="1"/>
  <c r="IK96" i="5" s="1"/>
  <c r="IL96" i="5" s="1"/>
  <c r="IM96" i="5" s="1"/>
  <c r="IN96" i="5" s="1"/>
  <c r="IO96" i="5" s="1"/>
  <c r="IP96" i="5" s="1"/>
  <c r="IQ96" i="5" s="1"/>
  <c r="IR96" i="5" s="1"/>
  <c r="IS96" i="5" s="1"/>
  <c r="IT96" i="5" s="1"/>
  <c r="IU96" i="5" s="1"/>
  <c r="F88" i="5"/>
  <c r="G88" i="5" s="1"/>
  <c r="H88" i="5" s="1"/>
  <c r="I88" i="5" s="1"/>
  <c r="J88" i="5" s="1"/>
  <c r="K88" i="5" s="1"/>
  <c r="L88" i="5" s="1"/>
  <c r="M88" i="5" s="1"/>
  <c r="N88" i="5" s="1"/>
  <c r="O88" i="5" s="1"/>
  <c r="P88" i="5" s="1"/>
  <c r="Q88" i="5" s="1"/>
  <c r="R88" i="5" s="1"/>
  <c r="S88" i="5" s="1"/>
  <c r="T88" i="5" s="1"/>
  <c r="U88" i="5" s="1"/>
  <c r="V88" i="5" s="1"/>
  <c r="W88" i="5" s="1"/>
  <c r="X88" i="5" s="1"/>
  <c r="Y88" i="5" s="1"/>
  <c r="Z88" i="5" s="1"/>
  <c r="AA88" i="5" s="1"/>
  <c r="AB88" i="5" s="1"/>
  <c r="AC88" i="5" s="1"/>
  <c r="AD88" i="5" s="1"/>
  <c r="AE88" i="5" s="1"/>
  <c r="AF88" i="5" s="1"/>
  <c r="AG88" i="5" s="1"/>
  <c r="AH88" i="5" s="1"/>
  <c r="AI88" i="5" s="1"/>
  <c r="AJ88" i="5" s="1"/>
  <c r="AK88" i="5" s="1"/>
  <c r="AL88" i="5" s="1"/>
  <c r="AM88" i="5" s="1"/>
  <c r="AN88" i="5" s="1"/>
  <c r="AO88" i="5" s="1"/>
  <c r="AP88" i="5" s="1"/>
  <c r="AQ88" i="5" s="1"/>
  <c r="AR88" i="5" s="1"/>
  <c r="AS88" i="5" s="1"/>
  <c r="AT88" i="5" s="1"/>
  <c r="AU88" i="5" s="1"/>
  <c r="AV88" i="5" s="1"/>
  <c r="AW88" i="5" s="1"/>
  <c r="AX88" i="5" s="1"/>
  <c r="AY88" i="5" s="1"/>
  <c r="AZ88" i="5" s="1"/>
  <c r="BA88" i="5" s="1"/>
  <c r="BB88" i="5" s="1"/>
  <c r="BC88" i="5" s="1"/>
  <c r="BD88" i="5" s="1"/>
  <c r="BE88" i="5" s="1"/>
  <c r="BF88" i="5" s="1"/>
  <c r="BG88" i="5" s="1"/>
  <c r="BH88" i="5" s="1"/>
  <c r="BI88" i="5" s="1"/>
  <c r="BJ88" i="5" s="1"/>
  <c r="BK88" i="5" s="1"/>
  <c r="BL88" i="5" s="1"/>
  <c r="BM88" i="5" s="1"/>
  <c r="BN88" i="5" s="1"/>
  <c r="BO88" i="5" s="1"/>
  <c r="BP88" i="5" s="1"/>
  <c r="BQ88" i="5" s="1"/>
  <c r="BR88" i="5" s="1"/>
  <c r="BS88" i="5" s="1"/>
  <c r="BT88" i="5" s="1"/>
  <c r="BU88" i="5" s="1"/>
  <c r="BV88" i="5" s="1"/>
  <c r="BW88" i="5" s="1"/>
  <c r="BX88" i="5" s="1"/>
  <c r="BY88" i="5" s="1"/>
  <c r="BZ88" i="5" s="1"/>
  <c r="CA88" i="5" s="1"/>
  <c r="CB88" i="5" s="1"/>
  <c r="CC88" i="5" s="1"/>
  <c r="CD88" i="5" s="1"/>
  <c r="CE88" i="5" s="1"/>
  <c r="CF88" i="5" s="1"/>
  <c r="CG88" i="5" s="1"/>
  <c r="CH88" i="5" s="1"/>
  <c r="CI88" i="5" s="1"/>
  <c r="CJ88" i="5" s="1"/>
  <c r="CK88" i="5" s="1"/>
  <c r="CL88" i="5" s="1"/>
  <c r="CM88" i="5" s="1"/>
  <c r="CN88" i="5" s="1"/>
  <c r="CO88" i="5" s="1"/>
  <c r="CP88" i="5" s="1"/>
  <c r="CQ88" i="5" s="1"/>
  <c r="CR88" i="5" s="1"/>
  <c r="CS88" i="5" s="1"/>
  <c r="CT88" i="5" s="1"/>
  <c r="CU88" i="5" s="1"/>
  <c r="CV88" i="5" s="1"/>
  <c r="CW88" i="5" s="1"/>
  <c r="CX88" i="5" s="1"/>
  <c r="CY88" i="5" s="1"/>
  <c r="CZ88" i="5" s="1"/>
  <c r="DA88" i="5" s="1"/>
  <c r="DB88" i="5" s="1"/>
  <c r="DC88" i="5" s="1"/>
  <c r="DD88" i="5" s="1"/>
  <c r="DE88" i="5" s="1"/>
  <c r="DF88" i="5" s="1"/>
  <c r="DG88" i="5" s="1"/>
  <c r="DH88" i="5" s="1"/>
  <c r="DI88" i="5" s="1"/>
  <c r="DJ88" i="5" s="1"/>
  <c r="DK88" i="5" s="1"/>
  <c r="DL88" i="5" s="1"/>
  <c r="DM88" i="5" s="1"/>
  <c r="DN88" i="5" s="1"/>
  <c r="DO88" i="5" s="1"/>
  <c r="DP88" i="5" s="1"/>
  <c r="DQ88" i="5" s="1"/>
  <c r="DR88" i="5" s="1"/>
  <c r="DS88" i="5" s="1"/>
  <c r="DT88" i="5" s="1"/>
  <c r="DU88" i="5" s="1"/>
  <c r="DV88" i="5" s="1"/>
  <c r="DW88" i="5" s="1"/>
  <c r="DX88" i="5" s="1"/>
  <c r="DY88" i="5" s="1"/>
  <c r="DZ88" i="5" s="1"/>
  <c r="EA88" i="5" s="1"/>
  <c r="EB88" i="5" s="1"/>
  <c r="EC88" i="5" s="1"/>
  <c r="ED88" i="5" s="1"/>
  <c r="EE88" i="5" s="1"/>
  <c r="EF88" i="5" s="1"/>
  <c r="EG88" i="5" s="1"/>
  <c r="EH88" i="5" s="1"/>
  <c r="EI88" i="5" s="1"/>
  <c r="EJ88" i="5" s="1"/>
  <c r="EK88" i="5" s="1"/>
  <c r="EL88" i="5" s="1"/>
  <c r="EM88" i="5" s="1"/>
  <c r="EN88" i="5" s="1"/>
  <c r="EO88" i="5" s="1"/>
  <c r="EP88" i="5" s="1"/>
  <c r="EQ88" i="5" s="1"/>
  <c r="ER88" i="5" s="1"/>
  <c r="ES88" i="5" s="1"/>
  <c r="ET88" i="5" s="1"/>
  <c r="EU88" i="5" s="1"/>
  <c r="EV88" i="5" s="1"/>
  <c r="EW88" i="5" s="1"/>
  <c r="EX88" i="5" s="1"/>
  <c r="EY88" i="5" s="1"/>
  <c r="EZ88" i="5" s="1"/>
  <c r="FA88" i="5" s="1"/>
  <c r="FB88" i="5" s="1"/>
  <c r="FC88" i="5" s="1"/>
  <c r="FD88" i="5" s="1"/>
  <c r="FE88" i="5" s="1"/>
  <c r="FF88" i="5" s="1"/>
  <c r="FG88" i="5" s="1"/>
  <c r="FH88" i="5" s="1"/>
  <c r="FI88" i="5" s="1"/>
  <c r="FJ88" i="5" s="1"/>
  <c r="FK88" i="5" s="1"/>
  <c r="FL88" i="5" s="1"/>
  <c r="FM88" i="5" s="1"/>
  <c r="FN88" i="5" s="1"/>
  <c r="FO88" i="5" s="1"/>
  <c r="FP88" i="5" s="1"/>
  <c r="FQ88" i="5" s="1"/>
  <c r="FR88" i="5" s="1"/>
  <c r="FS88" i="5" s="1"/>
  <c r="FT88" i="5" s="1"/>
  <c r="FU88" i="5" s="1"/>
  <c r="FV88" i="5" s="1"/>
  <c r="FW88" i="5" s="1"/>
  <c r="FX88" i="5" s="1"/>
  <c r="FY88" i="5" s="1"/>
  <c r="FZ88" i="5" s="1"/>
  <c r="GA88" i="5" s="1"/>
  <c r="GB88" i="5" s="1"/>
  <c r="GC88" i="5" s="1"/>
  <c r="GD88" i="5" s="1"/>
  <c r="GE88" i="5" s="1"/>
  <c r="GF88" i="5" s="1"/>
  <c r="GG88" i="5" s="1"/>
  <c r="GH88" i="5" s="1"/>
  <c r="GI88" i="5" s="1"/>
  <c r="GJ88" i="5" s="1"/>
  <c r="GK88" i="5" s="1"/>
  <c r="GL88" i="5" s="1"/>
  <c r="GM88" i="5" s="1"/>
  <c r="GN88" i="5" s="1"/>
  <c r="GO88" i="5" s="1"/>
  <c r="GP88" i="5" s="1"/>
  <c r="GQ88" i="5" s="1"/>
  <c r="GR88" i="5" s="1"/>
  <c r="GS88" i="5" s="1"/>
  <c r="GT88" i="5" s="1"/>
  <c r="GU88" i="5" s="1"/>
  <c r="GV88" i="5" s="1"/>
  <c r="GW88" i="5" s="1"/>
  <c r="GX88" i="5" s="1"/>
  <c r="GY88" i="5" s="1"/>
  <c r="GZ88" i="5" s="1"/>
  <c r="HA88" i="5" s="1"/>
  <c r="HB88" i="5" s="1"/>
  <c r="HC88" i="5" s="1"/>
  <c r="HD88" i="5" s="1"/>
  <c r="HE88" i="5" s="1"/>
  <c r="HF88" i="5" s="1"/>
  <c r="HG88" i="5" s="1"/>
  <c r="HH88" i="5" s="1"/>
  <c r="HI88" i="5" s="1"/>
  <c r="HJ88" i="5" s="1"/>
  <c r="HK88" i="5" s="1"/>
  <c r="HL88" i="5" s="1"/>
  <c r="HM88" i="5" s="1"/>
  <c r="HN88" i="5" s="1"/>
  <c r="HO88" i="5" s="1"/>
  <c r="HP88" i="5" s="1"/>
  <c r="HQ88" i="5" s="1"/>
  <c r="HR88" i="5" s="1"/>
  <c r="HS88" i="5" s="1"/>
  <c r="HT88" i="5" s="1"/>
  <c r="HU88" i="5" s="1"/>
  <c r="HV88" i="5" s="1"/>
  <c r="HW88" i="5" s="1"/>
  <c r="HX88" i="5" s="1"/>
  <c r="HY88" i="5" s="1"/>
  <c r="HZ88" i="5" s="1"/>
  <c r="IA88" i="5" s="1"/>
  <c r="IB88" i="5" s="1"/>
  <c r="IC88" i="5" s="1"/>
  <c r="ID88" i="5" s="1"/>
  <c r="IE88" i="5" s="1"/>
  <c r="IF88" i="5" s="1"/>
  <c r="IG88" i="5" s="1"/>
  <c r="IH88" i="5" s="1"/>
  <c r="II88" i="5" s="1"/>
  <c r="IJ88" i="5" s="1"/>
  <c r="IK88" i="5" s="1"/>
  <c r="IL88" i="5" s="1"/>
  <c r="IM88" i="5" s="1"/>
  <c r="IN88" i="5" s="1"/>
  <c r="IO88" i="5" s="1"/>
  <c r="IP88" i="5" s="1"/>
  <c r="IQ88" i="5" s="1"/>
  <c r="IR88" i="5" s="1"/>
  <c r="IS88" i="5" s="1"/>
  <c r="IT88" i="5" s="1"/>
  <c r="IU88" i="5" s="1"/>
  <c r="F80" i="5"/>
  <c r="G80" i="5" s="1"/>
  <c r="H80" i="5" s="1"/>
  <c r="I80" i="5" s="1"/>
  <c r="J80" i="5" s="1"/>
  <c r="K80" i="5" s="1"/>
  <c r="L80" i="5" s="1"/>
  <c r="M80" i="5" s="1"/>
  <c r="N80" i="5" s="1"/>
  <c r="O80" i="5" s="1"/>
  <c r="P80" i="5" s="1"/>
  <c r="Q80" i="5" s="1"/>
  <c r="R80" i="5" s="1"/>
  <c r="S80" i="5" s="1"/>
  <c r="T80" i="5" s="1"/>
  <c r="U80" i="5" s="1"/>
  <c r="V80" i="5" s="1"/>
  <c r="W80" i="5" s="1"/>
  <c r="X80" i="5" s="1"/>
  <c r="Y80" i="5" s="1"/>
  <c r="Z80" i="5" s="1"/>
  <c r="AA80" i="5" s="1"/>
  <c r="AB80" i="5" s="1"/>
  <c r="AC80" i="5" s="1"/>
  <c r="AD80" i="5" s="1"/>
  <c r="AE80" i="5" s="1"/>
  <c r="AF80" i="5" s="1"/>
  <c r="AG80" i="5" s="1"/>
  <c r="AH80" i="5" s="1"/>
  <c r="AI80" i="5" s="1"/>
  <c r="AJ80" i="5" s="1"/>
  <c r="AK80" i="5" s="1"/>
  <c r="AL80" i="5" s="1"/>
  <c r="AM80" i="5" s="1"/>
  <c r="AN80" i="5" s="1"/>
  <c r="AO80" i="5" s="1"/>
  <c r="AP80" i="5" s="1"/>
  <c r="AQ80" i="5" s="1"/>
  <c r="AR80" i="5" s="1"/>
  <c r="AS80" i="5" s="1"/>
  <c r="AT80" i="5" s="1"/>
  <c r="AU80" i="5" s="1"/>
  <c r="AV80" i="5" s="1"/>
  <c r="AW80" i="5" s="1"/>
  <c r="AX80" i="5" s="1"/>
  <c r="AY80" i="5" s="1"/>
  <c r="AZ80" i="5" s="1"/>
  <c r="BA80" i="5" s="1"/>
  <c r="BB80" i="5" s="1"/>
  <c r="BC80" i="5" s="1"/>
  <c r="BD80" i="5" s="1"/>
  <c r="BE80" i="5" s="1"/>
  <c r="BF80" i="5" s="1"/>
  <c r="BG80" i="5" s="1"/>
  <c r="BH80" i="5" s="1"/>
  <c r="BI80" i="5" s="1"/>
  <c r="BJ80" i="5" s="1"/>
  <c r="BK80" i="5" s="1"/>
  <c r="BL80" i="5" s="1"/>
  <c r="BM80" i="5" s="1"/>
  <c r="BN80" i="5" s="1"/>
  <c r="BO80" i="5" s="1"/>
  <c r="BP80" i="5" s="1"/>
  <c r="BQ80" i="5" s="1"/>
  <c r="BR80" i="5" s="1"/>
  <c r="BS80" i="5" s="1"/>
  <c r="BT80" i="5" s="1"/>
  <c r="BU80" i="5" s="1"/>
  <c r="BV80" i="5" s="1"/>
  <c r="BW80" i="5" s="1"/>
  <c r="BX80" i="5" s="1"/>
  <c r="BY80" i="5" s="1"/>
  <c r="BZ80" i="5" s="1"/>
  <c r="CA80" i="5" s="1"/>
  <c r="CB80" i="5" s="1"/>
  <c r="CC80" i="5" s="1"/>
  <c r="CD80" i="5" s="1"/>
  <c r="CE80" i="5" s="1"/>
  <c r="CF80" i="5" s="1"/>
  <c r="CG80" i="5" s="1"/>
  <c r="CH80" i="5" s="1"/>
  <c r="CI80" i="5" s="1"/>
  <c r="CJ80" i="5" s="1"/>
  <c r="CK80" i="5" s="1"/>
  <c r="CL80" i="5" s="1"/>
  <c r="CM80" i="5" s="1"/>
  <c r="CN80" i="5" s="1"/>
  <c r="CO80" i="5" s="1"/>
  <c r="CP80" i="5" s="1"/>
  <c r="CQ80" i="5" s="1"/>
  <c r="CR80" i="5" s="1"/>
  <c r="CS80" i="5" s="1"/>
  <c r="CT80" i="5" s="1"/>
  <c r="CU80" i="5" s="1"/>
  <c r="CV80" i="5" s="1"/>
  <c r="CW80" i="5" s="1"/>
  <c r="CX80" i="5" s="1"/>
  <c r="CY80" i="5" s="1"/>
  <c r="CZ80" i="5" s="1"/>
  <c r="DA80" i="5" s="1"/>
  <c r="DB80" i="5" s="1"/>
  <c r="DC80" i="5" s="1"/>
  <c r="DD80" i="5" s="1"/>
  <c r="DE80" i="5" s="1"/>
  <c r="DF80" i="5" s="1"/>
  <c r="DG80" i="5" s="1"/>
  <c r="DH80" i="5" s="1"/>
  <c r="DI80" i="5" s="1"/>
  <c r="DJ80" i="5" s="1"/>
  <c r="DK80" i="5" s="1"/>
  <c r="DL80" i="5" s="1"/>
  <c r="DM80" i="5" s="1"/>
  <c r="DN80" i="5" s="1"/>
  <c r="DO80" i="5" s="1"/>
  <c r="DP80" i="5" s="1"/>
  <c r="DQ80" i="5" s="1"/>
  <c r="DR80" i="5" s="1"/>
  <c r="DS80" i="5" s="1"/>
  <c r="DT80" i="5" s="1"/>
  <c r="DU80" i="5" s="1"/>
  <c r="DV80" i="5" s="1"/>
  <c r="DW80" i="5" s="1"/>
  <c r="DX80" i="5" s="1"/>
  <c r="DY80" i="5" s="1"/>
  <c r="DZ80" i="5" s="1"/>
  <c r="EA80" i="5" s="1"/>
  <c r="EB80" i="5" s="1"/>
  <c r="EC80" i="5" s="1"/>
  <c r="ED80" i="5" s="1"/>
  <c r="EE80" i="5" s="1"/>
  <c r="EF80" i="5" s="1"/>
  <c r="EG80" i="5" s="1"/>
  <c r="EH80" i="5" s="1"/>
  <c r="EI80" i="5" s="1"/>
  <c r="EJ80" i="5" s="1"/>
  <c r="EK80" i="5" s="1"/>
  <c r="EL80" i="5" s="1"/>
  <c r="EM80" i="5" s="1"/>
  <c r="EN80" i="5" s="1"/>
  <c r="EO80" i="5" s="1"/>
  <c r="EP80" i="5" s="1"/>
  <c r="EQ80" i="5" s="1"/>
  <c r="ER80" i="5" s="1"/>
  <c r="ES80" i="5" s="1"/>
  <c r="ET80" i="5" s="1"/>
  <c r="EU80" i="5" s="1"/>
  <c r="EV80" i="5" s="1"/>
  <c r="EW80" i="5" s="1"/>
  <c r="EX80" i="5" s="1"/>
  <c r="EY80" i="5" s="1"/>
  <c r="EZ80" i="5" s="1"/>
  <c r="FA80" i="5" s="1"/>
  <c r="FB80" i="5" s="1"/>
  <c r="FC80" i="5" s="1"/>
  <c r="FD80" i="5" s="1"/>
  <c r="FE80" i="5" s="1"/>
  <c r="FF80" i="5" s="1"/>
  <c r="FG80" i="5" s="1"/>
  <c r="FH80" i="5" s="1"/>
  <c r="FI80" i="5" s="1"/>
  <c r="FJ80" i="5" s="1"/>
  <c r="FK80" i="5" s="1"/>
  <c r="FL80" i="5" s="1"/>
  <c r="FM80" i="5" s="1"/>
  <c r="FN80" i="5" s="1"/>
  <c r="FO80" i="5" s="1"/>
  <c r="FP80" i="5" s="1"/>
  <c r="FQ80" i="5" s="1"/>
  <c r="FR80" i="5" s="1"/>
  <c r="FS80" i="5" s="1"/>
  <c r="FT80" i="5" s="1"/>
  <c r="FU80" i="5" s="1"/>
  <c r="FV80" i="5" s="1"/>
  <c r="FW80" i="5" s="1"/>
  <c r="FX80" i="5" s="1"/>
  <c r="FY80" i="5" s="1"/>
  <c r="FZ80" i="5" s="1"/>
  <c r="GA80" i="5" s="1"/>
  <c r="GB80" i="5" s="1"/>
  <c r="GC80" i="5" s="1"/>
  <c r="GD80" i="5" s="1"/>
  <c r="GE80" i="5" s="1"/>
  <c r="GF80" i="5" s="1"/>
  <c r="GG80" i="5" s="1"/>
  <c r="GH80" i="5" s="1"/>
  <c r="GI80" i="5" s="1"/>
  <c r="GJ80" i="5" s="1"/>
  <c r="GK80" i="5" s="1"/>
  <c r="GL80" i="5" s="1"/>
  <c r="GM80" i="5" s="1"/>
  <c r="GN80" i="5" s="1"/>
  <c r="GO80" i="5" s="1"/>
  <c r="GP80" i="5" s="1"/>
  <c r="GQ80" i="5" s="1"/>
  <c r="GR80" i="5" s="1"/>
  <c r="GS80" i="5" s="1"/>
  <c r="GT80" i="5" s="1"/>
  <c r="GU80" i="5" s="1"/>
  <c r="GV80" i="5" s="1"/>
  <c r="GW80" i="5" s="1"/>
  <c r="GX80" i="5" s="1"/>
  <c r="GY80" i="5" s="1"/>
  <c r="GZ80" i="5" s="1"/>
  <c r="HA80" i="5" s="1"/>
  <c r="HB80" i="5" s="1"/>
  <c r="HC80" i="5" s="1"/>
  <c r="HD80" i="5" s="1"/>
  <c r="HE80" i="5" s="1"/>
  <c r="HF80" i="5" s="1"/>
  <c r="HG80" i="5" s="1"/>
  <c r="HH80" i="5" s="1"/>
  <c r="HI80" i="5" s="1"/>
  <c r="HJ80" i="5" s="1"/>
  <c r="HK80" i="5" s="1"/>
  <c r="HL80" i="5" s="1"/>
  <c r="HM80" i="5" s="1"/>
  <c r="HN80" i="5" s="1"/>
  <c r="HO80" i="5" s="1"/>
  <c r="HP80" i="5" s="1"/>
  <c r="HQ80" i="5" s="1"/>
  <c r="HR80" i="5" s="1"/>
  <c r="HS80" i="5" s="1"/>
  <c r="HT80" i="5" s="1"/>
  <c r="HU80" i="5" s="1"/>
  <c r="HV80" i="5" s="1"/>
  <c r="HW80" i="5" s="1"/>
  <c r="HX80" i="5" s="1"/>
  <c r="HY80" i="5" s="1"/>
  <c r="HZ80" i="5" s="1"/>
  <c r="IA80" i="5" s="1"/>
  <c r="IB80" i="5" s="1"/>
  <c r="IC80" i="5" s="1"/>
  <c r="ID80" i="5" s="1"/>
  <c r="IE80" i="5" s="1"/>
  <c r="IF80" i="5" s="1"/>
  <c r="IG80" i="5" s="1"/>
  <c r="IH80" i="5" s="1"/>
  <c r="II80" i="5" s="1"/>
  <c r="IJ80" i="5" s="1"/>
  <c r="IK80" i="5" s="1"/>
  <c r="IL80" i="5" s="1"/>
  <c r="IM80" i="5" s="1"/>
  <c r="IN80" i="5" s="1"/>
  <c r="IO80" i="5" s="1"/>
  <c r="IP80" i="5" s="1"/>
  <c r="IQ80" i="5" s="1"/>
  <c r="IR80" i="5" s="1"/>
  <c r="IS80" i="5" s="1"/>
  <c r="IT80" i="5" s="1"/>
  <c r="IU80" i="5" s="1"/>
  <c r="F72" i="5"/>
  <c r="G72" i="5" s="1"/>
  <c r="H72" i="5" s="1"/>
  <c r="I72" i="5" s="1"/>
  <c r="J72" i="5" s="1"/>
  <c r="K72" i="5" s="1"/>
  <c r="L72" i="5" s="1"/>
  <c r="M72" i="5" s="1"/>
  <c r="N72" i="5" s="1"/>
  <c r="O72" i="5" s="1"/>
  <c r="P72" i="5" s="1"/>
  <c r="Q72" i="5" s="1"/>
  <c r="R72" i="5" s="1"/>
  <c r="S72" i="5" s="1"/>
  <c r="T72" i="5" s="1"/>
  <c r="U72" i="5" s="1"/>
  <c r="V72" i="5" s="1"/>
  <c r="W72" i="5" s="1"/>
  <c r="X72" i="5" s="1"/>
  <c r="Y72" i="5" s="1"/>
  <c r="Z72" i="5" s="1"/>
  <c r="AA72" i="5" s="1"/>
  <c r="AB72" i="5" s="1"/>
  <c r="AC72" i="5" s="1"/>
  <c r="AD72" i="5" s="1"/>
  <c r="AE72" i="5" s="1"/>
  <c r="AF72" i="5" s="1"/>
  <c r="AG72" i="5" s="1"/>
  <c r="AH72" i="5" s="1"/>
  <c r="AI72" i="5" s="1"/>
  <c r="AJ72" i="5" s="1"/>
  <c r="AK72" i="5" s="1"/>
  <c r="AL72" i="5" s="1"/>
  <c r="AM72" i="5" s="1"/>
  <c r="AN72" i="5" s="1"/>
  <c r="AO72" i="5" s="1"/>
  <c r="AP72" i="5" s="1"/>
  <c r="AQ72" i="5" s="1"/>
  <c r="AR72" i="5" s="1"/>
  <c r="AS72" i="5" s="1"/>
  <c r="AT72" i="5" s="1"/>
  <c r="AU72" i="5" s="1"/>
  <c r="AV72" i="5" s="1"/>
  <c r="AW72" i="5" s="1"/>
  <c r="AX72" i="5" s="1"/>
  <c r="AY72" i="5" s="1"/>
  <c r="AZ72" i="5" s="1"/>
  <c r="BA72" i="5" s="1"/>
  <c r="BB72" i="5" s="1"/>
  <c r="BC72" i="5" s="1"/>
  <c r="BD72" i="5" s="1"/>
  <c r="BE72" i="5" s="1"/>
  <c r="BF72" i="5" s="1"/>
  <c r="BG72" i="5" s="1"/>
  <c r="BH72" i="5" s="1"/>
  <c r="BI72" i="5" s="1"/>
  <c r="BJ72" i="5" s="1"/>
  <c r="BK72" i="5" s="1"/>
  <c r="BL72" i="5" s="1"/>
  <c r="BM72" i="5" s="1"/>
  <c r="BN72" i="5" s="1"/>
  <c r="BO72" i="5" s="1"/>
  <c r="BP72" i="5" s="1"/>
  <c r="BQ72" i="5" s="1"/>
  <c r="BR72" i="5" s="1"/>
  <c r="BS72" i="5" s="1"/>
  <c r="BT72" i="5" s="1"/>
  <c r="BU72" i="5" s="1"/>
  <c r="BV72" i="5" s="1"/>
  <c r="BW72" i="5" s="1"/>
  <c r="BX72" i="5" s="1"/>
  <c r="BY72" i="5" s="1"/>
  <c r="BZ72" i="5" s="1"/>
  <c r="CA72" i="5" s="1"/>
  <c r="CB72" i="5" s="1"/>
  <c r="CC72" i="5" s="1"/>
  <c r="CD72" i="5" s="1"/>
  <c r="CE72" i="5" s="1"/>
  <c r="CF72" i="5" s="1"/>
  <c r="CG72" i="5" s="1"/>
  <c r="CH72" i="5" s="1"/>
  <c r="CI72" i="5" s="1"/>
  <c r="CJ72" i="5" s="1"/>
  <c r="CK72" i="5" s="1"/>
  <c r="CL72" i="5" s="1"/>
  <c r="CM72" i="5" s="1"/>
  <c r="CN72" i="5" s="1"/>
  <c r="CO72" i="5" s="1"/>
  <c r="CP72" i="5" s="1"/>
  <c r="CQ72" i="5" s="1"/>
  <c r="CR72" i="5" s="1"/>
  <c r="CS72" i="5" s="1"/>
  <c r="CT72" i="5" s="1"/>
  <c r="CU72" i="5" s="1"/>
  <c r="CV72" i="5" s="1"/>
  <c r="CW72" i="5" s="1"/>
  <c r="CX72" i="5" s="1"/>
  <c r="CY72" i="5" s="1"/>
  <c r="CZ72" i="5" s="1"/>
  <c r="DA72" i="5" s="1"/>
  <c r="DB72" i="5" s="1"/>
  <c r="DC72" i="5" s="1"/>
  <c r="DD72" i="5" s="1"/>
  <c r="DE72" i="5" s="1"/>
  <c r="DF72" i="5" s="1"/>
  <c r="DG72" i="5" s="1"/>
  <c r="DH72" i="5" s="1"/>
  <c r="DI72" i="5" s="1"/>
  <c r="DJ72" i="5" s="1"/>
  <c r="DK72" i="5" s="1"/>
  <c r="DL72" i="5" s="1"/>
  <c r="DM72" i="5" s="1"/>
  <c r="DN72" i="5" s="1"/>
  <c r="DO72" i="5" s="1"/>
  <c r="DP72" i="5" s="1"/>
  <c r="DQ72" i="5" s="1"/>
  <c r="DR72" i="5" s="1"/>
  <c r="DS72" i="5" s="1"/>
  <c r="DT72" i="5" s="1"/>
  <c r="DU72" i="5" s="1"/>
  <c r="DV72" i="5" s="1"/>
  <c r="DW72" i="5" s="1"/>
  <c r="DX72" i="5" s="1"/>
  <c r="DY72" i="5" s="1"/>
  <c r="DZ72" i="5" s="1"/>
  <c r="EA72" i="5" s="1"/>
  <c r="EB72" i="5" s="1"/>
  <c r="EC72" i="5" s="1"/>
  <c r="ED72" i="5" s="1"/>
  <c r="EE72" i="5" s="1"/>
  <c r="EF72" i="5" s="1"/>
  <c r="EG72" i="5" s="1"/>
  <c r="EH72" i="5" s="1"/>
  <c r="EI72" i="5" s="1"/>
  <c r="EJ72" i="5" s="1"/>
  <c r="EK72" i="5" s="1"/>
  <c r="EL72" i="5" s="1"/>
  <c r="EM72" i="5" s="1"/>
  <c r="EN72" i="5" s="1"/>
  <c r="EO72" i="5" s="1"/>
  <c r="EP72" i="5" s="1"/>
  <c r="EQ72" i="5" s="1"/>
  <c r="ER72" i="5" s="1"/>
  <c r="ES72" i="5" s="1"/>
  <c r="ET72" i="5" s="1"/>
  <c r="EU72" i="5" s="1"/>
  <c r="EV72" i="5" s="1"/>
  <c r="EW72" i="5" s="1"/>
  <c r="EX72" i="5" s="1"/>
  <c r="EY72" i="5" s="1"/>
  <c r="EZ72" i="5" s="1"/>
  <c r="FA72" i="5" s="1"/>
  <c r="FB72" i="5" s="1"/>
  <c r="FC72" i="5" s="1"/>
  <c r="FD72" i="5" s="1"/>
  <c r="FE72" i="5" s="1"/>
  <c r="FF72" i="5" s="1"/>
  <c r="FG72" i="5" s="1"/>
  <c r="FH72" i="5" s="1"/>
  <c r="FI72" i="5" s="1"/>
  <c r="FJ72" i="5" s="1"/>
  <c r="FK72" i="5" s="1"/>
  <c r="FL72" i="5" s="1"/>
  <c r="FM72" i="5" s="1"/>
  <c r="FN72" i="5" s="1"/>
  <c r="FO72" i="5" s="1"/>
  <c r="FP72" i="5" s="1"/>
  <c r="FQ72" i="5" s="1"/>
  <c r="FR72" i="5" s="1"/>
  <c r="FS72" i="5" s="1"/>
  <c r="FT72" i="5" s="1"/>
  <c r="FU72" i="5" s="1"/>
  <c r="FV72" i="5" s="1"/>
  <c r="FW72" i="5" s="1"/>
  <c r="FX72" i="5" s="1"/>
  <c r="FY72" i="5" s="1"/>
  <c r="FZ72" i="5" s="1"/>
  <c r="GA72" i="5" s="1"/>
  <c r="GB72" i="5" s="1"/>
  <c r="GC72" i="5" s="1"/>
  <c r="GD72" i="5" s="1"/>
  <c r="GE72" i="5" s="1"/>
  <c r="GF72" i="5" s="1"/>
  <c r="GG72" i="5" s="1"/>
  <c r="GH72" i="5" s="1"/>
  <c r="GI72" i="5" s="1"/>
  <c r="GJ72" i="5" s="1"/>
  <c r="GK72" i="5" s="1"/>
  <c r="GL72" i="5" s="1"/>
  <c r="GM72" i="5" s="1"/>
  <c r="GN72" i="5" s="1"/>
  <c r="GO72" i="5" s="1"/>
  <c r="GP72" i="5" s="1"/>
  <c r="GQ72" i="5" s="1"/>
  <c r="GR72" i="5" s="1"/>
  <c r="GS72" i="5" s="1"/>
  <c r="GT72" i="5" s="1"/>
  <c r="GU72" i="5" s="1"/>
  <c r="GV72" i="5" s="1"/>
  <c r="GW72" i="5" s="1"/>
  <c r="GX72" i="5" s="1"/>
  <c r="GY72" i="5" s="1"/>
  <c r="GZ72" i="5" s="1"/>
  <c r="HA72" i="5" s="1"/>
  <c r="HB72" i="5" s="1"/>
  <c r="HC72" i="5" s="1"/>
  <c r="HD72" i="5" s="1"/>
  <c r="HE72" i="5" s="1"/>
  <c r="HF72" i="5" s="1"/>
  <c r="HG72" i="5" s="1"/>
  <c r="HH72" i="5" s="1"/>
  <c r="HI72" i="5" s="1"/>
  <c r="HJ72" i="5" s="1"/>
  <c r="HK72" i="5" s="1"/>
  <c r="HL72" i="5" s="1"/>
  <c r="HM72" i="5" s="1"/>
  <c r="HN72" i="5" s="1"/>
  <c r="HO72" i="5" s="1"/>
  <c r="HP72" i="5" s="1"/>
  <c r="HQ72" i="5" s="1"/>
  <c r="HR72" i="5" s="1"/>
  <c r="HS72" i="5" s="1"/>
  <c r="HT72" i="5" s="1"/>
  <c r="HU72" i="5" s="1"/>
  <c r="HV72" i="5" s="1"/>
  <c r="HW72" i="5" s="1"/>
  <c r="HX72" i="5" s="1"/>
  <c r="HY72" i="5" s="1"/>
  <c r="HZ72" i="5" s="1"/>
  <c r="IA72" i="5" s="1"/>
  <c r="IB72" i="5" s="1"/>
  <c r="IC72" i="5" s="1"/>
  <c r="ID72" i="5" s="1"/>
  <c r="IE72" i="5" s="1"/>
  <c r="IF72" i="5" s="1"/>
  <c r="IG72" i="5" s="1"/>
  <c r="IH72" i="5" s="1"/>
  <c r="II72" i="5" s="1"/>
  <c r="IJ72" i="5" s="1"/>
  <c r="IK72" i="5" s="1"/>
  <c r="IL72" i="5" s="1"/>
  <c r="IM72" i="5" s="1"/>
  <c r="IN72" i="5" s="1"/>
  <c r="IO72" i="5" s="1"/>
  <c r="IP72" i="5" s="1"/>
  <c r="IQ72" i="5" s="1"/>
  <c r="IR72" i="5" s="1"/>
  <c r="IS72" i="5" s="1"/>
  <c r="IT72" i="5" s="1"/>
  <c r="IU72" i="5" s="1"/>
  <c r="F64" i="5"/>
  <c r="G64" i="5" s="1"/>
  <c r="H64" i="5" s="1"/>
  <c r="I64" i="5" s="1"/>
  <c r="J64" i="5" s="1"/>
  <c r="K64" i="5" s="1"/>
  <c r="L64" i="5" s="1"/>
  <c r="M64" i="5" s="1"/>
  <c r="N64" i="5" s="1"/>
  <c r="O64" i="5" s="1"/>
  <c r="P64" i="5" s="1"/>
  <c r="Q64" i="5" s="1"/>
  <c r="R64" i="5" s="1"/>
  <c r="S64" i="5" s="1"/>
  <c r="T64" i="5" s="1"/>
  <c r="U64" i="5" s="1"/>
  <c r="V64" i="5" s="1"/>
  <c r="W64" i="5" s="1"/>
  <c r="X64" i="5" s="1"/>
  <c r="Y64" i="5" s="1"/>
  <c r="Z64" i="5" s="1"/>
  <c r="AA64" i="5" s="1"/>
  <c r="AB64" i="5" s="1"/>
  <c r="AC64" i="5" s="1"/>
  <c r="AD64" i="5" s="1"/>
  <c r="AE64" i="5" s="1"/>
  <c r="AF64" i="5" s="1"/>
  <c r="AG64" i="5" s="1"/>
  <c r="AH64" i="5" s="1"/>
  <c r="AI64" i="5" s="1"/>
  <c r="AJ64" i="5" s="1"/>
  <c r="AK64" i="5" s="1"/>
  <c r="AL64" i="5" s="1"/>
  <c r="AM64" i="5" s="1"/>
  <c r="AN64" i="5" s="1"/>
  <c r="AO64" i="5" s="1"/>
  <c r="AP64" i="5" s="1"/>
  <c r="AQ64" i="5" s="1"/>
  <c r="AR64" i="5" s="1"/>
  <c r="AS64" i="5" s="1"/>
  <c r="AT64" i="5" s="1"/>
  <c r="AU64" i="5" s="1"/>
  <c r="AV64" i="5" s="1"/>
  <c r="AW64" i="5" s="1"/>
  <c r="AX64" i="5" s="1"/>
  <c r="AY64" i="5" s="1"/>
  <c r="AZ64" i="5" s="1"/>
  <c r="BA64" i="5" s="1"/>
  <c r="BB64" i="5" s="1"/>
  <c r="BC64" i="5" s="1"/>
  <c r="BD64" i="5" s="1"/>
  <c r="BE64" i="5" s="1"/>
  <c r="BF64" i="5" s="1"/>
  <c r="BG64" i="5" s="1"/>
  <c r="BH64" i="5" s="1"/>
  <c r="BI64" i="5" s="1"/>
  <c r="BJ64" i="5" s="1"/>
  <c r="BK64" i="5" s="1"/>
  <c r="BL64" i="5" s="1"/>
  <c r="BM64" i="5" s="1"/>
  <c r="BN64" i="5" s="1"/>
  <c r="BO64" i="5" s="1"/>
  <c r="BP64" i="5" s="1"/>
  <c r="BQ64" i="5" s="1"/>
  <c r="BR64" i="5" s="1"/>
  <c r="BS64" i="5" s="1"/>
  <c r="BT64" i="5" s="1"/>
  <c r="BU64" i="5" s="1"/>
  <c r="BV64" i="5" s="1"/>
  <c r="BW64" i="5" s="1"/>
  <c r="BX64" i="5" s="1"/>
  <c r="BY64" i="5" s="1"/>
  <c r="BZ64" i="5" s="1"/>
  <c r="CA64" i="5" s="1"/>
  <c r="CB64" i="5" s="1"/>
  <c r="CC64" i="5" s="1"/>
  <c r="CD64" i="5" s="1"/>
  <c r="CE64" i="5" s="1"/>
  <c r="CF64" i="5" s="1"/>
  <c r="CG64" i="5" s="1"/>
  <c r="CH64" i="5" s="1"/>
  <c r="CI64" i="5" s="1"/>
  <c r="CJ64" i="5" s="1"/>
  <c r="CK64" i="5" s="1"/>
  <c r="CL64" i="5" s="1"/>
  <c r="CM64" i="5" s="1"/>
  <c r="CN64" i="5" s="1"/>
  <c r="CO64" i="5" s="1"/>
  <c r="CP64" i="5" s="1"/>
  <c r="CQ64" i="5" s="1"/>
  <c r="CR64" i="5" s="1"/>
  <c r="CS64" i="5" s="1"/>
  <c r="CT64" i="5" s="1"/>
  <c r="CU64" i="5" s="1"/>
  <c r="CV64" i="5" s="1"/>
  <c r="CW64" i="5" s="1"/>
  <c r="CX64" i="5" s="1"/>
  <c r="CY64" i="5" s="1"/>
  <c r="CZ64" i="5" s="1"/>
  <c r="DA64" i="5" s="1"/>
  <c r="DB64" i="5" s="1"/>
  <c r="DC64" i="5" s="1"/>
  <c r="DD64" i="5" s="1"/>
  <c r="DE64" i="5" s="1"/>
  <c r="DF64" i="5" s="1"/>
  <c r="DG64" i="5" s="1"/>
  <c r="DH64" i="5" s="1"/>
  <c r="DI64" i="5" s="1"/>
  <c r="DJ64" i="5" s="1"/>
  <c r="DK64" i="5" s="1"/>
  <c r="DL64" i="5" s="1"/>
  <c r="DM64" i="5" s="1"/>
  <c r="DN64" i="5" s="1"/>
  <c r="DO64" i="5" s="1"/>
  <c r="DP64" i="5" s="1"/>
  <c r="DQ64" i="5" s="1"/>
  <c r="DR64" i="5" s="1"/>
  <c r="DS64" i="5" s="1"/>
  <c r="DT64" i="5" s="1"/>
  <c r="DU64" i="5" s="1"/>
  <c r="DV64" i="5" s="1"/>
  <c r="DW64" i="5" s="1"/>
  <c r="DX64" i="5" s="1"/>
  <c r="DY64" i="5" s="1"/>
  <c r="DZ64" i="5" s="1"/>
  <c r="EA64" i="5" s="1"/>
  <c r="EB64" i="5" s="1"/>
  <c r="EC64" i="5" s="1"/>
  <c r="ED64" i="5" s="1"/>
  <c r="EE64" i="5" s="1"/>
  <c r="EF64" i="5" s="1"/>
  <c r="EG64" i="5" s="1"/>
  <c r="EH64" i="5" s="1"/>
  <c r="EI64" i="5" s="1"/>
  <c r="EJ64" i="5" s="1"/>
  <c r="EK64" i="5" s="1"/>
  <c r="EL64" i="5" s="1"/>
  <c r="EM64" i="5" s="1"/>
  <c r="EN64" i="5" s="1"/>
  <c r="EO64" i="5" s="1"/>
  <c r="EP64" i="5" s="1"/>
  <c r="EQ64" i="5" s="1"/>
  <c r="ER64" i="5" s="1"/>
  <c r="ES64" i="5" s="1"/>
  <c r="ET64" i="5" s="1"/>
  <c r="EU64" i="5" s="1"/>
  <c r="EV64" i="5" s="1"/>
  <c r="EW64" i="5" s="1"/>
  <c r="EX64" i="5" s="1"/>
  <c r="EY64" i="5" s="1"/>
  <c r="EZ64" i="5" s="1"/>
  <c r="FA64" i="5" s="1"/>
  <c r="FB64" i="5" s="1"/>
  <c r="FC64" i="5" s="1"/>
  <c r="FD64" i="5" s="1"/>
  <c r="FE64" i="5" s="1"/>
  <c r="FF64" i="5" s="1"/>
  <c r="FG64" i="5" s="1"/>
  <c r="FH64" i="5" s="1"/>
  <c r="FI64" i="5" s="1"/>
  <c r="FJ64" i="5" s="1"/>
  <c r="FK64" i="5" s="1"/>
  <c r="FL64" i="5" s="1"/>
  <c r="FM64" i="5" s="1"/>
  <c r="FN64" i="5" s="1"/>
  <c r="FO64" i="5" s="1"/>
  <c r="FP64" i="5" s="1"/>
  <c r="FQ64" i="5" s="1"/>
  <c r="FR64" i="5" s="1"/>
  <c r="FS64" i="5" s="1"/>
  <c r="FT64" i="5" s="1"/>
  <c r="FU64" i="5" s="1"/>
  <c r="FV64" i="5" s="1"/>
  <c r="FW64" i="5" s="1"/>
  <c r="FX64" i="5" s="1"/>
  <c r="FY64" i="5" s="1"/>
  <c r="FZ64" i="5" s="1"/>
  <c r="GA64" i="5" s="1"/>
  <c r="GB64" i="5" s="1"/>
  <c r="GC64" i="5" s="1"/>
  <c r="GD64" i="5" s="1"/>
  <c r="GE64" i="5" s="1"/>
  <c r="GF64" i="5" s="1"/>
  <c r="GG64" i="5" s="1"/>
  <c r="GH64" i="5" s="1"/>
  <c r="GI64" i="5" s="1"/>
  <c r="GJ64" i="5" s="1"/>
  <c r="GK64" i="5" s="1"/>
  <c r="GL64" i="5" s="1"/>
  <c r="GM64" i="5" s="1"/>
  <c r="GN64" i="5" s="1"/>
  <c r="GO64" i="5" s="1"/>
  <c r="GP64" i="5" s="1"/>
  <c r="GQ64" i="5" s="1"/>
  <c r="GR64" i="5" s="1"/>
  <c r="GS64" i="5" s="1"/>
  <c r="GT64" i="5" s="1"/>
  <c r="GU64" i="5" s="1"/>
  <c r="GV64" i="5" s="1"/>
  <c r="GW64" i="5" s="1"/>
  <c r="GX64" i="5" s="1"/>
  <c r="GY64" i="5" s="1"/>
  <c r="GZ64" i="5" s="1"/>
  <c r="HA64" i="5" s="1"/>
  <c r="HB64" i="5" s="1"/>
  <c r="HC64" i="5" s="1"/>
  <c r="HD64" i="5" s="1"/>
  <c r="HE64" i="5" s="1"/>
  <c r="HF64" i="5" s="1"/>
  <c r="HG64" i="5" s="1"/>
  <c r="HH64" i="5" s="1"/>
  <c r="HI64" i="5" s="1"/>
  <c r="HJ64" i="5" s="1"/>
  <c r="HK64" i="5" s="1"/>
  <c r="HL64" i="5" s="1"/>
  <c r="HM64" i="5" s="1"/>
  <c r="HN64" i="5" s="1"/>
  <c r="HO64" i="5" s="1"/>
  <c r="HP64" i="5" s="1"/>
  <c r="HQ64" i="5" s="1"/>
  <c r="HR64" i="5" s="1"/>
  <c r="HS64" i="5" s="1"/>
  <c r="HT64" i="5" s="1"/>
  <c r="HU64" i="5" s="1"/>
  <c r="HV64" i="5" s="1"/>
  <c r="HW64" i="5" s="1"/>
  <c r="HX64" i="5" s="1"/>
  <c r="HY64" i="5" s="1"/>
  <c r="HZ64" i="5" s="1"/>
  <c r="IA64" i="5" s="1"/>
  <c r="IB64" i="5" s="1"/>
  <c r="IC64" i="5" s="1"/>
  <c r="ID64" i="5" s="1"/>
  <c r="IE64" i="5" s="1"/>
  <c r="IF64" i="5" s="1"/>
  <c r="IG64" i="5" s="1"/>
  <c r="IH64" i="5" s="1"/>
  <c r="II64" i="5" s="1"/>
  <c r="IJ64" i="5" s="1"/>
  <c r="IK64" i="5" s="1"/>
  <c r="IL64" i="5" s="1"/>
  <c r="IM64" i="5" s="1"/>
  <c r="IN64" i="5" s="1"/>
  <c r="IO64" i="5" s="1"/>
  <c r="IP64" i="5" s="1"/>
  <c r="IQ64" i="5" s="1"/>
  <c r="IR64" i="5" s="1"/>
  <c r="IS64" i="5" s="1"/>
  <c r="IT64" i="5" s="1"/>
  <c r="IU64" i="5" s="1"/>
  <c r="F56" i="5"/>
  <c r="G56" i="5" s="1"/>
  <c r="H56" i="5" s="1"/>
  <c r="I56" i="5" s="1"/>
  <c r="J56" i="5" s="1"/>
  <c r="K56" i="5" s="1"/>
  <c r="L56" i="5" s="1"/>
  <c r="M56" i="5" s="1"/>
  <c r="N56" i="5" s="1"/>
  <c r="O56" i="5" s="1"/>
  <c r="P56" i="5" s="1"/>
  <c r="Q56" i="5" s="1"/>
  <c r="R56" i="5" s="1"/>
  <c r="S56" i="5" s="1"/>
  <c r="T56" i="5" s="1"/>
  <c r="U56" i="5" s="1"/>
  <c r="V56" i="5" s="1"/>
  <c r="W56" i="5" s="1"/>
  <c r="X56" i="5" s="1"/>
  <c r="Y56" i="5" s="1"/>
  <c r="Z56" i="5" s="1"/>
  <c r="AA56" i="5" s="1"/>
  <c r="AB56" i="5" s="1"/>
  <c r="AC56" i="5" s="1"/>
  <c r="AD56" i="5" s="1"/>
  <c r="AE56" i="5" s="1"/>
  <c r="AF56" i="5" s="1"/>
  <c r="AG56" i="5" s="1"/>
  <c r="AH56" i="5" s="1"/>
  <c r="AI56" i="5" s="1"/>
  <c r="AJ56" i="5" s="1"/>
  <c r="AK56" i="5" s="1"/>
  <c r="AL56" i="5" s="1"/>
  <c r="AM56" i="5" s="1"/>
  <c r="AN56" i="5" s="1"/>
  <c r="AO56" i="5" s="1"/>
  <c r="AP56" i="5" s="1"/>
  <c r="AQ56" i="5" s="1"/>
  <c r="AR56" i="5" s="1"/>
  <c r="AS56" i="5" s="1"/>
  <c r="AT56" i="5" s="1"/>
  <c r="AU56" i="5" s="1"/>
  <c r="AV56" i="5" s="1"/>
  <c r="AW56" i="5" s="1"/>
  <c r="AX56" i="5" s="1"/>
  <c r="AY56" i="5" s="1"/>
  <c r="AZ56" i="5" s="1"/>
  <c r="BA56" i="5" s="1"/>
  <c r="BB56" i="5" s="1"/>
  <c r="BC56" i="5" s="1"/>
  <c r="BD56" i="5" s="1"/>
  <c r="BE56" i="5" s="1"/>
  <c r="BF56" i="5" s="1"/>
  <c r="BG56" i="5" s="1"/>
  <c r="BH56" i="5" s="1"/>
  <c r="BI56" i="5" s="1"/>
  <c r="BJ56" i="5" s="1"/>
  <c r="BK56" i="5" s="1"/>
  <c r="BL56" i="5" s="1"/>
  <c r="BM56" i="5" s="1"/>
  <c r="BN56" i="5" s="1"/>
  <c r="BO56" i="5" s="1"/>
  <c r="BP56" i="5" s="1"/>
  <c r="BQ56" i="5" s="1"/>
  <c r="BR56" i="5" s="1"/>
  <c r="BS56" i="5" s="1"/>
  <c r="BT56" i="5" s="1"/>
  <c r="BU56" i="5" s="1"/>
  <c r="BV56" i="5" s="1"/>
  <c r="BW56" i="5" s="1"/>
  <c r="BX56" i="5" s="1"/>
  <c r="BY56" i="5" s="1"/>
  <c r="BZ56" i="5" s="1"/>
  <c r="CA56" i="5" s="1"/>
  <c r="CB56" i="5" s="1"/>
  <c r="CC56" i="5" s="1"/>
  <c r="CD56" i="5" s="1"/>
  <c r="CE56" i="5" s="1"/>
  <c r="CF56" i="5" s="1"/>
  <c r="CG56" i="5" s="1"/>
  <c r="CH56" i="5" s="1"/>
  <c r="CI56" i="5" s="1"/>
  <c r="CJ56" i="5" s="1"/>
  <c r="CK56" i="5" s="1"/>
  <c r="CL56" i="5" s="1"/>
  <c r="CM56" i="5" s="1"/>
  <c r="CN56" i="5" s="1"/>
  <c r="CO56" i="5" s="1"/>
  <c r="CP56" i="5" s="1"/>
  <c r="CQ56" i="5" s="1"/>
  <c r="CR56" i="5" s="1"/>
  <c r="CS56" i="5" s="1"/>
  <c r="CT56" i="5" s="1"/>
  <c r="CU56" i="5" s="1"/>
  <c r="CV56" i="5" s="1"/>
  <c r="CW56" i="5" s="1"/>
  <c r="CX56" i="5" s="1"/>
  <c r="CY56" i="5" s="1"/>
  <c r="CZ56" i="5" s="1"/>
  <c r="DA56" i="5" s="1"/>
  <c r="DB56" i="5" s="1"/>
  <c r="DC56" i="5" s="1"/>
  <c r="DD56" i="5" s="1"/>
  <c r="DE56" i="5" s="1"/>
  <c r="DF56" i="5" s="1"/>
  <c r="DG56" i="5" s="1"/>
  <c r="DH56" i="5" s="1"/>
  <c r="DI56" i="5" s="1"/>
  <c r="DJ56" i="5" s="1"/>
  <c r="DK56" i="5" s="1"/>
  <c r="DL56" i="5" s="1"/>
  <c r="DM56" i="5" s="1"/>
  <c r="DN56" i="5" s="1"/>
  <c r="DO56" i="5" s="1"/>
  <c r="DP56" i="5" s="1"/>
  <c r="DQ56" i="5" s="1"/>
  <c r="DR56" i="5" s="1"/>
  <c r="DS56" i="5" s="1"/>
  <c r="DT56" i="5" s="1"/>
  <c r="DU56" i="5" s="1"/>
  <c r="DV56" i="5" s="1"/>
  <c r="DW56" i="5" s="1"/>
  <c r="DX56" i="5" s="1"/>
  <c r="DY56" i="5" s="1"/>
  <c r="DZ56" i="5" s="1"/>
  <c r="EA56" i="5" s="1"/>
  <c r="EB56" i="5" s="1"/>
  <c r="EC56" i="5" s="1"/>
  <c r="ED56" i="5" s="1"/>
  <c r="EE56" i="5" s="1"/>
  <c r="EF56" i="5" s="1"/>
  <c r="EG56" i="5" s="1"/>
  <c r="EH56" i="5" s="1"/>
  <c r="EI56" i="5" s="1"/>
  <c r="EJ56" i="5" s="1"/>
  <c r="EK56" i="5" s="1"/>
  <c r="EL56" i="5" s="1"/>
  <c r="EM56" i="5" s="1"/>
  <c r="EN56" i="5" s="1"/>
  <c r="EO56" i="5" s="1"/>
  <c r="EP56" i="5" s="1"/>
  <c r="EQ56" i="5" s="1"/>
  <c r="ER56" i="5" s="1"/>
  <c r="ES56" i="5" s="1"/>
  <c r="ET56" i="5" s="1"/>
  <c r="EU56" i="5" s="1"/>
  <c r="EV56" i="5" s="1"/>
  <c r="EW56" i="5" s="1"/>
  <c r="EX56" i="5" s="1"/>
  <c r="EY56" i="5" s="1"/>
  <c r="EZ56" i="5" s="1"/>
  <c r="FA56" i="5" s="1"/>
  <c r="FB56" i="5" s="1"/>
  <c r="FC56" i="5" s="1"/>
  <c r="FD56" i="5" s="1"/>
  <c r="FE56" i="5" s="1"/>
  <c r="FF56" i="5" s="1"/>
  <c r="FG56" i="5" s="1"/>
  <c r="FH56" i="5" s="1"/>
  <c r="FI56" i="5" s="1"/>
  <c r="FJ56" i="5" s="1"/>
  <c r="FK56" i="5" s="1"/>
  <c r="FL56" i="5" s="1"/>
  <c r="FM56" i="5" s="1"/>
  <c r="FN56" i="5" s="1"/>
  <c r="FO56" i="5" s="1"/>
  <c r="FP56" i="5" s="1"/>
  <c r="FQ56" i="5" s="1"/>
  <c r="FR56" i="5" s="1"/>
  <c r="FS56" i="5" s="1"/>
  <c r="FT56" i="5" s="1"/>
  <c r="FU56" i="5" s="1"/>
  <c r="FV56" i="5" s="1"/>
  <c r="FW56" i="5" s="1"/>
  <c r="FX56" i="5" s="1"/>
  <c r="FY56" i="5" s="1"/>
  <c r="FZ56" i="5" s="1"/>
  <c r="GA56" i="5" s="1"/>
  <c r="GB56" i="5" s="1"/>
  <c r="GC56" i="5" s="1"/>
  <c r="GD56" i="5" s="1"/>
  <c r="GE56" i="5" s="1"/>
  <c r="GF56" i="5" s="1"/>
  <c r="GG56" i="5" s="1"/>
  <c r="GH56" i="5" s="1"/>
  <c r="GI56" i="5" s="1"/>
  <c r="GJ56" i="5" s="1"/>
  <c r="GK56" i="5" s="1"/>
  <c r="GL56" i="5" s="1"/>
  <c r="GM56" i="5" s="1"/>
  <c r="GN56" i="5" s="1"/>
  <c r="GO56" i="5" s="1"/>
  <c r="GP56" i="5" s="1"/>
  <c r="GQ56" i="5" s="1"/>
  <c r="GR56" i="5" s="1"/>
  <c r="GS56" i="5" s="1"/>
  <c r="GT56" i="5" s="1"/>
  <c r="GU56" i="5" s="1"/>
  <c r="GV56" i="5" s="1"/>
  <c r="GW56" i="5" s="1"/>
  <c r="GX56" i="5" s="1"/>
  <c r="GY56" i="5" s="1"/>
  <c r="GZ56" i="5" s="1"/>
  <c r="HA56" i="5" s="1"/>
  <c r="HB56" i="5" s="1"/>
  <c r="HC56" i="5" s="1"/>
  <c r="HD56" i="5" s="1"/>
  <c r="HE56" i="5" s="1"/>
  <c r="HF56" i="5" s="1"/>
  <c r="HG56" i="5" s="1"/>
  <c r="HH56" i="5" s="1"/>
  <c r="HI56" i="5" s="1"/>
  <c r="HJ56" i="5" s="1"/>
  <c r="HK56" i="5" s="1"/>
  <c r="HL56" i="5" s="1"/>
  <c r="HM56" i="5" s="1"/>
  <c r="HN56" i="5" s="1"/>
  <c r="HO56" i="5" s="1"/>
  <c r="HP56" i="5" s="1"/>
  <c r="HQ56" i="5" s="1"/>
  <c r="HR56" i="5" s="1"/>
  <c r="HS56" i="5" s="1"/>
  <c r="HT56" i="5" s="1"/>
  <c r="HU56" i="5" s="1"/>
  <c r="HV56" i="5" s="1"/>
  <c r="HW56" i="5" s="1"/>
  <c r="HX56" i="5" s="1"/>
  <c r="HY56" i="5" s="1"/>
  <c r="HZ56" i="5" s="1"/>
  <c r="IA56" i="5" s="1"/>
  <c r="IB56" i="5" s="1"/>
  <c r="IC56" i="5" s="1"/>
  <c r="ID56" i="5" s="1"/>
  <c r="IE56" i="5" s="1"/>
  <c r="IF56" i="5" s="1"/>
  <c r="IG56" i="5" s="1"/>
  <c r="IH56" i="5" s="1"/>
  <c r="II56" i="5" s="1"/>
  <c r="IJ56" i="5" s="1"/>
  <c r="IK56" i="5" s="1"/>
  <c r="IL56" i="5" s="1"/>
  <c r="IM56" i="5" s="1"/>
  <c r="IN56" i="5" s="1"/>
  <c r="IO56" i="5" s="1"/>
  <c r="IP56" i="5" s="1"/>
  <c r="IQ56" i="5" s="1"/>
  <c r="IR56" i="5" s="1"/>
  <c r="IS56" i="5" s="1"/>
  <c r="IT56" i="5" s="1"/>
  <c r="IU56" i="5" s="1"/>
  <c r="F48" i="5"/>
  <c r="G48" i="5" s="1"/>
  <c r="H48" i="5" s="1"/>
  <c r="I48" i="5" s="1"/>
  <c r="J48" i="5" s="1"/>
  <c r="K48" i="5" s="1"/>
  <c r="L48" i="5" s="1"/>
  <c r="M48" i="5" s="1"/>
  <c r="N48" i="5" s="1"/>
  <c r="O48" i="5" s="1"/>
  <c r="P48" i="5" s="1"/>
  <c r="Q48" i="5" s="1"/>
  <c r="R48" i="5" s="1"/>
  <c r="S48" i="5" s="1"/>
  <c r="T48" i="5" s="1"/>
  <c r="U48" i="5" s="1"/>
  <c r="V48" i="5" s="1"/>
  <c r="W48" i="5" s="1"/>
  <c r="X48" i="5" s="1"/>
  <c r="Y48" i="5" s="1"/>
  <c r="Z48" i="5" s="1"/>
  <c r="AA48" i="5" s="1"/>
  <c r="AB48" i="5" s="1"/>
  <c r="AC48" i="5" s="1"/>
  <c r="AD48" i="5" s="1"/>
  <c r="AE48" i="5" s="1"/>
  <c r="AF48" i="5" s="1"/>
  <c r="AG48" i="5" s="1"/>
  <c r="AH48" i="5" s="1"/>
  <c r="AI48" i="5" s="1"/>
  <c r="AJ48" i="5" s="1"/>
  <c r="AK48" i="5" s="1"/>
  <c r="AL48" i="5" s="1"/>
  <c r="AM48" i="5" s="1"/>
  <c r="AN48" i="5" s="1"/>
  <c r="AO48" i="5" s="1"/>
  <c r="AP48" i="5" s="1"/>
  <c r="AQ48" i="5" s="1"/>
  <c r="AR48" i="5" s="1"/>
  <c r="AS48" i="5" s="1"/>
  <c r="AT48" i="5" s="1"/>
  <c r="AU48" i="5" s="1"/>
  <c r="AV48" i="5" s="1"/>
  <c r="AW48" i="5" s="1"/>
  <c r="AX48" i="5" s="1"/>
  <c r="AY48" i="5" s="1"/>
  <c r="AZ48" i="5" s="1"/>
  <c r="BA48" i="5" s="1"/>
  <c r="BB48" i="5" s="1"/>
  <c r="BC48" i="5" s="1"/>
  <c r="BD48" i="5" s="1"/>
  <c r="BE48" i="5" s="1"/>
  <c r="BF48" i="5" s="1"/>
  <c r="BG48" i="5" s="1"/>
  <c r="BH48" i="5" s="1"/>
  <c r="BI48" i="5" s="1"/>
  <c r="BJ48" i="5" s="1"/>
  <c r="BK48" i="5" s="1"/>
  <c r="BL48" i="5" s="1"/>
  <c r="BM48" i="5" s="1"/>
  <c r="BN48" i="5" s="1"/>
  <c r="BO48" i="5" s="1"/>
  <c r="BP48" i="5" s="1"/>
  <c r="BQ48" i="5" s="1"/>
  <c r="BR48" i="5" s="1"/>
  <c r="BS48" i="5" s="1"/>
  <c r="BT48" i="5" s="1"/>
  <c r="BU48" i="5" s="1"/>
  <c r="BV48" i="5" s="1"/>
  <c r="BW48" i="5" s="1"/>
  <c r="BX48" i="5" s="1"/>
  <c r="BY48" i="5" s="1"/>
  <c r="BZ48" i="5" s="1"/>
  <c r="CA48" i="5" s="1"/>
  <c r="CB48" i="5" s="1"/>
  <c r="CC48" i="5" s="1"/>
  <c r="CD48" i="5" s="1"/>
  <c r="CE48" i="5" s="1"/>
  <c r="CF48" i="5" s="1"/>
  <c r="CG48" i="5" s="1"/>
  <c r="CH48" i="5" s="1"/>
  <c r="CI48" i="5" s="1"/>
  <c r="CJ48" i="5" s="1"/>
  <c r="CK48" i="5" s="1"/>
  <c r="CL48" i="5" s="1"/>
  <c r="CM48" i="5" s="1"/>
  <c r="CN48" i="5" s="1"/>
  <c r="CO48" i="5" s="1"/>
  <c r="CP48" i="5" s="1"/>
  <c r="CQ48" i="5" s="1"/>
  <c r="CR48" i="5" s="1"/>
  <c r="CS48" i="5" s="1"/>
  <c r="CT48" i="5" s="1"/>
  <c r="CU48" i="5" s="1"/>
  <c r="CV48" i="5" s="1"/>
  <c r="CW48" i="5" s="1"/>
  <c r="CX48" i="5" s="1"/>
  <c r="CY48" i="5" s="1"/>
  <c r="CZ48" i="5" s="1"/>
  <c r="DA48" i="5" s="1"/>
  <c r="DB48" i="5" s="1"/>
  <c r="DC48" i="5" s="1"/>
  <c r="DD48" i="5" s="1"/>
  <c r="DE48" i="5" s="1"/>
  <c r="DF48" i="5" s="1"/>
  <c r="DG48" i="5" s="1"/>
  <c r="DH48" i="5" s="1"/>
  <c r="DI48" i="5" s="1"/>
  <c r="DJ48" i="5" s="1"/>
  <c r="DK48" i="5" s="1"/>
  <c r="DL48" i="5" s="1"/>
  <c r="DM48" i="5" s="1"/>
  <c r="DN48" i="5" s="1"/>
  <c r="DO48" i="5" s="1"/>
  <c r="DP48" i="5" s="1"/>
  <c r="DQ48" i="5" s="1"/>
  <c r="DR48" i="5" s="1"/>
  <c r="DS48" i="5" s="1"/>
  <c r="DT48" i="5" s="1"/>
  <c r="DU48" i="5" s="1"/>
  <c r="DV48" i="5" s="1"/>
  <c r="DW48" i="5" s="1"/>
  <c r="DX48" i="5" s="1"/>
  <c r="DY48" i="5" s="1"/>
  <c r="DZ48" i="5" s="1"/>
  <c r="EA48" i="5" s="1"/>
  <c r="EB48" i="5" s="1"/>
  <c r="EC48" i="5" s="1"/>
  <c r="ED48" i="5" s="1"/>
  <c r="EE48" i="5" s="1"/>
  <c r="EF48" i="5" s="1"/>
  <c r="EG48" i="5" s="1"/>
  <c r="EH48" i="5" s="1"/>
  <c r="EI48" i="5" s="1"/>
  <c r="EJ48" i="5" s="1"/>
  <c r="EK48" i="5" s="1"/>
  <c r="EL48" i="5" s="1"/>
  <c r="EM48" i="5" s="1"/>
  <c r="EN48" i="5" s="1"/>
  <c r="EO48" i="5" s="1"/>
  <c r="EP48" i="5" s="1"/>
  <c r="EQ48" i="5" s="1"/>
  <c r="ER48" i="5" s="1"/>
  <c r="ES48" i="5" s="1"/>
  <c r="ET48" i="5" s="1"/>
  <c r="EU48" i="5" s="1"/>
  <c r="EV48" i="5" s="1"/>
  <c r="EW48" i="5" s="1"/>
  <c r="EX48" i="5" s="1"/>
  <c r="EY48" i="5" s="1"/>
  <c r="EZ48" i="5" s="1"/>
  <c r="FA48" i="5" s="1"/>
  <c r="FB48" i="5" s="1"/>
  <c r="FC48" i="5" s="1"/>
  <c r="FD48" i="5" s="1"/>
  <c r="FE48" i="5" s="1"/>
  <c r="FF48" i="5" s="1"/>
  <c r="FG48" i="5" s="1"/>
  <c r="FH48" i="5" s="1"/>
  <c r="FI48" i="5" s="1"/>
  <c r="FJ48" i="5" s="1"/>
  <c r="FK48" i="5" s="1"/>
  <c r="FL48" i="5" s="1"/>
  <c r="FM48" i="5" s="1"/>
  <c r="FN48" i="5" s="1"/>
  <c r="FO48" i="5" s="1"/>
  <c r="FP48" i="5" s="1"/>
  <c r="FQ48" i="5" s="1"/>
  <c r="FR48" i="5" s="1"/>
  <c r="FS48" i="5" s="1"/>
  <c r="FT48" i="5" s="1"/>
  <c r="FU48" i="5" s="1"/>
  <c r="FV48" i="5" s="1"/>
  <c r="FW48" i="5" s="1"/>
  <c r="FX48" i="5" s="1"/>
  <c r="FY48" i="5" s="1"/>
  <c r="FZ48" i="5" s="1"/>
  <c r="GA48" i="5" s="1"/>
  <c r="GB48" i="5" s="1"/>
  <c r="GC48" i="5" s="1"/>
  <c r="GD48" i="5" s="1"/>
  <c r="GE48" i="5" s="1"/>
  <c r="GF48" i="5" s="1"/>
  <c r="GG48" i="5" s="1"/>
  <c r="GH48" i="5" s="1"/>
  <c r="GI48" i="5" s="1"/>
  <c r="GJ48" i="5" s="1"/>
  <c r="GK48" i="5" s="1"/>
  <c r="GL48" i="5" s="1"/>
  <c r="GM48" i="5" s="1"/>
  <c r="GN48" i="5" s="1"/>
  <c r="GO48" i="5" s="1"/>
  <c r="GP48" i="5" s="1"/>
  <c r="GQ48" i="5" s="1"/>
  <c r="GR48" i="5" s="1"/>
  <c r="GS48" i="5" s="1"/>
  <c r="GT48" i="5" s="1"/>
  <c r="GU48" i="5" s="1"/>
  <c r="GV48" i="5" s="1"/>
  <c r="GW48" i="5" s="1"/>
  <c r="GX48" i="5" s="1"/>
  <c r="GY48" i="5" s="1"/>
  <c r="GZ48" i="5" s="1"/>
  <c r="HA48" i="5" s="1"/>
  <c r="HB48" i="5" s="1"/>
  <c r="HC48" i="5" s="1"/>
  <c r="HD48" i="5" s="1"/>
  <c r="HE48" i="5" s="1"/>
  <c r="HF48" i="5" s="1"/>
  <c r="HG48" i="5" s="1"/>
  <c r="HH48" i="5" s="1"/>
  <c r="HI48" i="5" s="1"/>
  <c r="HJ48" i="5" s="1"/>
  <c r="HK48" i="5" s="1"/>
  <c r="HL48" i="5" s="1"/>
  <c r="HM48" i="5" s="1"/>
  <c r="HN48" i="5" s="1"/>
  <c r="HO48" i="5" s="1"/>
  <c r="HP48" i="5" s="1"/>
  <c r="HQ48" i="5" s="1"/>
  <c r="HR48" i="5" s="1"/>
  <c r="HS48" i="5" s="1"/>
  <c r="HT48" i="5" s="1"/>
  <c r="HU48" i="5" s="1"/>
  <c r="HV48" i="5" s="1"/>
  <c r="HW48" i="5" s="1"/>
  <c r="HX48" i="5" s="1"/>
  <c r="HY48" i="5" s="1"/>
  <c r="HZ48" i="5" s="1"/>
  <c r="IA48" i="5" s="1"/>
  <c r="IB48" i="5" s="1"/>
  <c r="IC48" i="5" s="1"/>
  <c r="ID48" i="5" s="1"/>
  <c r="IE48" i="5" s="1"/>
  <c r="IF48" i="5" s="1"/>
  <c r="IG48" i="5" s="1"/>
  <c r="IH48" i="5" s="1"/>
  <c r="II48" i="5" s="1"/>
  <c r="IJ48" i="5" s="1"/>
  <c r="IK48" i="5" s="1"/>
  <c r="IL48" i="5" s="1"/>
  <c r="IM48" i="5" s="1"/>
  <c r="IN48" i="5" s="1"/>
  <c r="IO48" i="5" s="1"/>
  <c r="IP48" i="5" s="1"/>
  <c r="IQ48" i="5" s="1"/>
  <c r="IR48" i="5" s="1"/>
  <c r="IS48" i="5" s="1"/>
  <c r="IT48" i="5" s="1"/>
  <c r="IU48" i="5" s="1"/>
  <c r="F40" i="5"/>
  <c r="G40" i="5" s="1"/>
  <c r="H40" i="5" s="1"/>
  <c r="I40" i="5" s="1"/>
  <c r="J40" i="5" s="1"/>
  <c r="K40" i="5" s="1"/>
  <c r="L40" i="5" s="1"/>
  <c r="M40" i="5" s="1"/>
  <c r="N40" i="5" s="1"/>
  <c r="O40" i="5" s="1"/>
  <c r="P40" i="5" s="1"/>
  <c r="Q40" i="5" s="1"/>
  <c r="R40" i="5" s="1"/>
  <c r="S40" i="5" s="1"/>
  <c r="T40" i="5" s="1"/>
  <c r="U40" i="5" s="1"/>
  <c r="V40" i="5" s="1"/>
  <c r="W40" i="5" s="1"/>
  <c r="X40" i="5" s="1"/>
  <c r="Y40" i="5" s="1"/>
  <c r="Z40" i="5" s="1"/>
  <c r="AA40" i="5" s="1"/>
  <c r="AB40" i="5" s="1"/>
  <c r="AC40" i="5" s="1"/>
  <c r="AD40" i="5" s="1"/>
  <c r="AE40" i="5" s="1"/>
  <c r="AF40" i="5" s="1"/>
  <c r="AG40" i="5" s="1"/>
  <c r="AH40" i="5" s="1"/>
  <c r="AI40" i="5" s="1"/>
  <c r="AJ40" i="5" s="1"/>
  <c r="AK40" i="5" s="1"/>
  <c r="AL40" i="5" s="1"/>
  <c r="AM40" i="5" s="1"/>
  <c r="AN40" i="5" s="1"/>
  <c r="AO40" i="5" s="1"/>
  <c r="AP40" i="5" s="1"/>
  <c r="AQ40" i="5" s="1"/>
  <c r="AR40" i="5" s="1"/>
  <c r="AS40" i="5" s="1"/>
  <c r="AT40" i="5" s="1"/>
  <c r="AU40" i="5" s="1"/>
  <c r="AV40" i="5" s="1"/>
  <c r="AW40" i="5" s="1"/>
  <c r="AX40" i="5" s="1"/>
  <c r="AY40" i="5" s="1"/>
  <c r="AZ40" i="5" s="1"/>
  <c r="BA40" i="5" s="1"/>
  <c r="BB40" i="5" s="1"/>
  <c r="BC40" i="5" s="1"/>
  <c r="BD40" i="5" s="1"/>
  <c r="BE40" i="5" s="1"/>
  <c r="BF40" i="5" s="1"/>
  <c r="BG40" i="5" s="1"/>
  <c r="BH40" i="5" s="1"/>
  <c r="BI40" i="5" s="1"/>
  <c r="BJ40" i="5" s="1"/>
  <c r="BK40" i="5" s="1"/>
  <c r="BL40" i="5" s="1"/>
  <c r="BM40" i="5" s="1"/>
  <c r="BN40" i="5" s="1"/>
  <c r="BO40" i="5" s="1"/>
  <c r="BP40" i="5" s="1"/>
  <c r="BQ40" i="5" s="1"/>
  <c r="BR40" i="5" s="1"/>
  <c r="BS40" i="5" s="1"/>
  <c r="BT40" i="5" s="1"/>
  <c r="BU40" i="5" s="1"/>
  <c r="BV40" i="5" s="1"/>
  <c r="BW40" i="5" s="1"/>
  <c r="BX40" i="5" s="1"/>
  <c r="BY40" i="5" s="1"/>
  <c r="BZ40" i="5" s="1"/>
  <c r="CA40" i="5" s="1"/>
  <c r="CB40" i="5" s="1"/>
  <c r="CC40" i="5" s="1"/>
  <c r="CD40" i="5" s="1"/>
  <c r="CE40" i="5" s="1"/>
  <c r="CF40" i="5" s="1"/>
  <c r="CG40" i="5" s="1"/>
  <c r="CH40" i="5" s="1"/>
  <c r="CI40" i="5" s="1"/>
  <c r="CJ40" i="5" s="1"/>
  <c r="CK40" i="5" s="1"/>
  <c r="CL40" i="5" s="1"/>
  <c r="CM40" i="5" s="1"/>
  <c r="CN40" i="5" s="1"/>
  <c r="CO40" i="5" s="1"/>
  <c r="CP40" i="5" s="1"/>
  <c r="CQ40" i="5" s="1"/>
  <c r="CR40" i="5" s="1"/>
  <c r="CS40" i="5" s="1"/>
  <c r="CT40" i="5" s="1"/>
  <c r="CU40" i="5" s="1"/>
  <c r="CV40" i="5" s="1"/>
  <c r="CW40" i="5" s="1"/>
  <c r="CX40" i="5" s="1"/>
  <c r="CY40" i="5" s="1"/>
  <c r="CZ40" i="5" s="1"/>
  <c r="DA40" i="5" s="1"/>
  <c r="DB40" i="5" s="1"/>
  <c r="DC40" i="5" s="1"/>
  <c r="DD40" i="5" s="1"/>
  <c r="DE40" i="5" s="1"/>
  <c r="DF40" i="5" s="1"/>
  <c r="DG40" i="5" s="1"/>
  <c r="DH40" i="5" s="1"/>
  <c r="DI40" i="5" s="1"/>
  <c r="DJ40" i="5" s="1"/>
  <c r="DK40" i="5" s="1"/>
  <c r="DL40" i="5" s="1"/>
  <c r="DM40" i="5" s="1"/>
  <c r="DN40" i="5" s="1"/>
  <c r="DO40" i="5" s="1"/>
  <c r="DP40" i="5" s="1"/>
  <c r="DQ40" i="5" s="1"/>
  <c r="DR40" i="5" s="1"/>
  <c r="DS40" i="5" s="1"/>
  <c r="DT40" i="5" s="1"/>
  <c r="DU40" i="5" s="1"/>
  <c r="DV40" i="5" s="1"/>
  <c r="DW40" i="5" s="1"/>
  <c r="DX40" i="5" s="1"/>
  <c r="DY40" i="5" s="1"/>
  <c r="DZ40" i="5" s="1"/>
  <c r="EA40" i="5" s="1"/>
  <c r="EB40" i="5" s="1"/>
  <c r="EC40" i="5" s="1"/>
  <c r="ED40" i="5" s="1"/>
  <c r="EE40" i="5" s="1"/>
  <c r="EF40" i="5" s="1"/>
  <c r="EG40" i="5" s="1"/>
  <c r="EH40" i="5" s="1"/>
  <c r="EI40" i="5" s="1"/>
  <c r="EJ40" i="5" s="1"/>
  <c r="EK40" i="5" s="1"/>
  <c r="EL40" i="5" s="1"/>
  <c r="EM40" i="5" s="1"/>
  <c r="EN40" i="5" s="1"/>
  <c r="EO40" i="5" s="1"/>
  <c r="EP40" i="5" s="1"/>
  <c r="EQ40" i="5" s="1"/>
  <c r="ER40" i="5" s="1"/>
  <c r="ES40" i="5" s="1"/>
  <c r="ET40" i="5" s="1"/>
  <c r="EU40" i="5" s="1"/>
  <c r="EV40" i="5" s="1"/>
  <c r="EW40" i="5" s="1"/>
  <c r="EX40" i="5" s="1"/>
  <c r="EY40" i="5" s="1"/>
  <c r="EZ40" i="5" s="1"/>
  <c r="FA40" i="5" s="1"/>
  <c r="FB40" i="5" s="1"/>
  <c r="FC40" i="5" s="1"/>
  <c r="FD40" i="5" s="1"/>
  <c r="FE40" i="5" s="1"/>
  <c r="FF40" i="5" s="1"/>
  <c r="FG40" i="5" s="1"/>
  <c r="FH40" i="5" s="1"/>
  <c r="FI40" i="5" s="1"/>
  <c r="FJ40" i="5" s="1"/>
  <c r="FK40" i="5" s="1"/>
  <c r="FL40" i="5" s="1"/>
  <c r="FM40" i="5" s="1"/>
  <c r="FN40" i="5" s="1"/>
  <c r="FO40" i="5" s="1"/>
  <c r="FP40" i="5" s="1"/>
  <c r="FQ40" i="5" s="1"/>
  <c r="FR40" i="5" s="1"/>
  <c r="FS40" i="5" s="1"/>
  <c r="FT40" i="5" s="1"/>
  <c r="FU40" i="5" s="1"/>
  <c r="FV40" i="5" s="1"/>
  <c r="FW40" i="5" s="1"/>
  <c r="FX40" i="5" s="1"/>
  <c r="FY40" i="5" s="1"/>
  <c r="FZ40" i="5" s="1"/>
  <c r="GA40" i="5" s="1"/>
  <c r="GB40" i="5" s="1"/>
  <c r="GC40" i="5" s="1"/>
  <c r="GD40" i="5" s="1"/>
  <c r="GE40" i="5" s="1"/>
  <c r="GF40" i="5" s="1"/>
  <c r="GG40" i="5" s="1"/>
  <c r="GH40" i="5" s="1"/>
  <c r="GI40" i="5" s="1"/>
  <c r="GJ40" i="5" s="1"/>
  <c r="GK40" i="5" s="1"/>
  <c r="GL40" i="5" s="1"/>
  <c r="GM40" i="5" s="1"/>
  <c r="GN40" i="5" s="1"/>
  <c r="GO40" i="5" s="1"/>
  <c r="GP40" i="5" s="1"/>
  <c r="GQ40" i="5" s="1"/>
  <c r="GR40" i="5" s="1"/>
  <c r="GS40" i="5" s="1"/>
  <c r="GT40" i="5" s="1"/>
  <c r="GU40" i="5" s="1"/>
  <c r="GV40" i="5" s="1"/>
  <c r="GW40" i="5" s="1"/>
  <c r="GX40" i="5" s="1"/>
  <c r="GY40" i="5" s="1"/>
  <c r="GZ40" i="5" s="1"/>
  <c r="HA40" i="5" s="1"/>
  <c r="HB40" i="5" s="1"/>
  <c r="HC40" i="5" s="1"/>
  <c r="HD40" i="5" s="1"/>
  <c r="HE40" i="5" s="1"/>
  <c r="HF40" i="5" s="1"/>
  <c r="HG40" i="5" s="1"/>
  <c r="HH40" i="5" s="1"/>
  <c r="HI40" i="5" s="1"/>
  <c r="HJ40" i="5" s="1"/>
  <c r="HK40" i="5" s="1"/>
  <c r="HL40" i="5" s="1"/>
  <c r="HM40" i="5" s="1"/>
  <c r="HN40" i="5" s="1"/>
  <c r="HO40" i="5" s="1"/>
  <c r="HP40" i="5" s="1"/>
  <c r="HQ40" i="5" s="1"/>
  <c r="HR40" i="5" s="1"/>
  <c r="HS40" i="5" s="1"/>
  <c r="HT40" i="5" s="1"/>
  <c r="HU40" i="5" s="1"/>
  <c r="HV40" i="5" s="1"/>
  <c r="HW40" i="5" s="1"/>
  <c r="HX40" i="5" s="1"/>
  <c r="HY40" i="5" s="1"/>
  <c r="HZ40" i="5" s="1"/>
  <c r="IA40" i="5" s="1"/>
  <c r="IB40" i="5" s="1"/>
  <c r="IC40" i="5" s="1"/>
  <c r="ID40" i="5" s="1"/>
  <c r="IE40" i="5" s="1"/>
  <c r="IF40" i="5" s="1"/>
  <c r="IG40" i="5" s="1"/>
  <c r="IH40" i="5" s="1"/>
  <c r="II40" i="5" s="1"/>
  <c r="IJ40" i="5" s="1"/>
  <c r="IK40" i="5" s="1"/>
  <c r="IL40" i="5" s="1"/>
  <c r="IM40" i="5" s="1"/>
  <c r="IN40" i="5" s="1"/>
  <c r="IO40" i="5" s="1"/>
  <c r="IP40" i="5" s="1"/>
  <c r="IQ40" i="5" s="1"/>
  <c r="IR40" i="5" s="1"/>
  <c r="IS40" i="5" s="1"/>
  <c r="IT40" i="5" s="1"/>
  <c r="IU40" i="5" s="1"/>
  <c r="F32" i="5"/>
  <c r="G32" i="5" s="1"/>
  <c r="H32" i="5" s="1"/>
  <c r="I32" i="5" s="1"/>
  <c r="J32" i="5" s="1"/>
  <c r="K32" i="5" s="1"/>
  <c r="L32" i="5" s="1"/>
  <c r="M32" i="5" s="1"/>
  <c r="N32" i="5" s="1"/>
  <c r="O32" i="5" s="1"/>
  <c r="P32" i="5" s="1"/>
  <c r="Q32" i="5" s="1"/>
  <c r="R32" i="5" s="1"/>
  <c r="S32" i="5" s="1"/>
  <c r="T32" i="5" s="1"/>
  <c r="U32" i="5" s="1"/>
  <c r="V32" i="5" s="1"/>
  <c r="W32" i="5" s="1"/>
  <c r="X32" i="5" s="1"/>
  <c r="Y32" i="5" s="1"/>
  <c r="Z32" i="5" s="1"/>
  <c r="AA32" i="5" s="1"/>
  <c r="AB32" i="5" s="1"/>
  <c r="AC32" i="5" s="1"/>
  <c r="AD32" i="5" s="1"/>
  <c r="AE32" i="5" s="1"/>
  <c r="AF32" i="5" s="1"/>
  <c r="AG32" i="5" s="1"/>
  <c r="AH32" i="5" s="1"/>
  <c r="AI32" i="5" s="1"/>
  <c r="AJ32" i="5" s="1"/>
  <c r="AK32" i="5" s="1"/>
  <c r="AL32" i="5" s="1"/>
  <c r="AM32" i="5" s="1"/>
  <c r="AN32" i="5" s="1"/>
  <c r="AO32" i="5" s="1"/>
  <c r="AP32" i="5" s="1"/>
  <c r="AQ32" i="5" s="1"/>
  <c r="AR32" i="5" s="1"/>
  <c r="AS32" i="5" s="1"/>
  <c r="AT32" i="5" s="1"/>
  <c r="AU32" i="5" s="1"/>
  <c r="AV32" i="5" s="1"/>
  <c r="AW32" i="5" s="1"/>
  <c r="AX32" i="5" s="1"/>
  <c r="AY32" i="5" s="1"/>
  <c r="AZ32" i="5" s="1"/>
  <c r="BA32" i="5" s="1"/>
  <c r="BB32" i="5" s="1"/>
  <c r="BC32" i="5" s="1"/>
  <c r="BD32" i="5" s="1"/>
  <c r="BE32" i="5" s="1"/>
  <c r="BF32" i="5" s="1"/>
  <c r="BG32" i="5" s="1"/>
  <c r="BH32" i="5" s="1"/>
  <c r="BI32" i="5" s="1"/>
  <c r="BJ32" i="5" s="1"/>
  <c r="BK32" i="5" s="1"/>
  <c r="BL32" i="5" s="1"/>
  <c r="BM32" i="5" s="1"/>
  <c r="BN32" i="5" s="1"/>
  <c r="BO32" i="5" s="1"/>
  <c r="BP32" i="5" s="1"/>
  <c r="BQ32" i="5" s="1"/>
  <c r="BR32" i="5" s="1"/>
  <c r="BS32" i="5" s="1"/>
  <c r="BT32" i="5" s="1"/>
  <c r="BU32" i="5" s="1"/>
  <c r="BV32" i="5" s="1"/>
  <c r="BW32" i="5" s="1"/>
  <c r="BX32" i="5" s="1"/>
  <c r="BY32" i="5" s="1"/>
  <c r="BZ32" i="5" s="1"/>
  <c r="CA32" i="5" s="1"/>
  <c r="CB32" i="5" s="1"/>
  <c r="CC32" i="5" s="1"/>
  <c r="CD32" i="5" s="1"/>
  <c r="CE32" i="5" s="1"/>
  <c r="CF32" i="5" s="1"/>
  <c r="CG32" i="5" s="1"/>
  <c r="CH32" i="5" s="1"/>
  <c r="CI32" i="5" s="1"/>
  <c r="CJ32" i="5" s="1"/>
  <c r="CK32" i="5" s="1"/>
  <c r="CL32" i="5" s="1"/>
  <c r="CM32" i="5" s="1"/>
  <c r="CN32" i="5" s="1"/>
  <c r="CO32" i="5" s="1"/>
  <c r="CP32" i="5" s="1"/>
  <c r="CQ32" i="5" s="1"/>
  <c r="CR32" i="5" s="1"/>
  <c r="CS32" i="5" s="1"/>
  <c r="CT32" i="5" s="1"/>
  <c r="CU32" i="5" s="1"/>
  <c r="CV32" i="5" s="1"/>
  <c r="CW32" i="5" s="1"/>
  <c r="CX32" i="5" s="1"/>
  <c r="CY32" i="5" s="1"/>
  <c r="CZ32" i="5" s="1"/>
  <c r="DA32" i="5" s="1"/>
  <c r="DB32" i="5" s="1"/>
  <c r="DC32" i="5" s="1"/>
  <c r="DD32" i="5" s="1"/>
  <c r="DE32" i="5" s="1"/>
  <c r="DF32" i="5" s="1"/>
  <c r="DG32" i="5" s="1"/>
  <c r="DH32" i="5" s="1"/>
  <c r="DI32" i="5" s="1"/>
  <c r="DJ32" i="5" s="1"/>
  <c r="DK32" i="5" s="1"/>
  <c r="DL32" i="5" s="1"/>
  <c r="DM32" i="5" s="1"/>
  <c r="DN32" i="5" s="1"/>
  <c r="DO32" i="5" s="1"/>
  <c r="DP32" i="5" s="1"/>
  <c r="DQ32" i="5" s="1"/>
  <c r="DR32" i="5" s="1"/>
  <c r="DS32" i="5" s="1"/>
  <c r="DT32" i="5" s="1"/>
  <c r="DU32" i="5" s="1"/>
  <c r="DV32" i="5" s="1"/>
  <c r="DW32" i="5" s="1"/>
  <c r="DX32" i="5" s="1"/>
  <c r="DY32" i="5" s="1"/>
  <c r="DZ32" i="5" s="1"/>
  <c r="EA32" i="5" s="1"/>
  <c r="EB32" i="5" s="1"/>
  <c r="EC32" i="5" s="1"/>
  <c r="ED32" i="5" s="1"/>
  <c r="EE32" i="5" s="1"/>
  <c r="EF32" i="5" s="1"/>
  <c r="EG32" i="5" s="1"/>
  <c r="EH32" i="5" s="1"/>
  <c r="EI32" i="5" s="1"/>
  <c r="EJ32" i="5" s="1"/>
  <c r="EK32" i="5" s="1"/>
  <c r="EL32" i="5" s="1"/>
  <c r="EM32" i="5" s="1"/>
  <c r="EN32" i="5" s="1"/>
  <c r="EO32" i="5" s="1"/>
  <c r="EP32" i="5" s="1"/>
  <c r="EQ32" i="5" s="1"/>
  <c r="ER32" i="5" s="1"/>
  <c r="ES32" i="5" s="1"/>
  <c r="ET32" i="5" s="1"/>
  <c r="EU32" i="5" s="1"/>
  <c r="EV32" i="5" s="1"/>
  <c r="EW32" i="5" s="1"/>
  <c r="EX32" i="5" s="1"/>
  <c r="EY32" i="5" s="1"/>
  <c r="EZ32" i="5" s="1"/>
  <c r="FA32" i="5" s="1"/>
  <c r="FB32" i="5" s="1"/>
  <c r="FC32" i="5" s="1"/>
  <c r="FD32" i="5" s="1"/>
  <c r="FE32" i="5" s="1"/>
  <c r="FF32" i="5" s="1"/>
  <c r="FG32" i="5" s="1"/>
  <c r="FH32" i="5" s="1"/>
  <c r="FI32" i="5" s="1"/>
  <c r="FJ32" i="5" s="1"/>
  <c r="FK32" i="5" s="1"/>
  <c r="FL32" i="5" s="1"/>
  <c r="FM32" i="5" s="1"/>
  <c r="FN32" i="5" s="1"/>
  <c r="FO32" i="5" s="1"/>
  <c r="FP32" i="5" s="1"/>
  <c r="FQ32" i="5" s="1"/>
  <c r="FR32" i="5" s="1"/>
  <c r="FS32" i="5" s="1"/>
  <c r="FT32" i="5" s="1"/>
  <c r="FU32" i="5" s="1"/>
  <c r="FV32" i="5" s="1"/>
  <c r="FW32" i="5" s="1"/>
  <c r="FX32" i="5" s="1"/>
  <c r="FY32" i="5" s="1"/>
  <c r="FZ32" i="5" s="1"/>
  <c r="GA32" i="5" s="1"/>
  <c r="GB32" i="5" s="1"/>
  <c r="GC32" i="5" s="1"/>
  <c r="GD32" i="5" s="1"/>
  <c r="GE32" i="5" s="1"/>
  <c r="GF32" i="5" s="1"/>
  <c r="GG32" i="5" s="1"/>
  <c r="GH32" i="5" s="1"/>
  <c r="GI32" i="5" s="1"/>
  <c r="GJ32" i="5" s="1"/>
  <c r="GK32" i="5" s="1"/>
  <c r="GL32" i="5" s="1"/>
  <c r="GM32" i="5" s="1"/>
  <c r="GN32" i="5" s="1"/>
  <c r="GO32" i="5" s="1"/>
  <c r="GP32" i="5" s="1"/>
  <c r="GQ32" i="5" s="1"/>
  <c r="GR32" i="5" s="1"/>
  <c r="GS32" i="5" s="1"/>
  <c r="GT32" i="5" s="1"/>
  <c r="GU32" i="5" s="1"/>
  <c r="GV32" i="5" s="1"/>
  <c r="GW32" i="5" s="1"/>
  <c r="GX32" i="5" s="1"/>
  <c r="GY32" i="5" s="1"/>
  <c r="GZ32" i="5" s="1"/>
  <c r="HA32" i="5" s="1"/>
  <c r="HB32" i="5" s="1"/>
  <c r="HC32" i="5" s="1"/>
  <c r="HD32" i="5" s="1"/>
  <c r="HE32" i="5" s="1"/>
  <c r="HF32" i="5" s="1"/>
  <c r="HG32" i="5" s="1"/>
  <c r="HH32" i="5" s="1"/>
  <c r="HI32" i="5" s="1"/>
  <c r="HJ32" i="5" s="1"/>
  <c r="HK32" i="5" s="1"/>
  <c r="HL32" i="5" s="1"/>
  <c r="HM32" i="5" s="1"/>
  <c r="HN32" i="5" s="1"/>
  <c r="HO32" i="5" s="1"/>
  <c r="HP32" i="5" s="1"/>
  <c r="HQ32" i="5" s="1"/>
  <c r="HR32" i="5" s="1"/>
  <c r="HS32" i="5" s="1"/>
  <c r="HT32" i="5" s="1"/>
  <c r="HU32" i="5" s="1"/>
  <c r="HV32" i="5" s="1"/>
  <c r="HW32" i="5" s="1"/>
  <c r="HX32" i="5" s="1"/>
  <c r="HY32" i="5" s="1"/>
  <c r="HZ32" i="5" s="1"/>
  <c r="IA32" i="5" s="1"/>
  <c r="IB32" i="5" s="1"/>
  <c r="IC32" i="5" s="1"/>
  <c r="ID32" i="5" s="1"/>
  <c r="IE32" i="5" s="1"/>
  <c r="IF32" i="5" s="1"/>
  <c r="IG32" i="5" s="1"/>
  <c r="IH32" i="5" s="1"/>
  <c r="II32" i="5" s="1"/>
  <c r="IJ32" i="5" s="1"/>
  <c r="IK32" i="5" s="1"/>
  <c r="IL32" i="5" s="1"/>
  <c r="IM32" i="5" s="1"/>
  <c r="IN32" i="5" s="1"/>
  <c r="IO32" i="5" s="1"/>
  <c r="IP32" i="5" s="1"/>
  <c r="IQ32" i="5" s="1"/>
  <c r="IR32" i="5" s="1"/>
  <c r="IS32" i="5" s="1"/>
  <c r="IT32" i="5" s="1"/>
  <c r="IU32" i="5" s="1"/>
  <c r="F24" i="5"/>
  <c r="G24" i="5" s="1"/>
  <c r="H24" i="5" s="1"/>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CT24" i="5" s="1"/>
  <c r="CU24" i="5" s="1"/>
  <c r="CV24" i="5" s="1"/>
  <c r="CW24" i="5" s="1"/>
  <c r="CX24" i="5" s="1"/>
  <c r="CY24" i="5" s="1"/>
  <c r="CZ24" i="5" s="1"/>
  <c r="DA24" i="5" s="1"/>
  <c r="DB24" i="5" s="1"/>
  <c r="DC24" i="5" s="1"/>
  <c r="DD24" i="5" s="1"/>
  <c r="DE24" i="5" s="1"/>
  <c r="DF24" i="5" s="1"/>
  <c r="DG24" i="5" s="1"/>
  <c r="DH24" i="5" s="1"/>
  <c r="DI24" i="5" s="1"/>
  <c r="DJ24" i="5" s="1"/>
  <c r="DK24" i="5" s="1"/>
  <c r="DL24" i="5" s="1"/>
  <c r="DM24" i="5" s="1"/>
  <c r="DN24" i="5" s="1"/>
  <c r="DO24" i="5" s="1"/>
  <c r="DP24" i="5" s="1"/>
  <c r="DQ24" i="5" s="1"/>
  <c r="DR24" i="5" s="1"/>
  <c r="DS24" i="5" s="1"/>
  <c r="DT24" i="5" s="1"/>
  <c r="DU24" i="5" s="1"/>
  <c r="DV24" i="5" s="1"/>
  <c r="DW24" i="5" s="1"/>
  <c r="DX24" i="5" s="1"/>
  <c r="DY24" i="5" s="1"/>
  <c r="DZ24" i="5" s="1"/>
  <c r="EA24" i="5" s="1"/>
  <c r="EB24" i="5" s="1"/>
  <c r="EC24" i="5" s="1"/>
  <c r="ED24" i="5" s="1"/>
  <c r="EE24" i="5" s="1"/>
  <c r="EF24" i="5" s="1"/>
  <c r="EG24" i="5" s="1"/>
  <c r="EH24" i="5" s="1"/>
  <c r="EI24" i="5" s="1"/>
  <c r="EJ24" i="5" s="1"/>
  <c r="EK24" i="5" s="1"/>
  <c r="EL24" i="5" s="1"/>
  <c r="EM24" i="5" s="1"/>
  <c r="EN24" i="5" s="1"/>
  <c r="EO24" i="5" s="1"/>
  <c r="EP24" i="5" s="1"/>
  <c r="EQ24" i="5" s="1"/>
  <c r="ER24" i="5" s="1"/>
  <c r="ES24" i="5" s="1"/>
  <c r="ET24" i="5" s="1"/>
  <c r="EU24" i="5" s="1"/>
  <c r="EV24" i="5" s="1"/>
  <c r="EW24" i="5" s="1"/>
  <c r="EX24" i="5" s="1"/>
  <c r="EY24" i="5" s="1"/>
  <c r="EZ24" i="5" s="1"/>
  <c r="FA24" i="5" s="1"/>
  <c r="FB24" i="5" s="1"/>
  <c r="FC24" i="5" s="1"/>
  <c r="FD24" i="5" s="1"/>
  <c r="FE24" i="5" s="1"/>
  <c r="FF24" i="5" s="1"/>
  <c r="FG24" i="5" s="1"/>
  <c r="FH24" i="5" s="1"/>
  <c r="FI24" i="5" s="1"/>
  <c r="FJ24" i="5" s="1"/>
  <c r="FK24" i="5" s="1"/>
  <c r="FL24" i="5" s="1"/>
  <c r="FM24" i="5" s="1"/>
  <c r="FN24" i="5" s="1"/>
  <c r="FO24" i="5" s="1"/>
  <c r="FP24" i="5" s="1"/>
  <c r="FQ24" i="5" s="1"/>
  <c r="FR24" i="5" s="1"/>
  <c r="FS24" i="5" s="1"/>
  <c r="FT24" i="5" s="1"/>
  <c r="FU24" i="5" s="1"/>
  <c r="FV24" i="5" s="1"/>
  <c r="FW24" i="5" s="1"/>
  <c r="FX24" i="5" s="1"/>
  <c r="FY24" i="5" s="1"/>
  <c r="FZ24" i="5" s="1"/>
  <c r="GA24" i="5" s="1"/>
  <c r="GB24" i="5" s="1"/>
  <c r="GC24" i="5" s="1"/>
  <c r="GD24" i="5" s="1"/>
  <c r="GE24" i="5" s="1"/>
  <c r="GF24" i="5" s="1"/>
  <c r="GG24" i="5" s="1"/>
  <c r="GH24" i="5" s="1"/>
  <c r="GI24" i="5" s="1"/>
  <c r="GJ24" i="5" s="1"/>
  <c r="GK24" i="5" s="1"/>
  <c r="GL24" i="5" s="1"/>
  <c r="GM24" i="5" s="1"/>
  <c r="GN24" i="5" s="1"/>
  <c r="GO24" i="5" s="1"/>
  <c r="GP24" i="5" s="1"/>
  <c r="GQ24" i="5" s="1"/>
  <c r="GR24" i="5" s="1"/>
  <c r="GS24" i="5" s="1"/>
  <c r="GT24" i="5" s="1"/>
  <c r="GU24" i="5" s="1"/>
  <c r="GV24" i="5" s="1"/>
  <c r="GW24" i="5" s="1"/>
  <c r="GX24" i="5" s="1"/>
  <c r="GY24" i="5" s="1"/>
  <c r="GZ24" i="5" s="1"/>
  <c r="HA24" i="5" s="1"/>
  <c r="HB24" i="5" s="1"/>
  <c r="HC24" i="5" s="1"/>
  <c r="HD24" i="5" s="1"/>
  <c r="HE24" i="5" s="1"/>
  <c r="HF24" i="5" s="1"/>
  <c r="HG24" i="5" s="1"/>
  <c r="HH24" i="5" s="1"/>
  <c r="HI24" i="5" s="1"/>
  <c r="HJ24" i="5" s="1"/>
  <c r="HK24" i="5" s="1"/>
  <c r="HL24" i="5" s="1"/>
  <c r="HM24" i="5" s="1"/>
  <c r="HN24" i="5" s="1"/>
  <c r="HO24" i="5" s="1"/>
  <c r="HP24" i="5" s="1"/>
  <c r="HQ24" i="5" s="1"/>
  <c r="HR24" i="5" s="1"/>
  <c r="HS24" i="5" s="1"/>
  <c r="HT24" i="5" s="1"/>
  <c r="HU24" i="5" s="1"/>
  <c r="HV24" i="5" s="1"/>
  <c r="HW24" i="5" s="1"/>
  <c r="HX24" i="5" s="1"/>
  <c r="HY24" i="5" s="1"/>
  <c r="HZ24" i="5" s="1"/>
  <c r="IA24" i="5" s="1"/>
  <c r="IB24" i="5" s="1"/>
  <c r="IC24" i="5" s="1"/>
  <c r="ID24" i="5" s="1"/>
  <c r="IE24" i="5" s="1"/>
  <c r="IF24" i="5" s="1"/>
  <c r="IG24" i="5" s="1"/>
  <c r="IH24" i="5" s="1"/>
  <c r="II24" i="5" s="1"/>
  <c r="IJ24" i="5" s="1"/>
  <c r="IK24" i="5" s="1"/>
  <c r="IL24" i="5" s="1"/>
  <c r="IM24" i="5" s="1"/>
  <c r="IN24" i="5" s="1"/>
  <c r="IO24" i="5" s="1"/>
  <c r="IP24" i="5" s="1"/>
  <c r="IQ24" i="5" s="1"/>
  <c r="IR24" i="5" s="1"/>
  <c r="IS24" i="5" s="1"/>
  <c r="IT24" i="5" s="1"/>
  <c r="IU24" i="5" s="1"/>
  <c r="F16" i="5"/>
  <c r="G16" i="5" s="1"/>
  <c r="H16" i="5" s="1"/>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CT16" i="5" s="1"/>
  <c r="CU16" i="5" s="1"/>
  <c r="CV16" i="5" s="1"/>
  <c r="CW16" i="5" s="1"/>
  <c r="CX16" i="5" s="1"/>
  <c r="CY16" i="5" s="1"/>
  <c r="CZ16" i="5" s="1"/>
  <c r="DA16" i="5" s="1"/>
  <c r="DB16" i="5" s="1"/>
  <c r="DC16" i="5" s="1"/>
  <c r="DD16" i="5" s="1"/>
  <c r="DE16" i="5" s="1"/>
  <c r="DF16" i="5" s="1"/>
  <c r="DG16" i="5" s="1"/>
  <c r="DH16" i="5" s="1"/>
  <c r="DI16" i="5" s="1"/>
  <c r="DJ16" i="5" s="1"/>
  <c r="DK16" i="5" s="1"/>
  <c r="DL16" i="5" s="1"/>
  <c r="DM16" i="5" s="1"/>
  <c r="DN16" i="5" s="1"/>
  <c r="DO16" i="5" s="1"/>
  <c r="DP16" i="5" s="1"/>
  <c r="DQ16" i="5" s="1"/>
  <c r="DR16" i="5" s="1"/>
  <c r="DS16" i="5" s="1"/>
  <c r="DT16" i="5" s="1"/>
  <c r="DU16" i="5" s="1"/>
  <c r="DV16" i="5" s="1"/>
  <c r="DW16" i="5" s="1"/>
  <c r="DX16" i="5" s="1"/>
  <c r="DY16" i="5" s="1"/>
  <c r="DZ16" i="5" s="1"/>
  <c r="EA16" i="5" s="1"/>
  <c r="EB16" i="5" s="1"/>
  <c r="EC16" i="5" s="1"/>
  <c r="ED16" i="5" s="1"/>
  <c r="EE16" i="5" s="1"/>
  <c r="EF16" i="5" s="1"/>
  <c r="EG16" i="5" s="1"/>
  <c r="EH16" i="5" s="1"/>
  <c r="EI16" i="5" s="1"/>
  <c r="EJ16" i="5" s="1"/>
  <c r="EK16" i="5" s="1"/>
  <c r="EL16" i="5" s="1"/>
  <c r="EM16" i="5" s="1"/>
  <c r="EN16" i="5" s="1"/>
  <c r="EO16" i="5" s="1"/>
  <c r="EP16" i="5" s="1"/>
  <c r="EQ16" i="5" s="1"/>
  <c r="ER16" i="5" s="1"/>
  <c r="ES16" i="5" s="1"/>
  <c r="ET16" i="5" s="1"/>
  <c r="EU16" i="5" s="1"/>
  <c r="EV16" i="5" s="1"/>
  <c r="EW16" i="5" s="1"/>
  <c r="EX16" i="5" s="1"/>
  <c r="EY16" i="5" s="1"/>
  <c r="EZ16" i="5" s="1"/>
  <c r="FA16" i="5" s="1"/>
  <c r="FB16" i="5" s="1"/>
  <c r="FC16" i="5" s="1"/>
  <c r="FD16" i="5" s="1"/>
  <c r="FE16" i="5" s="1"/>
  <c r="FF16" i="5" s="1"/>
  <c r="FG16" i="5" s="1"/>
  <c r="FH16" i="5" s="1"/>
  <c r="FI16" i="5" s="1"/>
  <c r="FJ16" i="5" s="1"/>
  <c r="FK16" i="5" s="1"/>
  <c r="FL16" i="5" s="1"/>
  <c r="FM16" i="5" s="1"/>
  <c r="FN16" i="5" s="1"/>
  <c r="FO16" i="5" s="1"/>
  <c r="FP16" i="5" s="1"/>
  <c r="FQ16" i="5" s="1"/>
  <c r="FR16" i="5" s="1"/>
  <c r="FS16" i="5" s="1"/>
  <c r="FT16" i="5" s="1"/>
  <c r="FU16" i="5" s="1"/>
  <c r="FV16" i="5" s="1"/>
  <c r="FW16" i="5" s="1"/>
  <c r="FX16" i="5" s="1"/>
  <c r="FY16" i="5" s="1"/>
  <c r="FZ16" i="5" s="1"/>
  <c r="GA16" i="5" s="1"/>
  <c r="GB16" i="5" s="1"/>
  <c r="GC16" i="5" s="1"/>
  <c r="GD16" i="5" s="1"/>
  <c r="GE16" i="5" s="1"/>
  <c r="GF16" i="5" s="1"/>
  <c r="GG16" i="5" s="1"/>
  <c r="GH16" i="5" s="1"/>
  <c r="GI16" i="5" s="1"/>
  <c r="GJ16" i="5" s="1"/>
  <c r="GK16" i="5" s="1"/>
  <c r="GL16" i="5" s="1"/>
  <c r="GM16" i="5" s="1"/>
  <c r="GN16" i="5" s="1"/>
  <c r="GO16" i="5" s="1"/>
  <c r="GP16" i="5" s="1"/>
  <c r="GQ16" i="5" s="1"/>
  <c r="GR16" i="5" s="1"/>
  <c r="GS16" i="5" s="1"/>
  <c r="GT16" i="5" s="1"/>
  <c r="GU16" i="5" s="1"/>
  <c r="GV16" i="5" s="1"/>
  <c r="GW16" i="5" s="1"/>
  <c r="GX16" i="5" s="1"/>
  <c r="GY16" i="5" s="1"/>
  <c r="GZ16" i="5" s="1"/>
  <c r="HA16" i="5" s="1"/>
  <c r="HB16" i="5" s="1"/>
  <c r="HC16" i="5" s="1"/>
  <c r="HD16" i="5" s="1"/>
  <c r="HE16" i="5" s="1"/>
  <c r="HF16" i="5" s="1"/>
  <c r="HG16" i="5" s="1"/>
  <c r="HH16" i="5" s="1"/>
  <c r="HI16" i="5" s="1"/>
  <c r="HJ16" i="5" s="1"/>
  <c r="HK16" i="5" s="1"/>
  <c r="HL16" i="5" s="1"/>
  <c r="HM16" i="5" s="1"/>
  <c r="HN16" i="5" s="1"/>
  <c r="HO16" i="5" s="1"/>
  <c r="HP16" i="5" s="1"/>
  <c r="HQ16" i="5" s="1"/>
  <c r="HR16" i="5" s="1"/>
  <c r="HS16" i="5" s="1"/>
  <c r="HT16" i="5" s="1"/>
  <c r="HU16" i="5" s="1"/>
  <c r="HV16" i="5" s="1"/>
  <c r="HW16" i="5" s="1"/>
  <c r="HX16" i="5" s="1"/>
  <c r="HY16" i="5" s="1"/>
  <c r="HZ16" i="5" s="1"/>
  <c r="IA16" i="5" s="1"/>
  <c r="IB16" i="5" s="1"/>
  <c r="IC16" i="5" s="1"/>
  <c r="ID16" i="5" s="1"/>
  <c r="IE16" i="5" s="1"/>
  <c r="IF16" i="5" s="1"/>
  <c r="IG16" i="5" s="1"/>
  <c r="IH16" i="5" s="1"/>
  <c r="II16" i="5" s="1"/>
  <c r="IJ16" i="5" s="1"/>
  <c r="IK16" i="5" s="1"/>
  <c r="IL16" i="5" s="1"/>
  <c r="IM16" i="5" s="1"/>
  <c r="IN16" i="5" s="1"/>
  <c r="IO16" i="5" s="1"/>
  <c r="IP16" i="5" s="1"/>
  <c r="IQ16" i="5" s="1"/>
  <c r="IR16" i="5" s="1"/>
  <c r="IS16" i="5" s="1"/>
  <c r="IT16" i="5" s="1"/>
  <c r="IU16" i="5" s="1"/>
  <c r="F103" i="5"/>
  <c r="G103" i="5" s="1"/>
  <c r="H103" i="5" s="1"/>
  <c r="I103" i="5" s="1"/>
  <c r="J103" i="5" s="1"/>
  <c r="K103" i="5" s="1"/>
  <c r="L103" i="5" s="1"/>
  <c r="M103" i="5" s="1"/>
  <c r="N103" i="5" s="1"/>
  <c r="O103" i="5" s="1"/>
  <c r="P103" i="5" s="1"/>
  <c r="Q103" i="5" s="1"/>
  <c r="R103" i="5" s="1"/>
  <c r="S103" i="5" s="1"/>
  <c r="T103" i="5" s="1"/>
  <c r="U103" i="5" s="1"/>
  <c r="V103" i="5" s="1"/>
  <c r="W103" i="5" s="1"/>
  <c r="X103" i="5" s="1"/>
  <c r="Y103" i="5" s="1"/>
  <c r="Z103" i="5" s="1"/>
  <c r="AA103" i="5" s="1"/>
  <c r="AB103" i="5" s="1"/>
  <c r="AC103" i="5" s="1"/>
  <c r="AD103" i="5" s="1"/>
  <c r="AE103" i="5" s="1"/>
  <c r="AF103" i="5" s="1"/>
  <c r="AG103" i="5" s="1"/>
  <c r="AH103" i="5" s="1"/>
  <c r="AI103" i="5" s="1"/>
  <c r="AJ103" i="5" s="1"/>
  <c r="AK103" i="5" s="1"/>
  <c r="AL103" i="5" s="1"/>
  <c r="AM103" i="5" s="1"/>
  <c r="AN103" i="5" s="1"/>
  <c r="AO103" i="5" s="1"/>
  <c r="AP103" i="5" s="1"/>
  <c r="AQ103" i="5" s="1"/>
  <c r="AR103" i="5" s="1"/>
  <c r="AS103" i="5" s="1"/>
  <c r="AT103" i="5" s="1"/>
  <c r="AU103" i="5" s="1"/>
  <c r="AV103" i="5" s="1"/>
  <c r="AW103" i="5" s="1"/>
  <c r="AX103" i="5" s="1"/>
  <c r="AY103" i="5" s="1"/>
  <c r="AZ103" i="5" s="1"/>
  <c r="BA103" i="5" s="1"/>
  <c r="BB103" i="5" s="1"/>
  <c r="BC103" i="5" s="1"/>
  <c r="BD103" i="5" s="1"/>
  <c r="BE103" i="5" s="1"/>
  <c r="BF103" i="5" s="1"/>
  <c r="BG103" i="5" s="1"/>
  <c r="BH103" i="5" s="1"/>
  <c r="BI103" i="5" s="1"/>
  <c r="BJ103" i="5" s="1"/>
  <c r="BK103" i="5" s="1"/>
  <c r="BL103" i="5" s="1"/>
  <c r="BM103" i="5" s="1"/>
  <c r="BN103" i="5" s="1"/>
  <c r="BO103" i="5" s="1"/>
  <c r="BP103" i="5" s="1"/>
  <c r="BQ103" i="5" s="1"/>
  <c r="BR103" i="5" s="1"/>
  <c r="BS103" i="5" s="1"/>
  <c r="BT103" i="5" s="1"/>
  <c r="BU103" i="5" s="1"/>
  <c r="BV103" i="5" s="1"/>
  <c r="BW103" i="5" s="1"/>
  <c r="BX103" i="5" s="1"/>
  <c r="BY103" i="5" s="1"/>
  <c r="BZ103" i="5" s="1"/>
  <c r="CA103" i="5" s="1"/>
  <c r="CB103" i="5" s="1"/>
  <c r="CC103" i="5" s="1"/>
  <c r="CD103" i="5" s="1"/>
  <c r="CE103" i="5" s="1"/>
  <c r="CF103" i="5" s="1"/>
  <c r="CG103" i="5" s="1"/>
  <c r="CH103" i="5" s="1"/>
  <c r="CI103" i="5" s="1"/>
  <c r="CJ103" i="5" s="1"/>
  <c r="CK103" i="5" s="1"/>
  <c r="CL103" i="5" s="1"/>
  <c r="CM103" i="5" s="1"/>
  <c r="CN103" i="5" s="1"/>
  <c r="CO103" i="5" s="1"/>
  <c r="CP103" i="5" s="1"/>
  <c r="CQ103" i="5" s="1"/>
  <c r="CR103" i="5" s="1"/>
  <c r="CS103" i="5" s="1"/>
  <c r="CT103" i="5" s="1"/>
  <c r="CU103" i="5" s="1"/>
  <c r="CV103" i="5" s="1"/>
  <c r="CW103" i="5" s="1"/>
  <c r="CX103" i="5" s="1"/>
  <c r="CY103" i="5" s="1"/>
  <c r="CZ103" i="5" s="1"/>
  <c r="DA103" i="5" s="1"/>
  <c r="DB103" i="5" s="1"/>
  <c r="DC103" i="5" s="1"/>
  <c r="DD103" i="5" s="1"/>
  <c r="DE103" i="5" s="1"/>
  <c r="DF103" i="5" s="1"/>
  <c r="DG103" i="5" s="1"/>
  <c r="DH103" i="5" s="1"/>
  <c r="DI103" i="5" s="1"/>
  <c r="DJ103" i="5" s="1"/>
  <c r="DK103" i="5" s="1"/>
  <c r="DL103" i="5" s="1"/>
  <c r="DM103" i="5" s="1"/>
  <c r="DN103" i="5" s="1"/>
  <c r="DO103" i="5" s="1"/>
  <c r="DP103" i="5" s="1"/>
  <c r="DQ103" i="5" s="1"/>
  <c r="DR103" i="5" s="1"/>
  <c r="DS103" i="5" s="1"/>
  <c r="DT103" i="5" s="1"/>
  <c r="DU103" i="5" s="1"/>
  <c r="DV103" i="5" s="1"/>
  <c r="DW103" i="5" s="1"/>
  <c r="DX103" i="5" s="1"/>
  <c r="DY103" i="5" s="1"/>
  <c r="DZ103" i="5" s="1"/>
  <c r="EA103" i="5" s="1"/>
  <c r="EB103" i="5" s="1"/>
  <c r="EC103" i="5" s="1"/>
  <c r="ED103" i="5" s="1"/>
  <c r="EE103" i="5" s="1"/>
  <c r="EF103" i="5" s="1"/>
  <c r="EG103" i="5" s="1"/>
  <c r="EH103" i="5" s="1"/>
  <c r="EI103" i="5" s="1"/>
  <c r="EJ103" i="5" s="1"/>
  <c r="EK103" i="5" s="1"/>
  <c r="EL103" i="5" s="1"/>
  <c r="EM103" i="5" s="1"/>
  <c r="EN103" i="5" s="1"/>
  <c r="EO103" i="5" s="1"/>
  <c r="EP103" i="5" s="1"/>
  <c r="EQ103" i="5" s="1"/>
  <c r="ER103" i="5" s="1"/>
  <c r="ES103" i="5" s="1"/>
  <c r="ET103" i="5" s="1"/>
  <c r="EU103" i="5" s="1"/>
  <c r="EV103" i="5" s="1"/>
  <c r="EW103" i="5" s="1"/>
  <c r="EX103" i="5" s="1"/>
  <c r="EY103" i="5" s="1"/>
  <c r="EZ103" i="5" s="1"/>
  <c r="FA103" i="5" s="1"/>
  <c r="FB103" i="5" s="1"/>
  <c r="FC103" i="5" s="1"/>
  <c r="FD103" i="5" s="1"/>
  <c r="FE103" i="5" s="1"/>
  <c r="FF103" i="5" s="1"/>
  <c r="FG103" i="5" s="1"/>
  <c r="FH103" i="5" s="1"/>
  <c r="FI103" i="5" s="1"/>
  <c r="FJ103" i="5" s="1"/>
  <c r="FK103" i="5" s="1"/>
  <c r="FL103" i="5" s="1"/>
  <c r="FM103" i="5" s="1"/>
  <c r="FN103" i="5" s="1"/>
  <c r="FO103" i="5" s="1"/>
  <c r="FP103" i="5" s="1"/>
  <c r="FQ103" i="5" s="1"/>
  <c r="FR103" i="5" s="1"/>
  <c r="FS103" i="5" s="1"/>
  <c r="FT103" i="5" s="1"/>
  <c r="FU103" i="5" s="1"/>
  <c r="FV103" i="5" s="1"/>
  <c r="FW103" i="5" s="1"/>
  <c r="FX103" i="5" s="1"/>
  <c r="FY103" i="5" s="1"/>
  <c r="FZ103" i="5" s="1"/>
  <c r="GA103" i="5" s="1"/>
  <c r="GB103" i="5" s="1"/>
  <c r="GC103" i="5" s="1"/>
  <c r="GD103" i="5" s="1"/>
  <c r="GE103" i="5" s="1"/>
  <c r="GF103" i="5" s="1"/>
  <c r="GG103" i="5" s="1"/>
  <c r="GH103" i="5" s="1"/>
  <c r="GI103" i="5" s="1"/>
  <c r="GJ103" i="5" s="1"/>
  <c r="GK103" i="5" s="1"/>
  <c r="GL103" i="5" s="1"/>
  <c r="GM103" i="5" s="1"/>
  <c r="GN103" i="5" s="1"/>
  <c r="GO103" i="5" s="1"/>
  <c r="GP103" i="5" s="1"/>
  <c r="GQ103" i="5" s="1"/>
  <c r="GR103" i="5" s="1"/>
  <c r="GS103" i="5" s="1"/>
  <c r="GT103" i="5" s="1"/>
  <c r="GU103" i="5" s="1"/>
  <c r="GV103" i="5" s="1"/>
  <c r="GW103" i="5" s="1"/>
  <c r="GX103" i="5" s="1"/>
  <c r="GY103" i="5" s="1"/>
  <c r="GZ103" i="5" s="1"/>
  <c r="HA103" i="5" s="1"/>
  <c r="HB103" i="5" s="1"/>
  <c r="HC103" i="5" s="1"/>
  <c r="HD103" i="5" s="1"/>
  <c r="HE103" i="5" s="1"/>
  <c r="HF103" i="5" s="1"/>
  <c r="HG103" i="5" s="1"/>
  <c r="HH103" i="5" s="1"/>
  <c r="HI103" i="5" s="1"/>
  <c r="HJ103" i="5" s="1"/>
  <c r="HK103" i="5" s="1"/>
  <c r="HL103" i="5" s="1"/>
  <c r="HM103" i="5" s="1"/>
  <c r="HN103" i="5" s="1"/>
  <c r="HO103" i="5" s="1"/>
  <c r="HP103" i="5" s="1"/>
  <c r="HQ103" i="5" s="1"/>
  <c r="HR103" i="5" s="1"/>
  <c r="HS103" i="5" s="1"/>
  <c r="HT103" i="5" s="1"/>
  <c r="HU103" i="5" s="1"/>
  <c r="HV103" i="5" s="1"/>
  <c r="HW103" i="5" s="1"/>
  <c r="HX103" i="5" s="1"/>
  <c r="HY103" i="5" s="1"/>
  <c r="HZ103" i="5" s="1"/>
  <c r="IA103" i="5" s="1"/>
  <c r="IB103" i="5" s="1"/>
  <c r="IC103" i="5" s="1"/>
  <c r="ID103" i="5" s="1"/>
  <c r="IE103" i="5" s="1"/>
  <c r="IF103" i="5" s="1"/>
  <c r="IG103" i="5" s="1"/>
  <c r="IH103" i="5" s="1"/>
  <c r="II103" i="5" s="1"/>
  <c r="IJ103" i="5" s="1"/>
  <c r="IK103" i="5" s="1"/>
  <c r="IL103" i="5" s="1"/>
  <c r="IM103" i="5" s="1"/>
  <c r="IN103" i="5" s="1"/>
  <c r="IO103" i="5" s="1"/>
  <c r="IP103" i="5" s="1"/>
  <c r="IQ103" i="5" s="1"/>
  <c r="IR103" i="5" s="1"/>
  <c r="IS103" i="5" s="1"/>
  <c r="IT103" i="5" s="1"/>
  <c r="IU103" i="5" s="1"/>
  <c r="F95" i="5"/>
  <c r="G95" i="5" s="1"/>
  <c r="H95" i="5" s="1"/>
  <c r="I95" i="5" s="1"/>
  <c r="J95" i="5" s="1"/>
  <c r="K95" i="5" s="1"/>
  <c r="L95" i="5" s="1"/>
  <c r="M95" i="5" s="1"/>
  <c r="N95" i="5" s="1"/>
  <c r="O95" i="5" s="1"/>
  <c r="P95" i="5" s="1"/>
  <c r="Q95" i="5" s="1"/>
  <c r="R95" i="5" s="1"/>
  <c r="S95" i="5" s="1"/>
  <c r="T95" i="5" s="1"/>
  <c r="U95" i="5" s="1"/>
  <c r="V95" i="5" s="1"/>
  <c r="W95" i="5" s="1"/>
  <c r="X95" i="5" s="1"/>
  <c r="Y95" i="5" s="1"/>
  <c r="Z95" i="5" s="1"/>
  <c r="AA95" i="5" s="1"/>
  <c r="AB95" i="5" s="1"/>
  <c r="AC95" i="5" s="1"/>
  <c r="AD95" i="5" s="1"/>
  <c r="AE95" i="5" s="1"/>
  <c r="AF95" i="5" s="1"/>
  <c r="AG95" i="5" s="1"/>
  <c r="AH95" i="5" s="1"/>
  <c r="AI95" i="5" s="1"/>
  <c r="AJ95" i="5" s="1"/>
  <c r="AK95" i="5" s="1"/>
  <c r="AL95" i="5" s="1"/>
  <c r="AM95" i="5" s="1"/>
  <c r="AN95" i="5" s="1"/>
  <c r="AO95" i="5" s="1"/>
  <c r="AP95" i="5" s="1"/>
  <c r="AQ95" i="5" s="1"/>
  <c r="AR95" i="5" s="1"/>
  <c r="AS95" i="5" s="1"/>
  <c r="AT95" i="5" s="1"/>
  <c r="AU95" i="5" s="1"/>
  <c r="AV95" i="5" s="1"/>
  <c r="AW95" i="5" s="1"/>
  <c r="AX95" i="5" s="1"/>
  <c r="AY95" i="5" s="1"/>
  <c r="AZ95" i="5" s="1"/>
  <c r="BA95" i="5" s="1"/>
  <c r="BB95" i="5" s="1"/>
  <c r="BC95" i="5" s="1"/>
  <c r="BD95" i="5" s="1"/>
  <c r="BE95" i="5" s="1"/>
  <c r="BF95" i="5" s="1"/>
  <c r="BG95" i="5" s="1"/>
  <c r="BH95" i="5" s="1"/>
  <c r="BI95" i="5" s="1"/>
  <c r="BJ95" i="5" s="1"/>
  <c r="BK95" i="5" s="1"/>
  <c r="BL95" i="5" s="1"/>
  <c r="BM95" i="5" s="1"/>
  <c r="BN95" i="5" s="1"/>
  <c r="BO95" i="5" s="1"/>
  <c r="BP95" i="5" s="1"/>
  <c r="BQ95" i="5" s="1"/>
  <c r="BR95" i="5" s="1"/>
  <c r="BS95" i="5" s="1"/>
  <c r="BT95" i="5" s="1"/>
  <c r="BU95" i="5" s="1"/>
  <c r="BV95" i="5" s="1"/>
  <c r="BW95" i="5" s="1"/>
  <c r="BX95" i="5" s="1"/>
  <c r="BY95" i="5" s="1"/>
  <c r="BZ95" i="5" s="1"/>
  <c r="CA95" i="5" s="1"/>
  <c r="CB95" i="5" s="1"/>
  <c r="CC95" i="5" s="1"/>
  <c r="CD95" i="5" s="1"/>
  <c r="CE95" i="5" s="1"/>
  <c r="CF95" i="5" s="1"/>
  <c r="CG95" i="5" s="1"/>
  <c r="CH95" i="5" s="1"/>
  <c r="CI95" i="5" s="1"/>
  <c r="CJ95" i="5" s="1"/>
  <c r="CK95" i="5" s="1"/>
  <c r="CL95" i="5" s="1"/>
  <c r="CM95" i="5" s="1"/>
  <c r="CN95" i="5" s="1"/>
  <c r="CO95" i="5" s="1"/>
  <c r="CP95" i="5" s="1"/>
  <c r="CQ95" i="5" s="1"/>
  <c r="CR95" i="5" s="1"/>
  <c r="CS95" i="5" s="1"/>
  <c r="CT95" i="5" s="1"/>
  <c r="CU95" i="5" s="1"/>
  <c r="CV95" i="5" s="1"/>
  <c r="CW95" i="5" s="1"/>
  <c r="CX95" i="5" s="1"/>
  <c r="CY95" i="5" s="1"/>
  <c r="CZ95" i="5" s="1"/>
  <c r="DA95" i="5" s="1"/>
  <c r="DB95" i="5" s="1"/>
  <c r="DC95" i="5" s="1"/>
  <c r="DD95" i="5" s="1"/>
  <c r="DE95" i="5" s="1"/>
  <c r="DF95" i="5" s="1"/>
  <c r="DG95" i="5" s="1"/>
  <c r="DH95" i="5" s="1"/>
  <c r="DI95" i="5" s="1"/>
  <c r="DJ95" i="5" s="1"/>
  <c r="DK95" i="5" s="1"/>
  <c r="DL95" i="5" s="1"/>
  <c r="DM95" i="5" s="1"/>
  <c r="DN95" i="5" s="1"/>
  <c r="DO95" i="5" s="1"/>
  <c r="DP95" i="5" s="1"/>
  <c r="DQ95" i="5" s="1"/>
  <c r="DR95" i="5" s="1"/>
  <c r="DS95" i="5" s="1"/>
  <c r="DT95" i="5" s="1"/>
  <c r="DU95" i="5" s="1"/>
  <c r="DV95" i="5" s="1"/>
  <c r="DW95" i="5" s="1"/>
  <c r="DX95" i="5" s="1"/>
  <c r="DY95" i="5" s="1"/>
  <c r="DZ95" i="5" s="1"/>
  <c r="EA95" i="5" s="1"/>
  <c r="EB95" i="5" s="1"/>
  <c r="EC95" i="5" s="1"/>
  <c r="ED95" i="5" s="1"/>
  <c r="EE95" i="5" s="1"/>
  <c r="EF95" i="5" s="1"/>
  <c r="EG95" i="5" s="1"/>
  <c r="EH95" i="5" s="1"/>
  <c r="EI95" i="5" s="1"/>
  <c r="EJ95" i="5" s="1"/>
  <c r="EK95" i="5" s="1"/>
  <c r="EL95" i="5" s="1"/>
  <c r="EM95" i="5" s="1"/>
  <c r="EN95" i="5" s="1"/>
  <c r="EO95" i="5" s="1"/>
  <c r="EP95" i="5" s="1"/>
  <c r="EQ95" i="5" s="1"/>
  <c r="ER95" i="5" s="1"/>
  <c r="ES95" i="5" s="1"/>
  <c r="ET95" i="5" s="1"/>
  <c r="EU95" i="5" s="1"/>
  <c r="EV95" i="5" s="1"/>
  <c r="EW95" i="5" s="1"/>
  <c r="EX95" i="5" s="1"/>
  <c r="EY95" i="5" s="1"/>
  <c r="EZ95" i="5" s="1"/>
  <c r="FA95" i="5" s="1"/>
  <c r="FB95" i="5" s="1"/>
  <c r="FC95" i="5" s="1"/>
  <c r="FD95" i="5" s="1"/>
  <c r="FE95" i="5" s="1"/>
  <c r="FF95" i="5" s="1"/>
  <c r="FG95" i="5" s="1"/>
  <c r="FH95" i="5" s="1"/>
  <c r="FI95" i="5" s="1"/>
  <c r="FJ95" i="5" s="1"/>
  <c r="FK95" i="5" s="1"/>
  <c r="FL95" i="5" s="1"/>
  <c r="FM95" i="5" s="1"/>
  <c r="FN95" i="5" s="1"/>
  <c r="FO95" i="5" s="1"/>
  <c r="FP95" i="5" s="1"/>
  <c r="FQ95" i="5" s="1"/>
  <c r="FR95" i="5" s="1"/>
  <c r="FS95" i="5" s="1"/>
  <c r="FT95" i="5" s="1"/>
  <c r="FU95" i="5" s="1"/>
  <c r="FV95" i="5" s="1"/>
  <c r="FW95" i="5" s="1"/>
  <c r="FX95" i="5" s="1"/>
  <c r="FY95" i="5" s="1"/>
  <c r="FZ95" i="5" s="1"/>
  <c r="GA95" i="5" s="1"/>
  <c r="GB95" i="5" s="1"/>
  <c r="GC95" i="5" s="1"/>
  <c r="GD95" i="5" s="1"/>
  <c r="GE95" i="5" s="1"/>
  <c r="GF95" i="5" s="1"/>
  <c r="GG95" i="5" s="1"/>
  <c r="GH95" i="5" s="1"/>
  <c r="GI95" i="5" s="1"/>
  <c r="GJ95" i="5" s="1"/>
  <c r="GK95" i="5" s="1"/>
  <c r="GL95" i="5" s="1"/>
  <c r="GM95" i="5" s="1"/>
  <c r="GN95" i="5" s="1"/>
  <c r="GO95" i="5" s="1"/>
  <c r="GP95" i="5" s="1"/>
  <c r="GQ95" i="5" s="1"/>
  <c r="GR95" i="5" s="1"/>
  <c r="GS95" i="5" s="1"/>
  <c r="GT95" i="5" s="1"/>
  <c r="GU95" i="5" s="1"/>
  <c r="GV95" i="5" s="1"/>
  <c r="GW95" i="5" s="1"/>
  <c r="GX95" i="5" s="1"/>
  <c r="GY95" i="5" s="1"/>
  <c r="GZ95" i="5" s="1"/>
  <c r="HA95" i="5" s="1"/>
  <c r="HB95" i="5" s="1"/>
  <c r="HC95" i="5" s="1"/>
  <c r="HD95" i="5" s="1"/>
  <c r="HE95" i="5" s="1"/>
  <c r="HF95" i="5" s="1"/>
  <c r="HG95" i="5" s="1"/>
  <c r="HH95" i="5" s="1"/>
  <c r="HI95" i="5" s="1"/>
  <c r="HJ95" i="5" s="1"/>
  <c r="HK95" i="5" s="1"/>
  <c r="HL95" i="5" s="1"/>
  <c r="HM95" i="5" s="1"/>
  <c r="HN95" i="5" s="1"/>
  <c r="HO95" i="5" s="1"/>
  <c r="HP95" i="5" s="1"/>
  <c r="HQ95" i="5" s="1"/>
  <c r="HR95" i="5" s="1"/>
  <c r="HS95" i="5" s="1"/>
  <c r="HT95" i="5" s="1"/>
  <c r="HU95" i="5" s="1"/>
  <c r="HV95" i="5" s="1"/>
  <c r="HW95" i="5" s="1"/>
  <c r="HX95" i="5" s="1"/>
  <c r="HY95" i="5" s="1"/>
  <c r="HZ95" i="5" s="1"/>
  <c r="IA95" i="5" s="1"/>
  <c r="IB95" i="5" s="1"/>
  <c r="IC95" i="5" s="1"/>
  <c r="ID95" i="5" s="1"/>
  <c r="IE95" i="5" s="1"/>
  <c r="IF95" i="5" s="1"/>
  <c r="IG95" i="5" s="1"/>
  <c r="IH95" i="5" s="1"/>
  <c r="II95" i="5" s="1"/>
  <c r="IJ95" i="5" s="1"/>
  <c r="IK95" i="5" s="1"/>
  <c r="IL95" i="5" s="1"/>
  <c r="IM95" i="5" s="1"/>
  <c r="IN95" i="5" s="1"/>
  <c r="IO95" i="5" s="1"/>
  <c r="IP95" i="5" s="1"/>
  <c r="IQ95" i="5" s="1"/>
  <c r="IR95" i="5" s="1"/>
  <c r="IS95" i="5" s="1"/>
  <c r="IT95" i="5" s="1"/>
  <c r="IU95" i="5" s="1"/>
  <c r="F87" i="5"/>
  <c r="G87" i="5" s="1"/>
  <c r="H87" i="5" s="1"/>
  <c r="I87" i="5" s="1"/>
  <c r="J87" i="5" s="1"/>
  <c r="K87" i="5" s="1"/>
  <c r="L87" i="5" s="1"/>
  <c r="M87" i="5" s="1"/>
  <c r="N87" i="5" s="1"/>
  <c r="O87" i="5" s="1"/>
  <c r="P87" i="5" s="1"/>
  <c r="Q87" i="5" s="1"/>
  <c r="R87" i="5" s="1"/>
  <c r="S87" i="5" s="1"/>
  <c r="T87" i="5" s="1"/>
  <c r="U87" i="5" s="1"/>
  <c r="V87" i="5" s="1"/>
  <c r="W87" i="5" s="1"/>
  <c r="X87" i="5" s="1"/>
  <c r="Y87" i="5" s="1"/>
  <c r="Z87" i="5" s="1"/>
  <c r="AA87" i="5" s="1"/>
  <c r="AB87" i="5" s="1"/>
  <c r="AC87" i="5" s="1"/>
  <c r="AD87" i="5" s="1"/>
  <c r="AE87" i="5" s="1"/>
  <c r="AF87" i="5" s="1"/>
  <c r="AG87" i="5" s="1"/>
  <c r="AH87" i="5" s="1"/>
  <c r="AI87" i="5" s="1"/>
  <c r="AJ87" i="5" s="1"/>
  <c r="AK87" i="5" s="1"/>
  <c r="AL87" i="5" s="1"/>
  <c r="AM87" i="5" s="1"/>
  <c r="AN87" i="5" s="1"/>
  <c r="AO87" i="5" s="1"/>
  <c r="AP87" i="5" s="1"/>
  <c r="AQ87" i="5" s="1"/>
  <c r="AR87" i="5" s="1"/>
  <c r="AS87" i="5" s="1"/>
  <c r="AT87" i="5" s="1"/>
  <c r="AU87" i="5" s="1"/>
  <c r="AV87" i="5" s="1"/>
  <c r="AW87" i="5" s="1"/>
  <c r="AX87" i="5" s="1"/>
  <c r="AY87" i="5" s="1"/>
  <c r="AZ87" i="5" s="1"/>
  <c r="BA87" i="5" s="1"/>
  <c r="BB87" i="5" s="1"/>
  <c r="BC87" i="5" s="1"/>
  <c r="BD87" i="5" s="1"/>
  <c r="BE87" i="5" s="1"/>
  <c r="BF87" i="5" s="1"/>
  <c r="BG87" i="5" s="1"/>
  <c r="BH87" i="5" s="1"/>
  <c r="BI87" i="5" s="1"/>
  <c r="BJ87" i="5" s="1"/>
  <c r="BK87" i="5" s="1"/>
  <c r="BL87" i="5" s="1"/>
  <c r="BM87" i="5" s="1"/>
  <c r="BN87" i="5" s="1"/>
  <c r="BO87" i="5" s="1"/>
  <c r="BP87" i="5" s="1"/>
  <c r="BQ87" i="5" s="1"/>
  <c r="BR87" i="5" s="1"/>
  <c r="BS87" i="5" s="1"/>
  <c r="BT87" i="5" s="1"/>
  <c r="BU87" i="5" s="1"/>
  <c r="BV87" i="5" s="1"/>
  <c r="BW87" i="5" s="1"/>
  <c r="BX87" i="5" s="1"/>
  <c r="BY87" i="5" s="1"/>
  <c r="BZ87" i="5" s="1"/>
  <c r="CA87" i="5" s="1"/>
  <c r="CB87" i="5" s="1"/>
  <c r="CC87" i="5" s="1"/>
  <c r="CD87" i="5" s="1"/>
  <c r="CE87" i="5" s="1"/>
  <c r="CF87" i="5" s="1"/>
  <c r="CG87" i="5" s="1"/>
  <c r="CH87" i="5" s="1"/>
  <c r="CI87" i="5" s="1"/>
  <c r="CJ87" i="5" s="1"/>
  <c r="CK87" i="5" s="1"/>
  <c r="CL87" i="5" s="1"/>
  <c r="CM87" i="5" s="1"/>
  <c r="CN87" i="5" s="1"/>
  <c r="CO87" i="5" s="1"/>
  <c r="CP87" i="5" s="1"/>
  <c r="CQ87" i="5" s="1"/>
  <c r="CR87" i="5" s="1"/>
  <c r="CS87" i="5" s="1"/>
  <c r="CT87" i="5" s="1"/>
  <c r="CU87" i="5" s="1"/>
  <c r="CV87" i="5" s="1"/>
  <c r="CW87" i="5" s="1"/>
  <c r="CX87" i="5" s="1"/>
  <c r="CY87" i="5" s="1"/>
  <c r="CZ87" i="5" s="1"/>
  <c r="DA87" i="5" s="1"/>
  <c r="DB87" i="5" s="1"/>
  <c r="DC87" i="5" s="1"/>
  <c r="DD87" i="5" s="1"/>
  <c r="DE87" i="5" s="1"/>
  <c r="DF87" i="5" s="1"/>
  <c r="DG87" i="5" s="1"/>
  <c r="DH87" i="5" s="1"/>
  <c r="DI87" i="5" s="1"/>
  <c r="DJ87" i="5" s="1"/>
  <c r="DK87" i="5" s="1"/>
  <c r="DL87" i="5" s="1"/>
  <c r="DM87" i="5" s="1"/>
  <c r="DN87" i="5" s="1"/>
  <c r="DO87" i="5" s="1"/>
  <c r="DP87" i="5" s="1"/>
  <c r="DQ87" i="5" s="1"/>
  <c r="DR87" i="5" s="1"/>
  <c r="DS87" i="5" s="1"/>
  <c r="DT87" i="5" s="1"/>
  <c r="DU87" i="5" s="1"/>
  <c r="DV87" i="5" s="1"/>
  <c r="DW87" i="5" s="1"/>
  <c r="DX87" i="5" s="1"/>
  <c r="DY87" i="5" s="1"/>
  <c r="DZ87" i="5" s="1"/>
  <c r="EA87" i="5" s="1"/>
  <c r="EB87" i="5" s="1"/>
  <c r="EC87" i="5" s="1"/>
  <c r="ED87" i="5" s="1"/>
  <c r="EE87" i="5" s="1"/>
  <c r="EF87" i="5" s="1"/>
  <c r="EG87" i="5" s="1"/>
  <c r="EH87" i="5" s="1"/>
  <c r="EI87" i="5" s="1"/>
  <c r="EJ87" i="5" s="1"/>
  <c r="EK87" i="5" s="1"/>
  <c r="EL87" i="5" s="1"/>
  <c r="EM87" i="5" s="1"/>
  <c r="EN87" i="5" s="1"/>
  <c r="EO87" i="5" s="1"/>
  <c r="EP87" i="5" s="1"/>
  <c r="EQ87" i="5" s="1"/>
  <c r="ER87" i="5" s="1"/>
  <c r="ES87" i="5" s="1"/>
  <c r="ET87" i="5" s="1"/>
  <c r="EU87" i="5" s="1"/>
  <c r="EV87" i="5" s="1"/>
  <c r="EW87" i="5" s="1"/>
  <c r="EX87" i="5" s="1"/>
  <c r="EY87" i="5" s="1"/>
  <c r="EZ87" i="5" s="1"/>
  <c r="FA87" i="5" s="1"/>
  <c r="FB87" i="5" s="1"/>
  <c r="FC87" i="5" s="1"/>
  <c r="FD87" i="5" s="1"/>
  <c r="FE87" i="5" s="1"/>
  <c r="FF87" i="5" s="1"/>
  <c r="FG87" i="5" s="1"/>
  <c r="FH87" i="5" s="1"/>
  <c r="FI87" i="5" s="1"/>
  <c r="FJ87" i="5" s="1"/>
  <c r="FK87" i="5" s="1"/>
  <c r="FL87" i="5" s="1"/>
  <c r="FM87" i="5" s="1"/>
  <c r="FN87" i="5" s="1"/>
  <c r="FO87" i="5" s="1"/>
  <c r="FP87" i="5" s="1"/>
  <c r="FQ87" i="5" s="1"/>
  <c r="FR87" i="5" s="1"/>
  <c r="FS87" i="5" s="1"/>
  <c r="FT87" i="5" s="1"/>
  <c r="FU87" i="5" s="1"/>
  <c r="FV87" i="5" s="1"/>
  <c r="FW87" i="5" s="1"/>
  <c r="FX87" i="5" s="1"/>
  <c r="FY87" i="5" s="1"/>
  <c r="FZ87" i="5" s="1"/>
  <c r="GA87" i="5" s="1"/>
  <c r="GB87" i="5" s="1"/>
  <c r="GC87" i="5" s="1"/>
  <c r="GD87" i="5" s="1"/>
  <c r="GE87" i="5" s="1"/>
  <c r="GF87" i="5" s="1"/>
  <c r="GG87" i="5" s="1"/>
  <c r="GH87" i="5" s="1"/>
  <c r="GI87" i="5" s="1"/>
  <c r="GJ87" i="5" s="1"/>
  <c r="GK87" i="5" s="1"/>
  <c r="GL87" i="5" s="1"/>
  <c r="GM87" i="5" s="1"/>
  <c r="GN87" i="5" s="1"/>
  <c r="GO87" i="5" s="1"/>
  <c r="GP87" i="5" s="1"/>
  <c r="GQ87" i="5" s="1"/>
  <c r="GR87" i="5" s="1"/>
  <c r="GS87" i="5" s="1"/>
  <c r="GT87" i="5" s="1"/>
  <c r="GU87" i="5" s="1"/>
  <c r="GV87" i="5" s="1"/>
  <c r="GW87" i="5" s="1"/>
  <c r="GX87" i="5" s="1"/>
  <c r="GY87" i="5" s="1"/>
  <c r="GZ87" i="5" s="1"/>
  <c r="HA87" i="5" s="1"/>
  <c r="HB87" i="5" s="1"/>
  <c r="HC87" i="5" s="1"/>
  <c r="HD87" i="5" s="1"/>
  <c r="HE87" i="5" s="1"/>
  <c r="HF87" i="5" s="1"/>
  <c r="HG87" i="5" s="1"/>
  <c r="HH87" i="5" s="1"/>
  <c r="HI87" i="5" s="1"/>
  <c r="HJ87" i="5" s="1"/>
  <c r="HK87" i="5" s="1"/>
  <c r="HL87" i="5" s="1"/>
  <c r="HM87" i="5" s="1"/>
  <c r="HN87" i="5" s="1"/>
  <c r="HO87" i="5" s="1"/>
  <c r="HP87" i="5" s="1"/>
  <c r="HQ87" i="5" s="1"/>
  <c r="HR87" i="5" s="1"/>
  <c r="HS87" i="5" s="1"/>
  <c r="HT87" i="5" s="1"/>
  <c r="HU87" i="5" s="1"/>
  <c r="HV87" i="5" s="1"/>
  <c r="HW87" i="5" s="1"/>
  <c r="HX87" i="5" s="1"/>
  <c r="HY87" i="5" s="1"/>
  <c r="HZ87" i="5" s="1"/>
  <c r="IA87" i="5" s="1"/>
  <c r="IB87" i="5" s="1"/>
  <c r="IC87" i="5" s="1"/>
  <c r="ID87" i="5" s="1"/>
  <c r="IE87" i="5" s="1"/>
  <c r="IF87" i="5" s="1"/>
  <c r="IG87" i="5" s="1"/>
  <c r="IH87" i="5" s="1"/>
  <c r="II87" i="5" s="1"/>
  <c r="IJ87" i="5" s="1"/>
  <c r="IK87" i="5" s="1"/>
  <c r="IL87" i="5" s="1"/>
  <c r="IM87" i="5" s="1"/>
  <c r="IN87" i="5" s="1"/>
  <c r="IO87" i="5" s="1"/>
  <c r="IP87" i="5" s="1"/>
  <c r="IQ87" i="5" s="1"/>
  <c r="IR87" i="5" s="1"/>
  <c r="IS87" i="5" s="1"/>
  <c r="IT87" i="5" s="1"/>
  <c r="IU87" i="5" s="1"/>
  <c r="F79" i="5"/>
  <c r="G79" i="5" s="1"/>
  <c r="H79" i="5" s="1"/>
  <c r="I79" i="5" s="1"/>
  <c r="J79" i="5" s="1"/>
  <c r="K79" i="5" s="1"/>
  <c r="L79" i="5" s="1"/>
  <c r="M79" i="5" s="1"/>
  <c r="N79" i="5" s="1"/>
  <c r="O79" i="5" s="1"/>
  <c r="P79" i="5" s="1"/>
  <c r="Q79" i="5" s="1"/>
  <c r="R79" i="5" s="1"/>
  <c r="S79" i="5" s="1"/>
  <c r="T79" i="5" s="1"/>
  <c r="U79" i="5" s="1"/>
  <c r="V79" i="5" s="1"/>
  <c r="W79" i="5" s="1"/>
  <c r="X79" i="5" s="1"/>
  <c r="Y79" i="5" s="1"/>
  <c r="Z79" i="5" s="1"/>
  <c r="AA79" i="5" s="1"/>
  <c r="AB79" i="5" s="1"/>
  <c r="AC79" i="5" s="1"/>
  <c r="AD79" i="5" s="1"/>
  <c r="AE79" i="5" s="1"/>
  <c r="AF79" i="5" s="1"/>
  <c r="AG79" i="5" s="1"/>
  <c r="AH79" i="5" s="1"/>
  <c r="AI79" i="5" s="1"/>
  <c r="AJ79" i="5" s="1"/>
  <c r="AK79" i="5" s="1"/>
  <c r="AL79" i="5" s="1"/>
  <c r="AM79" i="5" s="1"/>
  <c r="AN79" i="5" s="1"/>
  <c r="AO79" i="5" s="1"/>
  <c r="AP79" i="5" s="1"/>
  <c r="AQ79" i="5" s="1"/>
  <c r="AR79" i="5" s="1"/>
  <c r="AS79" i="5" s="1"/>
  <c r="AT79" i="5" s="1"/>
  <c r="AU79" i="5" s="1"/>
  <c r="AV79" i="5" s="1"/>
  <c r="AW79" i="5" s="1"/>
  <c r="AX79" i="5" s="1"/>
  <c r="AY79" i="5" s="1"/>
  <c r="AZ79" i="5" s="1"/>
  <c r="BA79" i="5" s="1"/>
  <c r="BB79" i="5" s="1"/>
  <c r="BC79" i="5" s="1"/>
  <c r="BD79" i="5" s="1"/>
  <c r="BE79" i="5" s="1"/>
  <c r="BF79" i="5" s="1"/>
  <c r="BG79" i="5" s="1"/>
  <c r="BH79" i="5" s="1"/>
  <c r="BI79" i="5" s="1"/>
  <c r="BJ79" i="5" s="1"/>
  <c r="BK79" i="5" s="1"/>
  <c r="BL79" i="5" s="1"/>
  <c r="BM79" i="5" s="1"/>
  <c r="BN79" i="5" s="1"/>
  <c r="BO79" i="5" s="1"/>
  <c r="BP79" i="5" s="1"/>
  <c r="BQ79" i="5" s="1"/>
  <c r="BR79" i="5" s="1"/>
  <c r="BS79" i="5" s="1"/>
  <c r="BT79" i="5" s="1"/>
  <c r="BU79" i="5" s="1"/>
  <c r="BV79" i="5" s="1"/>
  <c r="BW79" i="5" s="1"/>
  <c r="BX79" i="5" s="1"/>
  <c r="BY79" i="5" s="1"/>
  <c r="BZ79" i="5" s="1"/>
  <c r="CA79" i="5" s="1"/>
  <c r="CB79" i="5" s="1"/>
  <c r="CC79" i="5" s="1"/>
  <c r="CD79" i="5" s="1"/>
  <c r="CE79" i="5" s="1"/>
  <c r="CF79" i="5" s="1"/>
  <c r="CG79" i="5" s="1"/>
  <c r="CH79" i="5" s="1"/>
  <c r="CI79" i="5" s="1"/>
  <c r="CJ79" i="5" s="1"/>
  <c r="CK79" i="5" s="1"/>
  <c r="CL79" i="5" s="1"/>
  <c r="CM79" i="5" s="1"/>
  <c r="CN79" i="5" s="1"/>
  <c r="CO79" i="5" s="1"/>
  <c r="CP79" i="5" s="1"/>
  <c r="CQ79" i="5" s="1"/>
  <c r="CR79" i="5" s="1"/>
  <c r="CS79" i="5" s="1"/>
  <c r="CT79" i="5" s="1"/>
  <c r="CU79" i="5" s="1"/>
  <c r="CV79" i="5" s="1"/>
  <c r="CW79" i="5" s="1"/>
  <c r="CX79" i="5" s="1"/>
  <c r="CY79" i="5" s="1"/>
  <c r="CZ79" i="5" s="1"/>
  <c r="DA79" i="5" s="1"/>
  <c r="DB79" i="5" s="1"/>
  <c r="DC79" i="5" s="1"/>
  <c r="DD79" i="5" s="1"/>
  <c r="DE79" i="5" s="1"/>
  <c r="DF79" i="5" s="1"/>
  <c r="DG79" i="5" s="1"/>
  <c r="DH79" i="5" s="1"/>
  <c r="DI79" i="5" s="1"/>
  <c r="DJ79" i="5" s="1"/>
  <c r="DK79" i="5" s="1"/>
  <c r="DL79" i="5" s="1"/>
  <c r="DM79" i="5" s="1"/>
  <c r="DN79" i="5" s="1"/>
  <c r="DO79" i="5" s="1"/>
  <c r="DP79" i="5" s="1"/>
  <c r="DQ79" i="5" s="1"/>
  <c r="DR79" i="5" s="1"/>
  <c r="DS79" i="5" s="1"/>
  <c r="DT79" i="5" s="1"/>
  <c r="DU79" i="5" s="1"/>
  <c r="DV79" i="5" s="1"/>
  <c r="DW79" i="5" s="1"/>
  <c r="DX79" i="5" s="1"/>
  <c r="DY79" i="5" s="1"/>
  <c r="DZ79" i="5" s="1"/>
  <c r="EA79" i="5" s="1"/>
  <c r="EB79" i="5" s="1"/>
  <c r="EC79" i="5" s="1"/>
  <c r="ED79" i="5" s="1"/>
  <c r="EE79" i="5" s="1"/>
  <c r="EF79" i="5" s="1"/>
  <c r="EG79" i="5" s="1"/>
  <c r="EH79" i="5" s="1"/>
  <c r="EI79" i="5" s="1"/>
  <c r="EJ79" i="5" s="1"/>
  <c r="EK79" i="5" s="1"/>
  <c r="EL79" i="5" s="1"/>
  <c r="EM79" i="5" s="1"/>
  <c r="EN79" i="5" s="1"/>
  <c r="EO79" i="5" s="1"/>
  <c r="EP79" i="5" s="1"/>
  <c r="EQ79" i="5" s="1"/>
  <c r="ER79" i="5" s="1"/>
  <c r="ES79" i="5" s="1"/>
  <c r="ET79" i="5" s="1"/>
  <c r="EU79" i="5" s="1"/>
  <c r="EV79" i="5" s="1"/>
  <c r="EW79" i="5" s="1"/>
  <c r="EX79" i="5" s="1"/>
  <c r="EY79" i="5" s="1"/>
  <c r="EZ79" i="5" s="1"/>
  <c r="FA79" i="5" s="1"/>
  <c r="FB79" i="5" s="1"/>
  <c r="FC79" i="5" s="1"/>
  <c r="FD79" i="5" s="1"/>
  <c r="FE79" i="5" s="1"/>
  <c r="FF79" i="5" s="1"/>
  <c r="FG79" i="5" s="1"/>
  <c r="FH79" i="5" s="1"/>
  <c r="FI79" i="5" s="1"/>
  <c r="FJ79" i="5" s="1"/>
  <c r="FK79" i="5" s="1"/>
  <c r="FL79" i="5" s="1"/>
  <c r="FM79" i="5" s="1"/>
  <c r="FN79" i="5" s="1"/>
  <c r="FO79" i="5" s="1"/>
  <c r="FP79" i="5" s="1"/>
  <c r="FQ79" i="5" s="1"/>
  <c r="FR79" i="5" s="1"/>
  <c r="FS79" i="5" s="1"/>
  <c r="FT79" i="5" s="1"/>
  <c r="FU79" i="5" s="1"/>
  <c r="FV79" i="5" s="1"/>
  <c r="FW79" i="5" s="1"/>
  <c r="FX79" i="5" s="1"/>
  <c r="FY79" i="5" s="1"/>
  <c r="FZ79" i="5" s="1"/>
  <c r="GA79" i="5" s="1"/>
  <c r="GB79" i="5" s="1"/>
  <c r="GC79" i="5" s="1"/>
  <c r="GD79" i="5" s="1"/>
  <c r="GE79" i="5" s="1"/>
  <c r="GF79" i="5" s="1"/>
  <c r="GG79" i="5" s="1"/>
  <c r="GH79" i="5" s="1"/>
  <c r="GI79" i="5" s="1"/>
  <c r="GJ79" i="5" s="1"/>
  <c r="GK79" i="5" s="1"/>
  <c r="GL79" i="5" s="1"/>
  <c r="GM79" i="5" s="1"/>
  <c r="GN79" i="5" s="1"/>
  <c r="GO79" i="5" s="1"/>
  <c r="GP79" i="5" s="1"/>
  <c r="GQ79" i="5" s="1"/>
  <c r="GR79" i="5" s="1"/>
  <c r="GS79" i="5" s="1"/>
  <c r="GT79" i="5" s="1"/>
  <c r="GU79" i="5" s="1"/>
  <c r="GV79" i="5" s="1"/>
  <c r="GW79" i="5" s="1"/>
  <c r="GX79" i="5" s="1"/>
  <c r="GY79" i="5" s="1"/>
  <c r="GZ79" i="5" s="1"/>
  <c r="HA79" i="5" s="1"/>
  <c r="HB79" i="5" s="1"/>
  <c r="HC79" i="5" s="1"/>
  <c r="HD79" i="5" s="1"/>
  <c r="HE79" i="5" s="1"/>
  <c r="HF79" i="5" s="1"/>
  <c r="HG79" i="5" s="1"/>
  <c r="HH79" i="5" s="1"/>
  <c r="HI79" i="5" s="1"/>
  <c r="HJ79" i="5" s="1"/>
  <c r="HK79" i="5" s="1"/>
  <c r="HL79" i="5" s="1"/>
  <c r="HM79" i="5" s="1"/>
  <c r="HN79" i="5" s="1"/>
  <c r="HO79" i="5" s="1"/>
  <c r="HP79" i="5" s="1"/>
  <c r="HQ79" i="5" s="1"/>
  <c r="HR79" i="5" s="1"/>
  <c r="HS79" i="5" s="1"/>
  <c r="HT79" i="5" s="1"/>
  <c r="HU79" i="5" s="1"/>
  <c r="HV79" i="5" s="1"/>
  <c r="HW79" i="5" s="1"/>
  <c r="HX79" i="5" s="1"/>
  <c r="HY79" i="5" s="1"/>
  <c r="HZ79" i="5" s="1"/>
  <c r="IA79" i="5" s="1"/>
  <c r="IB79" i="5" s="1"/>
  <c r="IC79" i="5" s="1"/>
  <c r="ID79" i="5" s="1"/>
  <c r="IE79" i="5" s="1"/>
  <c r="IF79" i="5" s="1"/>
  <c r="IG79" i="5" s="1"/>
  <c r="IH79" i="5" s="1"/>
  <c r="II79" i="5" s="1"/>
  <c r="IJ79" i="5" s="1"/>
  <c r="IK79" i="5" s="1"/>
  <c r="IL79" i="5" s="1"/>
  <c r="IM79" i="5" s="1"/>
  <c r="IN79" i="5" s="1"/>
  <c r="IO79" i="5" s="1"/>
  <c r="IP79" i="5" s="1"/>
  <c r="IQ79" i="5" s="1"/>
  <c r="IR79" i="5" s="1"/>
  <c r="IS79" i="5" s="1"/>
  <c r="IT79" i="5" s="1"/>
  <c r="IU79" i="5" s="1"/>
  <c r="F71" i="5"/>
  <c r="G71" i="5" s="1"/>
  <c r="H71" i="5" s="1"/>
  <c r="I71" i="5" s="1"/>
  <c r="J71" i="5" s="1"/>
  <c r="K71" i="5" s="1"/>
  <c r="L71" i="5" s="1"/>
  <c r="M71" i="5" s="1"/>
  <c r="N71" i="5" s="1"/>
  <c r="O71" i="5" s="1"/>
  <c r="P71" i="5" s="1"/>
  <c r="Q71" i="5" s="1"/>
  <c r="R71" i="5" s="1"/>
  <c r="S71" i="5" s="1"/>
  <c r="T71" i="5" s="1"/>
  <c r="U71" i="5" s="1"/>
  <c r="V71" i="5" s="1"/>
  <c r="W71" i="5" s="1"/>
  <c r="X71" i="5" s="1"/>
  <c r="Y71" i="5" s="1"/>
  <c r="Z71" i="5" s="1"/>
  <c r="AA71" i="5" s="1"/>
  <c r="AB71" i="5" s="1"/>
  <c r="AC71" i="5" s="1"/>
  <c r="AD71" i="5" s="1"/>
  <c r="AE71" i="5" s="1"/>
  <c r="AF71" i="5" s="1"/>
  <c r="AG71" i="5" s="1"/>
  <c r="AH71" i="5" s="1"/>
  <c r="AI71" i="5" s="1"/>
  <c r="AJ71" i="5" s="1"/>
  <c r="AK71" i="5" s="1"/>
  <c r="AL71" i="5" s="1"/>
  <c r="AM71" i="5" s="1"/>
  <c r="AN71" i="5" s="1"/>
  <c r="AO71" i="5" s="1"/>
  <c r="AP71" i="5" s="1"/>
  <c r="AQ71" i="5" s="1"/>
  <c r="AR71" i="5" s="1"/>
  <c r="AS71" i="5" s="1"/>
  <c r="AT71" i="5" s="1"/>
  <c r="AU71" i="5" s="1"/>
  <c r="AV71" i="5" s="1"/>
  <c r="AW71" i="5" s="1"/>
  <c r="AX71" i="5" s="1"/>
  <c r="AY71" i="5" s="1"/>
  <c r="AZ71" i="5" s="1"/>
  <c r="BA71" i="5" s="1"/>
  <c r="BB71" i="5" s="1"/>
  <c r="BC71" i="5" s="1"/>
  <c r="BD71" i="5" s="1"/>
  <c r="BE71" i="5" s="1"/>
  <c r="BF71" i="5" s="1"/>
  <c r="BG71" i="5" s="1"/>
  <c r="BH71" i="5" s="1"/>
  <c r="BI71" i="5" s="1"/>
  <c r="BJ71" i="5" s="1"/>
  <c r="BK71" i="5" s="1"/>
  <c r="BL71" i="5" s="1"/>
  <c r="BM71" i="5" s="1"/>
  <c r="BN71" i="5" s="1"/>
  <c r="BO71" i="5" s="1"/>
  <c r="BP71" i="5" s="1"/>
  <c r="BQ71" i="5" s="1"/>
  <c r="BR71" i="5" s="1"/>
  <c r="BS71" i="5" s="1"/>
  <c r="BT71" i="5" s="1"/>
  <c r="BU71" i="5" s="1"/>
  <c r="BV71" i="5" s="1"/>
  <c r="BW71" i="5" s="1"/>
  <c r="BX71" i="5" s="1"/>
  <c r="BY71" i="5" s="1"/>
  <c r="BZ71" i="5" s="1"/>
  <c r="CA71" i="5" s="1"/>
  <c r="CB71" i="5" s="1"/>
  <c r="CC71" i="5" s="1"/>
  <c r="CD71" i="5" s="1"/>
  <c r="CE71" i="5" s="1"/>
  <c r="CF71" i="5" s="1"/>
  <c r="CG71" i="5" s="1"/>
  <c r="CH71" i="5" s="1"/>
  <c r="CI71" i="5" s="1"/>
  <c r="CJ71" i="5" s="1"/>
  <c r="CK71" i="5" s="1"/>
  <c r="CL71" i="5" s="1"/>
  <c r="CM71" i="5" s="1"/>
  <c r="CN71" i="5" s="1"/>
  <c r="CO71" i="5" s="1"/>
  <c r="CP71" i="5" s="1"/>
  <c r="CQ71" i="5" s="1"/>
  <c r="CR71" i="5" s="1"/>
  <c r="CS71" i="5" s="1"/>
  <c r="CT71" i="5" s="1"/>
  <c r="CU71" i="5" s="1"/>
  <c r="CV71" i="5" s="1"/>
  <c r="CW71" i="5" s="1"/>
  <c r="CX71" i="5" s="1"/>
  <c r="CY71" i="5" s="1"/>
  <c r="CZ71" i="5" s="1"/>
  <c r="DA71" i="5" s="1"/>
  <c r="DB71" i="5" s="1"/>
  <c r="DC71" i="5" s="1"/>
  <c r="DD71" i="5" s="1"/>
  <c r="DE71" i="5" s="1"/>
  <c r="DF71" i="5" s="1"/>
  <c r="DG71" i="5" s="1"/>
  <c r="DH71" i="5" s="1"/>
  <c r="DI71" i="5" s="1"/>
  <c r="DJ71" i="5" s="1"/>
  <c r="DK71" i="5" s="1"/>
  <c r="DL71" i="5" s="1"/>
  <c r="DM71" i="5" s="1"/>
  <c r="DN71" i="5" s="1"/>
  <c r="DO71" i="5" s="1"/>
  <c r="DP71" i="5" s="1"/>
  <c r="DQ71" i="5" s="1"/>
  <c r="DR71" i="5" s="1"/>
  <c r="DS71" i="5" s="1"/>
  <c r="DT71" i="5" s="1"/>
  <c r="DU71" i="5" s="1"/>
  <c r="DV71" i="5" s="1"/>
  <c r="DW71" i="5" s="1"/>
  <c r="DX71" i="5" s="1"/>
  <c r="DY71" i="5" s="1"/>
  <c r="DZ71" i="5" s="1"/>
  <c r="EA71" i="5" s="1"/>
  <c r="EB71" i="5" s="1"/>
  <c r="EC71" i="5" s="1"/>
  <c r="ED71" i="5" s="1"/>
  <c r="EE71" i="5" s="1"/>
  <c r="EF71" i="5" s="1"/>
  <c r="EG71" i="5" s="1"/>
  <c r="EH71" i="5" s="1"/>
  <c r="EI71" i="5" s="1"/>
  <c r="EJ71" i="5" s="1"/>
  <c r="EK71" i="5" s="1"/>
  <c r="EL71" i="5" s="1"/>
  <c r="EM71" i="5" s="1"/>
  <c r="EN71" i="5" s="1"/>
  <c r="EO71" i="5" s="1"/>
  <c r="EP71" i="5" s="1"/>
  <c r="EQ71" i="5" s="1"/>
  <c r="ER71" i="5" s="1"/>
  <c r="ES71" i="5" s="1"/>
  <c r="ET71" i="5" s="1"/>
  <c r="EU71" i="5" s="1"/>
  <c r="EV71" i="5" s="1"/>
  <c r="EW71" i="5" s="1"/>
  <c r="EX71" i="5" s="1"/>
  <c r="EY71" i="5" s="1"/>
  <c r="EZ71" i="5" s="1"/>
  <c r="FA71" i="5" s="1"/>
  <c r="FB71" i="5" s="1"/>
  <c r="FC71" i="5" s="1"/>
  <c r="FD71" i="5" s="1"/>
  <c r="FE71" i="5" s="1"/>
  <c r="FF71" i="5" s="1"/>
  <c r="FG71" i="5" s="1"/>
  <c r="FH71" i="5" s="1"/>
  <c r="FI71" i="5" s="1"/>
  <c r="FJ71" i="5" s="1"/>
  <c r="FK71" i="5" s="1"/>
  <c r="FL71" i="5" s="1"/>
  <c r="FM71" i="5" s="1"/>
  <c r="FN71" i="5" s="1"/>
  <c r="FO71" i="5" s="1"/>
  <c r="FP71" i="5" s="1"/>
  <c r="FQ71" i="5" s="1"/>
  <c r="FR71" i="5" s="1"/>
  <c r="FS71" i="5" s="1"/>
  <c r="FT71" i="5" s="1"/>
  <c r="FU71" i="5" s="1"/>
  <c r="FV71" i="5" s="1"/>
  <c r="FW71" i="5" s="1"/>
  <c r="FX71" i="5" s="1"/>
  <c r="FY71" i="5" s="1"/>
  <c r="FZ71" i="5" s="1"/>
  <c r="GA71" i="5" s="1"/>
  <c r="GB71" i="5" s="1"/>
  <c r="GC71" i="5" s="1"/>
  <c r="GD71" i="5" s="1"/>
  <c r="GE71" i="5" s="1"/>
  <c r="GF71" i="5" s="1"/>
  <c r="GG71" i="5" s="1"/>
  <c r="GH71" i="5" s="1"/>
  <c r="GI71" i="5" s="1"/>
  <c r="GJ71" i="5" s="1"/>
  <c r="GK71" i="5" s="1"/>
  <c r="GL71" i="5" s="1"/>
  <c r="GM71" i="5" s="1"/>
  <c r="GN71" i="5" s="1"/>
  <c r="GO71" i="5" s="1"/>
  <c r="GP71" i="5" s="1"/>
  <c r="GQ71" i="5" s="1"/>
  <c r="GR71" i="5" s="1"/>
  <c r="GS71" i="5" s="1"/>
  <c r="GT71" i="5" s="1"/>
  <c r="GU71" i="5" s="1"/>
  <c r="GV71" i="5" s="1"/>
  <c r="GW71" i="5" s="1"/>
  <c r="GX71" i="5" s="1"/>
  <c r="GY71" i="5" s="1"/>
  <c r="GZ71" i="5" s="1"/>
  <c r="HA71" i="5" s="1"/>
  <c r="HB71" i="5" s="1"/>
  <c r="HC71" i="5" s="1"/>
  <c r="HD71" i="5" s="1"/>
  <c r="HE71" i="5" s="1"/>
  <c r="HF71" i="5" s="1"/>
  <c r="HG71" i="5" s="1"/>
  <c r="HH71" i="5" s="1"/>
  <c r="HI71" i="5" s="1"/>
  <c r="HJ71" i="5" s="1"/>
  <c r="HK71" i="5" s="1"/>
  <c r="HL71" i="5" s="1"/>
  <c r="HM71" i="5" s="1"/>
  <c r="HN71" i="5" s="1"/>
  <c r="HO71" i="5" s="1"/>
  <c r="HP71" i="5" s="1"/>
  <c r="HQ71" i="5" s="1"/>
  <c r="HR71" i="5" s="1"/>
  <c r="HS71" i="5" s="1"/>
  <c r="HT71" i="5" s="1"/>
  <c r="HU71" i="5" s="1"/>
  <c r="HV71" i="5" s="1"/>
  <c r="HW71" i="5" s="1"/>
  <c r="HX71" i="5" s="1"/>
  <c r="HY71" i="5" s="1"/>
  <c r="HZ71" i="5" s="1"/>
  <c r="IA71" i="5" s="1"/>
  <c r="IB71" i="5" s="1"/>
  <c r="IC71" i="5" s="1"/>
  <c r="ID71" i="5" s="1"/>
  <c r="IE71" i="5" s="1"/>
  <c r="IF71" i="5" s="1"/>
  <c r="IG71" i="5" s="1"/>
  <c r="IH71" i="5" s="1"/>
  <c r="II71" i="5" s="1"/>
  <c r="IJ71" i="5" s="1"/>
  <c r="IK71" i="5" s="1"/>
  <c r="IL71" i="5" s="1"/>
  <c r="IM71" i="5" s="1"/>
  <c r="IN71" i="5" s="1"/>
  <c r="IO71" i="5" s="1"/>
  <c r="IP71" i="5" s="1"/>
  <c r="IQ71" i="5" s="1"/>
  <c r="IR71" i="5" s="1"/>
  <c r="IS71" i="5" s="1"/>
  <c r="IT71" i="5" s="1"/>
  <c r="IU71" i="5" s="1"/>
  <c r="F63" i="5"/>
  <c r="G63" i="5" s="1"/>
  <c r="H63" i="5" s="1"/>
  <c r="I63" i="5" s="1"/>
  <c r="J63" i="5" s="1"/>
  <c r="K63" i="5" s="1"/>
  <c r="L63" i="5" s="1"/>
  <c r="M63" i="5" s="1"/>
  <c r="N63" i="5" s="1"/>
  <c r="O63" i="5" s="1"/>
  <c r="P63" i="5" s="1"/>
  <c r="Q63" i="5" s="1"/>
  <c r="R63" i="5" s="1"/>
  <c r="S63" i="5" s="1"/>
  <c r="T63" i="5" s="1"/>
  <c r="U63" i="5" s="1"/>
  <c r="V63" i="5" s="1"/>
  <c r="W63" i="5" s="1"/>
  <c r="X63" i="5" s="1"/>
  <c r="Y63" i="5" s="1"/>
  <c r="Z63" i="5" s="1"/>
  <c r="AA63" i="5" s="1"/>
  <c r="AB63" i="5" s="1"/>
  <c r="AC63" i="5" s="1"/>
  <c r="AD63" i="5" s="1"/>
  <c r="AE63" i="5" s="1"/>
  <c r="AF63" i="5" s="1"/>
  <c r="AG63" i="5" s="1"/>
  <c r="AH63" i="5" s="1"/>
  <c r="AI63" i="5" s="1"/>
  <c r="AJ63" i="5" s="1"/>
  <c r="AK63" i="5" s="1"/>
  <c r="AL63" i="5" s="1"/>
  <c r="AM63" i="5" s="1"/>
  <c r="AN63" i="5" s="1"/>
  <c r="AO63" i="5" s="1"/>
  <c r="AP63" i="5" s="1"/>
  <c r="AQ63" i="5" s="1"/>
  <c r="AR63" i="5" s="1"/>
  <c r="AS63" i="5" s="1"/>
  <c r="AT63" i="5" s="1"/>
  <c r="AU63" i="5" s="1"/>
  <c r="AV63" i="5" s="1"/>
  <c r="AW63" i="5" s="1"/>
  <c r="AX63" i="5" s="1"/>
  <c r="AY63" i="5" s="1"/>
  <c r="AZ63" i="5" s="1"/>
  <c r="BA63" i="5" s="1"/>
  <c r="BB63" i="5" s="1"/>
  <c r="BC63" i="5" s="1"/>
  <c r="BD63" i="5" s="1"/>
  <c r="BE63" i="5" s="1"/>
  <c r="BF63" i="5" s="1"/>
  <c r="BG63" i="5" s="1"/>
  <c r="BH63" i="5" s="1"/>
  <c r="BI63" i="5" s="1"/>
  <c r="BJ63" i="5" s="1"/>
  <c r="BK63" i="5" s="1"/>
  <c r="BL63" i="5" s="1"/>
  <c r="BM63" i="5" s="1"/>
  <c r="BN63" i="5" s="1"/>
  <c r="BO63" i="5" s="1"/>
  <c r="BP63" i="5" s="1"/>
  <c r="BQ63" i="5" s="1"/>
  <c r="BR63" i="5" s="1"/>
  <c r="BS63" i="5" s="1"/>
  <c r="BT63" i="5" s="1"/>
  <c r="BU63" i="5" s="1"/>
  <c r="BV63" i="5" s="1"/>
  <c r="BW63" i="5" s="1"/>
  <c r="BX63" i="5" s="1"/>
  <c r="BY63" i="5" s="1"/>
  <c r="BZ63" i="5" s="1"/>
  <c r="CA63" i="5" s="1"/>
  <c r="CB63" i="5" s="1"/>
  <c r="CC63" i="5" s="1"/>
  <c r="CD63" i="5" s="1"/>
  <c r="CE63" i="5" s="1"/>
  <c r="CF63" i="5" s="1"/>
  <c r="CG63" i="5" s="1"/>
  <c r="CH63" i="5" s="1"/>
  <c r="CI63" i="5" s="1"/>
  <c r="CJ63" i="5" s="1"/>
  <c r="CK63" i="5" s="1"/>
  <c r="CL63" i="5" s="1"/>
  <c r="CM63" i="5" s="1"/>
  <c r="CN63" i="5" s="1"/>
  <c r="CO63" i="5" s="1"/>
  <c r="CP63" i="5" s="1"/>
  <c r="CQ63" i="5" s="1"/>
  <c r="CR63" i="5" s="1"/>
  <c r="CS63" i="5" s="1"/>
  <c r="CT63" i="5" s="1"/>
  <c r="CU63" i="5" s="1"/>
  <c r="CV63" i="5" s="1"/>
  <c r="CW63" i="5" s="1"/>
  <c r="CX63" i="5" s="1"/>
  <c r="CY63" i="5" s="1"/>
  <c r="CZ63" i="5" s="1"/>
  <c r="DA63" i="5" s="1"/>
  <c r="DB63" i="5" s="1"/>
  <c r="DC63" i="5" s="1"/>
  <c r="DD63" i="5" s="1"/>
  <c r="DE63" i="5" s="1"/>
  <c r="DF63" i="5" s="1"/>
  <c r="DG63" i="5" s="1"/>
  <c r="DH63" i="5" s="1"/>
  <c r="DI63" i="5" s="1"/>
  <c r="DJ63" i="5" s="1"/>
  <c r="DK63" i="5" s="1"/>
  <c r="DL63" i="5" s="1"/>
  <c r="DM63" i="5" s="1"/>
  <c r="DN63" i="5" s="1"/>
  <c r="DO63" i="5" s="1"/>
  <c r="DP63" i="5" s="1"/>
  <c r="DQ63" i="5" s="1"/>
  <c r="DR63" i="5" s="1"/>
  <c r="DS63" i="5" s="1"/>
  <c r="DT63" i="5" s="1"/>
  <c r="DU63" i="5" s="1"/>
  <c r="DV63" i="5" s="1"/>
  <c r="DW63" i="5" s="1"/>
  <c r="DX63" i="5" s="1"/>
  <c r="DY63" i="5" s="1"/>
  <c r="DZ63" i="5" s="1"/>
  <c r="EA63" i="5" s="1"/>
  <c r="EB63" i="5" s="1"/>
  <c r="EC63" i="5" s="1"/>
  <c r="ED63" i="5" s="1"/>
  <c r="EE63" i="5" s="1"/>
  <c r="EF63" i="5" s="1"/>
  <c r="EG63" i="5" s="1"/>
  <c r="EH63" i="5" s="1"/>
  <c r="EI63" i="5" s="1"/>
  <c r="EJ63" i="5" s="1"/>
  <c r="EK63" i="5" s="1"/>
  <c r="EL63" i="5" s="1"/>
  <c r="EM63" i="5" s="1"/>
  <c r="EN63" i="5" s="1"/>
  <c r="EO63" i="5" s="1"/>
  <c r="EP63" i="5" s="1"/>
  <c r="EQ63" i="5" s="1"/>
  <c r="ER63" i="5" s="1"/>
  <c r="ES63" i="5" s="1"/>
  <c r="ET63" i="5" s="1"/>
  <c r="EU63" i="5" s="1"/>
  <c r="EV63" i="5" s="1"/>
  <c r="EW63" i="5" s="1"/>
  <c r="EX63" i="5" s="1"/>
  <c r="EY63" i="5" s="1"/>
  <c r="EZ63" i="5" s="1"/>
  <c r="FA63" i="5" s="1"/>
  <c r="FB63" i="5" s="1"/>
  <c r="FC63" i="5" s="1"/>
  <c r="FD63" i="5" s="1"/>
  <c r="FE63" i="5" s="1"/>
  <c r="FF63" i="5" s="1"/>
  <c r="FG63" i="5" s="1"/>
  <c r="FH63" i="5" s="1"/>
  <c r="FI63" i="5" s="1"/>
  <c r="FJ63" i="5" s="1"/>
  <c r="FK63" i="5" s="1"/>
  <c r="FL63" i="5" s="1"/>
  <c r="FM63" i="5" s="1"/>
  <c r="FN63" i="5" s="1"/>
  <c r="FO63" i="5" s="1"/>
  <c r="FP63" i="5" s="1"/>
  <c r="FQ63" i="5" s="1"/>
  <c r="FR63" i="5" s="1"/>
  <c r="FS63" i="5" s="1"/>
  <c r="FT63" i="5" s="1"/>
  <c r="FU63" i="5" s="1"/>
  <c r="FV63" i="5" s="1"/>
  <c r="FW63" i="5" s="1"/>
  <c r="FX63" i="5" s="1"/>
  <c r="FY63" i="5" s="1"/>
  <c r="FZ63" i="5" s="1"/>
  <c r="GA63" i="5" s="1"/>
  <c r="GB63" i="5" s="1"/>
  <c r="GC63" i="5" s="1"/>
  <c r="GD63" i="5" s="1"/>
  <c r="GE63" i="5" s="1"/>
  <c r="GF63" i="5" s="1"/>
  <c r="GG63" i="5" s="1"/>
  <c r="GH63" i="5" s="1"/>
  <c r="GI63" i="5" s="1"/>
  <c r="GJ63" i="5" s="1"/>
  <c r="GK63" i="5" s="1"/>
  <c r="GL63" i="5" s="1"/>
  <c r="GM63" i="5" s="1"/>
  <c r="GN63" i="5" s="1"/>
  <c r="GO63" i="5" s="1"/>
  <c r="GP63" i="5" s="1"/>
  <c r="GQ63" i="5" s="1"/>
  <c r="GR63" i="5" s="1"/>
  <c r="GS63" i="5" s="1"/>
  <c r="GT63" i="5" s="1"/>
  <c r="GU63" i="5" s="1"/>
  <c r="GV63" i="5" s="1"/>
  <c r="GW63" i="5" s="1"/>
  <c r="GX63" i="5" s="1"/>
  <c r="GY63" i="5" s="1"/>
  <c r="GZ63" i="5" s="1"/>
  <c r="HA63" i="5" s="1"/>
  <c r="HB63" i="5" s="1"/>
  <c r="HC63" i="5" s="1"/>
  <c r="HD63" i="5" s="1"/>
  <c r="HE63" i="5" s="1"/>
  <c r="HF63" i="5" s="1"/>
  <c r="HG63" i="5" s="1"/>
  <c r="HH63" i="5" s="1"/>
  <c r="HI63" i="5" s="1"/>
  <c r="HJ63" i="5" s="1"/>
  <c r="HK63" i="5" s="1"/>
  <c r="HL63" i="5" s="1"/>
  <c r="HM63" i="5" s="1"/>
  <c r="HN63" i="5" s="1"/>
  <c r="HO63" i="5" s="1"/>
  <c r="HP63" i="5" s="1"/>
  <c r="HQ63" i="5" s="1"/>
  <c r="HR63" i="5" s="1"/>
  <c r="HS63" i="5" s="1"/>
  <c r="HT63" i="5" s="1"/>
  <c r="HU63" i="5" s="1"/>
  <c r="HV63" i="5" s="1"/>
  <c r="HW63" i="5" s="1"/>
  <c r="HX63" i="5" s="1"/>
  <c r="HY63" i="5" s="1"/>
  <c r="HZ63" i="5" s="1"/>
  <c r="IA63" i="5" s="1"/>
  <c r="IB63" i="5" s="1"/>
  <c r="IC63" i="5" s="1"/>
  <c r="ID63" i="5" s="1"/>
  <c r="IE63" i="5" s="1"/>
  <c r="IF63" i="5" s="1"/>
  <c r="IG63" i="5" s="1"/>
  <c r="IH63" i="5" s="1"/>
  <c r="II63" i="5" s="1"/>
  <c r="IJ63" i="5" s="1"/>
  <c r="IK63" i="5" s="1"/>
  <c r="IL63" i="5" s="1"/>
  <c r="IM63" i="5" s="1"/>
  <c r="IN63" i="5" s="1"/>
  <c r="IO63" i="5" s="1"/>
  <c r="IP63" i="5" s="1"/>
  <c r="IQ63" i="5" s="1"/>
  <c r="IR63" i="5" s="1"/>
  <c r="IS63" i="5" s="1"/>
  <c r="IT63" i="5" s="1"/>
  <c r="IU63" i="5" s="1"/>
  <c r="F55" i="5"/>
  <c r="G55" i="5" s="1"/>
  <c r="H55" i="5" s="1"/>
  <c r="I55" i="5" s="1"/>
  <c r="J55" i="5" s="1"/>
  <c r="K55" i="5" s="1"/>
  <c r="L55" i="5" s="1"/>
  <c r="M55" i="5" s="1"/>
  <c r="N55" i="5" s="1"/>
  <c r="O55" i="5" s="1"/>
  <c r="P55" i="5" s="1"/>
  <c r="Q55" i="5" s="1"/>
  <c r="R55" i="5" s="1"/>
  <c r="S55" i="5" s="1"/>
  <c r="T55" i="5" s="1"/>
  <c r="U55" i="5" s="1"/>
  <c r="V55" i="5" s="1"/>
  <c r="W55" i="5" s="1"/>
  <c r="X55" i="5" s="1"/>
  <c r="Y55" i="5" s="1"/>
  <c r="Z55" i="5" s="1"/>
  <c r="AA55" i="5" s="1"/>
  <c r="AB55" i="5" s="1"/>
  <c r="AC55" i="5" s="1"/>
  <c r="AD55" i="5" s="1"/>
  <c r="AE55" i="5" s="1"/>
  <c r="AF55" i="5" s="1"/>
  <c r="AG55" i="5" s="1"/>
  <c r="AH55" i="5" s="1"/>
  <c r="AI55" i="5" s="1"/>
  <c r="AJ55" i="5" s="1"/>
  <c r="AK55" i="5" s="1"/>
  <c r="AL55" i="5" s="1"/>
  <c r="AM55" i="5" s="1"/>
  <c r="AN55" i="5" s="1"/>
  <c r="AO55" i="5" s="1"/>
  <c r="AP55" i="5" s="1"/>
  <c r="AQ55" i="5" s="1"/>
  <c r="AR55" i="5" s="1"/>
  <c r="AS55" i="5" s="1"/>
  <c r="AT55" i="5" s="1"/>
  <c r="AU55" i="5" s="1"/>
  <c r="AV55" i="5" s="1"/>
  <c r="AW55" i="5" s="1"/>
  <c r="AX55" i="5" s="1"/>
  <c r="AY55" i="5" s="1"/>
  <c r="AZ55" i="5" s="1"/>
  <c r="BA55" i="5" s="1"/>
  <c r="BB55" i="5" s="1"/>
  <c r="BC55" i="5" s="1"/>
  <c r="BD55" i="5" s="1"/>
  <c r="BE55" i="5" s="1"/>
  <c r="BF55" i="5" s="1"/>
  <c r="BG55" i="5" s="1"/>
  <c r="BH55" i="5" s="1"/>
  <c r="BI55" i="5" s="1"/>
  <c r="BJ55" i="5" s="1"/>
  <c r="BK55" i="5" s="1"/>
  <c r="BL55" i="5" s="1"/>
  <c r="BM55" i="5" s="1"/>
  <c r="BN55" i="5" s="1"/>
  <c r="BO55" i="5" s="1"/>
  <c r="BP55" i="5" s="1"/>
  <c r="BQ55" i="5" s="1"/>
  <c r="BR55" i="5" s="1"/>
  <c r="BS55" i="5" s="1"/>
  <c r="BT55" i="5" s="1"/>
  <c r="BU55" i="5" s="1"/>
  <c r="BV55" i="5" s="1"/>
  <c r="BW55" i="5" s="1"/>
  <c r="BX55" i="5" s="1"/>
  <c r="BY55" i="5" s="1"/>
  <c r="BZ55" i="5" s="1"/>
  <c r="CA55" i="5" s="1"/>
  <c r="CB55" i="5" s="1"/>
  <c r="CC55" i="5" s="1"/>
  <c r="CD55" i="5" s="1"/>
  <c r="CE55" i="5" s="1"/>
  <c r="CF55" i="5" s="1"/>
  <c r="CG55" i="5" s="1"/>
  <c r="CH55" i="5" s="1"/>
  <c r="CI55" i="5" s="1"/>
  <c r="CJ55" i="5" s="1"/>
  <c r="CK55" i="5" s="1"/>
  <c r="CL55" i="5" s="1"/>
  <c r="CM55" i="5" s="1"/>
  <c r="CN55" i="5" s="1"/>
  <c r="CO55" i="5" s="1"/>
  <c r="CP55" i="5" s="1"/>
  <c r="CQ55" i="5" s="1"/>
  <c r="CR55" i="5" s="1"/>
  <c r="CS55" i="5" s="1"/>
  <c r="CT55" i="5" s="1"/>
  <c r="CU55" i="5" s="1"/>
  <c r="CV55" i="5" s="1"/>
  <c r="CW55" i="5" s="1"/>
  <c r="CX55" i="5" s="1"/>
  <c r="CY55" i="5" s="1"/>
  <c r="CZ55" i="5" s="1"/>
  <c r="DA55" i="5" s="1"/>
  <c r="DB55" i="5" s="1"/>
  <c r="DC55" i="5" s="1"/>
  <c r="DD55" i="5" s="1"/>
  <c r="DE55" i="5" s="1"/>
  <c r="DF55" i="5" s="1"/>
  <c r="DG55" i="5" s="1"/>
  <c r="DH55" i="5" s="1"/>
  <c r="DI55" i="5" s="1"/>
  <c r="DJ55" i="5" s="1"/>
  <c r="DK55" i="5" s="1"/>
  <c r="DL55" i="5" s="1"/>
  <c r="DM55" i="5" s="1"/>
  <c r="DN55" i="5" s="1"/>
  <c r="DO55" i="5" s="1"/>
  <c r="DP55" i="5" s="1"/>
  <c r="DQ55" i="5" s="1"/>
  <c r="DR55" i="5" s="1"/>
  <c r="DS55" i="5" s="1"/>
  <c r="DT55" i="5" s="1"/>
  <c r="DU55" i="5" s="1"/>
  <c r="DV55" i="5" s="1"/>
  <c r="DW55" i="5" s="1"/>
  <c r="DX55" i="5" s="1"/>
  <c r="DY55" i="5" s="1"/>
  <c r="DZ55" i="5" s="1"/>
  <c r="EA55" i="5" s="1"/>
  <c r="EB55" i="5" s="1"/>
  <c r="EC55" i="5" s="1"/>
  <c r="ED55" i="5" s="1"/>
  <c r="EE55" i="5" s="1"/>
  <c r="EF55" i="5" s="1"/>
  <c r="EG55" i="5" s="1"/>
  <c r="EH55" i="5" s="1"/>
  <c r="EI55" i="5" s="1"/>
  <c r="EJ55" i="5" s="1"/>
  <c r="EK55" i="5" s="1"/>
  <c r="EL55" i="5" s="1"/>
  <c r="EM55" i="5" s="1"/>
  <c r="EN55" i="5" s="1"/>
  <c r="EO55" i="5" s="1"/>
  <c r="EP55" i="5" s="1"/>
  <c r="EQ55" i="5" s="1"/>
  <c r="ER55" i="5" s="1"/>
  <c r="ES55" i="5" s="1"/>
  <c r="ET55" i="5" s="1"/>
  <c r="EU55" i="5" s="1"/>
  <c r="EV55" i="5" s="1"/>
  <c r="EW55" i="5" s="1"/>
  <c r="EX55" i="5" s="1"/>
  <c r="EY55" i="5" s="1"/>
  <c r="EZ55" i="5" s="1"/>
  <c r="FA55" i="5" s="1"/>
  <c r="FB55" i="5" s="1"/>
  <c r="FC55" i="5" s="1"/>
  <c r="FD55" i="5" s="1"/>
  <c r="FE55" i="5" s="1"/>
  <c r="FF55" i="5" s="1"/>
  <c r="FG55" i="5" s="1"/>
  <c r="FH55" i="5" s="1"/>
  <c r="FI55" i="5" s="1"/>
  <c r="FJ55" i="5" s="1"/>
  <c r="FK55" i="5" s="1"/>
  <c r="FL55" i="5" s="1"/>
  <c r="FM55" i="5" s="1"/>
  <c r="FN55" i="5" s="1"/>
  <c r="FO55" i="5" s="1"/>
  <c r="FP55" i="5" s="1"/>
  <c r="FQ55" i="5" s="1"/>
  <c r="FR55" i="5" s="1"/>
  <c r="FS55" i="5" s="1"/>
  <c r="FT55" i="5" s="1"/>
  <c r="FU55" i="5" s="1"/>
  <c r="FV55" i="5" s="1"/>
  <c r="FW55" i="5" s="1"/>
  <c r="FX55" i="5" s="1"/>
  <c r="FY55" i="5" s="1"/>
  <c r="FZ55" i="5" s="1"/>
  <c r="GA55" i="5" s="1"/>
  <c r="GB55" i="5" s="1"/>
  <c r="GC55" i="5" s="1"/>
  <c r="GD55" i="5" s="1"/>
  <c r="GE55" i="5" s="1"/>
  <c r="GF55" i="5" s="1"/>
  <c r="GG55" i="5" s="1"/>
  <c r="GH55" i="5" s="1"/>
  <c r="GI55" i="5" s="1"/>
  <c r="GJ55" i="5" s="1"/>
  <c r="GK55" i="5" s="1"/>
  <c r="GL55" i="5" s="1"/>
  <c r="GM55" i="5" s="1"/>
  <c r="GN55" i="5" s="1"/>
  <c r="GO55" i="5" s="1"/>
  <c r="GP55" i="5" s="1"/>
  <c r="GQ55" i="5" s="1"/>
  <c r="GR55" i="5" s="1"/>
  <c r="GS55" i="5" s="1"/>
  <c r="GT55" i="5" s="1"/>
  <c r="GU55" i="5" s="1"/>
  <c r="GV55" i="5" s="1"/>
  <c r="GW55" i="5" s="1"/>
  <c r="GX55" i="5" s="1"/>
  <c r="GY55" i="5" s="1"/>
  <c r="GZ55" i="5" s="1"/>
  <c r="HA55" i="5" s="1"/>
  <c r="HB55" i="5" s="1"/>
  <c r="HC55" i="5" s="1"/>
  <c r="HD55" i="5" s="1"/>
  <c r="HE55" i="5" s="1"/>
  <c r="HF55" i="5" s="1"/>
  <c r="HG55" i="5" s="1"/>
  <c r="HH55" i="5" s="1"/>
  <c r="HI55" i="5" s="1"/>
  <c r="HJ55" i="5" s="1"/>
  <c r="HK55" i="5" s="1"/>
  <c r="HL55" i="5" s="1"/>
  <c r="HM55" i="5" s="1"/>
  <c r="HN55" i="5" s="1"/>
  <c r="HO55" i="5" s="1"/>
  <c r="HP55" i="5" s="1"/>
  <c r="HQ55" i="5" s="1"/>
  <c r="HR55" i="5" s="1"/>
  <c r="HS55" i="5" s="1"/>
  <c r="HT55" i="5" s="1"/>
  <c r="HU55" i="5" s="1"/>
  <c r="HV55" i="5" s="1"/>
  <c r="HW55" i="5" s="1"/>
  <c r="HX55" i="5" s="1"/>
  <c r="HY55" i="5" s="1"/>
  <c r="HZ55" i="5" s="1"/>
  <c r="IA55" i="5" s="1"/>
  <c r="IB55" i="5" s="1"/>
  <c r="IC55" i="5" s="1"/>
  <c r="ID55" i="5" s="1"/>
  <c r="IE55" i="5" s="1"/>
  <c r="IF55" i="5" s="1"/>
  <c r="IG55" i="5" s="1"/>
  <c r="IH55" i="5" s="1"/>
  <c r="II55" i="5" s="1"/>
  <c r="IJ55" i="5" s="1"/>
  <c r="IK55" i="5" s="1"/>
  <c r="IL55" i="5" s="1"/>
  <c r="IM55" i="5" s="1"/>
  <c r="IN55" i="5" s="1"/>
  <c r="IO55" i="5" s="1"/>
  <c r="IP55" i="5" s="1"/>
  <c r="IQ55" i="5" s="1"/>
  <c r="IR55" i="5" s="1"/>
  <c r="IS55" i="5" s="1"/>
  <c r="IT55" i="5" s="1"/>
  <c r="IU55" i="5" s="1"/>
  <c r="F47" i="5"/>
  <c r="G47" i="5" s="1"/>
  <c r="H47" i="5" s="1"/>
  <c r="I47" i="5" s="1"/>
  <c r="J47" i="5" s="1"/>
  <c r="K47" i="5" s="1"/>
  <c r="L47" i="5" s="1"/>
  <c r="M47" i="5" s="1"/>
  <c r="N47" i="5" s="1"/>
  <c r="O47" i="5" s="1"/>
  <c r="P47" i="5" s="1"/>
  <c r="Q47" i="5" s="1"/>
  <c r="R47" i="5" s="1"/>
  <c r="S47" i="5" s="1"/>
  <c r="T47" i="5" s="1"/>
  <c r="U47" i="5" s="1"/>
  <c r="V47" i="5" s="1"/>
  <c r="W47" i="5" s="1"/>
  <c r="X47" i="5" s="1"/>
  <c r="Y47" i="5" s="1"/>
  <c r="Z47" i="5" s="1"/>
  <c r="AA47" i="5" s="1"/>
  <c r="AB47" i="5" s="1"/>
  <c r="AC47" i="5" s="1"/>
  <c r="AD47" i="5" s="1"/>
  <c r="AE47" i="5" s="1"/>
  <c r="AF47" i="5" s="1"/>
  <c r="AG47" i="5" s="1"/>
  <c r="AH47" i="5" s="1"/>
  <c r="AI47" i="5" s="1"/>
  <c r="AJ47" i="5" s="1"/>
  <c r="AK47" i="5" s="1"/>
  <c r="AL47" i="5" s="1"/>
  <c r="AM47" i="5" s="1"/>
  <c r="AN47" i="5" s="1"/>
  <c r="AO47" i="5" s="1"/>
  <c r="AP47" i="5" s="1"/>
  <c r="AQ47" i="5" s="1"/>
  <c r="AR47" i="5" s="1"/>
  <c r="AS47" i="5" s="1"/>
  <c r="AT47" i="5" s="1"/>
  <c r="AU47" i="5" s="1"/>
  <c r="AV47" i="5" s="1"/>
  <c r="AW47" i="5" s="1"/>
  <c r="AX47" i="5" s="1"/>
  <c r="AY47" i="5" s="1"/>
  <c r="AZ47" i="5" s="1"/>
  <c r="BA47" i="5" s="1"/>
  <c r="BB47" i="5" s="1"/>
  <c r="BC47" i="5" s="1"/>
  <c r="BD47" i="5" s="1"/>
  <c r="BE47" i="5" s="1"/>
  <c r="BF47" i="5" s="1"/>
  <c r="BG47" i="5" s="1"/>
  <c r="BH47" i="5" s="1"/>
  <c r="BI47" i="5" s="1"/>
  <c r="BJ47" i="5" s="1"/>
  <c r="BK47" i="5" s="1"/>
  <c r="BL47" i="5" s="1"/>
  <c r="BM47" i="5" s="1"/>
  <c r="BN47" i="5" s="1"/>
  <c r="BO47" i="5" s="1"/>
  <c r="BP47" i="5" s="1"/>
  <c r="BQ47" i="5" s="1"/>
  <c r="BR47" i="5" s="1"/>
  <c r="BS47" i="5" s="1"/>
  <c r="BT47" i="5" s="1"/>
  <c r="BU47" i="5" s="1"/>
  <c r="BV47" i="5" s="1"/>
  <c r="BW47" i="5" s="1"/>
  <c r="BX47" i="5" s="1"/>
  <c r="BY47" i="5" s="1"/>
  <c r="BZ47" i="5" s="1"/>
  <c r="CA47" i="5" s="1"/>
  <c r="CB47" i="5" s="1"/>
  <c r="CC47" i="5" s="1"/>
  <c r="CD47" i="5" s="1"/>
  <c r="CE47" i="5" s="1"/>
  <c r="CF47" i="5" s="1"/>
  <c r="CG47" i="5" s="1"/>
  <c r="CH47" i="5" s="1"/>
  <c r="CI47" i="5" s="1"/>
  <c r="CJ47" i="5" s="1"/>
  <c r="CK47" i="5" s="1"/>
  <c r="CL47" i="5" s="1"/>
  <c r="CM47" i="5" s="1"/>
  <c r="CN47" i="5" s="1"/>
  <c r="CO47" i="5" s="1"/>
  <c r="CP47" i="5" s="1"/>
  <c r="CQ47" i="5" s="1"/>
  <c r="CR47" i="5" s="1"/>
  <c r="CS47" i="5" s="1"/>
  <c r="CT47" i="5" s="1"/>
  <c r="CU47" i="5" s="1"/>
  <c r="CV47" i="5" s="1"/>
  <c r="CW47" i="5" s="1"/>
  <c r="CX47" i="5" s="1"/>
  <c r="CY47" i="5" s="1"/>
  <c r="CZ47" i="5" s="1"/>
  <c r="DA47" i="5" s="1"/>
  <c r="DB47" i="5" s="1"/>
  <c r="DC47" i="5" s="1"/>
  <c r="DD47" i="5" s="1"/>
  <c r="DE47" i="5" s="1"/>
  <c r="DF47" i="5" s="1"/>
  <c r="DG47" i="5" s="1"/>
  <c r="DH47" i="5" s="1"/>
  <c r="DI47" i="5" s="1"/>
  <c r="DJ47" i="5" s="1"/>
  <c r="DK47" i="5" s="1"/>
  <c r="DL47" i="5" s="1"/>
  <c r="DM47" i="5" s="1"/>
  <c r="DN47" i="5" s="1"/>
  <c r="DO47" i="5" s="1"/>
  <c r="DP47" i="5" s="1"/>
  <c r="DQ47" i="5" s="1"/>
  <c r="DR47" i="5" s="1"/>
  <c r="DS47" i="5" s="1"/>
  <c r="DT47" i="5" s="1"/>
  <c r="DU47" i="5" s="1"/>
  <c r="DV47" i="5" s="1"/>
  <c r="DW47" i="5" s="1"/>
  <c r="DX47" i="5" s="1"/>
  <c r="DY47" i="5" s="1"/>
  <c r="DZ47" i="5" s="1"/>
  <c r="EA47" i="5" s="1"/>
  <c r="EB47" i="5" s="1"/>
  <c r="EC47" i="5" s="1"/>
  <c r="ED47" i="5" s="1"/>
  <c r="EE47" i="5" s="1"/>
  <c r="EF47" i="5" s="1"/>
  <c r="EG47" i="5" s="1"/>
  <c r="EH47" i="5" s="1"/>
  <c r="EI47" i="5" s="1"/>
  <c r="EJ47" i="5" s="1"/>
  <c r="EK47" i="5" s="1"/>
  <c r="EL47" i="5" s="1"/>
  <c r="EM47" i="5" s="1"/>
  <c r="EN47" i="5" s="1"/>
  <c r="EO47" i="5" s="1"/>
  <c r="EP47" i="5" s="1"/>
  <c r="EQ47" i="5" s="1"/>
  <c r="ER47" i="5" s="1"/>
  <c r="ES47" i="5" s="1"/>
  <c r="ET47" i="5" s="1"/>
  <c r="EU47" i="5" s="1"/>
  <c r="EV47" i="5" s="1"/>
  <c r="EW47" i="5" s="1"/>
  <c r="EX47" i="5" s="1"/>
  <c r="EY47" i="5" s="1"/>
  <c r="EZ47" i="5" s="1"/>
  <c r="FA47" i="5" s="1"/>
  <c r="FB47" i="5" s="1"/>
  <c r="FC47" i="5" s="1"/>
  <c r="FD47" i="5" s="1"/>
  <c r="FE47" i="5" s="1"/>
  <c r="FF47" i="5" s="1"/>
  <c r="FG47" i="5" s="1"/>
  <c r="FH47" i="5" s="1"/>
  <c r="FI47" i="5" s="1"/>
  <c r="FJ47" i="5" s="1"/>
  <c r="FK47" i="5" s="1"/>
  <c r="FL47" i="5" s="1"/>
  <c r="FM47" i="5" s="1"/>
  <c r="FN47" i="5" s="1"/>
  <c r="FO47" i="5" s="1"/>
  <c r="FP47" i="5" s="1"/>
  <c r="FQ47" i="5" s="1"/>
  <c r="FR47" i="5" s="1"/>
  <c r="FS47" i="5" s="1"/>
  <c r="FT47" i="5" s="1"/>
  <c r="FU47" i="5" s="1"/>
  <c r="FV47" i="5" s="1"/>
  <c r="FW47" i="5" s="1"/>
  <c r="FX47" i="5" s="1"/>
  <c r="FY47" i="5" s="1"/>
  <c r="FZ47" i="5" s="1"/>
  <c r="GA47" i="5" s="1"/>
  <c r="GB47" i="5" s="1"/>
  <c r="GC47" i="5" s="1"/>
  <c r="GD47" i="5" s="1"/>
  <c r="GE47" i="5" s="1"/>
  <c r="GF47" i="5" s="1"/>
  <c r="GG47" i="5" s="1"/>
  <c r="GH47" i="5" s="1"/>
  <c r="GI47" i="5" s="1"/>
  <c r="GJ47" i="5" s="1"/>
  <c r="GK47" i="5" s="1"/>
  <c r="GL47" i="5" s="1"/>
  <c r="GM47" i="5" s="1"/>
  <c r="GN47" i="5" s="1"/>
  <c r="GO47" i="5" s="1"/>
  <c r="GP47" i="5" s="1"/>
  <c r="GQ47" i="5" s="1"/>
  <c r="GR47" i="5" s="1"/>
  <c r="GS47" i="5" s="1"/>
  <c r="GT47" i="5" s="1"/>
  <c r="GU47" i="5" s="1"/>
  <c r="GV47" i="5" s="1"/>
  <c r="GW47" i="5" s="1"/>
  <c r="GX47" i="5" s="1"/>
  <c r="GY47" i="5" s="1"/>
  <c r="GZ47" i="5" s="1"/>
  <c r="HA47" i="5" s="1"/>
  <c r="HB47" i="5" s="1"/>
  <c r="HC47" i="5" s="1"/>
  <c r="HD47" i="5" s="1"/>
  <c r="HE47" i="5" s="1"/>
  <c r="HF47" i="5" s="1"/>
  <c r="HG47" i="5" s="1"/>
  <c r="HH47" i="5" s="1"/>
  <c r="HI47" i="5" s="1"/>
  <c r="HJ47" i="5" s="1"/>
  <c r="HK47" i="5" s="1"/>
  <c r="HL47" i="5" s="1"/>
  <c r="HM47" i="5" s="1"/>
  <c r="HN47" i="5" s="1"/>
  <c r="HO47" i="5" s="1"/>
  <c r="HP47" i="5" s="1"/>
  <c r="HQ47" i="5" s="1"/>
  <c r="HR47" i="5" s="1"/>
  <c r="HS47" i="5" s="1"/>
  <c r="HT47" i="5" s="1"/>
  <c r="HU47" i="5" s="1"/>
  <c r="HV47" i="5" s="1"/>
  <c r="HW47" i="5" s="1"/>
  <c r="HX47" i="5" s="1"/>
  <c r="HY47" i="5" s="1"/>
  <c r="HZ47" i="5" s="1"/>
  <c r="IA47" i="5" s="1"/>
  <c r="IB47" i="5" s="1"/>
  <c r="IC47" i="5" s="1"/>
  <c r="ID47" i="5" s="1"/>
  <c r="IE47" i="5" s="1"/>
  <c r="IF47" i="5" s="1"/>
  <c r="IG47" i="5" s="1"/>
  <c r="IH47" i="5" s="1"/>
  <c r="II47" i="5" s="1"/>
  <c r="IJ47" i="5" s="1"/>
  <c r="IK47" i="5" s="1"/>
  <c r="IL47" i="5" s="1"/>
  <c r="IM47" i="5" s="1"/>
  <c r="IN47" i="5" s="1"/>
  <c r="IO47" i="5" s="1"/>
  <c r="IP47" i="5" s="1"/>
  <c r="IQ47" i="5" s="1"/>
  <c r="IR47" i="5" s="1"/>
  <c r="IS47" i="5" s="1"/>
  <c r="IT47" i="5" s="1"/>
  <c r="IU47" i="5" s="1"/>
  <c r="F39" i="5"/>
  <c r="G39" i="5" s="1"/>
  <c r="H39" i="5" s="1"/>
  <c r="I39" i="5" s="1"/>
  <c r="J39" i="5" s="1"/>
  <c r="K39" i="5" s="1"/>
  <c r="L39" i="5" s="1"/>
  <c r="M39" i="5" s="1"/>
  <c r="N39" i="5" s="1"/>
  <c r="O39" i="5" s="1"/>
  <c r="P39" i="5" s="1"/>
  <c r="Q39" i="5" s="1"/>
  <c r="R39" i="5" s="1"/>
  <c r="S39" i="5" s="1"/>
  <c r="T39" i="5" s="1"/>
  <c r="U39" i="5" s="1"/>
  <c r="V39" i="5" s="1"/>
  <c r="W39" i="5" s="1"/>
  <c r="X39" i="5" s="1"/>
  <c r="Y39" i="5" s="1"/>
  <c r="Z39" i="5" s="1"/>
  <c r="AA39" i="5" s="1"/>
  <c r="AB39" i="5" s="1"/>
  <c r="AC39" i="5" s="1"/>
  <c r="AD39" i="5" s="1"/>
  <c r="AE39" i="5" s="1"/>
  <c r="AF39" i="5" s="1"/>
  <c r="AG39" i="5" s="1"/>
  <c r="AH39" i="5" s="1"/>
  <c r="AI39" i="5" s="1"/>
  <c r="AJ39" i="5" s="1"/>
  <c r="AK39" i="5" s="1"/>
  <c r="AL39" i="5" s="1"/>
  <c r="AM39" i="5" s="1"/>
  <c r="AN39" i="5" s="1"/>
  <c r="AO39" i="5" s="1"/>
  <c r="AP39" i="5" s="1"/>
  <c r="AQ39" i="5" s="1"/>
  <c r="AR39" i="5" s="1"/>
  <c r="AS39" i="5" s="1"/>
  <c r="AT39" i="5" s="1"/>
  <c r="AU39" i="5" s="1"/>
  <c r="AV39" i="5" s="1"/>
  <c r="AW39" i="5" s="1"/>
  <c r="AX39" i="5" s="1"/>
  <c r="AY39" i="5" s="1"/>
  <c r="AZ39" i="5" s="1"/>
  <c r="BA39" i="5" s="1"/>
  <c r="BB39" i="5" s="1"/>
  <c r="BC39" i="5" s="1"/>
  <c r="BD39" i="5" s="1"/>
  <c r="BE39" i="5" s="1"/>
  <c r="BF39" i="5" s="1"/>
  <c r="BG39" i="5" s="1"/>
  <c r="BH39" i="5" s="1"/>
  <c r="BI39" i="5" s="1"/>
  <c r="BJ39" i="5" s="1"/>
  <c r="BK39" i="5" s="1"/>
  <c r="BL39" i="5" s="1"/>
  <c r="BM39" i="5" s="1"/>
  <c r="BN39" i="5" s="1"/>
  <c r="BO39" i="5" s="1"/>
  <c r="BP39" i="5" s="1"/>
  <c r="BQ39" i="5" s="1"/>
  <c r="BR39" i="5" s="1"/>
  <c r="BS39" i="5" s="1"/>
  <c r="BT39" i="5" s="1"/>
  <c r="BU39" i="5" s="1"/>
  <c r="BV39" i="5" s="1"/>
  <c r="BW39" i="5" s="1"/>
  <c r="BX39" i="5" s="1"/>
  <c r="BY39" i="5" s="1"/>
  <c r="BZ39" i="5" s="1"/>
  <c r="CA39" i="5" s="1"/>
  <c r="CB39" i="5" s="1"/>
  <c r="CC39" i="5" s="1"/>
  <c r="CD39" i="5" s="1"/>
  <c r="CE39" i="5" s="1"/>
  <c r="CF39" i="5" s="1"/>
  <c r="CG39" i="5" s="1"/>
  <c r="CH39" i="5" s="1"/>
  <c r="CI39" i="5" s="1"/>
  <c r="CJ39" i="5" s="1"/>
  <c r="CK39" i="5" s="1"/>
  <c r="CL39" i="5" s="1"/>
  <c r="CM39" i="5" s="1"/>
  <c r="CN39" i="5" s="1"/>
  <c r="CO39" i="5" s="1"/>
  <c r="CP39" i="5" s="1"/>
  <c r="CQ39" i="5" s="1"/>
  <c r="CR39" i="5" s="1"/>
  <c r="CS39" i="5" s="1"/>
  <c r="CT39" i="5" s="1"/>
  <c r="CU39" i="5" s="1"/>
  <c r="CV39" i="5" s="1"/>
  <c r="CW39" i="5" s="1"/>
  <c r="CX39" i="5" s="1"/>
  <c r="CY39" i="5" s="1"/>
  <c r="CZ39" i="5" s="1"/>
  <c r="DA39" i="5" s="1"/>
  <c r="DB39" i="5" s="1"/>
  <c r="DC39" i="5" s="1"/>
  <c r="DD39" i="5" s="1"/>
  <c r="DE39" i="5" s="1"/>
  <c r="DF39" i="5" s="1"/>
  <c r="DG39" i="5" s="1"/>
  <c r="DH39" i="5" s="1"/>
  <c r="DI39" i="5" s="1"/>
  <c r="DJ39" i="5" s="1"/>
  <c r="DK39" i="5" s="1"/>
  <c r="DL39" i="5" s="1"/>
  <c r="DM39" i="5" s="1"/>
  <c r="DN39" i="5" s="1"/>
  <c r="DO39" i="5" s="1"/>
  <c r="DP39" i="5" s="1"/>
  <c r="DQ39" i="5" s="1"/>
  <c r="DR39" i="5" s="1"/>
  <c r="DS39" i="5" s="1"/>
  <c r="DT39" i="5" s="1"/>
  <c r="DU39" i="5" s="1"/>
  <c r="DV39" i="5" s="1"/>
  <c r="DW39" i="5" s="1"/>
  <c r="DX39" i="5" s="1"/>
  <c r="DY39" i="5" s="1"/>
  <c r="DZ39" i="5" s="1"/>
  <c r="EA39" i="5" s="1"/>
  <c r="EB39" i="5" s="1"/>
  <c r="EC39" i="5" s="1"/>
  <c r="ED39" i="5" s="1"/>
  <c r="EE39" i="5" s="1"/>
  <c r="EF39" i="5" s="1"/>
  <c r="EG39" i="5" s="1"/>
  <c r="EH39" i="5" s="1"/>
  <c r="EI39" i="5" s="1"/>
  <c r="EJ39" i="5" s="1"/>
  <c r="EK39" i="5" s="1"/>
  <c r="EL39" i="5" s="1"/>
  <c r="EM39" i="5" s="1"/>
  <c r="EN39" i="5" s="1"/>
  <c r="EO39" i="5" s="1"/>
  <c r="EP39" i="5" s="1"/>
  <c r="EQ39" i="5" s="1"/>
  <c r="ER39" i="5" s="1"/>
  <c r="ES39" i="5" s="1"/>
  <c r="ET39" i="5" s="1"/>
  <c r="EU39" i="5" s="1"/>
  <c r="EV39" i="5" s="1"/>
  <c r="EW39" i="5" s="1"/>
  <c r="EX39" i="5" s="1"/>
  <c r="EY39" i="5" s="1"/>
  <c r="EZ39" i="5" s="1"/>
  <c r="FA39" i="5" s="1"/>
  <c r="FB39" i="5" s="1"/>
  <c r="FC39" i="5" s="1"/>
  <c r="FD39" i="5" s="1"/>
  <c r="FE39" i="5" s="1"/>
  <c r="FF39" i="5" s="1"/>
  <c r="FG39" i="5" s="1"/>
  <c r="FH39" i="5" s="1"/>
  <c r="FI39" i="5" s="1"/>
  <c r="FJ39" i="5" s="1"/>
  <c r="FK39" i="5" s="1"/>
  <c r="FL39" i="5" s="1"/>
  <c r="FM39" i="5" s="1"/>
  <c r="FN39" i="5" s="1"/>
  <c r="FO39" i="5" s="1"/>
  <c r="FP39" i="5" s="1"/>
  <c r="FQ39" i="5" s="1"/>
  <c r="FR39" i="5" s="1"/>
  <c r="FS39" i="5" s="1"/>
  <c r="FT39" i="5" s="1"/>
  <c r="FU39" i="5" s="1"/>
  <c r="FV39" i="5" s="1"/>
  <c r="FW39" i="5" s="1"/>
  <c r="FX39" i="5" s="1"/>
  <c r="FY39" i="5" s="1"/>
  <c r="FZ39" i="5" s="1"/>
  <c r="GA39" i="5" s="1"/>
  <c r="GB39" i="5" s="1"/>
  <c r="GC39" i="5" s="1"/>
  <c r="GD39" i="5" s="1"/>
  <c r="GE39" i="5" s="1"/>
  <c r="GF39" i="5" s="1"/>
  <c r="GG39" i="5" s="1"/>
  <c r="GH39" i="5" s="1"/>
  <c r="GI39" i="5" s="1"/>
  <c r="GJ39" i="5" s="1"/>
  <c r="GK39" i="5" s="1"/>
  <c r="GL39" i="5" s="1"/>
  <c r="GM39" i="5" s="1"/>
  <c r="GN39" i="5" s="1"/>
  <c r="GO39" i="5" s="1"/>
  <c r="GP39" i="5" s="1"/>
  <c r="GQ39" i="5" s="1"/>
  <c r="GR39" i="5" s="1"/>
  <c r="GS39" i="5" s="1"/>
  <c r="GT39" i="5" s="1"/>
  <c r="GU39" i="5" s="1"/>
  <c r="GV39" i="5" s="1"/>
  <c r="GW39" i="5" s="1"/>
  <c r="GX39" i="5" s="1"/>
  <c r="GY39" i="5" s="1"/>
  <c r="GZ39" i="5" s="1"/>
  <c r="HA39" i="5" s="1"/>
  <c r="HB39" i="5" s="1"/>
  <c r="HC39" i="5" s="1"/>
  <c r="HD39" i="5" s="1"/>
  <c r="HE39" i="5" s="1"/>
  <c r="HF39" i="5" s="1"/>
  <c r="HG39" i="5" s="1"/>
  <c r="HH39" i="5" s="1"/>
  <c r="HI39" i="5" s="1"/>
  <c r="HJ39" i="5" s="1"/>
  <c r="HK39" i="5" s="1"/>
  <c r="HL39" i="5" s="1"/>
  <c r="HM39" i="5" s="1"/>
  <c r="HN39" i="5" s="1"/>
  <c r="HO39" i="5" s="1"/>
  <c r="HP39" i="5" s="1"/>
  <c r="HQ39" i="5" s="1"/>
  <c r="HR39" i="5" s="1"/>
  <c r="HS39" i="5" s="1"/>
  <c r="HT39" i="5" s="1"/>
  <c r="HU39" i="5" s="1"/>
  <c r="HV39" i="5" s="1"/>
  <c r="HW39" i="5" s="1"/>
  <c r="HX39" i="5" s="1"/>
  <c r="HY39" i="5" s="1"/>
  <c r="HZ39" i="5" s="1"/>
  <c r="IA39" i="5" s="1"/>
  <c r="IB39" i="5" s="1"/>
  <c r="IC39" i="5" s="1"/>
  <c r="ID39" i="5" s="1"/>
  <c r="IE39" i="5" s="1"/>
  <c r="IF39" i="5" s="1"/>
  <c r="IG39" i="5" s="1"/>
  <c r="IH39" i="5" s="1"/>
  <c r="II39" i="5" s="1"/>
  <c r="IJ39" i="5" s="1"/>
  <c r="IK39" i="5" s="1"/>
  <c r="IL39" i="5" s="1"/>
  <c r="IM39" i="5" s="1"/>
  <c r="IN39" i="5" s="1"/>
  <c r="IO39" i="5" s="1"/>
  <c r="IP39" i="5" s="1"/>
  <c r="IQ39" i="5" s="1"/>
  <c r="IR39" i="5" s="1"/>
  <c r="IS39" i="5" s="1"/>
  <c r="IT39" i="5" s="1"/>
  <c r="IU39" i="5" s="1"/>
  <c r="F31" i="5"/>
  <c r="G31" i="5" s="1"/>
  <c r="H31" i="5" s="1"/>
  <c r="I31" i="5" s="1"/>
  <c r="J31" i="5" s="1"/>
  <c r="K31" i="5" s="1"/>
  <c r="L31" i="5" s="1"/>
  <c r="M31" i="5" s="1"/>
  <c r="N31" i="5" s="1"/>
  <c r="O31" i="5" s="1"/>
  <c r="P31" i="5" s="1"/>
  <c r="Q31" i="5" s="1"/>
  <c r="R31" i="5" s="1"/>
  <c r="S31" i="5" s="1"/>
  <c r="T31" i="5" s="1"/>
  <c r="U31" i="5" s="1"/>
  <c r="V31" i="5" s="1"/>
  <c r="W31" i="5" s="1"/>
  <c r="X31" i="5" s="1"/>
  <c r="Y31" i="5" s="1"/>
  <c r="Z31" i="5" s="1"/>
  <c r="AA31" i="5" s="1"/>
  <c r="AB31" i="5" s="1"/>
  <c r="AC31" i="5" s="1"/>
  <c r="AD31" i="5" s="1"/>
  <c r="AE31" i="5" s="1"/>
  <c r="AF31" i="5" s="1"/>
  <c r="AG31" i="5" s="1"/>
  <c r="AH31" i="5" s="1"/>
  <c r="AI31" i="5" s="1"/>
  <c r="AJ31" i="5" s="1"/>
  <c r="AK31" i="5" s="1"/>
  <c r="AL31" i="5" s="1"/>
  <c r="AM31" i="5" s="1"/>
  <c r="AN31" i="5" s="1"/>
  <c r="AO31" i="5" s="1"/>
  <c r="AP31" i="5" s="1"/>
  <c r="AQ31" i="5" s="1"/>
  <c r="AR31" i="5" s="1"/>
  <c r="AS31" i="5" s="1"/>
  <c r="AT31" i="5" s="1"/>
  <c r="AU31" i="5" s="1"/>
  <c r="AV31" i="5" s="1"/>
  <c r="AW31" i="5" s="1"/>
  <c r="AX31" i="5" s="1"/>
  <c r="AY31" i="5" s="1"/>
  <c r="AZ31" i="5" s="1"/>
  <c r="BA31" i="5" s="1"/>
  <c r="BB31" i="5" s="1"/>
  <c r="BC31" i="5" s="1"/>
  <c r="BD31" i="5" s="1"/>
  <c r="BE31" i="5" s="1"/>
  <c r="BF31" i="5" s="1"/>
  <c r="BG31" i="5" s="1"/>
  <c r="BH31" i="5" s="1"/>
  <c r="BI31" i="5" s="1"/>
  <c r="BJ31" i="5" s="1"/>
  <c r="BK31" i="5" s="1"/>
  <c r="BL31" i="5" s="1"/>
  <c r="BM31" i="5" s="1"/>
  <c r="BN31" i="5" s="1"/>
  <c r="BO31" i="5" s="1"/>
  <c r="BP31" i="5" s="1"/>
  <c r="BQ31" i="5" s="1"/>
  <c r="BR31" i="5" s="1"/>
  <c r="BS31" i="5" s="1"/>
  <c r="BT31" i="5" s="1"/>
  <c r="BU31" i="5" s="1"/>
  <c r="BV31" i="5" s="1"/>
  <c r="BW31" i="5" s="1"/>
  <c r="BX31" i="5" s="1"/>
  <c r="BY31" i="5" s="1"/>
  <c r="BZ31" i="5" s="1"/>
  <c r="CA31" i="5" s="1"/>
  <c r="CB31" i="5" s="1"/>
  <c r="CC31" i="5" s="1"/>
  <c r="CD31" i="5" s="1"/>
  <c r="CE31" i="5" s="1"/>
  <c r="CF31" i="5" s="1"/>
  <c r="CG31" i="5" s="1"/>
  <c r="CH31" i="5" s="1"/>
  <c r="CI31" i="5" s="1"/>
  <c r="CJ31" i="5" s="1"/>
  <c r="CK31" i="5" s="1"/>
  <c r="CL31" i="5" s="1"/>
  <c r="CM31" i="5" s="1"/>
  <c r="CN31" i="5" s="1"/>
  <c r="CO31" i="5" s="1"/>
  <c r="CP31" i="5" s="1"/>
  <c r="CQ31" i="5" s="1"/>
  <c r="CR31" i="5" s="1"/>
  <c r="CS31" i="5" s="1"/>
  <c r="CT31" i="5" s="1"/>
  <c r="CU31" i="5" s="1"/>
  <c r="CV31" i="5" s="1"/>
  <c r="CW31" i="5" s="1"/>
  <c r="CX31" i="5" s="1"/>
  <c r="CY31" i="5" s="1"/>
  <c r="CZ31" i="5" s="1"/>
  <c r="DA31" i="5" s="1"/>
  <c r="DB31" i="5" s="1"/>
  <c r="DC31" i="5" s="1"/>
  <c r="DD31" i="5" s="1"/>
  <c r="DE31" i="5" s="1"/>
  <c r="DF31" i="5" s="1"/>
  <c r="DG31" i="5" s="1"/>
  <c r="DH31" i="5" s="1"/>
  <c r="DI31" i="5" s="1"/>
  <c r="DJ31" i="5" s="1"/>
  <c r="DK31" i="5" s="1"/>
  <c r="DL31" i="5" s="1"/>
  <c r="DM31" i="5" s="1"/>
  <c r="DN31" i="5" s="1"/>
  <c r="DO31" i="5" s="1"/>
  <c r="DP31" i="5" s="1"/>
  <c r="DQ31" i="5" s="1"/>
  <c r="DR31" i="5" s="1"/>
  <c r="DS31" i="5" s="1"/>
  <c r="DT31" i="5" s="1"/>
  <c r="DU31" i="5" s="1"/>
  <c r="DV31" i="5" s="1"/>
  <c r="DW31" i="5" s="1"/>
  <c r="DX31" i="5" s="1"/>
  <c r="DY31" i="5" s="1"/>
  <c r="DZ31" i="5" s="1"/>
  <c r="EA31" i="5" s="1"/>
  <c r="EB31" i="5" s="1"/>
  <c r="EC31" i="5" s="1"/>
  <c r="ED31" i="5" s="1"/>
  <c r="EE31" i="5" s="1"/>
  <c r="EF31" i="5" s="1"/>
  <c r="EG31" i="5" s="1"/>
  <c r="EH31" i="5" s="1"/>
  <c r="EI31" i="5" s="1"/>
  <c r="EJ31" i="5" s="1"/>
  <c r="EK31" i="5" s="1"/>
  <c r="EL31" i="5" s="1"/>
  <c r="EM31" i="5" s="1"/>
  <c r="EN31" i="5" s="1"/>
  <c r="EO31" i="5" s="1"/>
  <c r="EP31" i="5" s="1"/>
  <c r="EQ31" i="5" s="1"/>
  <c r="ER31" i="5" s="1"/>
  <c r="ES31" i="5" s="1"/>
  <c r="ET31" i="5" s="1"/>
  <c r="EU31" i="5" s="1"/>
  <c r="EV31" i="5" s="1"/>
  <c r="EW31" i="5" s="1"/>
  <c r="EX31" i="5" s="1"/>
  <c r="EY31" i="5" s="1"/>
  <c r="EZ31" i="5" s="1"/>
  <c r="FA31" i="5" s="1"/>
  <c r="FB31" i="5" s="1"/>
  <c r="FC31" i="5" s="1"/>
  <c r="FD31" i="5" s="1"/>
  <c r="FE31" i="5" s="1"/>
  <c r="FF31" i="5" s="1"/>
  <c r="FG31" i="5" s="1"/>
  <c r="FH31" i="5" s="1"/>
  <c r="FI31" i="5" s="1"/>
  <c r="FJ31" i="5" s="1"/>
  <c r="FK31" i="5" s="1"/>
  <c r="FL31" i="5" s="1"/>
  <c r="FM31" i="5" s="1"/>
  <c r="FN31" i="5" s="1"/>
  <c r="FO31" i="5" s="1"/>
  <c r="FP31" i="5" s="1"/>
  <c r="FQ31" i="5" s="1"/>
  <c r="FR31" i="5" s="1"/>
  <c r="FS31" i="5" s="1"/>
  <c r="FT31" i="5" s="1"/>
  <c r="FU31" i="5" s="1"/>
  <c r="FV31" i="5" s="1"/>
  <c r="FW31" i="5" s="1"/>
  <c r="FX31" i="5" s="1"/>
  <c r="FY31" i="5" s="1"/>
  <c r="FZ31" i="5" s="1"/>
  <c r="GA31" i="5" s="1"/>
  <c r="GB31" i="5" s="1"/>
  <c r="GC31" i="5" s="1"/>
  <c r="GD31" i="5" s="1"/>
  <c r="GE31" i="5" s="1"/>
  <c r="GF31" i="5" s="1"/>
  <c r="GG31" i="5" s="1"/>
  <c r="GH31" i="5" s="1"/>
  <c r="GI31" i="5" s="1"/>
  <c r="GJ31" i="5" s="1"/>
  <c r="GK31" i="5" s="1"/>
  <c r="GL31" i="5" s="1"/>
  <c r="GM31" i="5" s="1"/>
  <c r="GN31" i="5" s="1"/>
  <c r="GO31" i="5" s="1"/>
  <c r="GP31" i="5" s="1"/>
  <c r="GQ31" i="5" s="1"/>
  <c r="GR31" i="5" s="1"/>
  <c r="GS31" i="5" s="1"/>
  <c r="GT31" i="5" s="1"/>
  <c r="GU31" i="5" s="1"/>
  <c r="GV31" i="5" s="1"/>
  <c r="GW31" i="5" s="1"/>
  <c r="GX31" i="5" s="1"/>
  <c r="GY31" i="5" s="1"/>
  <c r="GZ31" i="5" s="1"/>
  <c r="HA31" i="5" s="1"/>
  <c r="HB31" i="5" s="1"/>
  <c r="HC31" i="5" s="1"/>
  <c r="HD31" i="5" s="1"/>
  <c r="HE31" i="5" s="1"/>
  <c r="HF31" i="5" s="1"/>
  <c r="HG31" i="5" s="1"/>
  <c r="HH31" i="5" s="1"/>
  <c r="HI31" i="5" s="1"/>
  <c r="HJ31" i="5" s="1"/>
  <c r="HK31" i="5" s="1"/>
  <c r="HL31" i="5" s="1"/>
  <c r="HM31" i="5" s="1"/>
  <c r="HN31" i="5" s="1"/>
  <c r="HO31" i="5" s="1"/>
  <c r="HP31" i="5" s="1"/>
  <c r="HQ31" i="5" s="1"/>
  <c r="HR31" i="5" s="1"/>
  <c r="HS31" i="5" s="1"/>
  <c r="HT31" i="5" s="1"/>
  <c r="HU31" i="5" s="1"/>
  <c r="HV31" i="5" s="1"/>
  <c r="HW31" i="5" s="1"/>
  <c r="HX31" i="5" s="1"/>
  <c r="HY31" i="5" s="1"/>
  <c r="HZ31" i="5" s="1"/>
  <c r="IA31" i="5" s="1"/>
  <c r="IB31" i="5" s="1"/>
  <c r="IC31" i="5" s="1"/>
  <c r="ID31" i="5" s="1"/>
  <c r="IE31" i="5" s="1"/>
  <c r="IF31" i="5" s="1"/>
  <c r="IG31" i="5" s="1"/>
  <c r="IH31" i="5" s="1"/>
  <c r="II31" i="5" s="1"/>
  <c r="IJ31" i="5" s="1"/>
  <c r="IK31" i="5" s="1"/>
  <c r="IL31" i="5" s="1"/>
  <c r="IM31" i="5" s="1"/>
  <c r="IN31" i="5" s="1"/>
  <c r="IO31" i="5" s="1"/>
  <c r="IP31" i="5" s="1"/>
  <c r="IQ31" i="5" s="1"/>
  <c r="IR31" i="5" s="1"/>
  <c r="IS31" i="5" s="1"/>
  <c r="IT31" i="5" s="1"/>
  <c r="IU31" i="5" s="1"/>
  <c r="F23" i="5"/>
  <c r="G23" i="5" s="1"/>
  <c r="H23" i="5" s="1"/>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AV23" i="5" s="1"/>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CT23" i="5" s="1"/>
  <c r="CU23" i="5" s="1"/>
  <c r="CV23" i="5" s="1"/>
  <c r="CW23" i="5" s="1"/>
  <c r="CX23" i="5" s="1"/>
  <c r="CY23" i="5" s="1"/>
  <c r="CZ23" i="5" s="1"/>
  <c r="DA23" i="5" s="1"/>
  <c r="DB23" i="5" s="1"/>
  <c r="DC23" i="5" s="1"/>
  <c r="DD23" i="5" s="1"/>
  <c r="DE23" i="5" s="1"/>
  <c r="DF23" i="5" s="1"/>
  <c r="DG23" i="5" s="1"/>
  <c r="DH23" i="5" s="1"/>
  <c r="DI23" i="5" s="1"/>
  <c r="DJ23" i="5" s="1"/>
  <c r="DK23" i="5" s="1"/>
  <c r="DL23" i="5" s="1"/>
  <c r="DM23" i="5" s="1"/>
  <c r="DN23" i="5" s="1"/>
  <c r="DO23" i="5" s="1"/>
  <c r="DP23" i="5" s="1"/>
  <c r="DQ23" i="5" s="1"/>
  <c r="DR23" i="5" s="1"/>
  <c r="DS23" i="5" s="1"/>
  <c r="DT23" i="5" s="1"/>
  <c r="DU23" i="5" s="1"/>
  <c r="DV23" i="5" s="1"/>
  <c r="DW23" i="5" s="1"/>
  <c r="DX23" i="5" s="1"/>
  <c r="DY23" i="5" s="1"/>
  <c r="DZ23" i="5" s="1"/>
  <c r="EA23" i="5" s="1"/>
  <c r="EB23" i="5" s="1"/>
  <c r="EC23" i="5" s="1"/>
  <c r="ED23" i="5" s="1"/>
  <c r="EE23" i="5" s="1"/>
  <c r="EF23" i="5" s="1"/>
  <c r="EG23" i="5" s="1"/>
  <c r="EH23" i="5" s="1"/>
  <c r="EI23" i="5" s="1"/>
  <c r="EJ23" i="5" s="1"/>
  <c r="EK23" i="5" s="1"/>
  <c r="EL23" i="5" s="1"/>
  <c r="EM23" i="5" s="1"/>
  <c r="EN23" i="5" s="1"/>
  <c r="EO23" i="5" s="1"/>
  <c r="EP23" i="5" s="1"/>
  <c r="EQ23" i="5" s="1"/>
  <c r="ER23" i="5" s="1"/>
  <c r="ES23" i="5" s="1"/>
  <c r="ET23" i="5" s="1"/>
  <c r="EU23" i="5" s="1"/>
  <c r="EV23" i="5" s="1"/>
  <c r="EW23" i="5" s="1"/>
  <c r="EX23" i="5" s="1"/>
  <c r="EY23" i="5" s="1"/>
  <c r="EZ23" i="5" s="1"/>
  <c r="FA23" i="5" s="1"/>
  <c r="FB23" i="5" s="1"/>
  <c r="FC23" i="5" s="1"/>
  <c r="FD23" i="5" s="1"/>
  <c r="FE23" i="5" s="1"/>
  <c r="FF23" i="5" s="1"/>
  <c r="FG23" i="5" s="1"/>
  <c r="FH23" i="5" s="1"/>
  <c r="FI23" i="5" s="1"/>
  <c r="FJ23" i="5" s="1"/>
  <c r="FK23" i="5" s="1"/>
  <c r="FL23" i="5" s="1"/>
  <c r="FM23" i="5" s="1"/>
  <c r="FN23" i="5" s="1"/>
  <c r="FO23" i="5" s="1"/>
  <c r="FP23" i="5" s="1"/>
  <c r="FQ23" i="5" s="1"/>
  <c r="FR23" i="5" s="1"/>
  <c r="FS23" i="5" s="1"/>
  <c r="FT23" i="5" s="1"/>
  <c r="FU23" i="5" s="1"/>
  <c r="FV23" i="5" s="1"/>
  <c r="FW23" i="5" s="1"/>
  <c r="FX23" i="5" s="1"/>
  <c r="FY23" i="5" s="1"/>
  <c r="FZ23" i="5" s="1"/>
  <c r="GA23" i="5" s="1"/>
  <c r="GB23" i="5" s="1"/>
  <c r="GC23" i="5" s="1"/>
  <c r="GD23" i="5" s="1"/>
  <c r="GE23" i="5" s="1"/>
  <c r="GF23" i="5" s="1"/>
  <c r="GG23" i="5" s="1"/>
  <c r="GH23" i="5" s="1"/>
  <c r="GI23" i="5" s="1"/>
  <c r="GJ23" i="5" s="1"/>
  <c r="GK23" i="5" s="1"/>
  <c r="GL23" i="5" s="1"/>
  <c r="GM23" i="5" s="1"/>
  <c r="GN23" i="5" s="1"/>
  <c r="GO23" i="5" s="1"/>
  <c r="GP23" i="5" s="1"/>
  <c r="GQ23" i="5" s="1"/>
  <c r="GR23" i="5" s="1"/>
  <c r="GS23" i="5" s="1"/>
  <c r="GT23" i="5" s="1"/>
  <c r="GU23" i="5" s="1"/>
  <c r="GV23" i="5" s="1"/>
  <c r="GW23" i="5" s="1"/>
  <c r="GX23" i="5" s="1"/>
  <c r="GY23" i="5" s="1"/>
  <c r="GZ23" i="5" s="1"/>
  <c r="HA23" i="5" s="1"/>
  <c r="HB23" i="5" s="1"/>
  <c r="HC23" i="5" s="1"/>
  <c r="HD23" i="5" s="1"/>
  <c r="HE23" i="5" s="1"/>
  <c r="HF23" i="5" s="1"/>
  <c r="HG23" i="5" s="1"/>
  <c r="HH23" i="5" s="1"/>
  <c r="HI23" i="5" s="1"/>
  <c r="HJ23" i="5" s="1"/>
  <c r="HK23" i="5" s="1"/>
  <c r="HL23" i="5" s="1"/>
  <c r="HM23" i="5" s="1"/>
  <c r="HN23" i="5" s="1"/>
  <c r="HO23" i="5" s="1"/>
  <c r="HP23" i="5" s="1"/>
  <c r="HQ23" i="5" s="1"/>
  <c r="HR23" i="5" s="1"/>
  <c r="HS23" i="5" s="1"/>
  <c r="HT23" i="5" s="1"/>
  <c r="HU23" i="5" s="1"/>
  <c r="HV23" i="5" s="1"/>
  <c r="HW23" i="5" s="1"/>
  <c r="HX23" i="5" s="1"/>
  <c r="HY23" i="5" s="1"/>
  <c r="HZ23" i="5" s="1"/>
  <c r="IA23" i="5" s="1"/>
  <c r="IB23" i="5" s="1"/>
  <c r="IC23" i="5" s="1"/>
  <c r="ID23" i="5" s="1"/>
  <c r="IE23" i="5" s="1"/>
  <c r="IF23" i="5" s="1"/>
  <c r="IG23" i="5" s="1"/>
  <c r="IH23" i="5" s="1"/>
  <c r="II23" i="5" s="1"/>
  <c r="IJ23" i="5" s="1"/>
  <c r="IK23" i="5" s="1"/>
  <c r="IL23" i="5" s="1"/>
  <c r="IM23" i="5" s="1"/>
  <c r="IN23" i="5" s="1"/>
  <c r="IO23" i="5" s="1"/>
  <c r="IP23" i="5" s="1"/>
  <c r="IQ23" i="5" s="1"/>
  <c r="IR23" i="5" s="1"/>
  <c r="IS23" i="5" s="1"/>
  <c r="IT23" i="5" s="1"/>
  <c r="IU23" i="5" s="1"/>
  <c r="F15" i="5"/>
  <c r="G15" i="5" s="1"/>
  <c r="H15" i="5" s="1"/>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CT15" i="5" s="1"/>
  <c r="CU15" i="5" s="1"/>
  <c r="CV15" i="5" s="1"/>
  <c r="CW15" i="5" s="1"/>
  <c r="CX15" i="5" s="1"/>
  <c r="CY15" i="5" s="1"/>
  <c r="CZ15" i="5" s="1"/>
  <c r="DA15" i="5" s="1"/>
  <c r="DB15" i="5" s="1"/>
  <c r="DC15" i="5" s="1"/>
  <c r="DD15" i="5" s="1"/>
  <c r="DE15" i="5" s="1"/>
  <c r="DF15" i="5" s="1"/>
  <c r="DG15" i="5" s="1"/>
  <c r="DH15" i="5" s="1"/>
  <c r="DI15" i="5" s="1"/>
  <c r="DJ15" i="5" s="1"/>
  <c r="DK15" i="5" s="1"/>
  <c r="DL15" i="5" s="1"/>
  <c r="DM15" i="5" s="1"/>
  <c r="DN15" i="5" s="1"/>
  <c r="DO15" i="5" s="1"/>
  <c r="DP15" i="5" s="1"/>
  <c r="DQ15" i="5" s="1"/>
  <c r="DR15" i="5" s="1"/>
  <c r="DS15" i="5" s="1"/>
  <c r="DT15" i="5" s="1"/>
  <c r="DU15" i="5" s="1"/>
  <c r="DV15" i="5" s="1"/>
  <c r="DW15" i="5" s="1"/>
  <c r="DX15" i="5" s="1"/>
  <c r="DY15" i="5" s="1"/>
  <c r="DZ15" i="5" s="1"/>
  <c r="EA15" i="5" s="1"/>
  <c r="EB15" i="5" s="1"/>
  <c r="EC15" i="5" s="1"/>
  <c r="ED15" i="5" s="1"/>
  <c r="EE15" i="5" s="1"/>
  <c r="EF15" i="5" s="1"/>
  <c r="EG15" i="5" s="1"/>
  <c r="EH15" i="5" s="1"/>
  <c r="EI15" i="5" s="1"/>
  <c r="EJ15" i="5" s="1"/>
  <c r="EK15" i="5" s="1"/>
  <c r="EL15" i="5" s="1"/>
  <c r="EM15" i="5" s="1"/>
  <c r="EN15" i="5" s="1"/>
  <c r="EO15" i="5" s="1"/>
  <c r="EP15" i="5" s="1"/>
  <c r="EQ15" i="5" s="1"/>
  <c r="ER15" i="5" s="1"/>
  <c r="ES15" i="5" s="1"/>
  <c r="ET15" i="5" s="1"/>
  <c r="EU15" i="5" s="1"/>
  <c r="EV15" i="5" s="1"/>
  <c r="EW15" i="5" s="1"/>
  <c r="EX15" i="5" s="1"/>
  <c r="EY15" i="5" s="1"/>
  <c r="EZ15" i="5" s="1"/>
  <c r="FA15" i="5" s="1"/>
  <c r="FB15" i="5" s="1"/>
  <c r="FC15" i="5" s="1"/>
  <c r="FD15" i="5" s="1"/>
  <c r="FE15" i="5" s="1"/>
  <c r="FF15" i="5" s="1"/>
  <c r="FG15" i="5" s="1"/>
  <c r="FH15" i="5" s="1"/>
  <c r="FI15" i="5" s="1"/>
  <c r="FJ15" i="5" s="1"/>
  <c r="FK15" i="5" s="1"/>
  <c r="FL15" i="5" s="1"/>
  <c r="FM15" i="5" s="1"/>
  <c r="FN15" i="5" s="1"/>
  <c r="FO15" i="5" s="1"/>
  <c r="FP15" i="5" s="1"/>
  <c r="FQ15" i="5" s="1"/>
  <c r="FR15" i="5" s="1"/>
  <c r="FS15" i="5" s="1"/>
  <c r="FT15" i="5" s="1"/>
  <c r="FU15" i="5" s="1"/>
  <c r="FV15" i="5" s="1"/>
  <c r="FW15" i="5" s="1"/>
  <c r="FX15" i="5" s="1"/>
  <c r="FY15" i="5" s="1"/>
  <c r="FZ15" i="5" s="1"/>
  <c r="GA15" i="5" s="1"/>
  <c r="GB15" i="5" s="1"/>
  <c r="GC15" i="5" s="1"/>
  <c r="GD15" i="5" s="1"/>
  <c r="GE15" i="5" s="1"/>
  <c r="GF15" i="5" s="1"/>
  <c r="GG15" i="5" s="1"/>
  <c r="GH15" i="5" s="1"/>
  <c r="GI15" i="5" s="1"/>
  <c r="GJ15" i="5" s="1"/>
  <c r="GK15" i="5" s="1"/>
  <c r="GL15" i="5" s="1"/>
  <c r="GM15" i="5" s="1"/>
  <c r="GN15" i="5" s="1"/>
  <c r="GO15" i="5" s="1"/>
  <c r="GP15" i="5" s="1"/>
  <c r="GQ15" i="5" s="1"/>
  <c r="GR15" i="5" s="1"/>
  <c r="GS15" i="5" s="1"/>
  <c r="GT15" i="5" s="1"/>
  <c r="GU15" i="5" s="1"/>
  <c r="GV15" i="5" s="1"/>
  <c r="GW15" i="5" s="1"/>
  <c r="GX15" i="5" s="1"/>
  <c r="GY15" i="5" s="1"/>
  <c r="GZ15" i="5" s="1"/>
  <c r="HA15" i="5" s="1"/>
  <c r="HB15" i="5" s="1"/>
  <c r="HC15" i="5" s="1"/>
  <c r="HD15" i="5" s="1"/>
  <c r="HE15" i="5" s="1"/>
  <c r="HF15" i="5" s="1"/>
  <c r="HG15" i="5" s="1"/>
  <c r="HH15" i="5" s="1"/>
  <c r="HI15" i="5" s="1"/>
  <c r="HJ15" i="5" s="1"/>
  <c r="HK15" i="5" s="1"/>
  <c r="HL15" i="5" s="1"/>
  <c r="HM15" i="5" s="1"/>
  <c r="HN15" i="5" s="1"/>
  <c r="HO15" i="5" s="1"/>
  <c r="HP15" i="5" s="1"/>
  <c r="HQ15" i="5" s="1"/>
  <c r="HR15" i="5" s="1"/>
  <c r="HS15" i="5" s="1"/>
  <c r="HT15" i="5" s="1"/>
  <c r="HU15" i="5" s="1"/>
  <c r="HV15" i="5" s="1"/>
  <c r="HW15" i="5" s="1"/>
  <c r="HX15" i="5" s="1"/>
  <c r="HY15" i="5" s="1"/>
  <c r="HZ15" i="5" s="1"/>
  <c r="IA15" i="5" s="1"/>
  <c r="IB15" i="5" s="1"/>
  <c r="IC15" i="5" s="1"/>
  <c r="ID15" i="5" s="1"/>
  <c r="IE15" i="5" s="1"/>
  <c r="IF15" i="5" s="1"/>
  <c r="IG15" i="5" s="1"/>
  <c r="IH15" i="5" s="1"/>
  <c r="II15" i="5" s="1"/>
  <c r="IJ15" i="5" s="1"/>
  <c r="IK15" i="5" s="1"/>
  <c r="IL15" i="5" s="1"/>
  <c r="IM15" i="5" s="1"/>
  <c r="IN15" i="5" s="1"/>
  <c r="IO15" i="5" s="1"/>
  <c r="IP15" i="5" s="1"/>
  <c r="IQ15" i="5" s="1"/>
  <c r="IR15" i="5" s="1"/>
  <c r="IS15" i="5" s="1"/>
  <c r="IT15" i="5" s="1"/>
  <c r="IU15" i="5" s="1"/>
  <c r="F110" i="5"/>
  <c r="G110" i="5" s="1"/>
  <c r="H110" i="5" s="1"/>
  <c r="I110" i="5" s="1"/>
  <c r="J110" i="5" s="1"/>
  <c r="K110" i="5" s="1"/>
  <c r="L110" i="5" s="1"/>
  <c r="M110" i="5" s="1"/>
  <c r="N110" i="5" s="1"/>
  <c r="O110" i="5" s="1"/>
  <c r="P110" i="5" s="1"/>
  <c r="Q110" i="5" s="1"/>
  <c r="R110" i="5" s="1"/>
  <c r="S110" i="5" s="1"/>
  <c r="T110" i="5" s="1"/>
  <c r="U110" i="5" s="1"/>
  <c r="V110" i="5" s="1"/>
  <c r="W110" i="5" s="1"/>
  <c r="X110" i="5" s="1"/>
  <c r="Y110" i="5" s="1"/>
  <c r="Z110" i="5" s="1"/>
  <c r="AA110" i="5" s="1"/>
  <c r="AB110" i="5" s="1"/>
  <c r="AC110" i="5" s="1"/>
  <c r="AD110" i="5" s="1"/>
  <c r="AE110" i="5" s="1"/>
  <c r="AF110" i="5" s="1"/>
  <c r="AG110" i="5" s="1"/>
  <c r="AH110" i="5" s="1"/>
  <c r="AI110" i="5" s="1"/>
  <c r="AJ110" i="5" s="1"/>
  <c r="AK110" i="5" s="1"/>
  <c r="AL110" i="5" s="1"/>
  <c r="AM110" i="5" s="1"/>
  <c r="AN110" i="5" s="1"/>
  <c r="AO110" i="5" s="1"/>
  <c r="AP110" i="5" s="1"/>
  <c r="AQ110" i="5" s="1"/>
  <c r="AR110" i="5" s="1"/>
  <c r="AS110" i="5" s="1"/>
  <c r="AT110" i="5" s="1"/>
  <c r="AU110" i="5" s="1"/>
  <c r="AV110" i="5" s="1"/>
  <c r="AW110" i="5" s="1"/>
  <c r="AX110" i="5" s="1"/>
  <c r="AY110" i="5" s="1"/>
  <c r="AZ110" i="5" s="1"/>
  <c r="BA110" i="5" s="1"/>
  <c r="BB110" i="5" s="1"/>
  <c r="BC110" i="5" s="1"/>
  <c r="BD110" i="5" s="1"/>
  <c r="BE110" i="5" s="1"/>
  <c r="BF110" i="5" s="1"/>
  <c r="BG110" i="5" s="1"/>
  <c r="BH110" i="5" s="1"/>
  <c r="BI110" i="5" s="1"/>
  <c r="BJ110" i="5" s="1"/>
  <c r="BK110" i="5" s="1"/>
  <c r="BL110" i="5" s="1"/>
  <c r="BM110" i="5" s="1"/>
  <c r="BN110" i="5" s="1"/>
  <c r="BO110" i="5" s="1"/>
  <c r="BP110" i="5" s="1"/>
  <c r="BQ110" i="5" s="1"/>
  <c r="BR110" i="5" s="1"/>
  <c r="BS110" i="5" s="1"/>
  <c r="BT110" i="5" s="1"/>
  <c r="BU110" i="5" s="1"/>
  <c r="BV110" i="5" s="1"/>
  <c r="BW110" i="5" s="1"/>
  <c r="BX110" i="5" s="1"/>
  <c r="BY110" i="5" s="1"/>
  <c r="BZ110" i="5" s="1"/>
  <c r="CA110" i="5" s="1"/>
  <c r="CB110" i="5" s="1"/>
  <c r="CC110" i="5" s="1"/>
  <c r="CD110" i="5" s="1"/>
  <c r="CE110" i="5" s="1"/>
  <c r="CF110" i="5" s="1"/>
  <c r="CG110" i="5" s="1"/>
  <c r="CH110" i="5" s="1"/>
  <c r="CI110" i="5" s="1"/>
  <c r="CJ110" i="5" s="1"/>
  <c r="CK110" i="5" s="1"/>
  <c r="CL110" i="5" s="1"/>
  <c r="CM110" i="5" s="1"/>
  <c r="CN110" i="5" s="1"/>
  <c r="CO110" i="5" s="1"/>
  <c r="CP110" i="5" s="1"/>
  <c r="CQ110" i="5" s="1"/>
  <c r="CR110" i="5" s="1"/>
  <c r="CS110" i="5" s="1"/>
  <c r="CT110" i="5" s="1"/>
  <c r="CU110" i="5" s="1"/>
  <c r="CV110" i="5" s="1"/>
  <c r="CW110" i="5" s="1"/>
  <c r="CX110" i="5" s="1"/>
  <c r="CY110" i="5" s="1"/>
  <c r="CZ110" i="5" s="1"/>
  <c r="DA110" i="5" s="1"/>
  <c r="DB110" i="5" s="1"/>
  <c r="DC110" i="5" s="1"/>
  <c r="DD110" i="5" s="1"/>
  <c r="DE110" i="5" s="1"/>
  <c r="DF110" i="5" s="1"/>
  <c r="DG110" i="5" s="1"/>
  <c r="DH110" i="5" s="1"/>
  <c r="DI110" i="5" s="1"/>
  <c r="DJ110" i="5" s="1"/>
  <c r="DK110" i="5" s="1"/>
  <c r="DL110" i="5" s="1"/>
  <c r="DM110" i="5" s="1"/>
  <c r="DN110" i="5" s="1"/>
  <c r="DO110" i="5" s="1"/>
  <c r="DP110" i="5" s="1"/>
  <c r="DQ110" i="5" s="1"/>
  <c r="DR110" i="5" s="1"/>
  <c r="DS110" i="5" s="1"/>
  <c r="DT110" i="5" s="1"/>
  <c r="DU110" i="5" s="1"/>
  <c r="DV110" i="5" s="1"/>
  <c r="DW110" i="5" s="1"/>
  <c r="DX110" i="5" s="1"/>
  <c r="DY110" i="5" s="1"/>
  <c r="DZ110" i="5" s="1"/>
  <c r="EA110" i="5" s="1"/>
  <c r="EB110" i="5" s="1"/>
  <c r="EC110" i="5" s="1"/>
  <c r="ED110" i="5" s="1"/>
  <c r="EE110" i="5" s="1"/>
  <c r="EF110" i="5" s="1"/>
  <c r="EG110" i="5" s="1"/>
  <c r="EH110" i="5" s="1"/>
  <c r="EI110" i="5" s="1"/>
  <c r="EJ110" i="5" s="1"/>
  <c r="EK110" i="5" s="1"/>
  <c r="EL110" i="5" s="1"/>
  <c r="EM110" i="5" s="1"/>
  <c r="EN110" i="5" s="1"/>
  <c r="EO110" i="5" s="1"/>
  <c r="EP110" i="5" s="1"/>
  <c r="EQ110" i="5" s="1"/>
  <c r="ER110" i="5" s="1"/>
  <c r="ES110" i="5" s="1"/>
  <c r="ET110" i="5" s="1"/>
  <c r="EU110" i="5" s="1"/>
  <c r="EV110" i="5" s="1"/>
  <c r="EW110" i="5" s="1"/>
  <c r="EX110" i="5" s="1"/>
  <c r="EY110" i="5" s="1"/>
  <c r="EZ110" i="5" s="1"/>
  <c r="FA110" i="5" s="1"/>
  <c r="FB110" i="5" s="1"/>
  <c r="FC110" i="5" s="1"/>
  <c r="FD110" i="5" s="1"/>
  <c r="FE110" i="5" s="1"/>
  <c r="FF110" i="5" s="1"/>
  <c r="FG110" i="5" s="1"/>
  <c r="FH110" i="5" s="1"/>
  <c r="FI110" i="5" s="1"/>
  <c r="FJ110" i="5" s="1"/>
  <c r="FK110" i="5" s="1"/>
  <c r="FL110" i="5" s="1"/>
  <c r="FM110" i="5" s="1"/>
  <c r="FN110" i="5" s="1"/>
  <c r="FO110" i="5" s="1"/>
  <c r="FP110" i="5" s="1"/>
  <c r="FQ110" i="5" s="1"/>
  <c r="FR110" i="5" s="1"/>
  <c r="FS110" i="5" s="1"/>
  <c r="FT110" i="5" s="1"/>
  <c r="FU110" i="5" s="1"/>
  <c r="FV110" i="5" s="1"/>
  <c r="FW110" i="5" s="1"/>
  <c r="FX110" i="5" s="1"/>
  <c r="FY110" i="5" s="1"/>
  <c r="FZ110" i="5" s="1"/>
  <c r="GA110" i="5" s="1"/>
  <c r="GB110" i="5" s="1"/>
  <c r="GC110" i="5" s="1"/>
  <c r="GD110" i="5" s="1"/>
  <c r="GE110" i="5" s="1"/>
  <c r="GF110" i="5" s="1"/>
  <c r="GG110" i="5" s="1"/>
  <c r="GH110" i="5" s="1"/>
  <c r="GI110" i="5" s="1"/>
  <c r="GJ110" i="5" s="1"/>
  <c r="GK110" i="5" s="1"/>
  <c r="GL110" i="5" s="1"/>
  <c r="GM110" i="5" s="1"/>
  <c r="GN110" i="5" s="1"/>
  <c r="GO110" i="5" s="1"/>
  <c r="GP110" i="5" s="1"/>
  <c r="GQ110" i="5" s="1"/>
  <c r="GR110" i="5" s="1"/>
  <c r="GS110" i="5" s="1"/>
  <c r="GT110" i="5" s="1"/>
  <c r="GU110" i="5" s="1"/>
  <c r="GV110" i="5" s="1"/>
  <c r="GW110" i="5" s="1"/>
  <c r="GX110" i="5" s="1"/>
  <c r="GY110" i="5" s="1"/>
  <c r="GZ110" i="5" s="1"/>
  <c r="HA110" i="5" s="1"/>
  <c r="HB110" i="5" s="1"/>
  <c r="HC110" i="5" s="1"/>
  <c r="HD110" i="5" s="1"/>
  <c r="HE110" i="5" s="1"/>
  <c r="HF110" i="5" s="1"/>
  <c r="HG110" i="5" s="1"/>
  <c r="HH110" i="5" s="1"/>
  <c r="HI110" i="5" s="1"/>
  <c r="HJ110" i="5" s="1"/>
  <c r="HK110" i="5" s="1"/>
  <c r="HL110" i="5" s="1"/>
  <c r="HM110" i="5" s="1"/>
  <c r="HN110" i="5" s="1"/>
  <c r="HO110" i="5" s="1"/>
  <c r="HP110" i="5" s="1"/>
  <c r="HQ110" i="5" s="1"/>
  <c r="HR110" i="5" s="1"/>
  <c r="HS110" i="5" s="1"/>
  <c r="HT110" i="5" s="1"/>
  <c r="HU110" i="5" s="1"/>
  <c r="HV110" i="5" s="1"/>
  <c r="HW110" i="5" s="1"/>
  <c r="HX110" i="5" s="1"/>
  <c r="HY110" i="5" s="1"/>
  <c r="HZ110" i="5" s="1"/>
  <c r="IA110" i="5" s="1"/>
  <c r="IB110" i="5" s="1"/>
  <c r="IC110" i="5" s="1"/>
  <c r="ID110" i="5" s="1"/>
  <c r="IE110" i="5" s="1"/>
  <c r="IF110" i="5" s="1"/>
  <c r="IG110" i="5" s="1"/>
  <c r="IH110" i="5" s="1"/>
  <c r="II110" i="5" s="1"/>
  <c r="IJ110" i="5" s="1"/>
  <c r="IK110" i="5" s="1"/>
  <c r="IL110" i="5" s="1"/>
  <c r="IM110" i="5" s="1"/>
  <c r="IN110" i="5" s="1"/>
  <c r="IO110" i="5" s="1"/>
  <c r="IP110" i="5" s="1"/>
  <c r="IQ110" i="5" s="1"/>
  <c r="IR110" i="5" s="1"/>
  <c r="IS110" i="5" s="1"/>
  <c r="IT110" i="5" s="1"/>
  <c r="IU110" i="5" s="1"/>
  <c r="F102" i="5"/>
  <c r="G102" i="5" s="1"/>
  <c r="H102" i="5" s="1"/>
  <c r="I102" i="5" s="1"/>
  <c r="J102" i="5" s="1"/>
  <c r="K102" i="5" s="1"/>
  <c r="L102" i="5" s="1"/>
  <c r="M102" i="5" s="1"/>
  <c r="N102" i="5" s="1"/>
  <c r="O102" i="5" s="1"/>
  <c r="P102" i="5" s="1"/>
  <c r="Q102" i="5" s="1"/>
  <c r="R102" i="5" s="1"/>
  <c r="S102" i="5" s="1"/>
  <c r="T102" i="5" s="1"/>
  <c r="U102" i="5" s="1"/>
  <c r="V102" i="5" s="1"/>
  <c r="W102" i="5" s="1"/>
  <c r="X102" i="5" s="1"/>
  <c r="Y102" i="5" s="1"/>
  <c r="Z102" i="5" s="1"/>
  <c r="AA102" i="5" s="1"/>
  <c r="AB102" i="5" s="1"/>
  <c r="AC102" i="5" s="1"/>
  <c r="AD102" i="5" s="1"/>
  <c r="AE102" i="5" s="1"/>
  <c r="AF102" i="5" s="1"/>
  <c r="AG102" i="5" s="1"/>
  <c r="AH102" i="5" s="1"/>
  <c r="AI102" i="5" s="1"/>
  <c r="AJ102" i="5" s="1"/>
  <c r="AK102" i="5" s="1"/>
  <c r="AL102" i="5" s="1"/>
  <c r="AM102" i="5" s="1"/>
  <c r="AN102" i="5" s="1"/>
  <c r="AO102" i="5" s="1"/>
  <c r="AP102" i="5" s="1"/>
  <c r="AQ102" i="5" s="1"/>
  <c r="AR102" i="5" s="1"/>
  <c r="AS102" i="5" s="1"/>
  <c r="AT102" i="5" s="1"/>
  <c r="AU102" i="5" s="1"/>
  <c r="AV102" i="5" s="1"/>
  <c r="AW102" i="5" s="1"/>
  <c r="AX102" i="5" s="1"/>
  <c r="AY102" i="5" s="1"/>
  <c r="AZ102" i="5" s="1"/>
  <c r="BA102" i="5" s="1"/>
  <c r="BB102" i="5" s="1"/>
  <c r="BC102" i="5" s="1"/>
  <c r="BD102" i="5" s="1"/>
  <c r="BE102" i="5" s="1"/>
  <c r="BF102" i="5" s="1"/>
  <c r="BG102" i="5" s="1"/>
  <c r="BH102" i="5" s="1"/>
  <c r="BI102" i="5" s="1"/>
  <c r="BJ102" i="5" s="1"/>
  <c r="BK102" i="5" s="1"/>
  <c r="BL102" i="5" s="1"/>
  <c r="BM102" i="5" s="1"/>
  <c r="BN102" i="5" s="1"/>
  <c r="BO102" i="5" s="1"/>
  <c r="BP102" i="5" s="1"/>
  <c r="BQ102" i="5" s="1"/>
  <c r="BR102" i="5" s="1"/>
  <c r="BS102" i="5" s="1"/>
  <c r="BT102" i="5" s="1"/>
  <c r="BU102" i="5" s="1"/>
  <c r="BV102" i="5" s="1"/>
  <c r="BW102" i="5" s="1"/>
  <c r="BX102" i="5" s="1"/>
  <c r="BY102" i="5" s="1"/>
  <c r="BZ102" i="5" s="1"/>
  <c r="CA102" i="5" s="1"/>
  <c r="CB102" i="5" s="1"/>
  <c r="CC102" i="5" s="1"/>
  <c r="CD102" i="5" s="1"/>
  <c r="CE102" i="5" s="1"/>
  <c r="CF102" i="5" s="1"/>
  <c r="CG102" i="5" s="1"/>
  <c r="CH102" i="5" s="1"/>
  <c r="CI102" i="5" s="1"/>
  <c r="CJ102" i="5" s="1"/>
  <c r="CK102" i="5" s="1"/>
  <c r="CL102" i="5" s="1"/>
  <c r="CM102" i="5" s="1"/>
  <c r="CN102" i="5" s="1"/>
  <c r="CO102" i="5" s="1"/>
  <c r="CP102" i="5" s="1"/>
  <c r="CQ102" i="5" s="1"/>
  <c r="CR102" i="5" s="1"/>
  <c r="CS102" i="5" s="1"/>
  <c r="CT102" i="5" s="1"/>
  <c r="CU102" i="5" s="1"/>
  <c r="CV102" i="5" s="1"/>
  <c r="CW102" i="5" s="1"/>
  <c r="CX102" i="5" s="1"/>
  <c r="CY102" i="5" s="1"/>
  <c r="CZ102" i="5" s="1"/>
  <c r="DA102" i="5" s="1"/>
  <c r="DB102" i="5" s="1"/>
  <c r="DC102" i="5" s="1"/>
  <c r="DD102" i="5" s="1"/>
  <c r="DE102" i="5" s="1"/>
  <c r="DF102" i="5" s="1"/>
  <c r="DG102" i="5" s="1"/>
  <c r="DH102" i="5" s="1"/>
  <c r="DI102" i="5" s="1"/>
  <c r="DJ102" i="5" s="1"/>
  <c r="DK102" i="5" s="1"/>
  <c r="DL102" i="5" s="1"/>
  <c r="DM102" i="5" s="1"/>
  <c r="DN102" i="5" s="1"/>
  <c r="DO102" i="5" s="1"/>
  <c r="DP102" i="5" s="1"/>
  <c r="DQ102" i="5" s="1"/>
  <c r="DR102" i="5" s="1"/>
  <c r="DS102" i="5" s="1"/>
  <c r="DT102" i="5" s="1"/>
  <c r="DU102" i="5" s="1"/>
  <c r="DV102" i="5" s="1"/>
  <c r="DW102" i="5" s="1"/>
  <c r="DX102" i="5" s="1"/>
  <c r="DY102" i="5" s="1"/>
  <c r="DZ102" i="5" s="1"/>
  <c r="EA102" i="5" s="1"/>
  <c r="EB102" i="5" s="1"/>
  <c r="EC102" i="5" s="1"/>
  <c r="ED102" i="5" s="1"/>
  <c r="EE102" i="5" s="1"/>
  <c r="EF102" i="5" s="1"/>
  <c r="EG102" i="5" s="1"/>
  <c r="EH102" i="5" s="1"/>
  <c r="EI102" i="5" s="1"/>
  <c r="EJ102" i="5" s="1"/>
  <c r="EK102" i="5" s="1"/>
  <c r="EL102" i="5" s="1"/>
  <c r="EM102" i="5" s="1"/>
  <c r="EN102" i="5" s="1"/>
  <c r="EO102" i="5" s="1"/>
  <c r="EP102" i="5" s="1"/>
  <c r="EQ102" i="5" s="1"/>
  <c r="ER102" i="5" s="1"/>
  <c r="ES102" i="5" s="1"/>
  <c r="ET102" i="5" s="1"/>
  <c r="EU102" i="5" s="1"/>
  <c r="EV102" i="5" s="1"/>
  <c r="EW102" i="5" s="1"/>
  <c r="EX102" i="5" s="1"/>
  <c r="EY102" i="5" s="1"/>
  <c r="EZ102" i="5" s="1"/>
  <c r="FA102" i="5" s="1"/>
  <c r="FB102" i="5" s="1"/>
  <c r="FC102" i="5" s="1"/>
  <c r="FD102" i="5" s="1"/>
  <c r="FE102" i="5" s="1"/>
  <c r="FF102" i="5" s="1"/>
  <c r="FG102" i="5" s="1"/>
  <c r="FH102" i="5" s="1"/>
  <c r="FI102" i="5" s="1"/>
  <c r="FJ102" i="5" s="1"/>
  <c r="FK102" i="5" s="1"/>
  <c r="FL102" i="5" s="1"/>
  <c r="FM102" i="5" s="1"/>
  <c r="FN102" i="5" s="1"/>
  <c r="FO102" i="5" s="1"/>
  <c r="FP102" i="5" s="1"/>
  <c r="FQ102" i="5" s="1"/>
  <c r="FR102" i="5" s="1"/>
  <c r="FS102" i="5" s="1"/>
  <c r="FT102" i="5" s="1"/>
  <c r="FU102" i="5" s="1"/>
  <c r="FV102" i="5" s="1"/>
  <c r="FW102" i="5" s="1"/>
  <c r="FX102" i="5" s="1"/>
  <c r="FY102" i="5" s="1"/>
  <c r="FZ102" i="5" s="1"/>
  <c r="GA102" i="5" s="1"/>
  <c r="GB102" i="5" s="1"/>
  <c r="GC102" i="5" s="1"/>
  <c r="GD102" i="5" s="1"/>
  <c r="GE102" i="5" s="1"/>
  <c r="GF102" i="5" s="1"/>
  <c r="GG102" i="5" s="1"/>
  <c r="GH102" i="5" s="1"/>
  <c r="GI102" i="5" s="1"/>
  <c r="GJ102" i="5" s="1"/>
  <c r="GK102" i="5" s="1"/>
  <c r="GL102" i="5" s="1"/>
  <c r="GM102" i="5" s="1"/>
  <c r="GN102" i="5" s="1"/>
  <c r="GO102" i="5" s="1"/>
  <c r="GP102" i="5" s="1"/>
  <c r="GQ102" i="5" s="1"/>
  <c r="GR102" i="5" s="1"/>
  <c r="GS102" i="5" s="1"/>
  <c r="GT102" i="5" s="1"/>
  <c r="GU102" i="5" s="1"/>
  <c r="GV102" i="5" s="1"/>
  <c r="GW102" i="5" s="1"/>
  <c r="GX102" i="5" s="1"/>
  <c r="GY102" i="5" s="1"/>
  <c r="GZ102" i="5" s="1"/>
  <c r="HA102" i="5" s="1"/>
  <c r="HB102" i="5" s="1"/>
  <c r="HC102" i="5" s="1"/>
  <c r="HD102" i="5" s="1"/>
  <c r="HE102" i="5" s="1"/>
  <c r="HF102" i="5" s="1"/>
  <c r="HG102" i="5" s="1"/>
  <c r="HH102" i="5" s="1"/>
  <c r="HI102" i="5" s="1"/>
  <c r="HJ102" i="5" s="1"/>
  <c r="HK102" i="5" s="1"/>
  <c r="HL102" i="5" s="1"/>
  <c r="HM102" i="5" s="1"/>
  <c r="HN102" i="5" s="1"/>
  <c r="HO102" i="5" s="1"/>
  <c r="HP102" i="5" s="1"/>
  <c r="HQ102" i="5" s="1"/>
  <c r="HR102" i="5" s="1"/>
  <c r="HS102" i="5" s="1"/>
  <c r="HT102" i="5" s="1"/>
  <c r="HU102" i="5" s="1"/>
  <c r="HV102" i="5" s="1"/>
  <c r="HW102" i="5" s="1"/>
  <c r="HX102" i="5" s="1"/>
  <c r="HY102" i="5" s="1"/>
  <c r="HZ102" i="5" s="1"/>
  <c r="IA102" i="5" s="1"/>
  <c r="IB102" i="5" s="1"/>
  <c r="IC102" i="5" s="1"/>
  <c r="ID102" i="5" s="1"/>
  <c r="IE102" i="5" s="1"/>
  <c r="IF102" i="5" s="1"/>
  <c r="IG102" i="5" s="1"/>
  <c r="IH102" i="5" s="1"/>
  <c r="II102" i="5" s="1"/>
  <c r="IJ102" i="5" s="1"/>
  <c r="IK102" i="5" s="1"/>
  <c r="IL102" i="5" s="1"/>
  <c r="IM102" i="5" s="1"/>
  <c r="IN102" i="5" s="1"/>
  <c r="IO102" i="5" s="1"/>
  <c r="IP102" i="5" s="1"/>
  <c r="IQ102" i="5" s="1"/>
  <c r="IR102" i="5" s="1"/>
  <c r="IS102" i="5" s="1"/>
  <c r="IT102" i="5" s="1"/>
  <c r="IU102" i="5" s="1"/>
  <c r="F94" i="5"/>
  <c r="G94" i="5" s="1"/>
  <c r="H94" i="5" s="1"/>
  <c r="I94" i="5" s="1"/>
  <c r="J94" i="5" s="1"/>
  <c r="K94" i="5" s="1"/>
  <c r="L94" i="5" s="1"/>
  <c r="M94" i="5" s="1"/>
  <c r="N94" i="5" s="1"/>
  <c r="O94" i="5" s="1"/>
  <c r="P94" i="5" s="1"/>
  <c r="Q94" i="5" s="1"/>
  <c r="R94" i="5" s="1"/>
  <c r="S94" i="5" s="1"/>
  <c r="T94" i="5" s="1"/>
  <c r="U94" i="5" s="1"/>
  <c r="V94" i="5" s="1"/>
  <c r="W94" i="5" s="1"/>
  <c r="X94" i="5" s="1"/>
  <c r="Y94" i="5" s="1"/>
  <c r="Z94" i="5" s="1"/>
  <c r="AA94" i="5" s="1"/>
  <c r="AB94" i="5" s="1"/>
  <c r="AC94" i="5" s="1"/>
  <c r="AD94" i="5" s="1"/>
  <c r="AE94" i="5" s="1"/>
  <c r="AF94" i="5" s="1"/>
  <c r="AG94" i="5" s="1"/>
  <c r="AH94" i="5" s="1"/>
  <c r="AI94" i="5" s="1"/>
  <c r="AJ94" i="5" s="1"/>
  <c r="AK94" i="5" s="1"/>
  <c r="AL94" i="5" s="1"/>
  <c r="AM94" i="5" s="1"/>
  <c r="AN94" i="5" s="1"/>
  <c r="AO94" i="5" s="1"/>
  <c r="AP94" i="5" s="1"/>
  <c r="AQ94" i="5" s="1"/>
  <c r="AR94" i="5" s="1"/>
  <c r="AS94" i="5" s="1"/>
  <c r="AT94" i="5" s="1"/>
  <c r="AU94" i="5" s="1"/>
  <c r="AV94" i="5" s="1"/>
  <c r="AW94" i="5" s="1"/>
  <c r="AX94" i="5" s="1"/>
  <c r="AY94" i="5" s="1"/>
  <c r="AZ94" i="5" s="1"/>
  <c r="BA94" i="5" s="1"/>
  <c r="BB94" i="5" s="1"/>
  <c r="BC94" i="5" s="1"/>
  <c r="BD94" i="5" s="1"/>
  <c r="BE94" i="5" s="1"/>
  <c r="BF94" i="5" s="1"/>
  <c r="BG94" i="5" s="1"/>
  <c r="BH94" i="5" s="1"/>
  <c r="BI94" i="5" s="1"/>
  <c r="BJ94" i="5" s="1"/>
  <c r="BK94" i="5" s="1"/>
  <c r="BL94" i="5" s="1"/>
  <c r="BM94" i="5" s="1"/>
  <c r="BN94" i="5" s="1"/>
  <c r="BO94" i="5" s="1"/>
  <c r="BP94" i="5" s="1"/>
  <c r="BQ94" i="5" s="1"/>
  <c r="BR94" i="5" s="1"/>
  <c r="BS94" i="5" s="1"/>
  <c r="BT94" i="5" s="1"/>
  <c r="BU94" i="5" s="1"/>
  <c r="BV94" i="5" s="1"/>
  <c r="BW94" i="5" s="1"/>
  <c r="BX94" i="5" s="1"/>
  <c r="BY94" i="5" s="1"/>
  <c r="BZ94" i="5" s="1"/>
  <c r="CA94" i="5" s="1"/>
  <c r="CB94" i="5" s="1"/>
  <c r="CC94" i="5" s="1"/>
  <c r="CD94" i="5" s="1"/>
  <c r="CE94" i="5" s="1"/>
  <c r="CF94" i="5" s="1"/>
  <c r="CG94" i="5" s="1"/>
  <c r="CH94" i="5" s="1"/>
  <c r="CI94" i="5" s="1"/>
  <c r="CJ94" i="5" s="1"/>
  <c r="CK94" i="5" s="1"/>
  <c r="CL94" i="5" s="1"/>
  <c r="CM94" i="5" s="1"/>
  <c r="CN94" i="5" s="1"/>
  <c r="CO94" i="5" s="1"/>
  <c r="CP94" i="5" s="1"/>
  <c r="CQ94" i="5" s="1"/>
  <c r="CR94" i="5" s="1"/>
  <c r="CS94" i="5" s="1"/>
  <c r="CT94" i="5" s="1"/>
  <c r="CU94" i="5" s="1"/>
  <c r="CV94" i="5" s="1"/>
  <c r="CW94" i="5" s="1"/>
  <c r="CX94" i="5" s="1"/>
  <c r="CY94" i="5" s="1"/>
  <c r="CZ94" i="5" s="1"/>
  <c r="DA94" i="5" s="1"/>
  <c r="DB94" i="5" s="1"/>
  <c r="DC94" i="5" s="1"/>
  <c r="DD94" i="5" s="1"/>
  <c r="DE94" i="5" s="1"/>
  <c r="DF94" i="5" s="1"/>
  <c r="DG94" i="5" s="1"/>
  <c r="DH94" i="5" s="1"/>
  <c r="DI94" i="5" s="1"/>
  <c r="DJ94" i="5" s="1"/>
  <c r="DK94" i="5" s="1"/>
  <c r="DL94" i="5" s="1"/>
  <c r="DM94" i="5" s="1"/>
  <c r="DN94" i="5" s="1"/>
  <c r="DO94" i="5" s="1"/>
  <c r="DP94" i="5" s="1"/>
  <c r="DQ94" i="5" s="1"/>
  <c r="DR94" i="5" s="1"/>
  <c r="DS94" i="5" s="1"/>
  <c r="DT94" i="5" s="1"/>
  <c r="DU94" i="5" s="1"/>
  <c r="DV94" i="5" s="1"/>
  <c r="DW94" i="5" s="1"/>
  <c r="DX94" i="5" s="1"/>
  <c r="DY94" i="5" s="1"/>
  <c r="DZ94" i="5" s="1"/>
  <c r="EA94" i="5" s="1"/>
  <c r="EB94" i="5" s="1"/>
  <c r="EC94" i="5" s="1"/>
  <c r="ED94" i="5" s="1"/>
  <c r="EE94" i="5" s="1"/>
  <c r="EF94" i="5" s="1"/>
  <c r="EG94" i="5" s="1"/>
  <c r="EH94" i="5" s="1"/>
  <c r="EI94" i="5" s="1"/>
  <c r="EJ94" i="5" s="1"/>
  <c r="EK94" i="5" s="1"/>
  <c r="EL94" i="5" s="1"/>
  <c r="EM94" i="5" s="1"/>
  <c r="EN94" i="5" s="1"/>
  <c r="EO94" i="5" s="1"/>
  <c r="EP94" i="5" s="1"/>
  <c r="EQ94" i="5" s="1"/>
  <c r="ER94" i="5" s="1"/>
  <c r="ES94" i="5" s="1"/>
  <c r="ET94" i="5" s="1"/>
  <c r="EU94" i="5" s="1"/>
  <c r="EV94" i="5" s="1"/>
  <c r="EW94" i="5" s="1"/>
  <c r="EX94" i="5" s="1"/>
  <c r="EY94" i="5" s="1"/>
  <c r="EZ94" i="5" s="1"/>
  <c r="FA94" i="5" s="1"/>
  <c r="FB94" i="5" s="1"/>
  <c r="FC94" i="5" s="1"/>
  <c r="FD94" i="5" s="1"/>
  <c r="FE94" i="5" s="1"/>
  <c r="FF94" i="5" s="1"/>
  <c r="FG94" i="5" s="1"/>
  <c r="FH94" i="5" s="1"/>
  <c r="FI94" i="5" s="1"/>
  <c r="FJ94" i="5" s="1"/>
  <c r="FK94" i="5" s="1"/>
  <c r="FL94" i="5" s="1"/>
  <c r="FM94" i="5" s="1"/>
  <c r="FN94" i="5" s="1"/>
  <c r="FO94" i="5" s="1"/>
  <c r="FP94" i="5" s="1"/>
  <c r="FQ94" i="5" s="1"/>
  <c r="FR94" i="5" s="1"/>
  <c r="FS94" i="5" s="1"/>
  <c r="FT94" i="5" s="1"/>
  <c r="FU94" i="5" s="1"/>
  <c r="FV94" i="5" s="1"/>
  <c r="FW94" i="5" s="1"/>
  <c r="FX94" i="5" s="1"/>
  <c r="FY94" i="5" s="1"/>
  <c r="FZ94" i="5" s="1"/>
  <c r="GA94" i="5" s="1"/>
  <c r="GB94" i="5" s="1"/>
  <c r="GC94" i="5" s="1"/>
  <c r="GD94" i="5" s="1"/>
  <c r="GE94" i="5" s="1"/>
  <c r="GF94" i="5" s="1"/>
  <c r="GG94" i="5" s="1"/>
  <c r="GH94" i="5" s="1"/>
  <c r="GI94" i="5" s="1"/>
  <c r="GJ94" i="5" s="1"/>
  <c r="GK94" i="5" s="1"/>
  <c r="GL94" i="5" s="1"/>
  <c r="GM94" i="5" s="1"/>
  <c r="GN94" i="5" s="1"/>
  <c r="GO94" i="5" s="1"/>
  <c r="GP94" i="5" s="1"/>
  <c r="GQ94" i="5" s="1"/>
  <c r="GR94" i="5" s="1"/>
  <c r="GS94" i="5" s="1"/>
  <c r="GT94" i="5" s="1"/>
  <c r="GU94" i="5" s="1"/>
  <c r="GV94" i="5" s="1"/>
  <c r="GW94" i="5" s="1"/>
  <c r="GX94" i="5" s="1"/>
  <c r="GY94" i="5" s="1"/>
  <c r="GZ94" i="5" s="1"/>
  <c r="HA94" i="5" s="1"/>
  <c r="HB94" i="5" s="1"/>
  <c r="HC94" i="5" s="1"/>
  <c r="HD94" i="5" s="1"/>
  <c r="HE94" i="5" s="1"/>
  <c r="HF94" i="5" s="1"/>
  <c r="HG94" i="5" s="1"/>
  <c r="HH94" i="5" s="1"/>
  <c r="HI94" i="5" s="1"/>
  <c r="HJ94" i="5" s="1"/>
  <c r="HK94" i="5" s="1"/>
  <c r="HL94" i="5" s="1"/>
  <c r="HM94" i="5" s="1"/>
  <c r="HN94" i="5" s="1"/>
  <c r="HO94" i="5" s="1"/>
  <c r="HP94" i="5" s="1"/>
  <c r="HQ94" i="5" s="1"/>
  <c r="HR94" i="5" s="1"/>
  <c r="HS94" i="5" s="1"/>
  <c r="HT94" i="5" s="1"/>
  <c r="HU94" i="5" s="1"/>
  <c r="HV94" i="5" s="1"/>
  <c r="HW94" i="5" s="1"/>
  <c r="HX94" i="5" s="1"/>
  <c r="HY94" i="5" s="1"/>
  <c r="HZ94" i="5" s="1"/>
  <c r="IA94" i="5" s="1"/>
  <c r="IB94" i="5" s="1"/>
  <c r="IC94" i="5" s="1"/>
  <c r="ID94" i="5" s="1"/>
  <c r="IE94" i="5" s="1"/>
  <c r="IF94" i="5" s="1"/>
  <c r="IG94" i="5" s="1"/>
  <c r="IH94" i="5" s="1"/>
  <c r="II94" i="5" s="1"/>
  <c r="IJ94" i="5" s="1"/>
  <c r="IK94" i="5" s="1"/>
  <c r="IL94" i="5" s="1"/>
  <c r="IM94" i="5" s="1"/>
  <c r="IN94" i="5" s="1"/>
  <c r="IO94" i="5" s="1"/>
  <c r="IP94" i="5" s="1"/>
  <c r="IQ94" i="5" s="1"/>
  <c r="IR94" i="5" s="1"/>
  <c r="IS94" i="5" s="1"/>
  <c r="IT94" i="5" s="1"/>
  <c r="IU94" i="5" s="1"/>
  <c r="F86" i="5"/>
  <c r="G86" i="5" s="1"/>
  <c r="H86" i="5" s="1"/>
  <c r="I86" i="5" s="1"/>
  <c r="J86" i="5" s="1"/>
  <c r="K86" i="5" s="1"/>
  <c r="L86" i="5" s="1"/>
  <c r="M86" i="5" s="1"/>
  <c r="N86" i="5" s="1"/>
  <c r="O86" i="5" s="1"/>
  <c r="P86" i="5" s="1"/>
  <c r="Q86" i="5" s="1"/>
  <c r="R86" i="5" s="1"/>
  <c r="S86" i="5" s="1"/>
  <c r="T86" i="5" s="1"/>
  <c r="U86" i="5" s="1"/>
  <c r="V86" i="5" s="1"/>
  <c r="W86" i="5" s="1"/>
  <c r="X86" i="5" s="1"/>
  <c r="Y86" i="5" s="1"/>
  <c r="Z86" i="5" s="1"/>
  <c r="AA86" i="5" s="1"/>
  <c r="AB86" i="5" s="1"/>
  <c r="AC86" i="5" s="1"/>
  <c r="AD86" i="5" s="1"/>
  <c r="AE86" i="5" s="1"/>
  <c r="AF86" i="5" s="1"/>
  <c r="AG86" i="5" s="1"/>
  <c r="AH86" i="5" s="1"/>
  <c r="AI86" i="5" s="1"/>
  <c r="AJ86" i="5" s="1"/>
  <c r="AK86" i="5" s="1"/>
  <c r="AL86" i="5" s="1"/>
  <c r="AM86" i="5" s="1"/>
  <c r="AN86" i="5" s="1"/>
  <c r="AO86" i="5" s="1"/>
  <c r="AP86" i="5" s="1"/>
  <c r="AQ86" i="5" s="1"/>
  <c r="AR86" i="5" s="1"/>
  <c r="AS86" i="5" s="1"/>
  <c r="AT86" i="5" s="1"/>
  <c r="AU86" i="5" s="1"/>
  <c r="AV86" i="5" s="1"/>
  <c r="AW86" i="5" s="1"/>
  <c r="AX86" i="5" s="1"/>
  <c r="AY86" i="5" s="1"/>
  <c r="AZ86" i="5" s="1"/>
  <c r="BA86" i="5" s="1"/>
  <c r="BB86" i="5" s="1"/>
  <c r="BC86" i="5" s="1"/>
  <c r="BD86" i="5" s="1"/>
  <c r="BE86" i="5" s="1"/>
  <c r="BF86" i="5" s="1"/>
  <c r="BG86" i="5" s="1"/>
  <c r="BH86" i="5" s="1"/>
  <c r="BI86" i="5" s="1"/>
  <c r="BJ86" i="5" s="1"/>
  <c r="BK86" i="5" s="1"/>
  <c r="BL86" i="5" s="1"/>
  <c r="BM86" i="5" s="1"/>
  <c r="BN86" i="5" s="1"/>
  <c r="BO86" i="5" s="1"/>
  <c r="BP86" i="5" s="1"/>
  <c r="BQ86" i="5" s="1"/>
  <c r="BR86" i="5" s="1"/>
  <c r="BS86" i="5" s="1"/>
  <c r="BT86" i="5" s="1"/>
  <c r="BU86" i="5" s="1"/>
  <c r="BV86" i="5" s="1"/>
  <c r="BW86" i="5" s="1"/>
  <c r="BX86" i="5" s="1"/>
  <c r="BY86" i="5" s="1"/>
  <c r="BZ86" i="5" s="1"/>
  <c r="CA86" i="5" s="1"/>
  <c r="CB86" i="5" s="1"/>
  <c r="CC86" i="5" s="1"/>
  <c r="CD86" i="5" s="1"/>
  <c r="CE86" i="5" s="1"/>
  <c r="CF86" i="5" s="1"/>
  <c r="CG86" i="5" s="1"/>
  <c r="CH86" i="5" s="1"/>
  <c r="CI86" i="5" s="1"/>
  <c r="CJ86" i="5" s="1"/>
  <c r="CK86" i="5" s="1"/>
  <c r="CL86" i="5" s="1"/>
  <c r="CM86" i="5" s="1"/>
  <c r="CN86" i="5" s="1"/>
  <c r="CO86" i="5" s="1"/>
  <c r="CP86" i="5" s="1"/>
  <c r="CQ86" i="5" s="1"/>
  <c r="CR86" i="5" s="1"/>
  <c r="CS86" i="5" s="1"/>
  <c r="CT86" i="5" s="1"/>
  <c r="CU86" i="5" s="1"/>
  <c r="CV86" i="5" s="1"/>
  <c r="CW86" i="5" s="1"/>
  <c r="CX86" i="5" s="1"/>
  <c r="CY86" i="5" s="1"/>
  <c r="CZ86" i="5" s="1"/>
  <c r="DA86" i="5" s="1"/>
  <c r="DB86" i="5" s="1"/>
  <c r="DC86" i="5" s="1"/>
  <c r="DD86" i="5" s="1"/>
  <c r="DE86" i="5" s="1"/>
  <c r="DF86" i="5" s="1"/>
  <c r="DG86" i="5" s="1"/>
  <c r="DH86" i="5" s="1"/>
  <c r="DI86" i="5" s="1"/>
  <c r="DJ86" i="5" s="1"/>
  <c r="DK86" i="5" s="1"/>
  <c r="DL86" i="5" s="1"/>
  <c r="DM86" i="5" s="1"/>
  <c r="DN86" i="5" s="1"/>
  <c r="DO86" i="5" s="1"/>
  <c r="DP86" i="5" s="1"/>
  <c r="DQ86" i="5" s="1"/>
  <c r="DR86" i="5" s="1"/>
  <c r="DS86" i="5" s="1"/>
  <c r="DT86" i="5" s="1"/>
  <c r="DU86" i="5" s="1"/>
  <c r="DV86" i="5" s="1"/>
  <c r="DW86" i="5" s="1"/>
  <c r="DX86" i="5" s="1"/>
  <c r="DY86" i="5" s="1"/>
  <c r="DZ86" i="5" s="1"/>
  <c r="EA86" i="5" s="1"/>
  <c r="EB86" i="5" s="1"/>
  <c r="EC86" i="5" s="1"/>
  <c r="ED86" i="5" s="1"/>
  <c r="EE86" i="5" s="1"/>
  <c r="EF86" i="5" s="1"/>
  <c r="EG86" i="5" s="1"/>
  <c r="EH86" i="5" s="1"/>
  <c r="EI86" i="5" s="1"/>
  <c r="EJ86" i="5" s="1"/>
  <c r="EK86" i="5" s="1"/>
  <c r="EL86" i="5" s="1"/>
  <c r="EM86" i="5" s="1"/>
  <c r="EN86" i="5" s="1"/>
  <c r="EO86" i="5" s="1"/>
  <c r="EP86" i="5" s="1"/>
  <c r="EQ86" i="5" s="1"/>
  <c r="ER86" i="5" s="1"/>
  <c r="ES86" i="5" s="1"/>
  <c r="ET86" i="5" s="1"/>
  <c r="EU86" i="5" s="1"/>
  <c r="EV86" i="5" s="1"/>
  <c r="EW86" i="5" s="1"/>
  <c r="EX86" i="5" s="1"/>
  <c r="EY86" i="5" s="1"/>
  <c r="EZ86" i="5" s="1"/>
  <c r="FA86" i="5" s="1"/>
  <c r="FB86" i="5" s="1"/>
  <c r="FC86" i="5" s="1"/>
  <c r="FD86" i="5" s="1"/>
  <c r="FE86" i="5" s="1"/>
  <c r="FF86" i="5" s="1"/>
  <c r="FG86" i="5" s="1"/>
  <c r="FH86" i="5" s="1"/>
  <c r="FI86" i="5" s="1"/>
  <c r="FJ86" i="5" s="1"/>
  <c r="FK86" i="5" s="1"/>
  <c r="FL86" i="5" s="1"/>
  <c r="FM86" i="5" s="1"/>
  <c r="FN86" i="5" s="1"/>
  <c r="FO86" i="5" s="1"/>
  <c r="FP86" i="5" s="1"/>
  <c r="FQ86" i="5" s="1"/>
  <c r="FR86" i="5" s="1"/>
  <c r="FS86" i="5" s="1"/>
  <c r="FT86" i="5" s="1"/>
  <c r="FU86" i="5" s="1"/>
  <c r="FV86" i="5" s="1"/>
  <c r="FW86" i="5" s="1"/>
  <c r="FX86" i="5" s="1"/>
  <c r="FY86" i="5" s="1"/>
  <c r="FZ86" i="5" s="1"/>
  <c r="GA86" i="5" s="1"/>
  <c r="GB86" i="5" s="1"/>
  <c r="GC86" i="5" s="1"/>
  <c r="GD86" i="5" s="1"/>
  <c r="GE86" i="5" s="1"/>
  <c r="GF86" i="5" s="1"/>
  <c r="GG86" i="5" s="1"/>
  <c r="GH86" i="5" s="1"/>
  <c r="GI86" i="5" s="1"/>
  <c r="GJ86" i="5" s="1"/>
  <c r="GK86" i="5" s="1"/>
  <c r="GL86" i="5" s="1"/>
  <c r="GM86" i="5" s="1"/>
  <c r="GN86" i="5" s="1"/>
  <c r="GO86" i="5" s="1"/>
  <c r="GP86" i="5" s="1"/>
  <c r="GQ86" i="5" s="1"/>
  <c r="GR86" i="5" s="1"/>
  <c r="GS86" i="5" s="1"/>
  <c r="GT86" i="5" s="1"/>
  <c r="GU86" i="5" s="1"/>
  <c r="GV86" i="5" s="1"/>
  <c r="GW86" i="5" s="1"/>
  <c r="GX86" i="5" s="1"/>
  <c r="GY86" i="5" s="1"/>
  <c r="GZ86" i="5" s="1"/>
  <c r="HA86" i="5" s="1"/>
  <c r="HB86" i="5" s="1"/>
  <c r="HC86" i="5" s="1"/>
  <c r="HD86" i="5" s="1"/>
  <c r="HE86" i="5" s="1"/>
  <c r="HF86" i="5" s="1"/>
  <c r="HG86" i="5" s="1"/>
  <c r="HH86" i="5" s="1"/>
  <c r="HI86" i="5" s="1"/>
  <c r="HJ86" i="5" s="1"/>
  <c r="HK86" i="5" s="1"/>
  <c r="HL86" i="5" s="1"/>
  <c r="HM86" i="5" s="1"/>
  <c r="HN86" i="5" s="1"/>
  <c r="HO86" i="5" s="1"/>
  <c r="HP86" i="5" s="1"/>
  <c r="HQ86" i="5" s="1"/>
  <c r="HR86" i="5" s="1"/>
  <c r="HS86" i="5" s="1"/>
  <c r="HT86" i="5" s="1"/>
  <c r="HU86" i="5" s="1"/>
  <c r="HV86" i="5" s="1"/>
  <c r="HW86" i="5" s="1"/>
  <c r="HX86" i="5" s="1"/>
  <c r="HY86" i="5" s="1"/>
  <c r="HZ86" i="5" s="1"/>
  <c r="IA86" i="5" s="1"/>
  <c r="IB86" i="5" s="1"/>
  <c r="IC86" i="5" s="1"/>
  <c r="ID86" i="5" s="1"/>
  <c r="IE86" i="5" s="1"/>
  <c r="IF86" i="5" s="1"/>
  <c r="IG86" i="5" s="1"/>
  <c r="IH86" i="5" s="1"/>
  <c r="II86" i="5" s="1"/>
  <c r="IJ86" i="5" s="1"/>
  <c r="IK86" i="5" s="1"/>
  <c r="IL86" i="5" s="1"/>
  <c r="IM86" i="5" s="1"/>
  <c r="IN86" i="5" s="1"/>
  <c r="IO86" i="5" s="1"/>
  <c r="IP86" i="5" s="1"/>
  <c r="IQ86" i="5" s="1"/>
  <c r="IR86" i="5" s="1"/>
  <c r="IS86" i="5" s="1"/>
  <c r="IT86" i="5" s="1"/>
  <c r="IU86" i="5" s="1"/>
  <c r="F78" i="5"/>
  <c r="G78" i="5" s="1"/>
  <c r="H78" i="5" s="1"/>
  <c r="I78" i="5" s="1"/>
  <c r="J78" i="5" s="1"/>
  <c r="K78" i="5" s="1"/>
  <c r="L78" i="5" s="1"/>
  <c r="M78" i="5" s="1"/>
  <c r="N78" i="5" s="1"/>
  <c r="O78" i="5" s="1"/>
  <c r="P78" i="5" s="1"/>
  <c r="Q78" i="5" s="1"/>
  <c r="R78" i="5" s="1"/>
  <c r="S78" i="5" s="1"/>
  <c r="T78" i="5" s="1"/>
  <c r="U78" i="5" s="1"/>
  <c r="V78" i="5" s="1"/>
  <c r="W78" i="5" s="1"/>
  <c r="X78" i="5" s="1"/>
  <c r="Y78" i="5" s="1"/>
  <c r="Z78" i="5" s="1"/>
  <c r="AA78" i="5" s="1"/>
  <c r="AB78" i="5" s="1"/>
  <c r="AC78" i="5" s="1"/>
  <c r="AD78" i="5" s="1"/>
  <c r="AE78" i="5" s="1"/>
  <c r="AF78" i="5" s="1"/>
  <c r="AG78" i="5" s="1"/>
  <c r="AH78" i="5" s="1"/>
  <c r="AI78" i="5" s="1"/>
  <c r="AJ78" i="5" s="1"/>
  <c r="AK78" i="5" s="1"/>
  <c r="AL78" i="5" s="1"/>
  <c r="AM78" i="5" s="1"/>
  <c r="AN78" i="5" s="1"/>
  <c r="AO78" i="5" s="1"/>
  <c r="AP78" i="5" s="1"/>
  <c r="AQ78" i="5" s="1"/>
  <c r="AR78" i="5" s="1"/>
  <c r="AS78" i="5" s="1"/>
  <c r="AT78" i="5" s="1"/>
  <c r="AU78" i="5" s="1"/>
  <c r="AV78" i="5" s="1"/>
  <c r="AW78" i="5" s="1"/>
  <c r="AX78" i="5" s="1"/>
  <c r="AY78" i="5" s="1"/>
  <c r="AZ78" i="5" s="1"/>
  <c r="BA78" i="5" s="1"/>
  <c r="BB78" i="5" s="1"/>
  <c r="BC78" i="5" s="1"/>
  <c r="BD78" i="5" s="1"/>
  <c r="BE78" i="5" s="1"/>
  <c r="BF78" i="5" s="1"/>
  <c r="BG78" i="5" s="1"/>
  <c r="BH78" i="5" s="1"/>
  <c r="BI78" i="5" s="1"/>
  <c r="BJ78" i="5" s="1"/>
  <c r="BK78" i="5" s="1"/>
  <c r="BL78" i="5" s="1"/>
  <c r="BM78" i="5" s="1"/>
  <c r="BN78" i="5" s="1"/>
  <c r="BO78" i="5" s="1"/>
  <c r="BP78" i="5" s="1"/>
  <c r="BQ78" i="5" s="1"/>
  <c r="BR78" i="5" s="1"/>
  <c r="BS78" i="5" s="1"/>
  <c r="BT78" i="5" s="1"/>
  <c r="BU78" i="5" s="1"/>
  <c r="BV78" i="5" s="1"/>
  <c r="BW78" i="5" s="1"/>
  <c r="BX78" i="5" s="1"/>
  <c r="BY78" i="5" s="1"/>
  <c r="BZ78" i="5" s="1"/>
  <c r="CA78" i="5" s="1"/>
  <c r="CB78" i="5" s="1"/>
  <c r="CC78" i="5" s="1"/>
  <c r="CD78" i="5" s="1"/>
  <c r="CE78" i="5" s="1"/>
  <c r="CF78" i="5" s="1"/>
  <c r="CG78" i="5" s="1"/>
  <c r="CH78" i="5" s="1"/>
  <c r="CI78" i="5" s="1"/>
  <c r="CJ78" i="5" s="1"/>
  <c r="CK78" i="5" s="1"/>
  <c r="CL78" i="5" s="1"/>
  <c r="CM78" i="5" s="1"/>
  <c r="CN78" i="5" s="1"/>
  <c r="CO78" i="5" s="1"/>
  <c r="CP78" i="5" s="1"/>
  <c r="CQ78" i="5" s="1"/>
  <c r="CR78" i="5" s="1"/>
  <c r="CS78" i="5" s="1"/>
  <c r="CT78" i="5" s="1"/>
  <c r="CU78" i="5" s="1"/>
  <c r="CV78" i="5" s="1"/>
  <c r="CW78" i="5" s="1"/>
  <c r="CX78" i="5" s="1"/>
  <c r="CY78" i="5" s="1"/>
  <c r="CZ78" i="5" s="1"/>
  <c r="DA78" i="5" s="1"/>
  <c r="DB78" i="5" s="1"/>
  <c r="DC78" i="5" s="1"/>
  <c r="DD78" i="5" s="1"/>
  <c r="DE78" i="5" s="1"/>
  <c r="DF78" i="5" s="1"/>
  <c r="DG78" i="5" s="1"/>
  <c r="DH78" i="5" s="1"/>
  <c r="DI78" i="5" s="1"/>
  <c r="DJ78" i="5" s="1"/>
  <c r="DK78" i="5" s="1"/>
  <c r="DL78" i="5" s="1"/>
  <c r="DM78" i="5" s="1"/>
  <c r="DN78" i="5" s="1"/>
  <c r="DO78" i="5" s="1"/>
  <c r="DP78" i="5" s="1"/>
  <c r="DQ78" i="5" s="1"/>
  <c r="DR78" i="5" s="1"/>
  <c r="DS78" i="5" s="1"/>
  <c r="DT78" i="5" s="1"/>
  <c r="DU78" i="5" s="1"/>
  <c r="DV78" i="5" s="1"/>
  <c r="DW78" i="5" s="1"/>
  <c r="DX78" i="5" s="1"/>
  <c r="DY78" i="5" s="1"/>
  <c r="DZ78" i="5" s="1"/>
  <c r="EA78" i="5" s="1"/>
  <c r="EB78" i="5" s="1"/>
  <c r="EC78" i="5" s="1"/>
  <c r="ED78" i="5" s="1"/>
  <c r="EE78" i="5" s="1"/>
  <c r="EF78" i="5" s="1"/>
  <c r="EG78" i="5" s="1"/>
  <c r="EH78" i="5" s="1"/>
  <c r="EI78" i="5" s="1"/>
  <c r="EJ78" i="5" s="1"/>
  <c r="EK78" i="5" s="1"/>
  <c r="EL78" i="5" s="1"/>
  <c r="EM78" i="5" s="1"/>
  <c r="EN78" i="5" s="1"/>
  <c r="EO78" i="5" s="1"/>
  <c r="EP78" i="5" s="1"/>
  <c r="EQ78" i="5" s="1"/>
  <c r="ER78" i="5" s="1"/>
  <c r="ES78" i="5" s="1"/>
  <c r="ET78" i="5" s="1"/>
  <c r="EU78" i="5" s="1"/>
  <c r="EV78" i="5" s="1"/>
  <c r="EW78" i="5" s="1"/>
  <c r="EX78" i="5" s="1"/>
  <c r="EY78" i="5" s="1"/>
  <c r="EZ78" i="5" s="1"/>
  <c r="FA78" i="5" s="1"/>
  <c r="FB78" i="5" s="1"/>
  <c r="FC78" i="5" s="1"/>
  <c r="FD78" i="5" s="1"/>
  <c r="FE78" i="5" s="1"/>
  <c r="FF78" i="5" s="1"/>
  <c r="FG78" i="5" s="1"/>
  <c r="FH78" i="5" s="1"/>
  <c r="FI78" i="5" s="1"/>
  <c r="FJ78" i="5" s="1"/>
  <c r="FK78" i="5" s="1"/>
  <c r="FL78" i="5" s="1"/>
  <c r="FM78" i="5" s="1"/>
  <c r="FN78" i="5" s="1"/>
  <c r="FO78" i="5" s="1"/>
  <c r="FP78" i="5" s="1"/>
  <c r="FQ78" i="5" s="1"/>
  <c r="FR78" i="5" s="1"/>
  <c r="FS78" i="5" s="1"/>
  <c r="FT78" i="5" s="1"/>
  <c r="FU78" i="5" s="1"/>
  <c r="FV78" i="5" s="1"/>
  <c r="FW78" i="5" s="1"/>
  <c r="FX78" i="5" s="1"/>
  <c r="FY78" i="5" s="1"/>
  <c r="FZ78" i="5" s="1"/>
  <c r="GA78" i="5" s="1"/>
  <c r="GB78" i="5" s="1"/>
  <c r="GC78" i="5" s="1"/>
  <c r="GD78" i="5" s="1"/>
  <c r="GE78" i="5" s="1"/>
  <c r="GF78" i="5" s="1"/>
  <c r="GG78" i="5" s="1"/>
  <c r="GH78" i="5" s="1"/>
  <c r="GI78" i="5" s="1"/>
  <c r="GJ78" i="5" s="1"/>
  <c r="GK78" i="5" s="1"/>
  <c r="GL78" i="5" s="1"/>
  <c r="GM78" i="5" s="1"/>
  <c r="GN78" i="5" s="1"/>
  <c r="GO78" i="5" s="1"/>
  <c r="GP78" i="5" s="1"/>
  <c r="GQ78" i="5" s="1"/>
  <c r="GR78" i="5" s="1"/>
  <c r="GS78" i="5" s="1"/>
  <c r="GT78" i="5" s="1"/>
  <c r="GU78" i="5" s="1"/>
  <c r="GV78" i="5" s="1"/>
  <c r="GW78" i="5" s="1"/>
  <c r="GX78" i="5" s="1"/>
  <c r="GY78" i="5" s="1"/>
  <c r="GZ78" i="5" s="1"/>
  <c r="HA78" i="5" s="1"/>
  <c r="HB78" i="5" s="1"/>
  <c r="HC78" i="5" s="1"/>
  <c r="HD78" i="5" s="1"/>
  <c r="HE78" i="5" s="1"/>
  <c r="HF78" i="5" s="1"/>
  <c r="HG78" i="5" s="1"/>
  <c r="HH78" i="5" s="1"/>
  <c r="HI78" i="5" s="1"/>
  <c r="HJ78" i="5" s="1"/>
  <c r="HK78" i="5" s="1"/>
  <c r="HL78" i="5" s="1"/>
  <c r="HM78" i="5" s="1"/>
  <c r="HN78" i="5" s="1"/>
  <c r="HO78" i="5" s="1"/>
  <c r="HP78" i="5" s="1"/>
  <c r="HQ78" i="5" s="1"/>
  <c r="HR78" i="5" s="1"/>
  <c r="HS78" i="5" s="1"/>
  <c r="HT78" i="5" s="1"/>
  <c r="HU78" i="5" s="1"/>
  <c r="HV78" i="5" s="1"/>
  <c r="HW78" i="5" s="1"/>
  <c r="HX78" i="5" s="1"/>
  <c r="HY78" i="5" s="1"/>
  <c r="HZ78" i="5" s="1"/>
  <c r="IA78" i="5" s="1"/>
  <c r="IB78" i="5" s="1"/>
  <c r="IC78" i="5" s="1"/>
  <c r="ID78" i="5" s="1"/>
  <c r="IE78" i="5" s="1"/>
  <c r="IF78" i="5" s="1"/>
  <c r="IG78" i="5" s="1"/>
  <c r="IH78" i="5" s="1"/>
  <c r="II78" i="5" s="1"/>
  <c r="IJ78" i="5" s="1"/>
  <c r="IK78" i="5" s="1"/>
  <c r="IL78" i="5" s="1"/>
  <c r="IM78" i="5" s="1"/>
  <c r="IN78" i="5" s="1"/>
  <c r="IO78" i="5" s="1"/>
  <c r="IP78" i="5" s="1"/>
  <c r="IQ78" i="5" s="1"/>
  <c r="IR78" i="5" s="1"/>
  <c r="IS78" i="5" s="1"/>
  <c r="IT78" i="5" s="1"/>
  <c r="IU78" i="5" s="1"/>
  <c r="F70" i="5"/>
  <c r="G70" i="5" s="1"/>
  <c r="H70" i="5" s="1"/>
  <c r="I70" i="5" s="1"/>
  <c r="J70" i="5" s="1"/>
  <c r="K70" i="5" s="1"/>
  <c r="L70" i="5" s="1"/>
  <c r="M70" i="5" s="1"/>
  <c r="N70" i="5" s="1"/>
  <c r="O70" i="5" s="1"/>
  <c r="P70" i="5" s="1"/>
  <c r="Q70" i="5" s="1"/>
  <c r="R70" i="5" s="1"/>
  <c r="S70" i="5" s="1"/>
  <c r="T70" i="5" s="1"/>
  <c r="U70" i="5" s="1"/>
  <c r="V70" i="5" s="1"/>
  <c r="W70" i="5" s="1"/>
  <c r="X70" i="5" s="1"/>
  <c r="Y70" i="5" s="1"/>
  <c r="Z70" i="5" s="1"/>
  <c r="AA70" i="5" s="1"/>
  <c r="AB70" i="5" s="1"/>
  <c r="AC70" i="5" s="1"/>
  <c r="AD70" i="5" s="1"/>
  <c r="AE70" i="5" s="1"/>
  <c r="AF70" i="5" s="1"/>
  <c r="AG70" i="5" s="1"/>
  <c r="AH70" i="5" s="1"/>
  <c r="AI70" i="5" s="1"/>
  <c r="AJ70" i="5" s="1"/>
  <c r="AK70" i="5" s="1"/>
  <c r="AL70" i="5" s="1"/>
  <c r="AM70" i="5" s="1"/>
  <c r="AN70" i="5" s="1"/>
  <c r="AO70" i="5" s="1"/>
  <c r="AP70" i="5" s="1"/>
  <c r="AQ70" i="5" s="1"/>
  <c r="AR70" i="5" s="1"/>
  <c r="AS70" i="5" s="1"/>
  <c r="AT70" i="5" s="1"/>
  <c r="AU70" i="5" s="1"/>
  <c r="AV70" i="5" s="1"/>
  <c r="AW70" i="5" s="1"/>
  <c r="AX70" i="5" s="1"/>
  <c r="AY70" i="5" s="1"/>
  <c r="AZ70" i="5" s="1"/>
  <c r="BA70" i="5" s="1"/>
  <c r="BB70" i="5" s="1"/>
  <c r="BC70" i="5" s="1"/>
  <c r="BD70" i="5" s="1"/>
  <c r="BE70" i="5" s="1"/>
  <c r="BF70" i="5" s="1"/>
  <c r="BG70" i="5" s="1"/>
  <c r="BH70" i="5" s="1"/>
  <c r="BI70" i="5" s="1"/>
  <c r="BJ70" i="5" s="1"/>
  <c r="BK70" i="5" s="1"/>
  <c r="BL70" i="5" s="1"/>
  <c r="BM70" i="5" s="1"/>
  <c r="BN70" i="5" s="1"/>
  <c r="BO70" i="5" s="1"/>
  <c r="BP70" i="5" s="1"/>
  <c r="BQ70" i="5" s="1"/>
  <c r="BR70" i="5" s="1"/>
  <c r="BS70" i="5" s="1"/>
  <c r="BT70" i="5" s="1"/>
  <c r="BU70" i="5" s="1"/>
  <c r="BV70" i="5" s="1"/>
  <c r="BW70" i="5" s="1"/>
  <c r="BX70" i="5" s="1"/>
  <c r="BY70" i="5" s="1"/>
  <c r="BZ70" i="5" s="1"/>
  <c r="CA70" i="5" s="1"/>
  <c r="CB70" i="5" s="1"/>
  <c r="CC70" i="5" s="1"/>
  <c r="CD70" i="5" s="1"/>
  <c r="CE70" i="5" s="1"/>
  <c r="CF70" i="5" s="1"/>
  <c r="CG70" i="5" s="1"/>
  <c r="CH70" i="5" s="1"/>
  <c r="CI70" i="5" s="1"/>
  <c r="CJ70" i="5" s="1"/>
  <c r="CK70" i="5" s="1"/>
  <c r="CL70" i="5" s="1"/>
  <c r="CM70" i="5" s="1"/>
  <c r="CN70" i="5" s="1"/>
  <c r="CO70" i="5" s="1"/>
  <c r="CP70" i="5" s="1"/>
  <c r="CQ70" i="5" s="1"/>
  <c r="CR70" i="5" s="1"/>
  <c r="CS70" i="5" s="1"/>
  <c r="CT70" i="5" s="1"/>
  <c r="CU70" i="5" s="1"/>
  <c r="CV70" i="5" s="1"/>
  <c r="CW70" i="5" s="1"/>
  <c r="CX70" i="5" s="1"/>
  <c r="CY70" i="5" s="1"/>
  <c r="CZ70" i="5" s="1"/>
  <c r="DA70" i="5" s="1"/>
  <c r="DB70" i="5" s="1"/>
  <c r="DC70" i="5" s="1"/>
  <c r="DD70" i="5" s="1"/>
  <c r="DE70" i="5" s="1"/>
  <c r="DF70" i="5" s="1"/>
  <c r="DG70" i="5" s="1"/>
  <c r="DH70" i="5" s="1"/>
  <c r="DI70" i="5" s="1"/>
  <c r="DJ70" i="5" s="1"/>
  <c r="DK70" i="5" s="1"/>
  <c r="DL70" i="5" s="1"/>
  <c r="DM70" i="5" s="1"/>
  <c r="DN70" i="5" s="1"/>
  <c r="DO70" i="5" s="1"/>
  <c r="DP70" i="5" s="1"/>
  <c r="DQ70" i="5" s="1"/>
  <c r="DR70" i="5" s="1"/>
  <c r="DS70" i="5" s="1"/>
  <c r="DT70" i="5" s="1"/>
  <c r="DU70" i="5" s="1"/>
  <c r="DV70" i="5" s="1"/>
  <c r="DW70" i="5" s="1"/>
  <c r="DX70" i="5" s="1"/>
  <c r="DY70" i="5" s="1"/>
  <c r="DZ70" i="5" s="1"/>
  <c r="EA70" i="5" s="1"/>
  <c r="EB70" i="5" s="1"/>
  <c r="EC70" i="5" s="1"/>
  <c r="ED70" i="5" s="1"/>
  <c r="EE70" i="5" s="1"/>
  <c r="EF70" i="5" s="1"/>
  <c r="EG70" i="5" s="1"/>
  <c r="EH70" i="5" s="1"/>
  <c r="EI70" i="5" s="1"/>
  <c r="EJ70" i="5" s="1"/>
  <c r="EK70" i="5" s="1"/>
  <c r="EL70" i="5" s="1"/>
  <c r="EM70" i="5" s="1"/>
  <c r="EN70" i="5" s="1"/>
  <c r="EO70" i="5" s="1"/>
  <c r="EP70" i="5" s="1"/>
  <c r="EQ70" i="5" s="1"/>
  <c r="ER70" i="5" s="1"/>
  <c r="ES70" i="5" s="1"/>
  <c r="ET70" i="5" s="1"/>
  <c r="EU70" i="5" s="1"/>
  <c r="EV70" i="5" s="1"/>
  <c r="EW70" i="5" s="1"/>
  <c r="EX70" i="5" s="1"/>
  <c r="EY70" i="5" s="1"/>
  <c r="EZ70" i="5" s="1"/>
  <c r="FA70" i="5" s="1"/>
  <c r="FB70" i="5" s="1"/>
  <c r="FC70" i="5" s="1"/>
  <c r="FD70" i="5" s="1"/>
  <c r="FE70" i="5" s="1"/>
  <c r="FF70" i="5" s="1"/>
  <c r="FG70" i="5" s="1"/>
  <c r="FH70" i="5" s="1"/>
  <c r="FI70" i="5" s="1"/>
  <c r="FJ70" i="5" s="1"/>
  <c r="FK70" i="5" s="1"/>
  <c r="FL70" i="5" s="1"/>
  <c r="FM70" i="5" s="1"/>
  <c r="FN70" i="5" s="1"/>
  <c r="FO70" i="5" s="1"/>
  <c r="FP70" i="5" s="1"/>
  <c r="FQ70" i="5" s="1"/>
  <c r="FR70" i="5" s="1"/>
  <c r="FS70" i="5" s="1"/>
  <c r="FT70" i="5" s="1"/>
  <c r="FU70" i="5" s="1"/>
  <c r="FV70" i="5" s="1"/>
  <c r="FW70" i="5" s="1"/>
  <c r="FX70" i="5" s="1"/>
  <c r="FY70" i="5" s="1"/>
  <c r="FZ70" i="5" s="1"/>
  <c r="GA70" i="5" s="1"/>
  <c r="GB70" i="5" s="1"/>
  <c r="GC70" i="5" s="1"/>
  <c r="GD70" i="5" s="1"/>
  <c r="GE70" i="5" s="1"/>
  <c r="GF70" i="5" s="1"/>
  <c r="GG70" i="5" s="1"/>
  <c r="GH70" i="5" s="1"/>
  <c r="GI70" i="5" s="1"/>
  <c r="GJ70" i="5" s="1"/>
  <c r="GK70" i="5" s="1"/>
  <c r="GL70" i="5" s="1"/>
  <c r="GM70" i="5" s="1"/>
  <c r="GN70" i="5" s="1"/>
  <c r="GO70" i="5" s="1"/>
  <c r="GP70" i="5" s="1"/>
  <c r="GQ70" i="5" s="1"/>
  <c r="GR70" i="5" s="1"/>
  <c r="GS70" i="5" s="1"/>
  <c r="GT70" i="5" s="1"/>
  <c r="GU70" i="5" s="1"/>
  <c r="GV70" i="5" s="1"/>
  <c r="GW70" i="5" s="1"/>
  <c r="GX70" i="5" s="1"/>
  <c r="GY70" i="5" s="1"/>
  <c r="GZ70" i="5" s="1"/>
  <c r="HA70" i="5" s="1"/>
  <c r="HB70" i="5" s="1"/>
  <c r="HC70" i="5" s="1"/>
  <c r="HD70" i="5" s="1"/>
  <c r="HE70" i="5" s="1"/>
  <c r="HF70" i="5" s="1"/>
  <c r="HG70" i="5" s="1"/>
  <c r="HH70" i="5" s="1"/>
  <c r="HI70" i="5" s="1"/>
  <c r="HJ70" i="5" s="1"/>
  <c r="HK70" i="5" s="1"/>
  <c r="HL70" i="5" s="1"/>
  <c r="HM70" i="5" s="1"/>
  <c r="HN70" i="5" s="1"/>
  <c r="HO70" i="5" s="1"/>
  <c r="HP70" i="5" s="1"/>
  <c r="HQ70" i="5" s="1"/>
  <c r="HR70" i="5" s="1"/>
  <c r="HS70" i="5" s="1"/>
  <c r="HT70" i="5" s="1"/>
  <c r="HU70" i="5" s="1"/>
  <c r="HV70" i="5" s="1"/>
  <c r="HW70" i="5" s="1"/>
  <c r="HX70" i="5" s="1"/>
  <c r="HY70" i="5" s="1"/>
  <c r="HZ70" i="5" s="1"/>
  <c r="IA70" i="5" s="1"/>
  <c r="IB70" i="5" s="1"/>
  <c r="IC70" i="5" s="1"/>
  <c r="ID70" i="5" s="1"/>
  <c r="IE70" i="5" s="1"/>
  <c r="IF70" i="5" s="1"/>
  <c r="IG70" i="5" s="1"/>
  <c r="IH70" i="5" s="1"/>
  <c r="II70" i="5" s="1"/>
  <c r="IJ70" i="5" s="1"/>
  <c r="IK70" i="5" s="1"/>
  <c r="IL70" i="5" s="1"/>
  <c r="IM70" i="5" s="1"/>
  <c r="IN70" i="5" s="1"/>
  <c r="IO70" i="5" s="1"/>
  <c r="IP70" i="5" s="1"/>
  <c r="IQ70" i="5" s="1"/>
  <c r="IR70" i="5" s="1"/>
  <c r="IS70" i="5" s="1"/>
  <c r="IT70" i="5" s="1"/>
  <c r="IU70" i="5" s="1"/>
  <c r="F62" i="5"/>
  <c r="G62" i="5" s="1"/>
  <c r="H62" i="5" s="1"/>
  <c r="I62" i="5" s="1"/>
  <c r="J62" i="5" s="1"/>
  <c r="K62" i="5" s="1"/>
  <c r="L62" i="5" s="1"/>
  <c r="M62" i="5" s="1"/>
  <c r="N62" i="5" s="1"/>
  <c r="O62" i="5" s="1"/>
  <c r="P62" i="5" s="1"/>
  <c r="Q62" i="5" s="1"/>
  <c r="R62" i="5" s="1"/>
  <c r="S62" i="5" s="1"/>
  <c r="T62" i="5" s="1"/>
  <c r="U62" i="5" s="1"/>
  <c r="V62" i="5" s="1"/>
  <c r="W62" i="5" s="1"/>
  <c r="X62" i="5" s="1"/>
  <c r="Y62" i="5" s="1"/>
  <c r="Z62" i="5" s="1"/>
  <c r="AA62" i="5" s="1"/>
  <c r="AB62" i="5" s="1"/>
  <c r="AC62" i="5" s="1"/>
  <c r="AD62" i="5" s="1"/>
  <c r="AE62" i="5" s="1"/>
  <c r="AF62" i="5" s="1"/>
  <c r="AG62" i="5" s="1"/>
  <c r="AH62" i="5" s="1"/>
  <c r="AI62" i="5" s="1"/>
  <c r="AJ62" i="5" s="1"/>
  <c r="AK62" i="5" s="1"/>
  <c r="AL62" i="5" s="1"/>
  <c r="AM62" i="5" s="1"/>
  <c r="AN62" i="5" s="1"/>
  <c r="AO62" i="5" s="1"/>
  <c r="AP62" i="5" s="1"/>
  <c r="AQ62" i="5" s="1"/>
  <c r="AR62" i="5" s="1"/>
  <c r="AS62" i="5" s="1"/>
  <c r="AT62" i="5" s="1"/>
  <c r="AU62" i="5" s="1"/>
  <c r="AV62" i="5" s="1"/>
  <c r="AW62" i="5" s="1"/>
  <c r="AX62" i="5" s="1"/>
  <c r="AY62" i="5" s="1"/>
  <c r="AZ62" i="5" s="1"/>
  <c r="BA62" i="5" s="1"/>
  <c r="BB62" i="5" s="1"/>
  <c r="BC62" i="5" s="1"/>
  <c r="BD62" i="5" s="1"/>
  <c r="BE62" i="5" s="1"/>
  <c r="BF62" i="5" s="1"/>
  <c r="BG62" i="5" s="1"/>
  <c r="BH62" i="5" s="1"/>
  <c r="BI62" i="5" s="1"/>
  <c r="BJ62" i="5" s="1"/>
  <c r="BK62" i="5" s="1"/>
  <c r="BL62" i="5" s="1"/>
  <c r="BM62" i="5" s="1"/>
  <c r="BN62" i="5" s="1"/>
  <c r="BO62" i="5" s="1"/>
  <c r="BP62" i="5" s="1"/>
  <c r="BQ62" i="5" s="1"/>
  <c r="BR62" i="5" s="1"/>
  <c r="BS62" i="5" s="1"/>
  <c r="BT62" i="5" s="1"/>
  <c r="BU62" i="5" s="1"/>
  <c r="BV62" i="5" s="1"/>
  <c r="BW62" i="5" s="1"/>
  <c r="BX62" i="5" s="1"/>
  <c r="BY62" i="5" s="1"/>
  <c r="BZ62" i="5" s="1"/>
  <c r="CA62" i="5" s="1"/>
  <c r="CB62" i="5" s="1"/>
  <c r="CC62" i="5" s="1"/>
  <c r="CD62" i="5" s="1"/>
  <c r="CE62" i="5" s="1"/>
  <c r="CF62" i="5" s="1"/>
  <c r="CG62" i="5" s="1"/>
  <c r="CH62" i="5" s="1"/>
  <c r="CI62" i="5" s="1"/>
  <c r="CJ62" i="5" s="1"/>
  <c r="CK62" i="5" s="1"/>
  <c r="CL62" i="5" s="1"/>
  <c r="CM62" i="5" s="1"/>
  <c r="CN62" i="5" s="1"/>
  <c r="CO62" i="5" s="1"/>
  <c r="CP62" i="5" s="1"/>
  <c r="CQ62" i="5" s="1"/>
  <c r="CR62" i="5" s="1"/>
  <c r="CS62" i="5" s="1"/>
  <c r="CT62" i="5" s="1"/>
  <c r="CU62" i="5" s="1"/>
  <c r="CV62" i="5" s="1"/>
  <c r="CW62" i="5" s="1"/>
  <c r="CX62" i="5" s="1"/>
  <c r="CY62" i="5" s="1"/>
  <c r="CZ62" i="5" s="1"/>
  <c r="DA62" i="5" s="1"/>
  <c r="DB62" i="5" s="1"/>
  <c r="DC62" i="5" s="1"/>
  <c r="DD62" i="5" s="1"/>
  <c r="DE62" i="5" s="1"/>
  <c r="DF62" i="5" s="1"/>
  <c r="DG62" i="5" s="1"/>
  <c r="DH62" i="5" s="1"/>
  <c r="DI62" i="5" s="1"/>
  <c r="DJ62" i="5" s="1"/>
  <c r="DK62" i="5" s="1"/>
  <c r="DL62" i="5" s="1"/>
  <c r="DM62" i="5" s="1"/>
  <c r="DN62" i="5" s="1"/>
  <c r="DO62" i="5" s="1"/>
  <c r="DP62" i="5" s="1"/>
  <c r="DQ62" i="5" s="1"/>
  <c r="DR62" i="5" s="1"/>
  <c r="DS62" i="5" s="1"/>
  <c r="DT62" i="5" s="1"/>
  <c r="DU62" i="5" s="1"/>
  <c r="DV62" i="5" s="1"/>
  <c r="DW62" i="5" s="1"/>
  <c r="DX62" i="5" s="1"/>
  <c r="DY62" i="5" s="1"/>
  <c r="DZ62" i="5" s="1"/>
  <c r="EA62" i="5" s="1"/>
  <c r="EB62" i="5" s="1"/>
  <c r="EC62" i="5" s="1"/>
  <c r="ED62" i="5" s="1"/>
  <c r="EE62" i="5" s="1"/>
  <c r="EF62" i="5" s="1"/>
  <c r="EG62" i="5" s="1"/>
  <c r="EH62" i="5" s="1"/>
  <c r="EI62" i="5" s="1"/>
  <c r="EJ62" i="5" s="1"/>
  <c r="EK62" i="5" s="1"/>
  <c r="EL62" i="5" s="1"/>
  <c r="EM62" i="5" s="1"/>
  <c r="EN62" i="5" s="1"/>
  <c r="EO62" i="5" s="1"/>
  <c r="EP62" i="5" s="1"/>
  <c r="EQ62" i="5" s="1"/>
  <c r="ER62" i="5" s="1"/>
  <c r="ES62" i="5" s="1"/>
  <c r="ET62" i="5" s="1"/>
  <c r="EU62" i="5" s="1"/>
  <c r="EV62" i="5" s="1"/>
  <c r="EW62" i="5" s="1"/>
  <c r="EX62" i="5" s="1"/>
  <c r="EY62" i="5" s="1"/>
  <c r="EZ62" i="5" s="1"/>
  <c r="FA62" i="5" s="1"/>
  <c r="FB62" i="5" s="1"/>
  <c r="FC62" i="5" s="1"/>
  <c r="FD62" i="5" s="1"/>
  <c r="FE62" i="5" s="1"/>
  <c r="FF62" i="5" s="1"/>
  <c r="FG62" i="5" s="1"/>
  <c r="FH62" i="5" s="1"/>
  <c r="FI62" i="5" s="1"/>
  <c r="FJ62" i="5" s="1"/>
  <c r="FK62" i="5" s="1"/>
  <c r="FL62" i="5" s="1"/>
  <c r="FM62" i="5" s="1"/>
  <c r="FN62" i="5" s="1"/>
  <c r="FO62" i="5" s="1"/>
  <c r="FP62" i="5" s="1"/>
  <c r="FQ62" i="5" s="1"/>
  <c r="FR62" i="5" s="1"/>
  <c r="FS62" i="5" s="1"/>
  <c r="FT62" i="5" s="1"/>
  <c r="FU62" i="5" s="1"/>
  <c r="FV62" i="5" s="1"/>
  <c r="FW62" i="5" s="1"/>
  <c r="FX62" i="5" s="1"/>
  <c r="FY62" i="5" s="1"/>
  <c r="FZ62" i="5" s="1"/>
  <c r="GA62" i="5" s="1"/>
  <c r="GB62" i="5" s="1"/>
  <c r="GC62" i="5" s="1"/>
  <c r="GD62" i="5" s="1"/>
  <c r="GE62" i="5" s="1"/>
  <c r="GF62" i="5" s="1"/>
  <c r="GG62" i="5" s="1"/>
  <c r="GH62" i="5" s="1"/>
  <c r="GI62" i="5" s="1"/>
  <c r="GJ62" i="5" s="1"/>
  <c r="GK62" i="5" s="1"/>
  <c r="GL62" i="5" s="1"/>
  <c r="GM62" i="5" s="1"/>
  <c r="GN62" i="5" s="1"/>
  <c r="GO62" i="5" s="1"/>
  <c r="GP62" i="5" s="1"/>
  <c r="GQ62" i="5" s="1"/>
  <c r="GR62" i="5" s="1"/>
  <c r="GS62" i="5" s="1"/>
  <c r="GT62" i="5" s="1"/>
  <c r="GU62" i="5" s="1"/>
  <c r="GV62" i="5" s="1"/>
  <c r="GW62" i="5" s="1"/>
  <c r="GX62" i="5" s="1"/>
  <c r="GY62" i="5" s="1"/>
  <c r="GZ62" i="5" s="1"/>
  <c r="HA62" i="5" s="1"/>
  <c r="HB62" i="5" s="1"/>
  <c r="HC62" i="5" s="1"/>
  <c r="HD62" i="5" s="1"/>
  <c r="HE62" i="5" s="1"/>
  <c r="HF62" i="5" s="1"/>
  <c r="HG62" i="5" s="1"/>
  <c r="HH62" i="5" s="1"/>
  <c r="HI62" i="5" s="1"/>
  <c r="HJ62" i="5" s="1"/>
  <c r="HK62" i="5" s="1"/>
  <c r="HL62" i="5" s="1"/>
  <c r="HM62" i="5" s="1"/>
  <c r="HN62" i="5" s="1"/>
  <c r="HO62" i="5" s="1"/>
  <c r="HP62" i="5" s="1"/>
  <c r="HQ62" i="5" s="1"/>
  <c r="HR62" i="5" s="1"/>
  <c r="HS62" i="5" s="1"/>
  <c r="HT62" i="5" s="1"/>
  <c r="HU62" i="5" s="1"/>
  <c r="HV62" i="5" s="1"/>
  <c r="HW62" i="5" s="1"/>
  <c r="HX62" i="5" s="1"/>
  <c r="HY62" i="5" s="1"/>
  <c r="HZ62" i="5" s="1"/>
  <c r="IA62" i="5" s="1"/>
  <c r="IB62" i="5" s="1"/>
  <c r="IC62" i="5" s="1"/>
  <c r="ID62" i="5" s="1"/>
  <c r="IE62" i="5" s="1"/>
  <c r="IF62" i="5" s="1"/>
  <c r="IG62" i="5" s="1"/>
  <c r="IH62" i="5" s="1"/>
  <c r="II62" i="5" s="1"/>
  <c r="IJ62" i="5" s="1"/>
  <c r="IK62" i="5" s="1"/>
  <c r="IL62" i="5" s="1"/>
  <c r="IM62" i="5" s="1"/>
  <c r="IN62" i="5" s="1"/>
  <c r="IO62" i="5" s="1"/>
  <c r="IP62" i="5" s="1"/>
  <c r="IQ62" i="5" s="1"/>
  <c r="IR62" i="5" s="1"/>
  <c r="IS62" i="5" s="1"/>
  <c r="IT62" i="5" s="1"/>
  <c r="IU62" i="5" s="1"/>
  <c r="F54" i="5"/>
  <c r="G54" i="5" s="1"/>
  <c r="H54" i="5" s="1"/>
  <c r="I54" i="5" s="1"/>
  <c r="J54" i="5" s="1"/>
  <c r="K54" i="5" s="1"/>
  <c r="L54" i="5" s="1"/>
  <c r="M54" i="5" s="1"/>
  <c r="N54" i="5" s="1"/>
  <c r="O54" i="5" s="1"/>
  <c r="P54" i="5" s="1"/>
  <c r="Q54" i="5" s="1"/>
  <c r="R54" i="5" s="1"/>
  <c r="S54" i="5" s="1"/>
  <c r="T54" i="5" s="1"/>
  <c r="U54" i="5" s="1"/>
  <c r="V54" i="5" s="1"/>
  <c r="W54" i="5" s="1"/>
  <c r="X54" i="5" s="1"/>
  <c r="Y54" i="5" s="1"/>
  <c r="Z54" i="5" s="1"/>
  <c r="AA54" i="5" s="1"/>
  <c r="AB54" i="5" s="1"/>
  <c r="AC54" i="5" s="1"/>
  <c r="AD54" i="5" s="1"/>
  <c r="AE54" i="5" s="1"/>
  <c r="AF54" i="5" s="1"/>
  <c r="AG54" i="5" s="1"/>
  <c r="AH54" i="5" s="1"/>
  <c r="AI54" i="5" s="1"/>
  <c r="AJ54" i="5" s="1"/>
  <c r="AK54" i="5" s="1"/>
  <c r="AL54" i="5" s="1"/>
  <c r="AM54" i="5" s="1"/>
  <c r="AN54" i="5" s="1"/>
  <c r="AO54" i="5" s="1"/>
  <c r="AP54" i="5" s="1"/>
  <c r="AQ54" i="5" s="1"/>
  <c r="AR54" i="5" s="1"/>
  <c r="AS54" i="5" s="1"/>
  <c r="AT54" i="5" s="1"/>
  <c r="AU54" i="5" s="1"/>
  <c r="AV54" i="5" s="1"/>
  <c r="AW54" i="5" s="1"/>
  <c r="AX54" i="5" s="1"/>
  <c r="AY54" i="5" s="1"/>
  <c r="AZ54" i="5" s="1"/>
  <c r="BA54" i="5" s="1"/>
  <c r="BB54" i="5" s="1"/>
  <c r="BC54" i="5" s="1"/>
  <c r="BD54" i="5" s="1"/>
  <c r="BE54" i="5" s="1"/>
  <c r="BF54" i="5" s="1"/>
  <c r="BG54" i="5" s="1"/>
  <c r="BH54" i="5" s="1"/>
  <c r="BI54" i="5" s="1"/>
  <c r="BJ54" i="5" s="1"/>
  <c r="BK54" i="5" s="1"/>
  <c r="BL54" i="5" s="1"/>
  <c r="BM54" i="5" s="1"/>
  <c r="BN54" i="5" s="1"/>
  <c r="BO54" i="5" s="1"/>
  <c r="BP54" i="5" s="1"/>
  <c r="BQ54" i="5" s="1"/>
  <c r="BR54" i="5" s="1"/>
  <c r="BS54" i="5" s="1"/>
  <c r="BT54" i="5" s="1"/>
  <c r="BU54" i="5" s="1"/>
  <c r="BV54" i="5" s="1"/>
  <c r="BW54" i="5" s="1"/>
  <c r="BX54" i="5" s="1"/>
  <c r="BY54" i="5" s="1"/>
  <c r="BZ54" i="5" s="1"/>
  <c r="CA54" i="5" s="1"/>
  <c r="CB54" i="5" s="1"/>
  <c r="CC54" i="5" s="1"/>
  <c r="CD54" i="5" s="1"/>
  <c r="CE54" i="5" s="1"/>
  <c r="CF54" i="5" s="1"/>
  <c r="CG54" i="5" s="1"/>
  <c r="CH54" i="5" s="1"/>
  <c r="CI54" i="5" s="1"/>
  <c r="CJ54" i="5" s="1"/>
  <c r="CK54" i="5" s="1"/>
  <c r="CL54" i="5" s="1"/>
  <c r="CM54" i="5" s="1"/>
  <c r="CN54" i="5" s="1"/>
  <c r="CO54" i="5" s="1"/>
  <c r="CP54" i="5" s="1"/>
  <c r="CQ54" i="5" s="1"/>
  <c r="CR54" i="5" s="1"/>
  <c r="CS54" i="5" s="1"/>
  <c r="CT54" i="5" s="1"/>
  <c r="CU54" i="5" s="1"/>
  <c r="CV54" i="5" s="1"/>
  <c r="CW54" i="5" s="1"/>
  <c r="CX54" i="5" s="1"/>
  <c r="CY54" i="5" s="1"/>
  <c r="CZ54" i="5" s="1"/>
  <c r="DA54" i="5" s="1"/>
  <c r="DB54" i="5" s="1"/>
  <c r="DC54" i="5" s="1"/>
  <c r="DD54" i="5" s="1"/>
  <c r="DE54" i="5" s="1"/>
  <c r="DF54" i="5" s="1"/>
  <c r="DG54" i="5" s="1"/>
  <c r="DH54" i="5" s="1"/>
  <c r="DI54" i="5" s="1"/>
  <c r="DJ54" i="5" s="1"/>
  <c r="DK54" i="5" s="1"/>
  <c r="DL54" i="5" s="1"/>
  <c r="DM54" i="5" s="1"/>
  <c r="DN54" i="5" s="1"/>
  <c r="DO54" i="5" s="1"/>
  <c r="DP54" i="5" s="1"/>
  <c r="DQ54" i="5" s="1"/>
  <c r="DR54" i="5" s="1"/>
  <c r="DS54" i="5" s="1"/>
  <c r="DT54" i="5" s="1"/>
  <c r="DU54" i="5" s="1"/>
  <c r="DV54" i="5" s="1"/>
  <c r="DW54" i="5" s="1"/>
  <c r="DX54" i="5" s="1"/>
  <c r="DY54" i="5" s="1"/>
  <c r="DZ54" i="5" s="1"/>
  <c r="EA54" i="5" s="1"/>
  <c r="EB54" i="5" s="1"/>
  <c r="EC54" i="5" s="1"/>
  <c r="ED54" i="5" s="1"/>
  <c r="EE54" i="5" s="1"/>
  <c r="EF54" i="5" s="1"/>
  <c r="EG54" i="5" s="1"/>
  <c r="EH54" i="5" s="1"/>
  <c r="EI54" i="5" s="1"/>
  <c r="EJ54" i="5" s="1"/>
  <c r="EK54" i="5" s="1"/>
  <c r="EL54" i="5" s="1"/>
  <c r="EM54" i="5" s="1"/>
  <c r="EN54" i="5" s="1"/>
  <c r="EO54" i="5" s="1"/>
  <c r="EP54" i="5" s="1"/>
  <c r="EQ54" i="5" s="1"/>
  <c r="ER54" i="5" s="1"/>
  <c r="ES54" i="5" s="1"/>
  <c r="ET54" i="5" s="1"/>
  <c r="EU54" i="5" s="1"/>
  <c r="EV54" i="5" s="1"/>
  <c r="EW54" i="5" s="1"/>
  <c r="EX54" i="5" s="1"/>
  <c r="EY54" i="5" s="1"/>
  <c r="EZ54" i="5" s="1"/>
  <c r="FA54" i="5" s="1"/>
  <c r="FB54" i="5" s="1"/>
  <c r="FC54" i="5" s="1"/>
  <c r="FD54" i="5" s="1"/>
  <c r="FE54" i="5" s="1"/>
  <c r="FF54" i="5" s="1"/>
  <c r="FG54" i="5" s="1"/>
  <c r="FH54" i="5" s="1"/>
  <c r="FI54" i="5" s="1"/>
  <c r="FJ54" i="5" s="1"/>
  <c r="FK54" i="5" s="1"/>
  <c r="FL54" i="5" s="1"/>
  <c r="FM54" i="5" s="1"/>
  <c r="FN54" i="5" s="1"/>
  <c r="FO54" i="5" s="1"/>
  <c r="FP54" i="5" s="1"/>
  <c r="FQ54" i="5" s="1"/>
  <c r="FR54" i="5" s="1"/>
  <c r="FS54" i="5" s="1"/>
  <c r="FT54" i="5" s="1"/>
  <c r="FU54" i="5" s="1"/>
  <c r="FV54" i="5" s="1"/>
  <c r="FW54" i="5" s="1"/>
  <c r="FX54" i="5" s="1"/>
  <c r="FY54" i="5" s="1"/>
  <c r="FZ54" i="5" s="1"/>
  <c r="GA54" i="5" s="1"/>
  <c r="GB54" i="5" s="1"/>
  <c r="GC54" i="5" s="1"/>
  <c r="GD54" i="5" s="1"/>
  <c r="GE54" i="5" s="1"/>
  <c r="GF54" i="5" s="1"/>
  <c r="GG54" i="5" s="1"/>
  <c r="GH54" i="5" s="1"/>
  <c r="GI54" i="5" s="1"/>
  <c r="GJ54" i="5" s="1"/>
  <c r="GK54" i="5" s="1"/>
  <c r="GL54" i="5" s="1"/>
  <c r="GM54" i="5" s="1"/>
  <c r="GN54" i="5" s="1"/>
  <c r="GO54" i="5" s="1"/>
  <c r="GP54" i="5" s="1"/>
  <c r="GQ54" i="5" s="1"/>
  <c r="GR54" i="5" s="1"/>
  <c r="GS54" i="5" s="1"/>
  <c r="GT54" i="5" s="1"/>
  <c r="GU54" i="5" s="1"/>
  <c r="GV54" i="5" s="1"/>
  <c r="GW54" i="5" s="1"/>
  <c r="GX54" i="5" s="1"/>
  <c r="GY54" i="5" s="1"/>
  <c r="GZ54" i="5" s="1"/>
  <c r="HA54" i="5" s="1"/>
  <c r="HB54" i="5" s="1"/>
  <c r="HC54" i="5" s="1"/>
  <c r="HD54" i="5" s="1"/>
  <c r="HE54" i="5" s="1"/>
  <c r="HF54" i="5" s="1"/>
  <c r="HG54" i="5" s="1"/>
  <c r="HH54" i="5" s="1"/>
  <c r="HI54" i="5" s="1"/>
  <c r="HJ54" i="5" s="1"/>
  <c r="HK54" i="5" s="1"/>
  <c r="HL54" i="5" s="1"/>
  <c r="HM54" i="5" s="1"/>
  <c r="HN54" i="5" s="1"/>
  <c r="HO54" i="5" s="1"/>
  <c r="HP54" i="5" s="1"/>
  <c r="HQ54" i="5" s="1"/>
  <c r="HR54" i="5" s="1"/>
  <c r="HS54" i="5" s="1"/>
  <c r="HT54" i="5" s="1"/>
  <c r="HU54" i="5" s="1"/>
  <c r="HV54" i="5" s="1"/>
  <c r="HW54" i="5" s="1"/>
  <c r="HX54" i="5" s="1"/>
  <c r="HY54" i="5" s="1"/>
  <c r="HZ54" i="5" s="1"/>
  <c r="IA54" i="5" s="1"/>
  <c r="IB54" i="5" s="1"/>
  <c r="IC54" i="5" s="1"/>
  <c r="ID54" i="5" s="1"/>
  <c r="IE54" i="5" s="1"/>
  <c r="IF54" i="5" s="1"/>
  <c r="IG54" i="5" s="1"/>
  <c r="IH54" i="5" s="1"/>
  <c r="II54" i="5" s="1"/>
  <c r="IJ54" i="5" s="1"/>
  <c r="IK54" i="5" s="1"/>
  <c r="IL54" i="5" s="1"/>
  <c r="IM54" i="5" s="1"/>
  <c r="IN54" i="5" s="1"/>
  <c r="IO54" i="5" s="1"/>
  <c r="IP54" i="5" s="1"/>
  <c r="IQ54" i="5" s="1"/>
  <c r="IR54" i="5" s="1"/>
  <c r="IS54" i="5" s="1"/>
  <c r="IT54" i="5" s="1"/>
  <c r="IU54" i="5" s="1"/>
  <c r="F46" i="5"/>
  <c r="G46" i="5" s="1"/>
  <c r="H46" i="5" s="1"/>
  <c r="I46" i="5" s="1"/>
  <c r="J46" i="5" s="1"/>
  <c r="K46" i="5" s="1"/>
  <c r="L46" i="5" s="1"/>
  <c r="M46" i="5" s="1"/>
  <c r="N46" i="5" s="1"/>
  <c r="O46" i="5" s="1"/>
  <c r="P46" i="5" s="1"/>
  <c r="Q46" i="5" s="1"/>
  <c r="R46" i="5" s="1"/>
  <c r="S46" i="5" s="1"/>
  <c r="T46" i="5" s="1"/>
  <c r="U46" i="5" s="1"/>
  <c r="V46" i="5" s="1"/>
  <c r="W46" i="5" s="1"/>
  <c r="X46" i="5" s="1"/>
  <c r="Y46" i="5" s="1"/>
  <c r="Z46" i="5" s="1"/>
  <c r="AA46" i="5" s="1"/>
  <c r="AB46" i="5" s="1"/>
  <c r="AC46" i="5" s="1"/>
  <c r="AD46" i="5" s="1"/>
  <c r="AE46" i="5" s="1"/>
  <c r="AF46" i="5" s="1"/>
  <c r="AG46" i="5" s="1"/>
  <c r="AH46" i="5" s="1"/>
  <c r="AI46" i="5" s="1"/>
  <c r="AJ46" i="5" s="1"/>
  <c r="AK46" i="5" s="1"/>
  <c r="AL46" i="5" s="1"/>
  <c r="AM46" i="5" s="1"/>
  <c r="AN46" i="5" s="1"/>
  <c r="AO46" i="5" s="1"/>
  <c r="AP46" i="5" s="1"/>
  <c r="AQ46" i="5" s="1"/>
  <c r="AR46" i="5" s="1"/>
  <c r="AS46" i="5" s="1"/>
  <c r="AT46" i="5" s="1"/>
  <c r="AU46" i="5" s="1"/>
  <c r="AV46" i="5" s="1"/>
  <c r="AW46" i="5" s="1"/>
  <c r="AX46" i="5" s="1"/>
  <c r="AY46" i="5" s="1"/>
  <c r="AZ46" i="5" s="1"/>
  <c r="BA46" i="5" s="1"/>
  <c r="BB46" i="5" s="1"/>
  <c r="BC46" i="5" s="1"/>
  <c r="BD46" i="5" s="1"/>
  <c r="BE46" i="5" s="1"/>
  <c r="BF46" i="5" s="1"/>
  <c r="BG46" i="5" s="1"/>
  <c r="BH46" i="5" s="1"/>
  <c r="BI46" i="5" s="1"/>
  <c r="BJ46" i="5" s="1"/>
  <c r="BK46" i="5" s="1"/>
  <c r="BL46" i="5" s="1"/>
  <c r="BM46" i="5" s="1"/>
  <c r="BN46" i="5" s="1"/>
  <c r="BO46" i="5" s="1"/>
  <c r="BP46" i="5" s="1"/>
  <c r="BQ46" i="5" s="1"/>
  <c r="BR46" i="5" s="1"/>
  <c r="BS46" i="5" s="1"/>
  <c r="BT46" i="5" s="1"/>
  <c r="BU46" i="5" s="1"/>
  <c r="BV46" i="5" s="1"/>
  <c r="BW46" i="5" s="1"/>
  <c r="BX46" i="5" s="1"/>
  <c r="BY46" i="5" s="1"/>
  <c r="BZ46" i="5" s="1"/>
  <c r="CA46" i="5" s="1"/>
  <c r="CB46" i="5" s="1"/>
  <c r="CC46" i="5" s="1"/>
  <c r="CD46" i="5" s="1"/>
  <c r="CE46" i="5" s="1"/>
  <c r="CF46" i="5" s="1"/>
  <c r="CG46" i="5" s="1"/>
  <c r="CH46" i="5" s="1"/>
  <c r="CI46" i="5" s="1"/>
  <c r="CJ46" i="5" s="1"/>
  <c r="CK46" i="5" s="1"/>
  <c r="CL46" i="5" s="1"/>
  <c r="CM46" i="5" s="1"/>
  <c r="CN46" i="5" s="1"/>
  <c r="CO46" i="5" s="1"/>
  <c r="CP46" i="5" s="1"/>
  <c r="CQ46" i="5" s="1"/>
  <c r="CR46" i="5" s="1"/>
  <c r="CS46" i="5" s="1"/>
  <c r="CT46" i="5" s="1"/>
  <c r="CU46" i="5" s="1"/>
  <c r="CV46" i="5" s="1"/>
  <c r="CW46" i="5" s="1"/>
  <c r="CX46" i="5" s="1"/>
  <c r="CY46" i="5" s="1"/>
  <c r="CZ46" i="5" s="1"/>
  <c r="DA46" i="5" s="1"/>
  <c r="DB46" i="5" s="1"/>
  <c r="DC46" i="5" s="1"/>
  <c r="DD46" i="5" s="1"/>
  <c r="DE46" i="5" s="1"/>
  <c r="DF46" i="5" s="1"/>
  <c r="DG46" i="5" s="1"/>
  <c r="DH46" i="5" s="1"/>
  <c r="DI46" i="5" s="1"/>
  <c r="DJ46" i="5" s="1"/>
  <c r="DK46" i="5" s="1"/>
  <c r="DL46" i="5" s="1"/>
  <c r="DM46" i="5" s="1"/>
  <c r="DN46" i="5" s="1"/>
  <c r="DO46" i="5" s="1"/>
  <c r="DP46" i="5" s="1"/>
  <c r="DQ46" i="5" s="1"/>
  <c r="DR46" i="5" s="1"/>
  <c r="DS46" i="5" s="1"/>
  <c r="DT46" i="5" s="1"/>
  <c r="DU46" i="5" s="1"/>
  <c r="DV46" i="5" s="1"/>
  <c r="DW46" i="5" s="1"/>
  <c r="DX46" i="5" s="1"/>
  <c r="DY46" i="5" s="1"/>
  <c r="DZ46" i="5" s="1"/>
  <c r="EA46" i="5" s="1"/>
  <c r="EB46" i="5" s="1"/>
  <c r="EC46" i="5" s="1"/>
  <c r="ED46" i="5" s="1"/>
  <c r="EE46" i="5" s="1"/>
  <c r="EF46" i="5" s="1"/>
  <c r="EG46" i="5" s="1"/>
  <c r="EH46" i="5" s="1"/>
  <c r="EI46" i="5" s="1"/>
  <c r="EJ46" i="5" s="1"/>
  <c r="EK46" i="5" s="1"/>
  <c r="EL46" i="5" s="1"/>
  <c r="EM46" i="5" s="1"/>
  <c r="EN46" i="5" s="1"/>
  <c r="EO46" i="5" s="1"/>
  <c r="EP46" i="5" s="1"/>
  <c r="EQ46" i="5" s="1"/>
  <c r="ER46" i="5" s="1"/>
  <c r="ES46" i="5" s="1"/>
  <c r="ET46" i="5" s="1"/>
  <c r="EU46" i="5" s="1"/>
  <c r="EV46" i="5" s="1"/>
  <c r="EW46" i="5" s="1"/>
  <c r="EX46" i="5" s="1"/>
  <c r="EY46" i="5" s="1"/>
  <c r="EZ46" i="5" s="1"/>
  <c r="FA46" i="5" s="1"/>
  <c r="FB46" i="5" s="1"/>
  <c r="FC46" i="5" s="1"/>
  <c r="FD46" i="5" s="1"/>
  <c r="FE46" i="5" s="1"/>
  <c r="FF46" i="5" s="1"/>
  <c r="FG46" i="5" s="1"/>
  <c r="FH46" i="5" s="1"/>
  <c r="FI46" i="5" s="1"/>
  <c r="FJ46" i="5" s="1"/>
  <c r="FK46" i="5" s="1"/>
  <c r="FL46" i="5" s="1"/>
  <c r="FM46" i="5" s="1"/>
  <c r="FN46" i="5" s="1"/>
  <c r="FO46" i="5" s="1"/>
  <c r="FP46" i="5" s="1"/>
  <c r="FQ46" i="5" s="1"/>
  <c r="FR46" i="5" s="1"/>
  <c r="FS46" i="5" s="1"/>
  <c r="FT46" i="5" s="1"/>
  <c r="FU46" i="5" s="1"/>
  <c r="FV46" i="5" s="1"/>
  <c r="FW46" i="5" s="1"/>
  <c r="FX46" i="5" s="1"/>
  <c r="FY46" i="5" s="1"/>
  <c r="FZ46" i="5" s="1"/>
  <c r="GA46" i="5" s="1"/>
  <c r="GB46" i="5" s="1"/>
  <c r="GC46" i="5" s="1"/>
  <c r="GD46" i="5" s="1"/>
  <c r="GE46" i="5" s="1"/>
  <c r="GF46" i="5" s="1"/>
  <c r="GG46" i="5" s="1"/>
  <c r="GH46" i="5" s="1"/>
  <c r="GI46" i="5" s="1"/>
  <c r="GJ46" i="5" s="1"/>
  <c r="GK46" i="5" s="1"/>
  <c r="GL46" i="5" s="1"/>
  <c r="GM46" i="5" s="1"/>
  <c r="GN46" i="5" s="1"/>
  <c r="GO46" i="5" s="1"/>
  <c r="GP46" i="5" s="1"/>
  <c r="GQ46" i="5" s="1"/>
  <c r="GR46" i="5" s="1"/>
  <c r="GS46" i="5" s="1"/>
  <c r="GT46" i="5" s="1"/>
  <c r="GU46" i="5" s="1"/>
  <c r="GV46" i="5" s="1"/>
  <c r="GW46" i="5" s="1"/>
  <c r="GX46" i="5" s="1"/>
  <c r="GY46" i="5" s="1"/>
  <c r="GZ46" i="5" s="1"/>
  <c r="HA46" i="5" s="1"/>
  <c r="HB46" i="5" s="1"/>
  <c r="HC46" i="5" s="1"/>
  <c r="HD46" i="5" s="1"/>
  <c r="HE46" i="5" s="1"/>
  <c r="HF46" i="5" s="1"/>
  <c r="HG46" i="5" s="1"/>
  <c r="HH46" i="5" s="1"/>
  <c r="HI46" i="5" s="1"/>
  <c r="HJ46" i="5" s="1"/>
  <c r="HK46" i="5" s="1"/>
  <c r="HL46" i="5" s="1"/>
  <c r="HM46" i="5" s="1"/>
  <c r="HN46" i="5" s="1"/>
  <c r="HO46" i="5" s="1"/>
  <c r="HP46" i="5" s="1"/>
  <c r="HQ46" i="5" s="1"/>
  <c r="HR46" i="5" s="1"/>
  <c r="HS46" i="5" s="1"/>
  <c r="HT46" i="5" s="1"/>
  <c r="HU46" i="5" s="1"/>
  <c r="HV46" i="5" s="1"/>
  <c r="HW46" i="5" s="1"/>
  <c r="HX46" i="5" s="1"/>
  <c r="HY46" i="5" s="1"/>
  <c r="HZ46" i="5" s="1"/>
  <c r="IA46" i="5" s="1"/>
  <c r="IB46" i="5" s="1"/>
  <c r="IC46" i="5" s="1"/>
  <c r="ID46" i="5" s="1"/>
  <c r="IE46" i="5" s="1"/>
  <c r="IF46" i="5" s="1"/>
  <c r="IG46" i="5" s="1"/>
  <c r="IH46" i="5" s="1"/>
  <c r="II46" i="5" s="1"/>
  <c r="IJ46" i="5" s="1"/>
  <c r="IK46" i="5" s="1"/>
  <c r="IL46" i="5" s="1"/>
  <c r="IM46" i="5" s="1"/>
  <c r="IN46" i="5" s="1"/>
  <c r="IO46" i="5" s="1"/>
  <c r="IP46" i="5" s="1"/>
  <c r="IQ46" i="5" s="1"/>
  <c r="IR46" i="5" s="1"/>
  <c r="IS46" i="5" s="1"/>
  <c r="IT46" i="5" s="1"/>
  <c r="IU46" i="5" s="1"/>
  <c r="F38" i="5"/>
  <c r="G38" i="5" s="1"/>
  <c r="H38" i="5" s="1"/>
  <c r="I38" i="5" s="1"/>
  <c r="J38" i="5" s="1"/>
  <c r="K38" i="5" s="1"/>
  <c r="L38" i="5" s="1"/>
  <c r="M38" i="5" s="1"/>
  <c r="N38" i="5" s="1"/>
  <c r="O38" i="5" s="1"/>
  <c r="P38" i="5" s="1"/>
  <c r="Q38" i="5" s="1"/>
  <c r="R38" i="5" s="1"/>
  <c r="S38" i="5" s="1"/>
  <c r="T38" i="5" s="1"/>
  <c r="U38" i="5" s="1"/>
  <c r="V38" i="5" s="1"/>
  <c r="W38" i="5" s="1"/>
  <c r="X38" i="5" s="1"/>
  <c r="Y38" i="5" s="1"/>
  <c r="Z38" i="5" s="1"/>
  <c r="AA38" i="5" s="1"/>
  <c r="AB38" i="5" s="1"/>
  <c r="AC38" i="5" s="1"/>
  <c r="AD38" i="5" s="1"/>
  <c r="AE38" i="5" s="1"/>
  <c r="AF38" i="5" s="1"/>
  <c r="AG38" i="5" s="1"/>
  <c r="AH38" i="5" s="1"/>
  <c r="AI38" i="5" s="1"/>
  <c r="AJ38" i="5" s="1"/>
  <c r="AK38" i="5" s="1"/>
  <c r="AL38" i="5" s="1"/>
  <c r="AM38" i="5" s="1"/>
  <c r="AN38" i="5" s="1"/>
  <c r="AO38" i="5" s="1"/>
  <c r="AP38" i="5" s="1"/>
  <c r="AQ38" i="5" s="1"/>
  <c r="AR38" i="5" s="1"/>
  <c r="AS38" i="5" s="1"/>
  <c r="AT38" i="5" s="1"/>
  <c r="AU38" i="5" s="1"/>
  <c r="AV38" i="5" s="1"/>
  <c r="AW38" i="5" s="1"/>
  <c r="AX38" i="5" s="1"/>
  <c r="AY38" i="5" s="1"/>
  <c r="AZ38" i="5" s="1"/>
  <c r="BA38" i="5" s="1"/>
  <c r="BB38" i="5" s="1"/>
  <c r="BC38" i="5" s="1"/>
  <c r="BD38" i="5" s="1"/>
  <c r="BE38" i="5" s="1"/>
  <c r="BF38" i="5" s="1"/>
  <c r="BG38" i="5" s="1"/>
  <c r="BH38" i="5" s="1"/>
  <c r="BI38" i="5" s="1"/>
  <c r="BJ38" i="5" s="1"/>
  <c r="BK38" i="5" s="1"/>
  <c r="BL38" i="5" s="1"/>
  <c r="BM38" i="5" s="1"/>
  <c r="BN38" i="5" s="1"/>
  <c r="BO38" i="5" s="1"/>
  <c r="BP38" i="5" s="1"/>
  <c r="BQ38" i="5" s="1"/>
  <c r="BR38" i="5" s="1"/>
  <c r="BS38" i="5" s="1"/>
  <c r="BT38" i="5" s="1"/>
  <c r="BU38" i="5" s="1"/>
  <c r="BV38" i="5" s="1"/>
  <c r="BW38" i="5" s="1"/>
  <c r="BX38" i="5" s="1"/>
  <c r="BY38" i="5" s="1"/>
  <c r="BZ38" i="5" s="1"/>
  <c r="CA38" i="5" s="1"/>
  <c r="CB38" i="5" s="1"/>
  <c r="CC38" i="5" s="1"/>
  <c r="CD38" i="5" s="1"/>
  <c r="CE38" i="5" s="1"/>
  <c r="CF38" i="5" s="1"/>
  <c r="CG38" i="5" s="1"/>
  <c r="CH38" i="5" s="1"/>
  <c r="CI38" i="5" s="1"/>
  <c r="CJ38" i="5" s="1"/>
  <c r="CK38" i="5" s="1"/>
  <c r="CL38" i="5" s="1"/>
  <c r="CM38" i="5" s="1"/>
  <c r="CN38" i="5" s="1"/>
  <c r="CO38" i="5" s="1"/>
  <c r="CP38" i="5" s="1"/>
  <c r="CQ38" i="5" s="1"/>
  <c r="CR38" i="5" s="1"/>
  <c r="CS38" i="5" s="1"/>
  <c r="CT38" i="5" s="1"/>
  <c r="CU38" i="5" s="1"/>
  <c r="CV38" i="5" s="1"/>
  <c r="CW38" i="5" s="1"/>
  <c r="CX38" i="5" s="1"/>
  <c r="CY38" i="5" s="1"/>
  <c r="CZ38" i="5" s="1"/>
  <c r="DA38" i="5" s="1"/>
  <c r="DB38" i="5" s="1"/>
  <c r="DC38" i="5" s="1"/>
  <c r="DD38" i="5" s="1"/>
  <c r="DE38" i="5" s="1"/>
  <c r="DF38" i="5" s="1"/>
  <c r="DG38" i="5" s="1"/>
  <c r="DH38" i="5" s="1"/>
  <c r="DI38" i="5" s="1"/>
  <c r="DJ38" i="5" s="1"/>
  <c r="DK38" i="5" s="1"/>
  <c r="DL38" i="5" s="1"/>
  <c r="DM38" i="5" s="1"/>
  <c r="DN38" i="5" s="1"/>
  <c r="DO38" i="5" s="1"/>
  <c r="DP38" i="5" s="1"/>
  <c r="DQ38" i="5" s="1"/>
  <c r="DR38" i="5" s="1"/>
  <c r="DS38" i="5" s="1"/>
  <c r="DT38" i="5" s="1"/>
  <c r="DU38" i="5" s="1"/>
  <c r="DV38" i="5" s="1"/>
  <c r="DW38" i="5" s="1"/>
  <c r="DX38" i="5" s="1"/>
  <c r="DY38" i="5" s="1"/>
  <c r="DZ38" i="5" s="1"/>
  <c r="EA38" i="5" s="1"/>
  <c r="EB38" i="5" s="1"/>
  <c r="EC38" i="5" s="1"/>
  <c r="ED38" i="5" s="1"/>
  <c r="EE38" i="5" s="1"/>
  <c r="EF38" i="5" s="1"/>
  <c r="EG38" i="5" s="1"/>
  <c r="EH38" i="5" s="1"/>
  <c r="EI38" i="5" s="1"/>
  <c r="EJ38" i="5" s="1"/>
  <c r="EK38" i="5" s="1"/>
  <c r="EL38" i="5" s="1"/>
  <c r="EM38" i="5" s="1"/>
  <c r="EN38" i="5" s="1"/>
  <c r="EO38" i="5" s="1"/>
  <c r="EP38" i="5" s="1"/>
  <c r="EQ38" i="5" s="1"/>
  <c r="ER38" i="5" s="1"/>
  <c r="ES38" i="5" s="1"/>
  <c r="ET38" i="5" s="1"/>
  <c r="EU38" i="5" s="1"/>
  <c r="EV38" i="5" s="1"/>
  <c r="EW38" i="5" s="1"/>
  <c r="EX38" i="5" s="1"/>
  <c r="EY38" i="5" s="1"/>
  <c r="EZ38" i="5" s="1"/>
  <c r="FA38" i="5" s="1"/>
  <c r="FB38" i="5" s="1"/>
  <c r="FC38" i="5" s="1"/>
  <c r="FD38" i="5" s="1"/>
  <c r="FE38" i="5" s="1"/>
  <c r="FF38" i="5" s="1"/>
  <c r="FG38" i="5" s="1"/>
  <c r="FH38" i="5" s="1"/>
  <c r="FI38" i="5" s="1"/>
  <c r="FJ38" i="5" s="1"/>
  <c r="FK38" i="5" s="1"/>
  <c r="FL38" i="5" s="1"/>
  <c r="FM38" i="5" s="1"/>
  <c r="FN38" i="5" s="1"/>
  <c r="FO38" i="5" s="1"/>
  <c r="FP38" i="5" s="1"/>
  <c r="FQ38" i="5" s="1"/>
  <c r="FR38" i="5" s="1"/>
  <c r="FS38" i="5" s="1"/>
  <c r="FT38" i="5" s="1"/>
  <c r="FU38" i="5" s="1"/>
  <c r="FV38" i="5" s="1"/>
  <c r="FW38" i="5" s="1"/>
  <c r="FX38" i="5" s="1"/>
  <c r="FY38" i="5" s="1"/>
  <c r="FZ38" i="5" s="1"/>
  <c r="GA38" i="5" s="1"/>
  <c r="GB38" i="5" s="1"/>
  <c r="GC38" i="5" s="1"/>
  <c r="GD38" i="5" s="1"/>
  <c r="GE38" i="5" s="1"/>
  <c r="GF38" i="5" s="1"/>
  <c r="GG38" i="5" s="1"/>
  <c r="GH38" i="5" s="1"/>
  <c r="GI38" i="5" s="1"/>
  <c r="GJ38" i="5" s="1"/>
  <c r="GK38" i="5" s="1"/>
  <c r="GL38" i="5" s="1"/>
  <c r="GM38" i="5" s="1"/>
  <c r="GN38" i="5" s="1"/>
  <c r="GO38" i="5" s="1"/>
  <c r="GP38" i="5" s="1"/>
  <c r="GQ38" i="5" s="1"/>
  <c r="GR38" i="5" s="1"/>
  <c r="GS38" i="5" s="1"/>
  <c r="GT38" i="5" s="1"/>
  <c r="GU38" i="5" s="1"/>
  <c r="GV38" i="5" s="1"/>
  <c r="GW38" i="5" s="1"/>
  <c r="GX38" i="5" s="1"/>
  <c r="GY38" i="5" s="1"/>
  <c r="GZ38" i="5" s="1"/>
  <c r="HA38" i="5" s="1"/>
  <c r="HB38" i="5" s="1"/>
  <c r="HC38" i="5" s="1"/>
  <c r="HD38" i="5" s="1"/>
  <c r="HE38" i="5" s="1"/>
  <c r="HF38" i="5" s="1"/>
  <c r="HG38" i="5" s="1"/>
  <c r="HH38" i="5" s="1"/>
  <c r="HI38" i="5" s="1"/>
  <c r="HJ38" i="5" s="1"/>
  <c r="HK38" i="5" s="1"/>
  <c r="HL38" i="5" s="1"/>
  <c r="HM38" i="5" s="1"/>
  <c r="HN38" i="5" s="1"/>
  <c r="HO38" i="5" s="1"/>
  <c r="HP38" i="5" s="1"/>
  <c r="HQ38" i="5" s="1"/>
  <c r="HR38" i="5" s="1"/>
  <c r="HS38" i="5" s="1"/>
  <c r="HT38" i="5" s="1"/>
  <c r="HU38" i="5" s="1"/>
  <c r="HV38" i="5" s="1"/>
  <c r="HW38" i="5" s="1"/>
  <c r="HX38" i="5" s="1"/>
  <c r="HY38" i="5" s="1"/>
  <c r="HZ38" i="5" s="1"/>
  <c r="IA38" i="5" s="1"/>
  <c r="IB38" i="5" s="1"/>
  <c r="IC38" i="5" s="1"/>
  <c r="ID38" i="5" s="1"/>
  <c r="IE38" i="5" s="1"/>
  <c r="IF38" i="5" s="1"/>
  <c r="IG38" i="5" s="1"/>
  <c r="IH38" i="5" s="1"/>
  <c r="II38" i="5" s="1"/>
  <c r="IJ38" i="5" s="1"/>
  <c r="IK38" i="5" s="1"/>
  <c r="IL38" i="5" s="1"/>
  <c r="IM38" i="5" s="1"/>
  <c r="IN38" i="5" s="1"/>
  <c r="IO38" i="5" s="1"/>
  <c r="IP38" i="5" s="1"/>
  <c r="IQ38" i="5" s="1"/>
  <c r="IR38" i="5" s="1"/>
  <c r="IS38" i="5" s="1"/>
  <c r="IT38" i="5" s="1"/>
  <c r="IU38" i="5" s="1"/>
  <c r="F30" i="5"/>
  <c r="G30" i="5" s="1"/>
  <c r="H30" i="5" s="1"/>
  <c r="I30" i="5" s="1"/>
  <c r="J30" i="5" s="1"/>
  <c r="K30" i="5" s="1"/>
  <c r="L30" i="5" s="1"/>
  <c r="M30" i="5" s="1"/>
  <c r="N30" i="5" s="1"/>
  <c r="O30" i="5" s="1"/>
  <c r="P30" i="5" s="1"/>
  <c r="Q30" i="5" s="1"/>
  <c r="R30" i="5" s="1"/>
  <c r="S30" i="5" s="1"/>
  <c r="T30" i="5" s="1"/>
  <c r="U30" i="5" s="1"/>
  <c r="V30" i="5" s="1"/>
  <c r="W30" i="5" s="1"/>
  <c r="X30" i="5" s="1"/>
  <c r="Y30" i="5" s="1"/>
  <c r="Z30" i="5" s="1"/>
  <c r="AA30" i="5" s="1"/>
  <c r="AB30" i="5" s="1"/>
  <c r="AC30" i="5" s="1"/>
  <c r="AD30" i="5" s="1"/>
  <c r="AE30" i="5" s="1"/>
  <c r="AF30" i="5" s="1"/>
  <c r="AG30" i="5" s="1"/>
  <c r="AH30" i="5" s="1"/>
  <c r="AI30" i="5" s="1"/>
  <c r="AJ30" i="5" s="1"/>
  <c r="AK30" i="5" s="1"/>
  <c r="AL30" i="5" s="1"/>
  <c r="AM30" i="5" s="1"/>
  <c r="AN30" i="5" s="1"/>
  <c r="AO30" i="5" s="1"/>
  <c r="AP30" i="5" s="1"/>
  <c r="AQ30" i="5" s="1"/>
  <c r="AR30" i="5" s="1"/>
  <c r="AS30" i="5" s="1"/>
  <c r="AT30" i="5" s="1"/>
  <c r="AU30" i="5" s="1"/>
  <c r="AV30" i="5" s="1"/>
  <c r="AW30" i="5" s="1"/>
  <c r="AX30" i="5" s="1"/>
  <c r="AY30" i="5" s="1"/>
  <c r="AZ30" i="5" s="1"/>
  <c r="BA30" i="5" s="1"/>
  <c r="BB30" i="5" s="1"/>
  <c r="BC30" i="5" s="1"/>
  <c r="BD30" i="5" s="1"/>
  <c r="BE30" i="5" s="1"/>
  <c r="BF30" i="5" s="1"/>
  <c r="BG30" i="5" s="1"/>
  <c r="BH30" i="5" s="1"/>
  <c r="BI30" i="5" s="1"/>
  <c r="BJ30" i="5" s="1"/>
  <c r="BK30" i="5" s="1"/>
  <c r="BL30" i="5" s="1"/>
  <c r="BM30" i="5" s="1"/>
  <c r="BN30" i="5" s="1"/>
  <c r="BO30" i="5" s="1"/>
  <c r="BP30" i="5" s="1"/>
  <c r="BQ30" i="5" s="1"/>
  <c r="BR30" i="5" s="1"/>
  <c r="BS30" i="5" s="1"/>
  <c r="BT30" i="5" s="1"/>
  <c r="BU30" i="5" s="1"/>
  <c r="BV30" i="5" s="1"/>
  <c r="BW30" i="5" s="1"/>
  <c r="BX30" i="5" s="1"/>
  <c r="BY30" i="5" s="1"/>
  <c r="BZ30" i="5" s="1"/>
  <c r="CA30" i="5" s="1"/>
  <c r="CB30" i="5" s="1"/>
  <c r="CC30" i="5" s="1"/>
  <c r="CD30" i="5" s="1"/>
  <c r="CE30" i="5" s="1"/>
  <c r="CF30" i="5" s="1"/>
  <c r="CG30" i="5" s="1"/>
  <c r="CH30" i="5" s="1"/>
  <c r="CI30" i="5" s="1"/>
  <c r="CJ30" i="5" s="1"/>
  <c r="CK30" i="5" s="1"/>
  <c r="CL30" i="5" s="1"/>
  <c r="CM30" i="5" s="1"/>
  <c r="CN30" i="5" s="1"/>
  <c r="CO30" i="5" s="1"/>
  <c r="CP30" i="5" s="1"/>
  <c r="CQ30" i="5" s="1"/>
  <c r="CR30" i="5" s="1"/>
  <c r="CS30" i="5" s="1"/>
  <c r="CT30" i="5" s="1"/>
  <c r="CU30" i="5" s="1"/>
  <c r="CV30" i="5" s="1"/>
  <c r="CW30" i="5" s="1"/>
  <c r="CX30" i="5" s="1"/>
  <c r="CY30" i="5" s="1"/>
  <c r="CZ30" i="5" s="1"/>
  <c r="DA30" i="5" s="1"/>
  <c r="DB30" i="5" s="1"/>
  <c r="DC30" i="5" s="1"/>
  <c r="DD30" i="5" s="1"/>
  <c r="DE30" i="5" s="1"/>
  <c r="DF30" i="5" s="1"/>
  <c r="DG30" i="5" s="1"/>
  <c r="DH30" i="5" s="1"/>
  <c r="DI30" i="5" s="1"/>
  <c r="DJ30" i="5" s="1"/>
  <c r="DK30" i="5" s="1"/>
  <c r="DL30" i="5" s="1"/>
  <c r="DM30" i="5" s="1"/>
  <c r="DN30" i="5" s="1"/>
  <c r="DO30" i="5" s="1"/>
  <c r="DP30" i="5" s="1"/>
  <c r="DQ30" i="5" s="1"/>
  <c r="DR30" i="5" s="1"/>
  <c r="DS30" i="5" s="1"/>
  <c r="DT30" i="5" s="1"/>
  <c r="DU30" i="5" s="1"/>
  <c r="DV30" i="5" s="1"/>
  <c r="DW30" i="5" s="1"/>
  <c r="DX30" i="5" s="1"/>
  <c r="DY30" i="5" s="1"/>
  <c r="DZ30" i="5" s="1"/>
  <c r="EA30" i="5" s="1"/>
  <c r="EB30" i="5" s="1"/>
  <c r="EC30" i="5" s="1"/>
  <c r="ED30" i="5" s="1"/>
  <c r="EE30" i="5" s="1"/>
  <c r="EF30" i="5" s="1"/>
  <c r="EG30" i="5" s="1"/>
  <c r="EH30" i="5" s="1"/>
  <c r="EI30" i="5" s="1"/>
  <c r="EJ30" i="5" s="1"/>
  <c r="EK30" i="5" s="1"/>
  <c r="EL30" i="5" s="1"/>
  <c r="EM30" i="5" s="1"/>
  <c r="EN30" i="5" s="1"/>
  <c r="EO30" i="5" s="1"/>
  <c r="EP30" i="5" s="1"/>
  <c r="EQ30" i="5" s="1"/>
  <c r="ER30" i="5" s="1"/>
  <c r="ES30" i="5" s="1"/>
  <c r="ET30" i="5" s="1"/>
  <c r="EU30" i="5" s="1"/>
  <c r="EV30" i="5" s="1"/>
  <c r="EW30" i="5" s="1"/>
  <c r="EX30" i="5" s="1"/>
  <c r="EY30" i="5" s="1"/>
  <c r="EZ30" i="5" s="1"/>
  <c r="FA30" i="5" s="1"/>
  <c r="FB30" i="5" s="1"/>
  <c r="FC30" i="5" s="1"/>
  <c r="FD30" i="5" s="1"/>
  <c r="FE30" i="5" s="1"/>
  <c r="FF30" i="5" s="1"/>
  <c r="FG30" i="5" s="1"/>
  <c r="FH30" i="5" s="1"/>
  <c r="FI30" i="5" s="1"/>
  <c r="FJ30" i="5" s="1"/>
  <c r="FK30" i="5" s="1"/>
  <c r="FL30" i="5" s="1"/>
  <c r="FM30" i="5" s="1"/>
  <c r="FN30" i="5" s="1"/>
  <c r="FO30" i="5" s="1"/>
  <c r="FP30" i="5" s="1"/>
  <c r="FQ30" i="5" s="1"/>
  <c r="FR30" i="5" s="1"/>
  <c r="FS30" i="5" s="1"/>
  <c r="FT30" i="5" s="1"/>
  <c r="FU30" i="5" s="1"/>
  <c r="FV30" i="5" s="1"/>
  <c r="FW30" i="5" s="1"/>
  <c r="FX30" i="5" s="1"/>
  <c r="FY30" i="5" s="1"/>
  <c r="FZ30" i="5" s="1"/>
  <c r="GA30" i="5" s="1"/>
  <c r="GB30" i="5" s="1"/>
  <c r="GC30" i="5" s="1"/>
  <c r="GD30" i="5" s="1"/>
  <c r="GE30" i="5" s="1"/>
  <c r="GF30" i="5" s="1"/>
  <c r="GG30" i="5" s="1"/>
  <c r="GH30" i="5" s="1"/>
  <c r="GI30" i="5" s="1"/>
  <c r="GJ30" i="5" s="1"/>
  <c r="GK30" i="5" s="1"/>
  <c r="GL30" i="5" s="1"/>
  <c r="GM30" i="5" s="1"/>
  <c r="GN30" i="5" s="1"/>
  <c r="GO30" i="5" s="1"/>
  <c r="GP30" i="5" s="1"/>
  <c r="GQ30" i="5" s="1"/>
  <c r="GR30" i="5" s="1"/>
  <c r="GS30" i="5" s="1"/>
  <c r="GT30" i="5" s="1"/>
  <c r="GU30" i="5" s="1"/>
  <c r="GV30" i="5" s="1"/>
  <c r="GW30" i="5" s="1"/>
  <c r="GX30" i="5" s="1"/>
  <c r="GY30" i="5" s="1"/>
  <c r="GZ30" i="5" s="1"/>
  <c r="HA30" i="5" s="1"/>
  <c r="HB30" i="5" s="1"/>
  <c r="HC30" i="5" s="1"/>
  <c r="HD30" i="5" s="1"/>
  <c r="HE30" i="5" s="1"/>
  <c r="HF30" i="5" s="1"/>
  <c r="HG30" i="5" s="1"/>
  <c r="HH30" i="5" s="1"/>
  <c r="HI30" i="5" s="1"/>
  <c r="HJ30" i="5" s="1"/>
  <c r="HK30" i="5" s="1"/>
  <c r="HL30" i="5" s="1"/>
  <c r="HM30" i="5" s="1"/>
  <c r="HN30" i="5" s="1"/>
  <c r="HO30" i="5" s="1"/>
  <c r="HP30" i="5" s="1"/>
  <c r="HQ30" i="5" s="1"/>
  <c r="HR30" i="5" s="1"/>
  <c r="HS30" i="5" s="1"/>
  <c r="HT30" i="5" s="1"/>
  <c r="HU30" i="5" s="1"/>
  <c r="HV30" i="5" s="1"/>
  <c r="HW30" i="5" s="1"/>
  <c r="HX30" i="5" s="1"/>
  <c r="HY30" i="5" s="1"/>
  <c r="HZ30" i="5" s="1"/>
  <c r="IA30" i="5" s="1"/>
  <c r="IB30" i="5" s="1"/>
  <c r="IC30" i="5" s="1"/>
  <c r="ID30" i="5" s="1"/>
  <c r="IE30" i="5" s="1"/>
  <c r="IF30" i="5" s="1"/>
  <c r="IG30" i="5" s="1"/>
  <c r="IH30" i="5" s="1"/>
  <c r="II30" i="5" s="1"/>
  <c r="IJ30" i="5" s="1"/>
  <c r="IK30" i="5" s="1"/>
  <c r="IL30" i="5" s="1"/>
  <c r="IM30" i="5" s="1"/>
  <c r="IN30" i="5" s="1"/>
  <c r="IO30" i="5" s="1"/>
  <c r="IP30" i="5" s="1"/>
  <c r="IQ30" i="5" s="1"/>
  <c r="IR30" i="5" s="1"/>
  <c r="IS30" i="5" s="1"/>
  <c r="IT30" i="5" s="1"/>
  <c r="IU30" i="5" s="1"/>
  <c r="F22" i="5"/>
  <c r="G22" i="5" s="1"/>
  <c r="H22" i="5" s="1"/>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CT22" i="5" s="1"/>
  <c r="CU22" i="5" s="1"/>
  <c r="CV22" i="5" s="1"/>
  <c r="CW22" i="5" s="1"/>
  <c r="CX22" i="5" s="1"/>
  <c r="CY22" i="5" s="1"/>
  <c r="CZ22" i="5" s="1"/>
  <c r="DA22" i="5" s="1"/>
  <c r="DB22" i="5" s="1"/>
  <c r="DC22" i="5" s="1"/>
  <c r="DD22" i="5" s="1"/>
  <c r="DE22" i="5" s="1"/>
  <c r="DF22" i="5" s="1"/>
  <c r="DG22" i="5" s="1"/>
  <c r="DH22" i="5" s="1"/>
  <c r="DI22" i="5" s="1"/>
  <c r="DJ22" i="5" s="1"/>
  <c r="DK22" i="5" s="1"/>
  <c r="DL22" i="5" s="1"/>
  <c r="DM22" i="5" s="1"/>
  <c r="DN22" i="5" s="1"/>
  <c r="DO22" i="5" s="1"/>
  <c r="DP22" i="5" s="1"/>
  <c r="DQ22" i="5" s="1"/>
  <c r="DR22" i="5" s="1"/>
  <c r="DS22" i="5" s="1"/>
  <c r="DT22" i="5" s="1"/>
  <c r="DU22" i="5" s="1"/>
  <c r="DV22" i="5" s="1"/>
  <c r="DW22" i="5" s="1"/>
  <c r="DX22" i="5" s="1"/>
  <c r="DY22" i="5" s="1"/>
  <c r="DZ22" i="5" s="1"/>
  <c r="EA22" i="5" s="1"/>
  <c r="EB22" i="5" s="1"/>
  <c r="EC22" i="5" s="1"/>
  <c r="ED22" i="5" s="1"/>
  <c r="EE22" i="5" s="1"/>
  <c r="EF22" i="5" s="1"/>
  <c r="EG22" i="5" s="1"/>
  <c r="EH22" i="5" s="1"/>
  <c r="EI22" i="5" s="1"/>
  <c r="EJ22" i="5" s="1"/>
  <c r="EK22" i="5" s="1"/>
  <c r="EL22" i="5" s="1"/>
  <c r="EM22" i="5" s="1"/>
  <c r="EN22" i="5" s="1"/>
  <c r="EO22" i="5" s="1"/>
  <c r="EP22" i="5" s="1"/>
  <c r="EQ22" i="5" s="1"/>
  <c r="ER22" i="5" s="1"/>
  <c r="ES22" i="5" s="1"/>
  <c r="ET22" i="5" s="1"/>
  <c r="EU22" i="5" s="1"/>
  <c r="EV22" i="5" s="1"/>
  <c r="EW22" i="5" s="1"/>
  <c r="EX22" i="5" s="1"/>
  <c r="EY22" i="5" s="1"/>
  <c r="EZ22" i="5" s="1"/>
  <c r="FA22" i="5" s="1"/>
  <c r="FB22" i="5" s="1"/>
  <c r="FC22" i="5" s="1"/>
  <c r="FD22" i="5" s="1"/>
  <c r="FE22" i="5" s="1"/>
  <c r="FF22" i="5" s="1"/>
  <c r="FG22" i="5" s="1"/>
  <c r="FH22" i="5" s="1"/>
  <c r="FI22" i="5" s="1"/>
  <c r="FJ22" i="5" s="1"/>
  <c r="FK22" i="5" s="1"/>
  <c r="FL22" i="5" s="1"/>
  <c r="FM22" i="5" s="1"/>
  <c r="FN22" i="5" s="1"/>
  <c r="FO22" i="5" s="1"/>
  <c r="FP22" i="5" s="1"/>
  <c r="FQ22" i="5" s="1"/>
  <c r="FR22" i="5" s="1"/>
  <c r="FS22" i="5" s="1"/>
  <c r="FT22" i="5" s="1"/>
  <c r="FU22" i="5" s="1"/>
  <c r="FV22" i="5" s="1"/>
  <c r="FW22" i="5" s="1"/>
  <c r="FX22" i="5" s="1"/>
  <c r="FY22" i="5" s="1"/>
  <c r="FZ22" i="5" s="1"/>
  <c r="GA22" i="5" s="1"/>
  <c r="GB22" i="5" s="1"/>
  <c r="GC22" i="5" s="1"/>
  <c r="GD22" i="5" s="1"/>
  <c r="GE22" i="5" s="1"/>
  <c r="GF22" i="5" s="1"/>
  <c r="GG22" i="5" s="1"/>
  <c r="GH22" i="5" s="1"/>
  <c r="GI22" i="5" s="1"/>
  <c r="GJ22" i="5" s="1"/>
  <c r="GK22" i="5" s="1"/>
  <c r="GL22" i="5" s="1"/>
  <c r="GM22" i="5" s="1"/>
  <c r="GN22" i="5" s="1"/>
  <c r="GO22" i="5" s="1"/>
  <c r="GP22" i="5" s="1"/>
  <c r="GQ22" i="5" s="1"/>
  <c r="GR22" i="5" s="1"/>
  <c r="GS22" i="5" s="1"/>
  <c r="GT22" i="5" s="1"/>
  <c r="GU22" i="5" s="1"/>
  <c r="GV22" i="5" s="1"/>
  <c r="GW22" i="5" s="1"/>
  <c r="GX22" i="5" s="1"/>
  <c r="GY22" i="5" s="1"/>
  <c r="GZ22" i="5" s="1"/>
  <c r="HA22" i="5" s="1"/>
  <c r="HB22" i="5" s="1"/>
  <c r="HC22" i="5" s="1"/>
  <c r="HD22" i="5" s="1"/>
  <c r="HE22" i="5" s="1"/>
  <c r="HF22" i="5" s="1"/>
  <c r="HG22" i="5" s="1"/>
  <c r="HH22" i="5" s="1"/>
  <c r="HI22" i="5" s="1"/>
  <c r="HJ22" i="5" s="1"/>
  <c r="HK22" i="5" s="1"/>
  <c r="HL22" i="5" s="1"/>
  <c r="HM22" i="5" s="1"/>
  <c r="HN22" i="5" s="1"/>
  <c r="HO22" i="5" s="1"/>
  <c r="HP22" i="5" s="1"/>
  <c r="HQ22" i="5" s="1"/>
  <c r="HR22" i="5" s="1"/>
  <c r="HS22" i="5" s="1"/>
  <c r="HT22" i="5" s="1"/>
  <c r="HU22" i="5" s="1"/>
  <c r="HV22" i="5" s="1"/>
  <c r="HW22" i="5" s="1"/>
  <c r="HX22" i="5" s="1"/>
  <c r="HY22" i="5" s="1"/>
  <c r="HZ22" i="5" s="1"/>
  <c r="IA22" i="5" s="1"/>
  <c r="IB22" i="5" s="1"/>
  <c r="IC22" i="5" s="1"/>
  <c r="ID22" i="5" s="1"/>
  <c r="IE22" i="5" s="1"/>
  <c r="IF22" i="5" s="1"/>
  <c r="IG22" i="5" s="1"/>
  <c r="IH22" i="5" s="1"/>
  <c r="II22" i="5" s="1"/>
  <c r="IJ22" i="5" s="1"/>
  <c r="IK22" i="5" s="1"/>
  <c r="IL22" i="5" s="1"/>
  <c r="IM22" i="5" s="1"/>
  <c r="IN22" i="5" s="1"/>
  <c r="IO22" i="5" s="1"/>
  <c r="IP22" i="5" s="1"/>
  <c r="IQ22" i="5" s="1"/>
  <c r="IR22" i="5" s="1"/>
  <c r="IS22" i="5" s="1"/>
  <c r="IT22" i="5" s="1"/>
  <c r="IU22" i="5" s="1"/>
  <c r="G14" i="5"/>
  <c r="H14" i="5" s="1"/>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CT14" i="5" s="1"/>
  <c r="CU14" i="5" s="1"/>
  <c r="CV14" i="5" s="1"/>
  <c r="CW14" i="5" s="1"/>
  <c r="CX14" i="5" s="1"/>
  <c r="CY14" i="5" s="1"/>
  <c r="CZ14" i="5" s="1"/>
  <c r="DA14" i="5" s="1"/>
  <c r="DB14" i="5" s="1"/>
  <c r="DC14" i="5" s="1"/>
  <c r="DD14" i="5" s="1"/>
  <c r="DE14" i="5" s="1"/>
  <c r="DF14" i="5" s="1"/>
  <c r="DG14" i="5" s="1"/>
  <c r="DH14" i="5" s="1"/>
  <c r="DI14" i="5" s="1"/>
  <c r="DJ14" i="5" s="1"/>
  <c r="DK14" i="5" s="1"/>
  <c r="DL14" i="5" s="1"/>
  <c r="DM14" i="5" s="1"/>
  <c r="DN14" i="5" s="1"/>
  <c r="DO14" i="5" s="1"/>
  <c r="DP14" i="5" s="1"/>
  <c r="DQ14" i="5" s="1"/>
  <c r="DR14" i="5" s="1"/>
  <c r="DS14" i="5" s="1"/>
  <c r="DT14" i="5" s="1"/>
  <c r="DU14" i="5" s="1"/>
  <c r="DV14" i="5" s="1"/>
  <c r="DW14" i="5" s="1"/>
  <c r="DX14" i="5" s="1"/>
  <c r="DY14" i="5" s="1"/>
  <c r="DZ14" i="5" s="1"/>
  <c r="EA14" i="5" s="1"/>
  <c r="EB14" i="5" s="1"/>
  <c r="EC14" i="5" s="1"/>
  <c r="ED14" i="5" s="1"/>
  <c r="EE14" i="5" s="1"/>
  <c r="EF14" i="5" s="1"/>
  <c r="EG14" i="5" s="1"/>
  <c r="EH14" i="5" s="1"/>
  <c r="EI14" i="5" s="1"/>
  <c r="EJ14" i="5" s="1"/>
  <c r="EK14" i="5" s="1"/>
  <c r="EL14" i="5" s="1"/>
  <c r="EM14" i="5" s="1"/>
  <c r="EN14" i="5" s="1"/>
  <c r="EO14" i="5" s="1"/>
  <c r="EP14" i="5" s="1"/>
  <c r="EQ14" i="5" s="1"/>
  <c r="ER14" i="5" s="1"/>
  <c r="ES14" i="5" s="1"/>
  <c r="ET14" i="5" s="1"/>
  <c r="EU14" i="5" s="1"/>
  <c r="EV14" i="5" s="1"/>
  <c r="EW14" i="5" s="1"/>
  <c r="EX14" i="5" s="1"/>
  <c r="EY14" i="5" s="1"/>
  <c r="EZ14" i="5" s="1"/>
  <c r="FA14" i="5" s="1"/>
  <c r="FB14" i="5" s="1"/>
  <c r="FC14" i="5" s="1"/>
  <c r="FD14" i="5" s="1"/>
  <c r="FE14" i="5" s="1"/>
  <c r="FF14" i="5" s="1"/>
  <c r="FG14" i="5" s="1"/>
  <c r="FH14" i="5" s="1"/>
  <c r="FI14" i="5" s="1"/>
  <c r="FJ14" i="5" s="1"/>
  <c r="FK14" i="5" s="1"/>
  <c r="FL14" i="5" s="1"/>
  <c r="FM14" i="5" s="1"/>
  <c r="FN14" i="5" s="1"/>
  <c r="FO14" i="5" s="1"/>
  <c r="FP14" i="5" s="1"/>
  <c r="FQ14" i="5" s="1"/>
  <c r="FR14" i="5" s="1"/>
  <c r="FS14" i="5" s="1"/>
  <c r="FT14" i="5" s="1"/>
  <c r="FU14" i="5" s="1"/>
  <c r="FV14" i="5" s="1"/>
  <c r="FW14" i="5" s="1"/>
  <c r="FX14" i="5" s="1"/>
  <c r="FY14" i="5" s="1"/>
  <c r="FZ14" i="5" s="1"/>
  <c r="GA14" i="5" s="1"/>
  <c r="GB14" i="5" s="1"/>
  <c r="GC14" i="5" s="1"/>
  <c r="GD14" i="5" s="1"/>
  <c r="GE14" i="5" s="1"/>
  <c r="GF14" i="5" s="1"/>
  <c r="GG14" i="5" s="1"/>
  <c r="GH14" i="5" s="1"/>
  <c r="GI14" i="5" s="1"/>
  <c r="GJ14" i="5" s="1"/>
  <c r="GK14" i="5" s="1"/>
  <c r="GL14" i="5" s="1"/>
  <c r="GM14" i="5" s="1"/>
  <c r="GN14" i="5" s="1"/>
  <c r="GO14" i="5" s="1"/>
  <c r="GP14" i="5" s="1"/>
  <c r="GQ14" i="5" s="1"/>
  <c r="GR14" i="5" s="1"/>
  <c r="GS14" i="5" s="1"/>
  <c r="GT14" i="5" s="1"/>
  <c r="GU14" i="5" s="1"/>
  <c r="GV14" i="5" s="1"/>
  <c r="GW14" i="5" s="1"/>
  <c r="GX14" i="5" s="1"/>
  <c r="GY14" i="5" s="1"/>
  <c r="GZ14" i="5" s="1"/>
  <c r="HA14" i="5" s="1"/>
  <c r="HB14" i="5" s="1"/>
  <c r="HC14" i="5" s="1"/>
  <c r="HD14" i="5" s="1"/>
  <c r="HE14" i="5" s="1"/>
  <c r="HF14" i="5" s="1"/>
  <c r="HG14" i="5" s="1"/>
  <c r="HH14" i="5" s="1"/>
  <c r="HI14" i="5" s="1"/>
  <c r="HJ14" i="5" s="1"/>
  <c r="HK14" i="5" s="1"/>
  <c r="HL14" i="5" s="1"/>
  <c r="HM14" i="5" s="1"/>
  <c r="HN14" i="5" s="1"/>
  <c r="HO14" i="5" s="1"/>
  <c r="HP14" i="5" s="1"/>
  <c r="HQ14" i="5" s="1"/>
  <c r="HR14" i="5" s="1"/>
  <c r="HS14" i="5" s="1"/>
  <c r="HT14" i="5" s="1"/>
  <c r="HU14" i="5" s="1"/>
  <c r="HV14" i="5" s="1"/>
  <c r="HW14" i="5" s="1"/>
  <c r="HX14" i="5" s="1"/>
  <c r="HY14" i="5" s="1"/>
  <c r="HZ14" i="5" s="1"/>
  <c r="IA14" i="5" s="1"/>
  <c r="IB14" i="5" s="1"/>
  <c r="IC14" i="5" s="1"/>
  <c r="ID14" i="5" s="1"/>
  <c r="IE14" i="5" s="1"/>
  <c r="IF14" i="5" s="1"/>
  <c r="IG14" i="5" s="1"/>
  <c r="IH14" i="5" s="1"/>
  <c r="II14" i="5" s="1"/>
  <c r="IJ14" i="5" s="1"/>
  <c r="IK14" i="5" s="1"/>
  <c r="IL14" i="5" s="1"/>
  <c r="IM14" i="5" s="1"/>
  <c r="IN14" i="5" s="1"/>
  <c r="IO14" i="5" s="1"/>
  <c r="IP14" i="5" s="1"/>
  <c r="IQ14" i="5" s="1"/>
  <c r="IR14" i="5" s="1"/>
  <c r="IS14" i="5" s="1"/>
  <c r="IT14" i="5" s="1"/>
  <c r="IU14" i="5" s="1"/>
  <c r="F109" i="5"/>
  <c r="G109" i="5" s="1"/>
  <c r="H109" i="5" s="1"/>
  <c r="I109" i="5" s="1"/>
  <c r="J109" i="5" s="1"/>
  <c r="K109" i="5" s="1"/>
  <c r="L109" i="5" s="1"/>
  <c r="M109" i="5" s="1"/>
  <c r="N109" i="5" s="1"/>
  <c r="O109" i="5" s="1"/>
  <c r="P109" i="5" s="1"/>
  <c r="Q109" i="5" s="1"/>
  <c r="R109" i="5" s="1"/>
  <c r="S109" i="5" s="1"/>
  <c r="T109" i="5" s="1"/>
  <c r="U109" i="5" s="1"/>
  <c r="V109" i="5" s="1"/>
  <c r="W109" i="5" s="1"/>
  <c r="X109" i="5" s="1"/>
  <c r="Y109" i="5" s="1"/>
  <c r="Z109" i="5" s="1"/>
  <c r="AA109" i="5" s="1"/>
  <c r="AB109" i="5" s="1"/>
  <c r="AC109" i="5" s="1"/>
  <c r="AD109" i="5" s="1"/>
  <c r="AE109" i="5" s="1"/>
  <c r="AF109" i="5" s="1"/>
  <c r="AG109" i="5" s="1"/>
  <c r="AH109" i="5" s="1"/>
  <c r="AI109" i="5" s="1"/>
  <c r="AJ109" i="5" s="1"/>
  <c r="AK109" i="5" s="1"/>
  <c r="AL109" i="5" s="1"/>
  <c r="AM109" i="5" s="1"/>
  <c r="AN109" i="5" s="1"/>
  <c r="AO109" i="5" s="1"/>
  <c r="AP109" i="5" s="1"/>
  <c r="AQ109" i="5" s="1"/>
  <c r="AR109" i="5" s="1"/>
  <c r="AS109" i="5" s="1"/>
  <c r="AT109" i="5" s="1"/>
  <c r="AU109" i="5" s="1"/>
  <c r="AV109" i="5" s="1"/>
  <c r="AW109" i="5" s="1"/>
  <c r="AX109" i="5" s="1"/>
  <c r="AY109" i="5" s="1"/>
  <c r="AZ109" i="5" s="1"/>
  <c r="BA109" i="5" s="1"/>
  <c r="BB109" i="5" s="1"/>
  <c r="BC109" i="5" s="1"/>
  <c r="BD109" i="5" s="1"/>
  <c r="BE109" i="5" s="1"/>
  <c r="BF109" i="5" s="1"/>
  <c r="BG109" i="5" s="1"/>
  <c r="BH109" i="5" s="1"/>
  <c r="BI109" i="5" s="1"/>
  <c r="BJ109" i="5" s="1"/>
  <c r="BK109" i="5" s="1"/>
  <c r="BL109" i="5" s="1"/>
  <c r="BM109" i="5" s="1"/>
  <c r="BN109" i="5" s="1"/>
  <c r="BO109" i="5" s="1"/>
  <c r="BP109" i="5" s="1"/>
  <c r="BQ109" i="5" s="1"/>
  <c r="BR109" i="5" s="1"/>
  <c r="BS109" i="5" s="1"/>
  <c r="BT109" i="5" s="1"/>
  <c r="BU109" i="5" s="1"/>
  <c r="BV109" i="5" s="1"/>
  <c r="BW109" i="5" s="1"/>
  <c r="BX109" i="5" s="1"/>
  <c r="BY109" i="5" s="1"/>
  <c r="BZ109" i="5" s="1"/>
  <c r="CA109" i="5" s="1"/>
  <c r="CB109" i="5" s="1"/>
  <c r="CC109" i="5" s="1"/>
  <c r="CD109" i="5" s="1"/>
  <c r="CE109" i="5" s="1"/>
  <c r="CF109" i="5" s="1"/>
  <c r="CG109" i="5" s="1"/>
  <c r="CH109" i="5" s="1"/>
  <c r="CI109" i="5" s="1"/>
  <c r="CJ109" i="5" s="1"/>
  <c r="CK109" i="5" s="1"/>
  <c r="CL109" i="5" s="1"/>
  <c r="CM109" i="5" s="1"/>
  <c r="CN109" i="5" s="1"/>
  <c r="CO109" i="5" s="1"/>
  <c r="CP109" i="5" s="1"/>
  <c r="CQ109" i="5" s="1"/>
  <c r="CR109" i="5" s="1"/>
  <c r="CS109" i="5" s="1"/>
  <c r="CT109" i="5" s="1"/>
  <c r="CU109" i="5" s="1"/>
  <c r="CV109" i="5" s="1"/>
  <c r="CW109" i="5" s="1"/>
  <c r="CX109" i="5" s="1"/>
  <c r="CY109" i="5" s="1"/>
  <c r="CZ109" i="5" s="1"/>
  <c r="DA109" i="5" s="1"/>
  <c r="DB109" i="5" s="1"/>
  <c r="DC109" i="5" s="1"/>
  <c r="DD109" i="5" s="1"/>
  <c r="DE109" i="5" s="1"/>
  <c r="DF109" i="5" s="1"/>
  <c r="DG109" i="5" s="1"/>
  <c r="DH109" i="5" s="1"/>
  <c r="DI109" i="5" s="1"/>
  <c r="DJ109" i="5" s="1"/>
  <c r="DK109" i="5" s="1"/>
  <c r="DL109" i="5" s="1"/>
  <c r="DM109" i="5" s="1"/>
  <c r="DN109" i="5" s="1"/>
  <c r="DO109" i="5" s="1"/>
  <c r="DP109" i="5" s="1"/>
  <c r="DQ109" i="5" s="1"/>
  <c r="DR109" i="5" s="1"/>
  <c r="DS109" i="5" s="1"/>
  <c r="DT109" i="5" s="1"/>
  <c r="DU109" i="5" s="1"/>
  <c r="DV109" i="5" s="1"/>
  <c r="DW109" i="5" s="1"/>
  <c r="DX109" i="5" s="1"/>
  <c r="DY109" i="5" s="1"/>
  <c r="DZ109" i="5" s="1"/>
  <c r="EA109" i="5" s="1"/>
  <c r="EB109" i="5" s="1"/>
  <c r="EC109" i="5" s="1"/>
  <c r="ED109" i="5" s="1"/>
  <c r="EE109" i="5" s="1"/>
  <c r="EF109" i="5" s="1"/>
  <c r="EG109" i="5" s="1"/>
  <c r="EH109" i="5" s="1"/>
  <c r="EI109" i="5" s="1"/>
  <c r="EJ109" i="5" s="1"/>
  <c r="EK109" i="5" s="1"/>
  <c r="EL109" i="5" s="1"/>
  <c r="EM109" i="5" s="1"/>
  <c r="EN109" i="5" s="1"/>
  <c r="EO109" i="5" s="1"/>
  <c r="EP109" i="5" s="1"/>
  <c r="EQ109" i="5" s="1"/>
  <c r="ER109" i="5" s="1"/>
  <c r="ES109" i="5" s="1"/>
  <c r="ET109" i="5" s="1"/>
  <c r="EU109" i="5" s="1"/>
  <c r="EV109" i="5" s="1"/>
  <c r="EW109" i="5" s="1"/>
  <c r="EX109" i="5" s="1"/>
  <c r="EY109" i="5" s="1"/>
  <c r="EZ109" i="5" s="1"/>
  <c r="FA109" i="5" s="1"/>
  <c r="FB109" i="5" s="1"/>
  <c r="FC109" i="5" s="1"/>
  <c r="FD109" i="5" s="1"/>
  <c r="FE109" i="5" s="1"/>
  <c r="FF109" i="5" s="1"/>
  <c r="FG109" i="5" s="1"/>
  <c r="FH109" i="5" s="1"/>
  <c r="FI109" i="5" s="1"/>
  <c r="FJ109" i="5" s="1"/>
  <c r="FK109" i="5" s="1"/>
  <c r="FL109" i="5" s="1"/>
  <c r="FM109" i="5" s="1"/>
  <c r="FN109" i="5" s="1"/>
  <c r="FO109" i="5" s="1"/>
  <c r="FP109" i="5" s="1"/>
  <c r="FQ109" i="5" s="1"/>
  <c r="FR109" i="5" s="1"/>
  <c r="FS109" i="5" s="1"/>
  <c r="FT109" i="5" s="1"/>
  <c r="FU109" i="5" s="1"/>
  <c r="FV109" i="5" s="1"/>
  <c r="FW109" i="5" s="1"/>
  <c r="FX109" i="5" s="1"/>
  <c r="FY109" i="5" s="1"/>
  <c r="FZ109" i="5" s="1"/>
  <c r="GA109" i="5" s="1"/>
  <c r="GB109" i="5" s="1"/>
  <c r="GC109" i="5" s="1"/>
  <c r="GD109" i="5" s="1"/>
  <c r="GE109" i="5" s="1"/>
  <c r="GF109" i="5" s="1"/>
  <c r="GG109" i="5" s="1"/>
  <c r="GH109" i="5" s="1"/>
  <c r="GI109" i="5" s="1"/>
  <c r="GJ109" i="5" s="1"/>
  <c r="GK109" i="5" s="1"/>
  <c r="GL109" i="5" s="1"/>
  <c r="GM109" i="5" s="1"/>
  <c r="GN109" i="5" s="1"/>
  <c r="GO109" i="5" s="1"/>
  <c r="GP109" i="5" s="1"/>
  <c r="GQ109" i="5" s="1"/>
  <c r="GR109" i="5" s="1"/>
  <c r="GS109" i="5" s="1"/>
  <c r="GT109" i="5" s="1"/>
  <c r="GU109" i="5" s="1"/>
  <c r="GV109" i="5" s="1"/>
  <c r="GW109" i="5" s="1"/>
  <c r="GX109" i="5" s="1"/>
  <c r="GY109" i="5" s="1"/>
  <c r="GZ109" i="5" s="1"/>
  <c r="HA109" i="5" s="1"/>
  <c r="HB109" i="5" s="1"/>
  <c r="HC109" i="5" s="1"/>
  <c r="HD109" i="5" s="1"/>
  <c r="HE109" i="5" s="1"/>
  <c r="HF109" i="5" s="1"/>
  <c r="HG109" i="5" s="1"/>
  <c r="HH109" i="5" s="1"/>
  <c r="HI109" i="5" s="1"/>
  <c r="HJ109" i="5" s="1"/>
  <c r="HK109" i="5" s="1"/>
  <c r="HL109" i="5" s="1"/>
  <c r="HM109" i="5" s="1"/>
  <c r="HN109" i="5" s="1"/>
  <c r="HO109" i="5" s="1"/>
  <c r="HP109" i="5" s="1"/>
  <c r="HQ109" i="5" s="1"/>
  <c r="HR109" i="5" s="1"/>
  <c r="HS109" i="5" s="1"/>
  <c r="HT109" i="5" s="1"/>
  <c r="HU109" i="5" s="1"/>
  <c r="HV109" i="5" s="1"/>
  <c r="HW109" i="5" s="1"/>
  <c r="HX109" i="5" s="1"/>
  <c r="HY109" i="5" s="1"/>
  <c r="HZ109" i="5" s="1"/>
  <c r="IA109" i="5" s="1"/>
  <c r="IB109" i="5" s="1"/>
  <c r="IC109" i="5" s="1"/>
  <c r="ID109" i="5" s="1"/>
  <c r="IE109" i="5" s="1"/>
  <c r="IF109" i="5" s="1"/>
  <c r="IG109" i="5" s="1"/>
  <c r="IH109" i="5" s="1"/>
  <c r="II109" i="5" s="1"/>
  <c r="IJ109" i="5" s="1"/>
  <c r="IK109" i="5" s="1"/>
  <c r="IL109" i="5" s="1"/>
  <c r="IM109" i="5" s="1"/>
  <c r="IN109" i="5" s="1"/>
  <c r="IO109" i="5" s="1"/>
  <c r="IP109" i="5" s="1"/>
  <c r="IQ109" i="5" s="1"/>
  <c r="IR109" i="5" s="1"/>
  <c r="IS109" i="5" s="1"/>
  <c r="IT109" i="5" s="1"/>
  <c r="IU109" i="5" s="1"/>
  <c r="F101" i="5"/>
  <c r="G101" i="5" s="1"/>
  <c r="H101" i="5" s="1"/>
  <c r="I101" i="5" s="1"/>
  <c r="J101" i="5" s="1"/>
  <c r="K101" i="5" s="1"/>
  <c r="L101" i="5" s="1"/>
  <c r="M101" i="5" s="1"/>
  <c r="N101" i="5" s="1"/>
  <c r="O101" i="5" s="1"/>
  <c r="P101" i="5" s="1"/>
  <c r="Q101" i="5" s="1"/>
  <c r="R101" i="5" s="1"/>
  <c r="S101" i="5" s="1"/>
  <c r="T101" i="5" s="1"/>
  <c r="U101" i="5" s="1"/>
  <c r="V101" i="5" s="1"/>
  <c r="W101" i="5" s="1"/>
  <c r="X101" i="5" s="1"/>
  <c r="Y101" i="5" s="1"/>
  <c r="Z101" i="5" s="1"/>
  <c r="AA101" i="5" s="1"/>
  <c r="AB101" i="5" s="1"/>
  <c r="AC101" i="5" s="1"/>
  <c r="AD101" i="5" s="1"/>
  <c r="AE101" i="5" s="1"/>
  <c r="AF101" i="5" s="1"/>
  <c r="AG101" i="5" s="1"/>
  <c r="AH101" i="5" s="1"/>
  <c r="AI101" i="5" s="1"/>
  <c r="AJ101" i="5" s="1"/>
  <c r="AK101" i="5" s="1"/>
  <c r="AL101" i="5" s="1"/>
  <c r="AM101" i="5" s="1"/>
  <c r="AN101" i="5" s="1"/>
  <c r="AO101" i="5" s="1"/>
  <c r="AP101" i="5" s="1"/>
  <c r="AQ101" i="5" s="1"/>
  <c r="AR101" i="5" s="1"/>
  <c r="AS101" i="5" s="1"/>
  <c r="AT101" i="5" s="1"/>
  <c r="AU101" i="5" s="1"/>
  <c r="AV101" i="5" s="1"/>
  <c r="AW101" i="5" s="1"/>
  <c r="AX101" i="5" s="1"/>
  <c r="AY101" i="5" s="1"/>
  <c r="AZ101" i="5" s="1"/>
  <c r="BA101" i="5" s="1"/>
  <c r="BB101" i="5" s="1"/>
  <c r="BC101" i="5" s="1"/>
  <c r="BD101" i="5" s="1"/>
  <c r="BE101" i="5" s="1"/>
  <c r="BF101" i="5" s="1"/>
  <c r="BG101" i="5" s="1"/>
  <c r="BH101" i="5" s="1"/>
  <c r="BI101" i="5" s="1"/>
  <c r="BJ101" i="5" s="1"/>
  <c r="BK101" i="5" s="1"/>
  <c r="BL101" i="5" s="1"/>
  <c r="BM101" i="5" s="1"/>
  <c r="BN101" i="5" s="1"/>
  <c r="BO101" i="5" s="1"/>
  <c r="BP101" i="5" s="1"/>
  <c r="BQ101" i="5" s="1"/>
  <c r="BR101" i="5" s="1"/>
  <c r="BS101" i="5" s="1"/>
  <c r="BT101" i="5" s="1"/>
  <c r="BU101" i="5" s="1"/>
  <c r="BV101" i="5" s="1"/>
  <c r="BW101" i="5" s="1"/>
  <c r="BX101" i="5" s="1"/>
  <c r="BY101" i="5" s="1"/>
  <c r="BZ101" i="5" s="1"/>
  <c r="CA101" i="5" s="1"/>
  <c r="CB101" i="5" s="1"/>
  <c r="CC101" i="5" s="1"/>
  <c r="CD101" i="5" s="1"/>
  <c r="CE101" i="5" s="1"/>
  <c r="CF101" i="5" s="1"/>
  <c r="CG101" i="5" s="1"/>
  <c r="CH101" i="5" s="1"/>
  <c r="CI101" i="5" s="1"/>
  <c r="CJ101" i="5" s="1"/>
  <c r="CK101" i="5" s="1"/>
  <c r="CL101" i="5" s="1"/>
  <c r="CM101" i="5" s="1"/>
  <c r="CN101" i="5" s="1"/>
  <c r="CO101" i="5" s="1"/>
  <c r="CP101" i="5" s="1"/>
  <c r="CQ101" i="5" s="1"/>
  <c r="CR101" i="5" s="1"/>
  <c r="CS101" i="5" s="1"/>
  <c r="CT101" i="5" s="1"/>
  <c r="CU101" i="5" s="1"/>
  <c r="CV101" i="5" s="1"/>
  <c r="CW101" i="5" s="1"/>
  <c r="CX101" i="5" s="1"/>
  <c r="CY101" i="5" s="1"/>
  <c r="CZ101" i="5" s="1"/>
  <c r="DA101" i="5" s="1"/>
  <c r="DB101" i="5" s="1"/>
  <c r="DC101" i="5" s="1"/>
  <c r="DD101" i="5" s="1"/>
  <c r="DE101" i="5" s="1"/>
  <c r="DF101" i="5" s="1"/>
  <c r="DG101" i="5" s="1"/>
  <c r="DH101" i="5" s="1"/>
  <c r="DI101" i="5" s="1"/>
  <c r="DJ101" i="5" s="1"/>
  <c r="DK101" i="5" s="1"/>
  <c r="DL101" i="5" s="1"/>
  <c r="DM101" i="5" s="1"/>
  <c r="DN101" i="5" s="1"/>
  <c r="DO101" i="5" s="1"/>
  <c r="DP101" i="5" s="1"/>
  <c r="DQ101" i="5" s="1"/>
  <c r="DR101" i="5" s="1"/>
  <c r="DS101" i="5" s="1"/>
  <c r="DT101" i="5" s="1"/>
  <c r="DU101" i="5" s="1"/>
  <c r="DV101" i="5" s="1"/>
  <c r="DW101" i="5" s="1"/>
  <c r="DX101" i="5" s="1"/>
  <c r="DY101" i="5" s="1"/>
  <c r="DZ101" i="5" s="1"/>
  <c r="EA101" i="5" s="1"/>
  <c r="EB101" i="5" s="1"/>
  <c r="EC101" i="5" s="1"/>
  <c r="ED101" i="5" s="1"/>
  <c r="EE101" i="5" s="1"/>
  <c r="EF101" i="5" s="1"/>
  <c r="EG101" i="5" s="1"/>
  <c r="EH101" i="5" s="1"/>
  <c r="EI101" i="5" s="1"/>
  <c r="EJ101" i="5" s="1"/>
  <c r="EK101" i="5" s="1"/>
  <c r="EL101" i="5" s="1"/>
  <c r="EM101" i="5" s="1"/>
  <c r="EN101" i="5" s="1"/>
  <c r="EO101" i="5" s="1"/>
  <c r="EP101" i="5" s="1"/>
  <c r="EQ101" i="5" s="1"/>
  <c r="ER101" i="5" s="1"/>
  <c r="ES101" i="5" s="1"/>
  <c r="ET101" i="5" s="1"/>
  <c r="EU101" i="5" s="1"/>
  <c r="EV101" i="5" s="1"/>
  <c r="EW101" i="5" s="1"/>
  <c r="EX101" i="5" s="1"/>
  <c r="EY101" i="5" s="1"/>
  <c r="EZ101" i="5" s="1"/>
  <c r="FA101" i="5" s="1"/>
  <c r="FB101" i="5" s="1"/>
  <c r="FC101" i="5" s="1"/>
  <c r="FD101" i="5" s="1"/>
  <c r="FE101" i="5" s="1"/>
  <c r="FF101" i="5" s="1"/>
  <c r="FG101" i="5" s="1"/>
  <c r="FH101" i="5" s="1"/>
  <c r="FI101" i="5" s="1"/>
  <c r="FJ101" i="5" s="1"/>
  <c r="FK101" i="5" s="1"/>
  <c r="FL101" i="5" s="1"/>
  <c r="FM101" i="5" s="1"/>
  <c r="FN101" i="5" s="1"/>
  <c r="FO101" i="5" s="1"/>
  <c r="FP101" i="5" s="1"/>
  <c r="FQ101" i="5" s="1"/>
  <c r="FR101" i="5" s="1"/>
  <c r="FS101" i="5" s="1"/>
  <c r="FT101" i="5" s="1"/>
  <c r="FU101" i="5" s="1"/>
  <c r="FV101" i="5" s="1"/>
  <c r="FW101" i="5" s="1"/>
  <c r="FX101" i="5" s="1"/>
  <c r="FY101" i="5" s="1"/>
  <c r="FZ101" i="5" s="1"/>
  <c r="GA101" i="5" s="1"/>
  <c r="GB101" i="5" s="1"/>
  <c r="GC101" i="5" s="1"/>
  <c r="GD101" i="5" s="1"/>
  <c r="GE101" i="5" s="1"/>
  <c r="GF101" i="5" s="1"/>
  <c r="GG101" i="5" s="1"/>
  <c r="GH101" i="5" s="1"/>
  <c r="GI101" i="5" s="1"/>
  <c r="GJ101" i="5" s="1"/>
  <c r="GK101" i="5" s="1"/>
  <c r="GL101" i="5" s="1"/>
  <c r="GM101" i="5" s="1"/>
  <c r="GN101" i="5" s="1"/>
  <c r="GO101" i="5" s="1"/>
  <c r="GP101" i="5" s="1"/>
  <c r="GQ101" i="5" s="1"/>
  <c r="GR101" i="5" s="1"/>
  <c r="GS101" i="5" s="1"/>
  <c r="GT101" i="5" s="1"/>
  <c r="GU101" i="5" s="1"/>
  <c r="GV101" i="5" s="1"/>
  <c r="GW101" i="5" s="1"/>
  <c r="GX101" i="5" s="1"/>
  <c r="GY101" i="5" s="1"/>
  <c r="GZ101" i="5" s="1"/>
  <c r="HA101" i="5" s="1"/>
  <c r="HB101" i="5" s="1"/>
  <c r="HC101" i="5" s="1"/>
  <c r="HD101" i="5" s="1"/>
  <c r="HE101" i="5" s="1"/>
  <c r="HF101" i="5" s="1"/>
  <c r="HG101" i="5" s="1"/>
  <c r="HH101" i="5" s="1"/>
  <c r="HI101" i="5" s="1"/>
  <c r="HJ101" i="5" s="1"/>
  <c r="HK101" i="5" s="1"/>
  <c r="HL101" i="5" s="1"/>
  <c r="HM101" i="5" s="1"/>
  <c r="HN101" i="5" s="1"/>
  <c r="HO101" i="5" s="1"/>
  <c r="HP101" i="5" s="1"/>
  <c r="HQ101" i="5" s="1"/>
  <c r="HR101" i="5" s="1"/>
  <c r="HS101" i="5" s="1"/>
  <c r="HT101" i="5" s="1"/>
  <c r="HU101" i="5" s="1"/>
  <c r="HV101" i="5" s="1"/>
  <c r="HW101" i="5" s="1"/>
  <c r="HX101" i="5" s="1"/>
  <c r="HY101" i="5" s="1"/>
  <c r="HZ101" i="5" s="1"/>
  <c r="IA101" i="5" s="1"/>
  <c r="IB101" i="5" s="1"/>
  <c r="IC101" i="5" s="1"/>
  <c r="ID101" i="5" s="1"/>
  <c r="IE101" i="5" s="1"/>
  <c r="IF101" i="5" s="1"/>
  <c r="IG101" i="5" s="1"/>
  <c r="IH101" i="5" s="1"/>
  <c r="II101" i="5" s="1"/>
  <c r="IJ101" i="5" s="1"/>
  <c r="IK101" i="5" s="1"/>
  <c r="IL101" i="5" s="1"/>
  <c r="IM101" i="5" s="1"/>
  <c r="IN101" i="5" s="1"/>
  <c r="IO101" i="5" s="1"/>
  <c r="IP101" i="5" s="1"/>
  <c r="IQ101" i="5" s="1"/>
  <c r="IR101" i="5" s="1"/>
  <c r="IS101" i="5" s="1"/>
  <c r="IT101" i="5" s="1"/>
  <c r="IU101" i="5" s="1"/>
  <c r="F93" i="5"/>
  <c r="G93" i="5" s="1"/>
  <c r="H93" i="5" s="1"/>
  <c r="I93" i="5" s="1"/>
  <c r="J93" i="5" s="1"/>
  <c r="K93" i="5" s="1"/>
  <c r="L93" i="5" s="1"/>
  <c r="M93" i="5" s="1"/>
  <c r="N93" i="5" s="1"/>
  <c r="O93" i="5" s="1"/>
  <c r="P93" i="5" s="1"/>
  <c r="Q93" i="5" s="1"/>
  <c r="R93" i="5" s="1"/>
  <c r="S93" i="5" s="1"/>
  <c r="T93" i="5" s="1"/>
  <c r="U93" i="5" s="1"/>
  <c r="V93" i="5" s="1"/>
  <c r="W93" i="5" s="1"/>
  <c r="X93" i="5" s="1"/>
  <c r="Y93" i="5" s="1"/>
  <c r="Z93" i="5" s="1"/>
  <c r="AA93" i="5" s="1"/>
  <c r="AB93" i="5" s="1"/>
  <c r="AC93" i="5" s="1"/>
  <c r="AD93" i="5" s="1"/>
  <c r="AE93" i="5" s="1"/>
  <c r="AF93" i="5" s="1"/>
  <c r="AG93" i="5" s="1"/>
  <c r="AH93" i="5" s="1"/>
  <c r="AI93" i="5" s="1"/>
  <c r="AJ93" i="5" s="1"/>
  <c r="AK93" i="5" s="1"/>
  <c r="AL93" i="5" s="1"/>
  <c r="AM93" i="5" s="1"/>
  <c r="AN93" i="5" s="1"/>
  <c r="AO93" i="5" s="1"/>
  <c r="AP93" i="5" s="1"/>
  <c r="AQ93" i="5" s="1"/>
  <c r="AR93" i="5" s="1"/>
  <c r="AS93" i="5" s="1"/>
  <c r="AT93" i="5" s="1"/>
  <c r="AU93" i="5" s="1"/>
  <c r="AV93" i="5" s="1"/>
  <c r="AW93" i="5" s="1"/>
  <c r="AX93" i="5" s="1"/>
  <c r="AY93" i="5" s="1"/>
  <c r="AZ93" i="5" s="1"/>
  <c r="BA93" i="5" s="1"/>
  <c r="BB93" i="5" s="1"/>
  <c r="BC93" i="5" s="1"/>
  <c r="BD93" i="5" s="1"/>
  <c r="BE93" i="5" s="1"/>
  <c r="BF93" i="5" s="1"/>
  <c r="BG93" i="5" s="1"/>
  <c r="BH93" i="5" s="1"/>
  <c r="BI93" i="5" s="1"/>
  <c r="BJ93" i="5" s="1"/>
  <c r="BK93" i="5" s="1"/>
  <c r="BL93" i="5" s="1"/>
  <c r="BM93" i="5" s="1"/>
  <c r="BN93" i="5" s="1"/>
  <c r="BO93" i="5" s="1"/>
  <c r="BP93" i="5" s="1"/>
  <c r="BQ93" i="5" s="1"/>
  <c r="BR93" i="5" s="1"/>
  <c r="BS93" i="5" s="1"/>
  <c r="BT93" i="5" s="1"/>
  <c r="BU93" i="5" s="1"/>
  <c r="BV93" i="5" s="1"/>
  <c r="BW93" i="5" s="1"/>
  <c r="BX93" i="5" s="1"/>
  <c r="BY93" i="5" s="1"/>
  <c r="BZ93" i="5" s="1"/>
  <c r="CA93" i="5" s="1"/>
  <c r="CB93" i="5" s="1"/>
  <c r="CC93" i="5" s="1"/>
  <c r="CD93" i="5" s="1"/>
  <c r="CE93" i="5" s="1"/>
  <c r="CF93" i="5" s="1"/>
  <c r="CG93" i="5" s="1"/>
  <c r="CH93" i="5" s="1"/>
  <c r="CI93" i="5" s="1"/>
  <c r="CJ93" i="5" s="1"/>
  <c r="CK93" i="5" s="1"/>
  <c r="CL93" i="5" s="1"/>
  <c r="CM93" i="5" s="1"/>
  <c r="CN93" i="5" s="1"/>
  <c r="CO93" i="5" s="1"/>
  <c r="CP93" i="5" s="1"/>
  <c r="CQ93" i="5" s="1"/>
  <c r="CR93" i="5" s="1"/>
  <c r="CS93" i="5" s="1"/>
  <c r="CT93" i="5" s="1"/>
  <c r="CU93" i="5" s="1"/>
  <c r="CV93" i="5" s="1"/>
  <c r="CW93" i="5" s="1"/>
  <c r="CX93" i="5" s="1"/>
  <c r="CY93" i="5" s="1"/>
  <c r="CZ93" i="5" s="1"/>
  <c r="DA93" i="5" s="1"/>
  <c r="DB93" i="5" s="1"/>
  <c r="DC93" i="5" s="1"/>
  <c r="DD93" i="5" s="1"/>
  <c r="DE93" i="5" s="1"/>
  <c r="DF93" i="5" s="1"/>
  <c r="DG93" i="5" s="1"/>
  <c r="DH93" i="5" s="1"/>
  <c r="DI93" i="5" s="1"/>
  <c r="DJ93" i="5" s="1"/>
  <c r="DK93" i="5" s="1"/>
  <c r="DL93" i="5" s="1"/>
  <c r="DM93" i="5" s="1"/>
  <c r="DN93" i="5" s="1"/>
  <c r="DO93" i="5" s="1"/>
  <c r="DP93" i="5" s="1"/>
  <c r="DQ93" i="5" s="1"/>
  <c r="DR93" i="5" s="1"/>
  <c r="DS93" i="5" s="1"/>
  <c r="DT93" i="5" s="1"/>
  <c r="DU93" i="5" s="1"/>
  <c r="DV93" i="5" s="1"/>
  <c r="DW93" i="5" s="1"/>
  <c r="DX93" i="5" s="1"/>
  <c r="DY93" i="5" s="1"/>
  <c r="DZ93" i="5" s="1"/>
  <c r="EA93" i="5" s="1"/>
  <c r="EB93" i="5" s="1"/>
  <c r="EC93" i="5" s="1"/>
  <c r="ED93" i="5" s="1"/>
  <c r="EE93" i="5" s="1"/>
  <c r="EF93" i="5" s="1"/>
  <c r="EG93" i="5" s="1"/>
  <c r="EH93" i="5" s="1"/>
  <c r="EI93" i="5" s="1"/>
  <c r="EJ93" i="5" s="1"/>
  <c r="EK93" i="5" s="1"/>
  <c r="EL93" i="5" s="1"/>
  <c r="EM93" i="5" s="1"/>
  <c r="EN93" i="5" s="1"/>
  <c r="EO93" i="5" s="1"/>
  <c r="EP93" i="5" s="1"/>
  <c r="EQ93" i="5" s="1"/>
  <c r="ER93" i="5" s="1"/>
  <c r="ES93" i="5" s="1"/>
  <c r="ET93" i="5" s="1"/>
  <c r="EU93" i="5" s="1"/>
  <c r="EV93" i="5" s="1"/>
  <c r="EW93" i="5" s="1"/>
  <c r="EX93" i="5" s="1"/>
  <c r="EY93" i="5" s="1"/>
  <c r="EZ93" i="5" s="1"/>
  <c r="FA93" i="5" s="1"/>
  <c r="FB93" i="5" s="1"/>
  <c r="FC93" i="5" s="1"/>
  <c r="FD93" i="5" s="1"/>
  <c r="FE93" i="5" s="1"/>
  <c r="FF93" i="5" s="1"/>
  <c r="FG93" i="5" s="1"/>
  <c r="FH93" i="5" s="1"/>
  <c r="FI93" i="5" s="1"/>
  <c r="FJ93" i="5" s="1"/>
  <c r="FK93" i="5" s="1"/>
  <c r="FL93" i="5" s="1"/>
  <c r="FM93" i="5" s="1"/>
  <c r="FN93" i="5" s="1"/>
  <c r="FO93" i="5" s="1"/>
  <c r="FP93" i="5" s="1"/>
  <c r="FQ93" i="5" s="1"/>
  <c r="FR93" i="5" s="1"/>
  <c r="FS93" i="5" s="1"/>
  <c r="FT93" i="5" s="1"/>
  <c r="FU93" i="5" s="1"/>
  <c r="FV93" i="5" s="1"/>
  <c r="FW93" i="5" s="1"/>
  <c r="FX93" i="5" s="1"/>
  <c r="FY93" i="5" s="1"/>
  <c r="FZ93" i="5" s="1"/>
  <c r="GA93" i="5" s="1"/>
  <c r="GB93" i="5" s="1"/>
  <c r="GC93" i="5" s="1"/>
  <c r="GD93" i="5" s="1"/>
  <c r="GE93" i="5" s="1"/>
  <c r="GF93" i="5" s="1"/>
  <c r="GG93" i="5" s="1"/>
  <c r="GH93" i="5" s="1"/>
  <c r="GI93" i="5" s="1"/>
  <c r="GJ93" i="5" s="1"/>
  <c r="GK93" i="5" s="1"/>
  <c r="GL93" i="5" s="1"/>
  <c r="GM93" i="5" s="1"/>
  <c r="GN93" i="5" s="1"/>
  <c r="GO93" i="5" s="1"/>
  <c r="GP93" i="5" s="1"/>
  <c r="GQ93" i="5" s="1"/>
  <c r="GR93" i="5" s="1"/>
  <c r="GS93" i="5" s="1"/>
  <c r="GT93" i="5" s="1"/>
  <c r="GU93" i="5" s="1"/>
  <c r="GV93" i="5" s="1"/>
  <c r="GW93" i="5" s="1"/>
  <c r="GX93" i="5" s="1"/>
  <c r="GY93" i="5" s="1"/>
  <c r="GZ93" i="5" s="1"/>
  <c r="HA93" i="5" s="1"/>
  <c r="HB93" i="5" s="1"/>
  <c r="HC93" i="5" s="1"/>
  <c r="HD93" i="5" s="1"/>
  <c r="HE93" i="5" s="1"/>
  <c r="HF93" i="5" s="1"/>
  <c r="HG93" i="5" s="1"/>
  <c r="HH93" i="5" s="1"/>
  <c r="HI93" i="5" s="1"/>
  <c r="HJ93" i="5" s="1"/>
  <c r="HK93" i="5" s="1"/>
  <c r="HL93" i="5" s="1"/>
  <c r="HM93" i="5" s="1"/>
  <c r="HN93" i="5" s="1"/>
  <c r="HO93" i="5" s="1"/>
  <c r="HP93" i="5" s="1"/>
  <c r="HQ93" i="5" s="1"/>
  <c r="HR93" i="5" s="1"/>
  <c r="HS93" i="5" s="1"/>
  <c r="HT93" i="5" s="1"/>
  <c r="HU93" i="5" s="1"/>
  <c r="HV93" i="5" s="1"/>
  <c r="HW93" i="5" s="1"/>
  <c r="HX93" i="5" s="1"/>
  <c r="HY93" i="5" s="1"/>
  <c r="HZ93" i="5" s="1"/>
  <c r="IA93" i="5" s="1"/>
  <c r="IB93" i="5" s="1"/>
  <c r="IC93" i="5" s="1"/>
  <c r="ID93" i="5" s="1"/>
  <c r="IE93" i="5" s="1"/>
  <c r="IF93" i="5" s="1"/>
  <c r="IG93" i="5" s="1"/>
  <c r="IH93" i="5" s="1"/>
  <c r="II93" i="5" s="1"/>
  <c r="IJ93" i="5" s="1"/>
  <c r="IK93" i="5" s="1"/>
  <c r="IL93" i="5" s="1"/>
  <c r="IM93" i="5" s="1"/>
  <c r="IN93" i="5" s="1"/>
  <c r="IO93" i="5" s="1"/>
  <c r="IP93" i="5" s="1"/>
  <c r="IQ93" i="5" s="1"/>
  <c r="IR93" i="5" s="1"/>
  <c r="IS93" i="5" s="1"/>
  <c r="IT93" i="5" s="1"/>
  <c r="IU93" i="5" s="1"/>
  <c r="F85" i="5"/>
  <c r="G85" i="5" s="1"/>
  <c r="H85" i="5" s="1"/>
  <c r="I85" i="5" s="1"/>
  <c r="J85" i="5" s="1"/>
  <c r="K85" i="5" s="1"/>
  <c r="L85" i="5" s="1"/>
  <c r="M85" i="5" s="1"/>
  <c r="N85" i="5" s="1"/>
  <c r="O85" i="5" s="1"/>
  <c r="P85" i="5" s="1"/>
  <c r="Q85" i="5" s="1"/>
  <c r="R85" i="5" s="1"/>
  <c r="S85" i="5" s="1"/>
  <c r="T85" i="5" s="1"/>
  <c r="U85" i="5" s="1"/>
  <c r="V85" i="5" s="1"/>
  <c r="W85" i="5" s="1"/>
  <c r="X85" i="5" s="1"/>
  <c r="Y85" i="5" s="1"/>
  <c r="Z85" i="5" s="1"/>
  <c r="AA85" i="5" s="1"/>
  <c r="AB85" i="5" s="1"/>
  <c r="AC85" i="5" s="1"/>
  <c r="AD85" i="5" s="1"/>
  <c r="AE85" i="5" s="1"/>
  <c r="AF85" i="5" s="1"/>
  <c r="AG85" i="5" s="1"/>
  <c r="AH85" i="5" s="1"/>
  <c r="AI85" i="5" s="1"/>
  <c r="AJ85" i="5" s="1"/>
  <c r="AK85" i="5" s="1"/>
  <c r="AL85" i="5" s="1"/>
  <c r="AM85" i="5" s="1"/>
  <c r="AN85" i="5" s="1"/>
  <c r="AO85" i="5" s="1"/>
  <c r="AP85" i="5" s="1"/>
  <c r="AQ85" i="5" s="1"/>
  <c r="AR85" i="5" s="1"/>
  <c r="AS85" i="5" s="1"/>
  <c r="AT85" i="5" s="1"/>
  <c r="AU85" i="5" s="1"/>
  <c r="AV85" i="5" s="1"/>
  <c r="AW85" i="5" s="1"/>
  <c r="AX85" i="5" s="1"/>
  <c r="AY85" i="5" s="1"/>
  <c r="AZ85" i="5" s="1"/>
  <c r="BA85" i="5" s="1"/>
  <c r="BB85" i="5" s="1"/>
  <c r="BC85" i="5" s="1"/>
  <c r="BD85" i="5" s="1"/>
  <c r="BE85" i="5" s="1"/>
  <c r="BF85" i="5" s="1"/>
  <c r="BG85" i="5" s="1"/>
  <c r="BH85" i="5" s="1"/>
  <c r="BI85" i="5" s="1"/>
  <c r="BJ85" i="5" s="1"/>
  <c r="BK85" i="5" s="1"/>
  <c r="BL85" i="5" s="1"/>
  <c r="BM85" i="5" s="1"/>
  <c r="BN85" i="5" s="1"/>
  <c r="BO85" i="5" s="1"/>
  <c r="BP85" i="5" s="1"/>
  <c r="BQ85" i="5" s="1"/>
  <c r="BR85" i="5" s="1"/>
  <c r="BS85" i="5" s="1"/>
  <c r="BT85" i="5" s="1"/>
  <c r="BU85" i="5" s="1"/>
  <c r="BV85" i="5" s="1"/>
  <c r="BW85" i="5" s="1"/>
  <c r="BX85" i="5" s="1"/>
  <c r="BY85" i="5" s="1"/>
  <c r="BZ85" i="5" s="1"/>
  <c r="CA85" i="5" s="1"/>
  <c r="CB85" i="5" s="1"/>
  <c r="CC85" i="5" s="1"/>
  <c r="CD85" i="5" s="1"/>
  <c r="CE85" i="5" s="1"/>
  <c r="CF85" i="5" s="1"/>
  <c r="CG85" i="5" s="1"/>
  <c r="CH85" i="5" s="1"/>
  <c r="CI85" i="5" s="1"/>
  <c r="CJ85" i="5" s="1"/>
  <c r="CK85" i="5" s="1"/>
  <c r="CL85" i="5" s="1"/>
  <c r="CM85" i="5" s="1"/>
  <c r="CN85" i="5" s="1"/>
  <c r="CO85" i="5" s="1"/>
  <c r="CP85" i="5" s="1"/>
  <c r="CQ85" i="5" s="1"/>
  <c r="CR85" i="5" s="1"/>
  <c r="CS85" i="5" s="1"/>
  <c r="CT85" i="5" s="1"/>
  <c r="CU85" i="5" s="1"/>
  <c r="CV85" i="5" s="1"/>
  <c r="CW85" i="5" s="1"/>
  <c r="CX85" i="5" s="1"/>
  <c r="CY85" i="5" s="1"/>
  <c r="CZ85" i="5" s="1"/>
  <c r="DA85" i="5" s="1"/>
  <c r="DB85" i="5" s="1"/>
  <c r="DC85" i="5" s="1"/>
  <c r="DD85" i="5" s="1"/>
  <c r="DE85" i="5" s="1"/>
  <c r="DF85" i="5" s="1"/>
  <c r="DG85" i="5" s="1"/>
  <c r="DH85" i="5" s="1"/>
  <c r="DI85" i="5" s="1"/>
  <c r="DJ85" i="5" s="1"/>
  <c r="DK85" i="5" s="1"/>
  <c r="DL85" i="5" s="1"/>
  <c r="DM85" i="5" s="1"/>
  <c r="DN85" i="5" s="1"/>
  <c r="DO85" i="5" s="1"/>
  <c r="DP85" i="5" s="1"/>
  <c r="DQ85" i="5" s="1"/>
  <c r="DR85" i="5" s="1"/>
  <c r="DS85" i="5" s="1"/>
  <c r="DT85" i="5" s="1"/>
  <c r="DU85" i="5" s="1"/>
  <c r="DV85" i="5" s="1"/>
  <c r="DW85" i="5" s="1"/>
  <c r="DX85" i="5" s="1"/>
  <c r="DY85" i="5" s="1"/>
  <c r="DZ85" i="5" s="1"/>
  <c r="EA85" i="5" s="1"/>
  <c r="EB85" i="5" s="1"/>
  <c r="EC85" i="5" s="1"/>
  <c r="ED85" i="5" s="1"/>
  <c r="EE85" i="5" s="1"/>
  <c r="EF85" i="5" s="1"/>
  <c r="EG85" i="5" s="1"/>
  <c r="EH85" i="5" s="1"/>
  <c r="EI85" i="5" s="1"/>
  <c r="EJ85" i="5" s="1"/>
  <c r="EK85" i="5" s="1"/>
  <c r="EL85" i="5" s="1"/>
  <c r="EM85" i="5" s="1"/>
  <c r="EN85" i="5" s="1"/>
  <c r="EO85" i="5" s="1"/>
  <c r="EP85" i="5" s="1"/>
  <c r="EQ85" i="5" s="1"/>
  <c r="ER85" i="5" s="1"/>
  <c r="ES85" i="5" s="1"/>
  <c r="ET85" i="5" s="1"/>
  <c r="EU85" i="5" s="1"/>
  <c r="EV85" i="5" s="1"/>
  <c r="EW85" i="5" s="1"/>
  <c r="EX85" i="5" s="1"/>
  <c r="EY85" i="5" s="1"/>
  <c r="EZ85" i="5" s="1"/>
  <c r="FA85" i="5" s="1"/>
  <c r="FB85" i="5" s="1"/>
  <c r="FC85" i="5" s="1"/>
  <c r="FD85" i="5" s="1"/>
  <c r="FE85" i="5" s="1"/>
  <c r="FF85" i="5" s="1"/>
  <c r="FG85" i="5" s="1"/>
  <c r="FH85" i="5" s="1"/>
  <c r="FI85" i="5" s="1"/>
  <c r="FJ85" i="5" s="1"/>
  <c r="FK85" i="5" s="1"/>
  <c r="FL85" i="5" s="1"/>
  <c r="FM85" i="5" s="1"/>
  <c r="FN85" i="5" s="1"/>
  <c r="FO85" i="5" s="1"/>
  <c r="FP85" i="5" s="1"/>
  <c r="FQ85" i="5" s="1"/>
  <c r="FR85" i="5" s="1"/>
  <c r="FS85" i="5" s="1"/>
  <c r="FT85" i="5" s="1"/>
  <c r="FU85" i="5" s="1"/>
  <c r="FV85" i="5" s="1"/>
  <c r="FW85" i="5" s="1"/>
  <c r="FX85" i="5" s="1"/>
  <c r="FY85" i="5" s="1"/>
  <c r="FZ85" i="5" s="1"/>
  <c r="GA85" i="5" s="1"/>
  <c r="GB85" i="5" s="1"/>
  <c r="GC85" i="5" s="1"/>
  <c r="GD85" i="5" s="1"/>
  <c r="GE85" i="5" s="1"/>
  <c r="GF85" i="5" s="1"/>
  <c r="GG85" i="5" s="1"/>
  <c r="GH85" i="5" s="1"/>
  <c r="GI85" i="5" s="1"/>
  <c r="GJ85" i="5" s="1"/>
  <c r="GK85" i="5" s="1"/>
  <c r="GL85" i="5" s="1"/>
  <c r="GM85" i="5" s="1"/>
  <c r="GN85" i="5" s="1"/>
  <c r="GO85" i="5" s="1"/>
  <c r="GP85" i="5" s="1"/>
  <c r="GQ85" i="5" s="1"/>
  <c r="GR85" i="5" s="1"/>
  <c r="GS85" i="5" s="1"/>
  <c r="GT85" i="5" s="1"/>
  <c r="GU85" i="5" s="1"/>
  <c r="GV85" i="5" s="1"/>
  <c r="GW85" i="5" s="1"/>
  <c r="GX85" i="5" s="1"/>
  <c r="GY85" i="5" s="1"/>
  <c r="GZ85" i="5" s="1"/>
  <c r="HA85" i="5" s="1"/>
  <c r="HB85" i="5" s="1"/>
  <c r="HC85" i="5" s="1"/>
  <c r="HD85" i="5" s="1"/>
  <c r="HE85" i="5" s="1"/>
  <c r="HF85" i="5" s="1"/>
  <c r="HG85" i="5" s="1"/>
  <c r="HH85" i="5" s="1"/>
  <c r="HI85" i="5" s="1"/>
  <c r="HJ85" i="5" s="1"/>
  <c r="HK85" i="5" s="1"/>
  <c r="HL85" i="5" s="1"/>
  <c r="HM85" i="5" s="1"/>
  <c r="HN85" i="5" s="1"/>
  <c r="HO85" i="5" s="1"/>
  <c r="HP85" i="5" s="1"/>
  <c r="HQ85" i="5" s="1"/>
  <c r="HR85" i="5" s="1"/>
  <c r="HS85" i="5" s="1"/>
  <c r="HT85" i="5" s="1"/>
  <c r="HU85" i="5" s="1"/>
  <c r="HV85" i="5" s="1"/>
  <c r="HW85" i="5" s="1"/>
  <c r="HX85" i="5" s="1"/>
  <c r="HY85" i="5" s="1"/>
  <c r="HZ85" i="5" s="1"/>
  <c r="IA85" i="5" s="1"/>
  <c r="IB85" i="5" s="1"/>
  <c r="IC85" i="5" s="1"/>
  <c r="ID85" i="5" s="1"/>
  <c r="IE85" i="5" s="1"/>
  <c r="IF85" i="5" s="1"/>
  <c r="IG85" i="5" s="1"/>
  <c r="IH85" i="5" s="1"/>
  <c r="II85" i="5" s="1"/>
  <c r="IJ85" i="5" s="1"/>
  <c r="IK85" i="5" s="1"/>
  <c r="IL85" i="5" s="1"/>
  <c r="IM85" i="5" s="1"/>
  <c r="IN85" i="5" s="1"/>
  <c r="IO85" i="5" s="1"/>
  <c r="IP85" i="5" s="1"/>
  <c r="IQ85" i="5" s="1"/>
  <c r="IR85" i="5" s="1"/>
  <c r="IS85" i="5" s="1"/>
  <c r="IT85" i="5" s="1"/>
  <c r="IU85" i="5" s="1"/>
  <c r="F77" i="5"/>
  <c r="G77" i="5" s="1"/>
  <c r="H77" i="5" s="1"/>
  <c r="I77" i="5" s="1"/>
  <c r="J77" i="5" s="1"/>
  <c r="K77" i="5" s="1"/>
  <c r="L77" i="5" s="1"/>
  <c r="M77" i="5" s="1"/>
  <c r="N77" i="5" s="1"/>
  <c r="O77" i="5" s="1"/>
  <c r="P77" i="5" s="1"/>
  <c r="Q77" i="5" s="1"/>
  <c r="R77" i="5" s="1"/>
  <c r="S77" i="5" s="1"/>
  <c r="T77" i="5" s="1"/>
  <c r="U77" i="5" s="1"/>
  <c r="V77" i="5" s="1"/>
  <c r="W77" i="5" s="1"/>
  <c r="X77" i="5" s="1"/>
  <c r="Y77" i="5" s="1"/>
  <c r="Z77" i="5" s="1"/>
  <c r="AA77" i="5" s="1"/>
  <c r="AB77" i="5" s="1"/>
  <c r="AC77" i="5" s="1"/>
  <c r="AD77" i="5" s="1"/>
  <c r="AE77" i="5" s="1"/>
  <c r="AF77" i="5" s="1"/>
  <c r="AG77" i="5" s="1"/>
  <c r="AH77" i="5" s="1"/>
  <c r="AI77" i="5" s="1"/>
  <c r="AJ77" i="5" s="1"/>
  <c r="AK77" i="5" s="1"/>
  <c r="AL77" i="5" s="1"/>
  <c r="AM77" i="5" s="1"/>
  <c r="AN77" i="5" s="1"/>
  <c r="AO77" i="5" s="1"/>
  <c r="AP77" i="5" s="1"/>
  <c r="AQ77" i="5" s="1"/>
  <c r="AR77" i="5" s="1"/>
  <c r="AS77" i="5" s="1"/>
  <c r="AT77" i="5" s="1"/>
  <c r="AU77" i="5" s="1"/>
  <c r="AV77" i="5" s="1"/>
  <c r="AW77" i="5" s="1"/>
  <c r="AX77" i="5" s="1"/>
  <c r="AY77" i="5" s="1"/>
  <c r="AZ77" i="5" s="1"/>
  <c r="BA77" i="5" s="1"/>
  <c r="BB77" i="5" s="1"/>
  <c r="BC77" i="5" s="1"/>
  <c r="BD77" i="5" s="1"/>
  <c r="BE77" i="5" s="1"/>
  <c r="BF77" i="5" s="1"/>
  <c r="BG77" i="5" s="1"/>
  <c r="BH77" i="5" s="1"/>
  <c r="BI77" i="5" s="1"/>
  <c r="BJ77" i="5" s="1"/>
  <c r="BK77" i="5" s="1"/>
  <c r="BL77" i="5" s="1"/>
  <c r="BM77" i="5" s="1"/>
  <c r="BN77" i="5" s="1"/>
  <c r="BO77" i="5" s="1"/>
  <c r="BP77" i="5" s="1"/>
  <c r="BQ77" i="5" s="1"/>
  <c r="BR77" i="5" s="1"/>
  <c r="BS77" i="5" s="1"/>
  <c r="BT77" i="5" s="1"/>
  <c r="BU77" i="5" s="1"/>
  <c r="BV77" i="5" s="1"/>
  <c r="BW77" i="5" s="1"/>
  <c r="BX77" i="5" s="1"/>
  <c r="BY77" i="5" s="1"/>
  <c r="BZ77" i="5" s="1"/>
  <c r="CA77" i="5" s="1"/>
  <c r="CB77" i="5" s="1"/>
  <c r="CC77" i="5" s="1"/>
  <c r="CD77" i="5" s="1"/>
  <c r="CE77" i="5" s="1"/>
  <c r="CF77" i="5" s="1"/>
  <c r="CG77" i="5" s="1"/>
  <c r="CH77" i="5" s="1"/>
  <c r="CI77" i="5" s="1"/>
  <c r="CJ77" i="5" s="1"/>
  <c r="CK77" i="5" s="1"/>
  <c r="CL77" i="5" s="1"/>
  <c r="CM77" i="5" s="1"/>
  <c r="CN77" i="5" s="1"/>
  <c r="CO77" i="5" s="1"/>
  <c r="CP77" i="5" s="1"/>
  <c r="CQ77" i="5" s="1"/>
  <c r="CR77" i="5" s="1"/>
  <c r="CS77" i="5" s="1"/>
  <c r="CT77" i="5" s="1"/>
  <c r="CU77" i="5" s="1"/>
  <c r="CV77" i="5" s="1"/>
  <c r="CW77" i="5" s="1"/>
  <c r="CX77" i="5" s="1"/>
  <c r="CY77" i="5" s="1"/>
  <c r="CZ77" i="5" s="1"/>
  <c r="DA77" i="5" s="1"/>
  <c r="DB77" i="5" s="1"/>
  <c r="DC77" i="5" s="1"/>
  <c r="DD77" i="5" s="1"/>
  <c r="DE77" i="5" s="1"/>
  <c r="DF77" i="5" s="1"/>
  <c r="DG77" i="5" s="1"/>
  <c r="DH77" i="5" s="1"/>
  <c r="DI77" i="5" s="1"/>
  <c r="DJ77" i="5" s="1"/>
  <c r="DK77" i="5" s="1"/>
  <c r="DL77" i="5" s="1"/>
  <c r="DM77" i="5" s="1"/>
  <c r="DN77" i="5" s="1"/>
  <c r="DO77" i="5" s="1"/>
  <c r="DP77" i="5" s="1"/>
  <c r="DQ77" i="5" s="1"/>
  <c r="DR77" i="5" s="1"/>
  <c r="DS77" i="5" s="1"/>
  <c r="DT77" i="5" s="1"/>
  <c r="DU77" i="5" s="1"/>
  <c r="DV77" i="5" s="1"/>
  <c r="DW77" i="5" s="1"/>
  <c r="DX77" i="5" s="1"/>
  <c r="DY77" i="5" s="1"/>
  <c r="DZ77" i="5" s="1"/>
  <c r="EA77" i="5" s="1"/>
  <c r="EB77" i="5" s="1"/>
  <c r="EC77" i="5" s="1"/>
  <c r="ED77" i="5" s="1"/>
  <c r="EE77" i="5" s="1"/>
  <c r="EF77" i="5" s="1"/>
  <c r="EG77" i="5" s="1"/>
  <c r="EH77" i="5" s="1"/>
  <c r="EI77" i="5" s="1"/>
  <c r="EJ77" i="5" s="1"/>
  <c r="EK77" i="5" s="1"/>
  <c r="EL77" i="5" s="1"/>
  <c r="EM77" i="5" s="1"/>
  <c r="EN77" i="5" s="1"/>
  <c r="EO77" i="5" s="1"/>
  <c r="EP77" i="5" s="1"/>
  <c r="EQ77" i="5" s="1"/>
  <c r="ER77" i="5" s="1"/>
  <c r="ES77" i="5" s="1"/>
  <c r="ET77" i="5" s="1"/>
  <c r="EU77" i="5" s="1"/>
  <c r="EV77" i="5" s="1"/>
  <c r="EW77" i="5" s="1"/>
  <c r="EX77" i="5" s="1"/>
  <c r="EY77" i="5" s="1"/>
  <c r="EZ77" i="5" s="1"/>
  <c r="FA77" i="5" s="1"/>
  <c r="FB77" i="5" s="1"/>
  <c r="FC77" i="5" s="1"/>
  <c r="FD77" i="5" s="1"/>
  <c r="FE77" i="5" s="1"/>
  <c r="FF77" i="5" s="1"/>
  <c r="FG77" i="5" s="1"/>
  <c r="FH77" i="5" s="1"/>
  <c r="FI77" i="5" s="1"/>
  <c r="FJ77" i="5" s="1"/>
  <c r="FK77" i="5" s="1"/>
  <c r="FL77" i="5" s="1"/>
  <c r="FM77" i="5" s="1"/>
  <c r="FN77" i="5" s="1"/>
  <c r="FO77" i="5" s="1"/>
  <c r="FP77" i="5" s="1"/>
  <c r="FQ77" i="5" s="1"/>
  <c r="FR77" i="5" s="1"/>
  <c r="FS77" i="5" s="1"/>
  <c r="FT77" i="5" s="1"/>
  <c r="FU77" i="5" s="1"/>
  <c r="FV77" i="5" s="1"/>
  <c r="FW77" i="5" s="1"/>
  <c r="FX77" i="5" s="1"/>
  <c r="FY77" i="5" s="1"/>
  <c r="FZ77" i="5" s="1"/>
  <c r="GA77" i="5" s="1"/>
  <c r="GB77" i="5" s="1"/>
  <c r="GC77" i="5" s="1"/>
  <c r="GD77" i="5" s="1"/>
  <c r="GE77" i="5" s="1"/>
  <c r="GF77" i="5" s="1"/>
  <c r="GG77" i="5" s="1"/>
  <c r="GH77" i="5" s="1"/>
  <c r="GI77" i="5" s="1"/>
  <c r="GJ77" i="5" s="1"/>
  <c r="GK77" i="5" s="1"/>
  <c r="GL77" i="5" s="1"/>
  <c r="GM77" i="5" s="1"/>
  <c r="GN77" i="5" s="1"/>
  <c r="GO77" i="5" s="1"/>
  <c r="GP77" i="5" s="1"/>
  <c r="GQ77" i="5" s="1"/>
  <c r="GR77" i="5" s="1"/>
  <c r="GS77" i="5" s="1"/>
  <c r="GT77" i="5" s="1"/>
  <c r="GU77" i="5" s="1"/>
  <c r="GV77" i="5" s="1"/>
  <c r="GW77" i="5" s="1"/>
  <c r="GX77" i="5" s="1"/>
  <c r="GY77" i="5" s="1"/>
  <c r="GZ77" i="5" s="1"/>
  <c r="HA77" i="5" s="1"/>
  <c r="HB77" i="5" s="1"/>
  <c r="HC77" i="5" s="1"/>
  <c r="HD77" i="5" s="1"/>
  <c r="HE77" i="5" s="1"/>
  <c r="HF77" i="5" s="1"/>
  <c r="HG77" i="5" s="1"/>
  <c r="HH77" i="5" s="1"/>
  <c r="HI77" i="5" s="1"/>
  <c r="HJ77" i="5" s="1"/>
  <c r="HK77" i="5" s="1"/>
  <c r="HL77" i="5" s="1"/>
  <c r="HM77" i="5" s="1"/>
  <c r="HN77" i="5" s="1"/>
  <c r="HO77" i="5" s="1"/>
  <c r="HP77" i="5" s="1"/>
  <c r="HQ77" i="5" s="1"/>
  <c r="HR77" i="5" s="1"/>
  <c r="HS77" i="5" s="1"/>
  <c r="HT77" i="5" s="1"/>
  <c r="HU77" i="5" s="1"/>
  <c r="HV77" i="5" s="1"/>
  <c r="HW77" i="5" s="1"/>
  <c r="HX77" i="5" s="1"/>
  <c r="HY77" i="5" s="1"/>
  <c r="HZ77" i="5" s="1"/>
  <c r="IA77" i="5" s="1"/>
  <c r="IB77" i="5" s="1"/>
  <c r="IC77" i="5" s="1"/>
  <c r="ID77" i="5" s="1"/>
  <c r="IE77" i="5" s="1"/>
  <c r="IF77" i="5" s="1"/>
  <c r="IG77" i="5" s="1"/>
  <c r="IH77" i="5" s="1"/>
  <c r="II77" i="5" s="1"/>
  <c r="IJ77" i="5" s="1"/>
  <c r="IK77" i="5" s="1"/>
  <c r="IL77" i="5" s="1"/>
  <c r="IM77" i="5" s="1"/>
  <c r="IN77" i="5" s="1"/>
  <c r="IO77" i="5" s="1"/>
  <c r="IP77" i="5" s="1"/>
  <c r="IQ77" i="5" s="1"/>
  <c r="IR77" i="5" s="1"/>
  <c r="IS77" i="5" s="1"/>
  <c r="IT77" i="5" s="1"/>
  <c r="IU77" i="5" s="1"/>
  <c r="F69" i="5"/>
  <c r="G69" i="5" s="1"/>
  <c r="H69" i="5" s="1"/>
  <c r="I69" i="5" s="1"/>
  <c r="J69" i="5" s="1"/>
  <c r="K69" i="5" s="1"/>
  <c r="L69" i="5" s="1"/>
  <c r="M69" i="5" s="1"/>
  <c r="N69" i="5" s="1"/>
  <c r="O69" i="5" s="1"/>
  <c r="P69" i="5" s="1"/>
  <c r="Q69" i="5" s="1"/>
  <c r="R69" i="5" s="1"/>
  <c r="S69" i="5" s="1"/>
  <c r="T69" i="5" s="1"/>
  <c r="U69" i="5" s="1"/>
  <c r="V69" i="5" s="1"/>
  <c r="W69" i="5" s="1"/>
  <c r="X69" i="5" s="1"/>
  <c r="Y69" i="5" s="1"/>
  <c r="Z69" i="5" s="1"/>
  <c r="AA69" i="5" s="1"/>
  <c r="AB69" i="5" s="1"/>
  <c r="AC69" i="5" s="1"/>
  <c r="AD69" i="5" s="1"/>
  <c r="AE69" i="5" s="1"/>
  <c r="AF69" i="5" s="1"/>
  <c r="AG69" i="5" s="1"/>
  <c r="AH69" i="5" s="1"/>
  <c r="AI69" i="5" s="1"/>
  <c r="AJ69" i="5" s="1"/>
  <c r="AK69" i="5" s="1"/>
  <c r="AL69" i="5" s="1"/>
  <c r="AM69" i="5" s="1"/>
  <c r="AN69" i="5" s="1"/>
  <c r="AO69" i="5" s="1"/>
  <c r="AP69" i="5" s="1"/>
  <c r="AQ69" i="5" s="1"/>
  <c r="AR69" i="5" s="1"/>
  <c r="AS69" i="5" s="1"/>
  <c r="AT69" i="5" s="1"/>
  <c r="AU69" i="5" s="1"/>
  <c r="AV69" i="5" s="1"/>
  <c r="AW69" i="5" s="1"/>
  <c r="AX69" i="5" s="1"/>
  <c r="AY69" i="5" s="1"/>
  <c r="AZ69" i="5" s="1"/>
  <c r="BA69" i="5" s="1"/>
  <c r="BB69" i="5" s="1"/>
  <c r="BC69" i="5" s="1"/>
  <c r="BD69" i="5" s="1"/>
  <c r="BE69" i="5" s="1"/>
  <c r="BF69" i="5" s="1"/>
  <c r="BG69" i="5" s="1"/>
  <c r="BH69" i="5" s="1"/>
  <c r="BI69" i="5" s="1"/>
  <c r="BJ69" i="5" s="1"/>
  <c r="BK69" i="5" s="1"/>
  <c r="BL69" i="5" s="1"/>
  <c r="BM69" i="5" s="1"/>
  <c r="BN69" i="5" s="1"/>
  <c r="BO69" i="5" s="1"/>
  <c r="BP69" i="5" s="1"/>
  <c r="BQ69" i="5" s="1"/>
  <c r="BR69" i="5" s="1"/>
  <c r="BS69" i="5" s="1"/>
  <c r="BT69" i="5" s="1"/>
  <c r="BU69" i="5" s="1"/>
  <c r="BV69" i="5" s="1"/>
  <c r="BW69" i="5" s="1"/>
  <c r="BX69" i="5" s="1"/>
  <c r="BY69" i="5" s="1"/>
  <c r="BZ69" i="5" s="1"/>
  <c r="CA69" i="5" s="1"/>
  <c r="CB69" i="5" s="1"/>
  <c r="CC69" i="5" s="1"/>
  <c r="CD69" i="5" s="1"/>
  <c r="CE69" i="5" s="1"/>
  <c r="CF69" i="5" s="1"/>
  <c r="CG69" i="5" s="1"/>
  <c r="CH69" i="5" s="1"/>
  <c r="CI69" i="5" s="1"/>
  <c r="CJ69" i="5" s="1"/>
  <c r="CK69" i="5" s="1"/>
  <c r="CL69" i="5" s="1"/>
  <c r="CM69" i="5" s="1"/>
  <c r="CN69" i="5" s="1"/>
  <c r="CO69" i="5" s="1"/>
  <c r="CP69" i="5" s="1"/>
  <c r="CQ69" i="5" s="1"/>
  <c r="CR69" i="5" s="1"/>
  <c r="CS69" i="5" s="1"/>
  <c r="CT69" i="5" s="1"/>
  <c r="CU69" i="5" s="1"/>
  <c r="CV69" i="5" s="1"/>
  <c r="CW69" i="5" s="1"/>
  <c r="CX69" i="5" s="1"/>
  <c r="CY69" i="5" s="1"/>
  <c r="CZ69" i="5" s="1"/>
  <c r="DA69" i="5" s="1"/>
  <c r="DB69" i="5" s="1"/>
  <c r="DC69" i="5" s="1"/>
  <c r="DD69" i="5" s="1"/>
  <c r="DE69" i="5" s="1"/>
  <c r="DF69" i="5" s="1"/>
  <c r="DG69" i="5" s="1"/>
  <c r="DH69" i="5" s="1"/>
  <c r="DI69" i="5" s="1"/>
  <c r="DJ69" i="5" s="1"/>
  <c r="DK69" i="5" s="1"/>
  <c r="DL69" i="5" s="1"/>
  <c r="DM69" i="5" s="1"/>
  <c r="DN69" i="5" s="1"/>
  <c r="DO69" i="5" s="1"/>
  <c r="DP69" i="5" s="1"/>
  <c r="DQ69" i="5" s="1"/>
  <c r="DR69" i="5" s="1"/>
  <c r="DS69" i="5" s="1"/>
  <c r="DT69" i="5" s="1"/>
  <c r="DU69" i="5" s="1"/>
  <c r="DV69" i="5" s="1"/>
  <c r="DW69" i="5" s="1"/>
  <c r="DX69" i="5" s="1"/>
  <c r="DY69" i="5" s="1"/>
  <c r="DZ69" i="5" s="1"/>
  <c r="EA69" i="5" s="1"/>
  <c r="EB69" i="5" s="1"/>
  <c r="EC69" i="5" s="1"/>
  <c r="ED69" i="5" s="1"/>
  <c r="EE69" i="5" s="1"/>
  <c r="EF69" i="5" s="1"/>
  <c r="EG69" i="5" s="1"/>
  <c r="EH69" i="5" s="1"/>
  <c r="EI69" i="5" s="1"/>
  <c r="EJ69" i="5" s="1"/>
  <c r="EK69" i="5" s="1"/>
  <c r="EL69" i="5" s="1"/>
  <c r="EM69" i="5" s="1"/>
  <c r="EN69" i="5" s="1"/>
  <c r="EO69" i="5" s="1"/>
  <c r="EP69" i="5" s="1"/>
  <c r="EQ69" i="5" s="1"/>
  <c r="ER69" i="5" s="1"/>
  <c r="ES69" i="5" s="1"/>
  <c r="ET69" i="5" s="1"/>
  <c r="EU69" i="5" s="1"/>
  <c r="EV69" i="5" s="1"/>
  <c r="EW69" i="5" s="1"/>
  <c r="EX69" i="5" s="1"/>
  <c r="EY69" i="5" s="1"/>
  <c r="EZ69" i="5" s="1"/>
  <c r="FA69" i="5" s="1"/>
  <c r="FB69" i="5" s="1"/>
  <c r="FC69" i="5" s="1"/>
  <c r="FD69" i="5" s="1"/>
  <c r="FE69" i="5" s="1"/>
  <c r="FF69" i="5" s="1"/>
  <c r="FG69" i="5" s="1"/>
  <c r="FH69" i="5" s="1"/>
  <c r="FI69" i="5" s="1"/>
  <c r="FJ69" i="5" s="1"/>
  <c r="FK69" i="5" s="1"/>
  <c r="FL69" i="5" s="1"/>
  <c r="FM69" i="5" s="1"/>
  <c r="FN69" i="5" s="1"/>
  <c r="FO69" i="5" s="1"/>
  <c r="FP69" i="5" s="1"/>
  <c r="FQ69" i="5" s="1"/>
  <c r="FR69" i="5" s="1"/>
  <c r="FS69" i="5" s="1"/>
  <c r="FT69" i="5" s="1"/>
  <c r="FU69" i="5" s="1"/>
  <c r="FV69" i="5" s="1"/>
  <c r="FW69" i="5" s="1"/>
  <c r="FX69" i="5" s="1"/>
  <c r="FY69" i="5" s="1"/>
  <c r="FZ69" i="5" s="1"/>
  <c r="GA69" i="5" s="1"/>
  <c r="GB69" i="5" s="1"/>
  <c r="GC69" i="5" s="1"/>
  <c r="GD69" i="5" s="1"/>
  <c r="GE69" i="5" s="1"/>
  <c r="GF69" i="5" s="1"/>
  <c r="GG69" i="5" s="1"/>
  <c r="GH69" i="5" s="1"/>
  <c r="GI69" i="5" s="1"/>
  <c r="GJ69" i="5" s="1"/>
  <c r="GK69" i="5" s="1"/>
  <c r="GL69" i="5" s="1"/>
  <c r="GM69" i="5" s="1"/>
  <c r="GN69" i="5" s="1"/>
  <c r="GO69" i="5" s="1"/>
  <c r="GP69" i="5" s="1"/>
  <c r="GQ69" i="5" s="1"/>
  <c r="GR69" i="5" s="1"/>
  <c r="GS69" i="5" s="1"/>
  <c r="GT69" i="5" s="1"/>
  <c r="GU69" i="5" s="1"/>
  <c r="GV69" i="5" s="1"/>
  <c r="GW69" i="5" s="1"/>
  <c r="GX69" i="5" s="1"/>
  <c r="GY69" i="5" s="1"/>
  <c r="GZ69" i="5" s="1"/>
  <c r="HA69" i="5" s="1"/>
  <c r="HB69" i="5" s="1"/>
  <c r="HC69" i="5" s="1"/>
  <c r="HD69" i="5" s="1"/>
  <c r="HE69" i="5" s="1"/>
  <c r="HF69" i="5" s="1"/>
  <c r="HG69" i="5" s="1"/>
  <c r="HH69" i="5" s="1"/>
  <c r="HI69" i="5" s="1"/>
  <c r="HJ69" i="5" s="1"/>
  <c r="HK69" i="5" s="1"/>
  <c r="HL69" i="5" s="1"/>
  <c r="HM69" i="5" s="1"/>
  <c r="HN69" i="5" s="1"/>
  <c r="HO69" i="5" s="1"/>
  <c r="HP69" i="5" s="1"/>
  <c r="HQ69" i="5" s="1"/>
  <c r="HR69" i="5" s="1"/>
  <c r="HS69" i="5" s="1"/>
  <c r="HT69" i="5" s="1"/>
  <c r="HU69" i="5" s="1"/>
  <c r="HV69" i="5" s="1"/>
  <c r="HW69" i="5" s="1"/>
  <c r="HX69" i="5" s="1"/>
  <c r="HY69" i="5" s="1"/>
  <c r="HZ69" i="5" s="1"/>
  <c r="IA69" i="5" s="1"/>
  <c r="IB69" i="5" s="1"/>
  <c r="IC69" i="5" s="1"/>
  <c r="ID69" i="5" s="1"/>
  <c r="IE69" i="5" s="1"/>
  <c r="IF69" i="5" s="1"/>
  <c r="IG69" i="5" s="1"/>
  <c r="IH69" i="5" s="1"/>
  <c r="II69" i="5" s="1"/>
  <c r="IJ69" i="5" s="1"/>
  <c r="IK69" i="5" s="1"/>
  <c r="IL69" i="5" s="1"/>
  <c r="IM69" i="5" s="1"/>
  <c r="IN69" i="5" s="1"/>
  <c r="IO69" i="5" s="1"/>
  <c r="IP69" i="5" s="1"/>
  <c r="IQ69" i="5" s="1"/>
  <c r="IR69" i="5" s="1"/>
  <c r="IS69" i="5" s="1"/>
  <c r="IT69" i="5" s="1"/>
  <c r="IU69" i="5" s="1"/>
  <c r="F61" i="5"/>
  <c r="G61" i="5" s="1"/>
  <c r="H61" i="5" s="1"/>
  <c r="I61" i="5" s="1"/>
  <c r="J61" i="5" s="1"/>
  <c r="K61" i="5" s="1"/>
  <c r="L61" i="5" s="1"/>
  <c r="M61" i="5" s="1"/>
  <c r="N61" i="5" s="1"/>
  <c r="O61" i="5" s="1"/>
  <c r="P61" i="5" s="1"/>
  <c r="Q61" i="5" s="1"/>
  <c r="R61" i="5" s="1"/>
  <c r="S61" i="5" s="1"/>
  <c r="T61" i="5" s="1"/>
  <c r="U61" i="5" s="1"/>
  <c r="V61" i="5" s="1"/>
  <c r="W61" i="5" s="1"/>
  <c r="X61" i="5" s="1"/>
  <c r="Y61" i="5" s="1"/>
  <c r="Z61" i="5" s="1"/>
  <c r="AA61" i="5" s="1"/>
  <c r="AB61" i="5" s="1"/>
  <c r="AC61" i="5" s="1"/>
  <c r="AD61" i="5" s="1"/>
  <c r="AE61" i="5" s="1"/>
  <c r="AF61" i="5" s="1"/>
  <c r="AG61" i="5" s="1"/>
  <c r="AH61" i="5" s="1"/>
  <c r="AI61" i="5" s="1"/>
  <c r="AJ61" i="5" s="1"/>
  <c r="AK61" i="5" s="1"/>
  <c r="AL61" i="5" s="1"/>
  <c r="AM61" i="5" s="1"/>
  <c r="AN61" i="5" s="1"/>
  <c r="AO61" i="5" s="1"/>
  <c r="AP61" i="5" s="1"/>
  <c r="AQ61" i="5" s="1"/>
  <c r="AR61" i="5" s="1"/>
  <c r="AS61" i="5" s="1"/>
  <c r="AT61" i="5" s="1"/>
  <c r="AU61" i="5" s="1"/>
  <c r="AV61" i="5" s="1"/>
  <c r="AW61" i="5" s="1"/>
  <c r="AX61" i="5" s="1"/>
  <c r="AY61" i="5" s="1"/>
  <c r="AZ61" i="5" s="1"/>
  <c r="BA61" i="5" s="1"/>
  <c r="BB61" i="5" s="1"/>
  <c r="BC61" i="5" s="1"/>
  <c r="BD61" i="5" s="1"/>
  <c r="BE61" i="5" s="1"/>
  <c r="BF61" i="5" s="1"/>
  <c r="BG61" i="5" s="1"/>
  <c r="BH61" i="5" s="1"/>
  <c r="BI61" i="5" s="1"/>
  <c r="BJ61" i="5" s="1"/>
  <c r="BK61" i="5" s="1"/>
  <c r="BL61" i="5" s="1"/>
  <c r="BM61" i="5" s="1"/>
  <c r="BN61" i="5" s="1"/>
  <c r="BO61" i="5" s="1"/>
  <c r="BP61" i="5" s="1"/>
  <c r="BQ61" i="5" s="1"/>
  <c r="BR61" i="5" s="1"/>
  <c r="BS61" i="5" s="1"/>
  <c r="BT61" i="5" s="1"/>
  <c r="BU61" i="5" s="1"/>
  <c r="BV61" i="5" s="1"/>
  <c r="BW61" i="5" s="1"/>
  <c r="BX61" i="5" s="1"/>
  <c r="BY61" i="5" s="1"/>
  <c r="BZ61" i="5" s="1"/>
  <c r="CA61" i="5" s="1"/>
  <c r="CB61" i="5" s="1"/>
  <c r="CC61" i="5" s="1"/>
  <c r="CD61" i="5" s="1"/>
  <c r="CE61" i="5" s="1"/>
  <c r="CF61" i="5" s="1"/>
  <c r="CG61" i="5" s="1"/>
  <c r="CH61" i="5" s="1"/>
  <c r="CI61" i="5" s="1"/>
  <c r="CJ61" i="5" s="1"/>
  <c r="CK61" i="5" s="1"/>
  <c r="CL61" i="5" s="1"/>
  <c r="CM61" i="5" s="1"/>
  <c r="CN61" i="5" s="1"/>
  <c r="CO61" i="5" s="1"/>
  <c r="CP61" i="5" s="1"/>
  <c r="CQ61" i="5" s="1"/>
  <c r="CR61" i="5" s="1"/>
  <c r="CS61" i="5" s="1"/>
  <c r="CT61" i="5" s="1"/>
  <c r="CU61" i="5" s="1"/>
  <c r="CV61" i="5" s="1"/>
  <c r="CW61" i="5" s="1"/>
  <c r="CX61" i="5" s="1"/>
  <c r="CY61" i="5" s="1"/>
  <c r="CZ61" i="5" s="1"/>
  <c r="DA61" i="5" s="1"/>
  <c r="DB61" i="5" s="1"/>
  <c r="DC61" i="5" s="1"/>
  <c r="DD61" i="5" s="1"/>
  <c r="DE61" i="5" s="1"/>
  <c r="DF61" i="5" s="1"/>
  <c r="DG61" i="5" s="1"/>
  <c r="DH61" i="5" s="1"/>
  <c r="DI61" i="5" s="1"/>
  <c r="DJ61" i="5" s="1"/>
  <c r="DK61" i="5" s="1"/>
  <c r="DL61" i="5" s="1"/>
  <c r="DM61" i="5" s="1"/>
  <c r="DN61" i="5" s="1"/>
  <c r="DO61" i="5" s="1"/>
  <c r="DP61" i="5" s="1"/>
  <c r="DQ61" i="5" s="1"/>
  <c r="DR61" i="5" s="1"/>
  <c r="DS61" i="5" s="1"/>
  <c r="DT61" i="5" s="1"/>
  <c r="DU61" i="5" s="1"/>
  <c r="DV61" i="5" s="1"/>
  <c r="DW61" i="5" s="1"/>
  <c r="DX61" i="5" s="1"/>
  <c r="DY61" i="5" s="1"/>
  <c r="DZ61" i="5" s="1"/>
  <c r="EA61" i="5" s="1"/>
  <c r="EB61" i="5" s="1"/>
  <c r="EC61" i="5" s="1"/>
  <c r="ED61" i="5" s="1"/>
  <c r="EE61" i="5" s="1"/>
  <c r="EF61" i="5" s="1"/>
  <c r="EG61" i="5" s="1"/>
  <c r="EH61" i="5" s="1"/>
  <c r="EI61" i="5" s="1"/>
  <c r="EJ61" i="5" s="1"/>
  <c r="EK61" i="5" s="1"/>
  <c r="EL61" i="5" s="1"/>
  <c r="EM61" i="5" s="1"/>
  <c r="EN61" i="5" s="1"/>
  <c r="EO61" i="5" s="1"/>
  <c r="EP61" i="5" s="1"/>
  <c r="EQ61" i="5" s="1"/>
  <c r="ER61" i="5" s="1"/>
  <c r="ES61" i="5" s="1"/>
  <c r="ET61" i="5" s="1"/>
  <c r="EU61" i="5" s="1"/>
  <c r="EV61" i="5" s="1"/>
  <c r="EW61" i="5" s="1"/>
  <c r="EX61" i="5" s="1"/>
  <c r="EY61" i="5" s="1"/>
  <c r="EZ61" i="5" s="1"/>
  <c r="FA61" i="5" s="1"/>
  <c r="FB61" i="5" s="1"/>
  <c r="FC61" i="5" s="1"/>
  <c r="FD61" i="5" s="1"/>
  <c r="FE61" i="5" s="1"/>
  <c r="FF61" i="5" s="1"/>
  <c r="FG61" i="5" s="1"/>
  <c r="FH61" i="5" s="1"/>
  <c r="FI61" i="5" s="1"/>
  <c r="FJ61" i="5" s="1"/>
  <c r="FK61" i="5" s="1"/>
  <c r="FL61" i="5" s="1"/>
  <c r="FM61" i="5" s="1"/>
  <c r="FN61" i="5" s="1"/>
  <c r="FO61" i="5" s="1"/>
  <c r="FP61" i="5" s="1"/>
  <c r="FQ61" i="5" s="1"/>
  <c r="FR61" i="5" s="1"/>
  <c r="FS61" i="5" s="1"/>
  <c r="FT61" i="5" s="1"/>
  <c r="FU61" i="5" s="1"/>
  <c r="FV61" i="5" s="1"/>
  <c r="FW61" i="5" s="1"/>
  <c r="FX61" i="5" s="1"/>
  <c r="FY61" i="5" s="1"/>
  <c r="FZ61" i="5" s="1"/>
  <c r="GA61" i="5" s="1"/>
  <c r="GB61" i="5" s="1"/>
  <c r="GC61" i="5" s="1"/>
  <c r="GD61" i="5" s="1"/>
  <c r="GE61" i="5" s="1"/>
  <c r="GF61" i="5" s="1"/>
  <c r="GG61" i="5" s="1"/>
  <c r="GH61" i="5" s="1"/>
  <c r="GI61" i="5" s="1"/>
  <c r="GJ61" i="5" s="1"/>
  <c r="GK61" i="5" s="1"/>
  <c r="GL61" i="5" s="1"/>
  <c r="GM61" i="5" s="1"/>
  <c r="GN61" i="5" s="1"/>
  <c r="GO61" i="5" s="1"/>
  <c r="GP61" i="5" s="1"/>
  <c r="GQ61" i="5" s="1"/>
  <c r="GR61" i="5" s="1"/>
  <c r="GS61" i="5" s="1"/>
  <c r="GT61" i="5" s="1"/>
  <c r="GU61" i="5" s="1"/>
  <c r="GV61" i="5" s="1"/>
  <c r="GW61" i="5" s="1"/>
  <c r="GX61" i="5" s="1"/>
  <c r="GY61" i="5" s="1"/>
  <c r="GZ61" i="5" s="1"/>
  <c r="HA61" i="5" s="1"/>
  <c r="HB61" i="5" s="1"/>
  <c r="HC61" i="5" s="1"/>
  <c r="HD61" i="5" s="1"/>
  <c r="HE61" i="5" s="1"/>
  <c r="HF61" i="5" s="1"/>
  <c r="HG61" i="5" s="1"/>
  <c r="HH61" i="5" s="1"/>
  <c r="HI61" i="5" s="1"/>
  <c r="HJ61" i="5" s="1"/>
  <c r="HK61" i="5" s="1"/>
  <c r="HL61" i="5" s="1"/>
  <c r="HM61" i="5" s="1"/>
  <c r="HN61" i="5" s="1"/>
  <c r="HO61" i="5" s="1"/>
  <c r="HP61" i="5" s="1"/>
  <c r="HQ61" i="5" s="1"/>
  <c r="HR61" i="5" s="1"/>
  <c r="HS61" i="5" s="1"/>
  <c r="HT61" i="5" s="1"/>
  <c r="HU61" i="5" s="1"/>
  <c r="HV61" i="5" s="1"/>
  <c r="HW61" i="5" s="1"/>
  <c r="HX61" i="5" s="1"/>
  <c r="HY61" i="5" s="1"/>
  <c r="HZ61" i="5" s="1"/>
  <c r="IA61" i="5" s="1"/>
  <c r="IB61" i="5" s="1"/>
  <c r="IC61" i="5" s="1"/>
  <c r="ID61" i="5" s="1"/>
  <c r="IE61" i="5" s="1"/>
  <c r="IF61" i="5" s="1"/>
  <c r="IG61" i="5" s="1"/>
  <c r="IH61" i="5" s="1"/>
  <c r="II61" i="5" s="1"/>
  <c r="IJ61" i="5" s="1"/>
  <c r="IK61" i="5" s="1"/>
  <c r="IL61" i="5" s="1"/>
  <c r="IM61" i="5" s="1"/>
  <c r="IN61" i="5" s="1"/>
  <c r="IO61" i="5" s="1"/>
  <c r="IP61" i="5" s="1"/>
  <c r="IQ61" i="5" s="1"/>
  <c r="IR61" i="5" s="1"/>
  <c r="IS61" i="5" s="1"/>
  <c r="IT61" i="5" s="1"/>
  <c r="IU61" i="5" s="1"/>
  <c r="F53" i="5"/>
  <c r="G53" i="5" s="1"/>
  <c r="H53" i="5" s="1"/>
  <c r="I53" i="5" s="1"/>
  <c r="J53" i="5" s="1"/>
  <c r="K53" i="5" s="1"/>
  <c r="L53" i="5" s="1"/>
  <c r="M53" i="5" s="1"/>
  <c r="N53" i="5" s="1"/>
  <c r="O53" i="5" s="1"/>
  <c r="P53" i="5" s="1"/>
  <c r="Q53" i="5" s="1"/>
  <c r="R53" i="5" s="1"/>
  <c r="S53" i="5" s="1"/>
  <c r="T53" i="5" s="1"/>
  <c r="U53" i="5" s="1"/>
  <c r="V53" i="5" s="1"/>
  <c r="W53" i="5" s="1"/>
  <c r="X53" i="5" s="1"/>
  <c r="Y53" i="5" s="1"/>
  <c r="Z53" i="5" s="1"/>
  <c r="AA53" i="5" s="1"/>
  <c r="AB53" i="5" s="1"/>
  <c r="AC53" i="5" s="1"/>
  <c r="AD53" i="5" s="1"/>
  <c r="AE53" i="5" s="1"/>
  <c r="AF53" i="5" s="1"/>
  <c r="AG53" i="5" s="1"/>
  <c r="AH53" i="5" s="1"/>
  <c r="AI53" i="5" s="1"/>
  <c r="AJ53" i="5" s="1"/>
  <c r="AK53" i="5" s="1"/>
  <c r="AL53" i="5" s="1"/>
  <c r="AM53" i="5" s="1"/>
  <c r="AN53" i="5" s="1"/>
  <c r="AO53" i="5" s="1"/>
  <c r="AP53" i="5" s="1"/>
  <c r="AQ53" i="5" s="1"/>
  <c r="AR53" i="5" s="1"/>
  <c r="AS53" i="5" s="1"/>
  <c r="AT53" i="5" s="1"/>
  <c r="AU53" i="5" s="1"/>
  <c r="AV53" i="5" s="1"/>
  <c r="AW53" i="5" s="1"/>
  <c r="AX53" i="5" s="1"/>
  <c r="AY53" i="5" s="1"/>
  <c r="AZ53" i="5" s="1"/>
  <c r="BA53" i="5" s="1"/>
  <c r="BB53" i="5" s="1"/>
  <c r="BC53" i="5" s="1"/>
  <c r="BD53" i="5" s="1"/>
  <c r="BE53" i="5" s="1"/>
  <c r="BF53" i="5" s="1"/>
  <c r="BG53" i="5" s="1"/>
  <c r="BH53" i="5" s="1"/>
  <c r="BI53" i="5" s="1"/>
  <c r="BJ53" i="5" s="1"/>
  <c r="BK53" i="5" s="1"/>
  <c r="BL53" i="5" s="1"/>
  <c r="BM53" i="5" s="1"/>
  <c r="BN53" i="5" s="1"/>
  <c r="BO53" i="5" s="1"/>
  <c r="BP53" i="5" s="1"/>
  <c r="BQ53" i="5" s="1"/>
  <c r="BR53" i="5" s="1"/>
  <c r="BS53" i="5" s="1"/>
  <c r="BT53" i="5" s="1"/>
  <c r="BU53" i="5" s="1"/>
  <c r="BV53" i="5" s="1"/>
  <c r="BW53" i="5" s="1"/>
  <c r="BX53" i="5" s="1"/>
  <c r="BY53" i="5" s="1"/>
  <c r="BZ53" i="5" s="1"/>
  <c r="CA53" i="5" s="1"/>
  <c r="CB53" i="5" s="1"/>
  <c r="CC53" i="5" s="1"/>
  <c r="CD53" i="5" s="1"/>
  <c r="CE53" i="5" s="1"/>
  <c r="CF53" i="5" s="1"/>
  <c r="CG53" i="5" s="1"/>
  <c r="CH53" i="5" s="1"/>
  <c r="CI53" i="5" s="1"/>
  <c r="CJ53" i="5" s="1"/>
  <c r="CK53" i="5" s="1"/>
  <c r="CL53" i="5" s="1"/>
  <c r="CM53" i="5" s="1"/>
  <c r="CN53" i="5" s="1"/>
  <c r="CO53" i="5" s="1"/>
  <c r="CP53" i="5" s="1"/>
  <c r="CQ53" i="5" s="1"/>
  <c r="CR53" i="5" s="1"/>
  <c r="CS53" i="5" s="1"/>
  <c r="CT53" i="5" s="1"/>
  <c r="CU53" i="5" s="1"/>
  <c r="CV53" i="5" s="1"/>
  <c r="CW53" i="5" s="1"/>
  <c r="CX53" i="5" s="1"/>
  <c r="CY53" i="5" s="1"/>
  <c r="CZ53" i="5" s="1"/>
  <c r="DA53" i="5" s="1"/>
  <c r="DB53" i="5" s="1"/>
  <c r="DC53" i="5" s="1"/>
  <c r="DD53" i="5" s="1"/>
  <c r="DE53" i="5" s="1"/>
  <c r="DF53" i="5" s="1"/>
  <c r="DG53" i="5" s="1"/>
  <c r="DH53" i="5" s="1"/>
  <c r="DI53" i="5" s="1"/>
  <c r="DJ53" i="5" s="1"/>
  <c r="DK53" i="5" s="1"/>
  <c r="DL53" i="5" s="1"/>
  <c r="DM53" i="5" s="1"/>
  <c r="DN53" i="5" s="1"/>
  <c r="DO53" i="5" s="1"/>
  <c r="DP53" i="5" s="1"/>
  <c r="DQ53" i="5" s="1"/>
  <c r="DR53" i="5" s="1"/>
  <c r="DS53" i="5" s="1"/>
  <c r="DT53" i="5" s="1"/>
  <c r="DU53" i="5" s="1"/>
  <c r="DV53" i="5" s="1"/>
  <c r="DW53" i="5" s="1"/>
  <c r="DX53" i="5" s="1"/>
  <c r="DY53" i="5" s="1"/>
  <c r="DZ53" i="5" s="1"/>
  <c r="EA53" i="5" s="1"/>
  <c r="EB53" i="5" s="1"/>
  <c r="EC53" i="5" s="1"/>
  <c r="ED53" i="5" s="1"/>
  <c r="EE53" i="5" s="1"/>
  <c r="EF53" i="5" s="1"/>
  <c r="EG53" i="5" s="1"/>
  <c r="EH53" i="5" s="1"/>
  <c r="EI53" i="5" s="1"/>
  <c r="EJ53" i="5" s="1"/>
  <c r="EK53" i="5" s="1"/>
  <c r="EL53" i="5" s="1"/>
  <c r="EM53" i="5" s="1"/>
  <c r="EN53" i="5" s="1"/>
  <c r="EO53" i="5" s="1"/>
  <c r="EP53" i="5" s="1"/>
  <c r="EQ53" i="5" s="1"/>
  <c r="ER53" i="5" s="1"/>
  <c r="ES53" i="5" s="1"/>
  <c r="ET53" i="5" s="1"/>
  <c r="EU53" i="5" s="1"/>
  <c r="EV53" i="5" s="1"/>
  <c r="EW53" i="5" s="1"/>
  <c r="EX53" i="5" s="1"/>
  <c r="EY53" i="5" s="1"/>
  <c r="EZ53" i="5" s="1"/>
  <c r="FA53" i="5" s="1"/>
  <c r="FB53" i="5" s="1"/>
  <c r="FC53" i="5" s="1"/>
  <c r="FD53" i="5" s="1"/>
  <c r="FE53" i="5" s="1"/>
  <c r="FF53" i="5" s="1"/>
  <c r="FG53" i="5" s="1"/>
  <c r="FH53" i="5" s="1"/>
  <c r="FI53" i="5" s="1"/>
  <c r="FJ53" i="5" s="1"/>
  <c r="FK53" i="5" s="1"/>
  <c r="FL53" i="5" s="1"/>
  <c r="FM53" i="5" s="1"/>
  <c r="FN53" i="5" s="1"/>
  <c r="FO53" i="5" s="1"/>
  <c r="FP53" i="5" s="1"/>
  <c r="FQ53" i="5" s="1"/>
  <c r="FR53" i="5" s="1"/>
  <c r="FS53" i="5" s="1"/>
  <c r="FT53" i="5" s="1"/>
  <c r="FU53" i="5" s="1"/>
  <c r="FV53" i="5" s="1"/>
  <c r="FW53" i="5" s="1"/>
  <c r="FX53" i="5" s="1"/>
  <c r="FY53" i="5" s="1"/>
  <c r="FZ53" i="5" s="1"/>
  <c r="GA53" i="5" s="1"/>
  <c r="GB53" i="5" s="1"/>
  <c r="GC53" i="5" s="1"/>
  <c r="GD53" i="5" s="1"/>
  <c r="GE53" i="5" s="1"/>
  <c r="GF53" i="5" s="1"/>
  <c r="GG53" i="5" s="1"/>
  <c r="GH53" i="5" s="1"/>
  <c r="GI53" i="5" s="1"/>
  <c r="GJ53" i="5" s="1"/>
  <c r="GK53" i="5" s="1"/>
  <c r="GL53" i="5" s="1"/>
  <c r="GM53" i="5" s="1"/>
  <c r="GN53" i="5" s="1"/>
  <c r="GO53" i="5" s="1"/>
  <c r="GP53" i="5" s="1"/>
  <c r="GQ53" i="5" s="1"/>
  <c r="GR53" i="5" s="1"/>
  <c r="GS53" i="5" s="1"/>
  <c r="GT53" i="5" s="1"/>
  <c r="GU53" i="5" s="1"/>
  <c r="GV53" i="5" s="1"/>
  <c r="GW53" i="5" s="1"/>
  <c r="GX53" i="5" s="1"/>
  <c r="GY53" i="5" s="1"/>
  <c r="GZ53" i="5" s="1"/>
  <c r="HA53" i="5" s="1"/>
  <c r="HB53" i="5" s="1"/>
  <c r="HC53" i="5" s="1"/>
  <c r="HD53" i="5" s="1"/>
  <c r="HE53" i="5" s="1"/>
  <c r="HF53" i="5" s="1"/>
  <c r="HG53" i="5" s="1"/>
  <c r="HH53" i="5" s="1"/>
  <c r="HI53" i="5" s="1"/>
  <c r="HJ53" i="5" s="1"/>
  <c r="HK53" i="5" s="1"/>
  <c r="HL53" i="5" s="1"/>
  <c r="HM53" i="5" s="1"/>
  <c r="HN53" i="5" s="1"/>
  <c r="HO53" i="5" s="1"/>
  <c r="HP53" i="5" s="1"/>
  <c r="HQ53" i="5" s="1"/>
  <c r="HR53" i="5" s="1"/>
  <c r="HS53" i="5" s="1"/>
  <c r="HT53" i="5" s="1"/>
  <c r="HU53" i="5" s="1"/>
  <c r="HV53" i="5" s="1"/>
  <c r="HW53" i="5" s="1"/>
  <c r="HX53" i="5" s="1"/>
  <c r="HY53" i="5" s="1"/>
  <c r="HZ53" i="5" s="1"/>
  <c r="IA53" i="5" s="1"/>
  <c r="IB53" i="5" s="1"/>
  <c r="IC53" i="5" s="1"/>
  <c r="ID53" i="5" s="1"/>
  <c r="IE53" i="5" s="1"/>
  <c r="IF53" i="5" s="1"/>
  <c r="IG53" i="5" s="1"/>
  <c r="IH53" i="5" s="1"/>
  <c r="II53" i="5" s="1"/>
  <c r="IJ53" i="5" s="1"/>
  <c r="IK53" i="5" s="1"/>
  <c r="IL53" i="5" s="1"/>
  <c r="IM53" i="5" s="1"/>
  <c r="IN53" i="5" s="1"/>
  <c r="IO53" i="5" s="1"/>
  <c r="IP53" i="5" s="1"/>
  <c r="IQ53" i="5" s="1"/>
  <c r="IR53" i="5" s="1"/>
  <c r="IS53" i="5" s="1"/>
  <c r="IT53" i="5" s="1"/>
  <c r="IU53" i="5" s="1"/>
  <c r="F45" i="5"/>
  <c r="G45" i="5" s="1"/>
  <c r="H45" i="5" s="1"/>
  <c r="I45" i="5" s="1"/>
  <c r="J45" i="5" s="1"/>
  <c r="K45" i="5" s="1"/>
  <c r="L45" i="5" s="1"/>
  <c r="M45" i="5" s="1"/>
  <c r="N45" i="5" s="1"/>
  <c r="O45" i="5" s="1"/>
  <c r="P45" i="5" s="1"/>
  <c r="Q45" i="5" s="1"/>
  <c r="R45" i="5" s="1"/>
  <c r="S45" i="5" s="1"/>
  <c r="T45" i="5" s="1"/>
  <c r="U45" i="5" s="1"/>
  <c r="V45" i="5" s="1"/>
  <c r="W45" i="5" s="1"/>
  <c r="X45" i="5" s="1"/>
  <c r="Y45" i="5" s="1"/>
  <c r="Z45" i="5" s="1"/>
  <c r="AA45" i="5" s="1"/>
  <c r="AB45" i="5" s="1"/>
  <c r="AC45" i="5" s="1"/>
  <c r="AD45" i="5" s="1"/>
  <c r="AE45" i="5" s="1"/>
  <c r="AF45" i="5" s="1"/>
  <c r="AG45" i="5" s="1"/>
  <c r="AH45" i="5" s="1"/>
  <c r="AI45" i="5" s="1"/>
  <c r="AJ45" i="5" s="1"/>
  <c r="AK45" i="5" s="1"/>
  <c r="AL45" i="5" s="1"/>
  <c r="AM45" i="5" s="1"/>
  <c r="AN45" i="5" s="1"/>
  <c r="AO45" i="5" s="1"/>
  <c r="AP45" i="5" s="1"/>
  <c r="AQ45" i="5" s="1"/>
  <c r="AR45" i="5" s="1"/>
  <c r="AS45" i="5" s="1"/>
  <c r="AT45" i="5" s="1"/>
  <c r="AU45" i="5" s="1"/>
  <c r="AV45" i="5" s="1"/>
  <c r="AW45" i="5" s="1"/>
  <c r="AX45" i="5" s="1"/>
  <c r="AY45" i="5" s="1"/>
  <c r="AZ45" i="5" s="1"/>
  <c r="BA45" i="5" s="1"/>
  <c r="BB45" i="5" s="1"/>
  <c r="BC45" i="5" s="1"/>
  <c r="BD45" i="5" s="1"/>
  <c r="BE45" i="5" s="1"/>
  <c r="BF45" i="5" s="1"/>
  <c r="BG45" i="5" s="1"/>
  <c r="BH45" i="5" s="1"/>
  <c r="BI45" i="5" s="1"/>
  <c r="BJ45" i="5" s="1"/>
  <c r="BK45" i="5" s="1"/>
  <c r="BL45" i="5" s="1"/>
  <c r="BM45" i="5" s="1"/>
  <c r="BN45" i="5" s="1"/>
  <c r="BO45" i="5" s="1"/>
  <c r="BP45" i="5" s="1"/>
  <c r="BQ45" i="5" s="1"/>
  <c r="BR45" i="5" s="1"/>
  <c r="BS45" i="5" s="1"/>
  <c r="BT45" i="5" s="1"/>
  <c r="BU45" i="5" s="1"/>
  <c r="BV45" i="5" s="1"/>
  <c r="BW45" i="5" s="1"/>
  <c r="BX45" i="5" s="1"/>
  <c r="BY45" i="5" s="1"/>
  <c r="BZ45" i="5" s="1"/>
  <c r="CA45" i="5" s="1"/>
  <c r="CB45" i="5" s="1"/>
  <c r="CC45" i="5" s="1"/>
  <c r="CD45" i="5" s="1"/>
  <c r="CE45" i="5" s="1"/>
  <c r="CF45" i="5" s="1"/>
  <c r="CG45" i="5" s="1"/>
  <c r="CH45" i="5" s="1"/>
  <c r="CI45" i="5" s="1"/>
  <c r="CJ45" i="5" s="1"/>
  <c r="CK45" i="5" s="1"/>
  <c r="CL45" i="5" s="1"/>
  <c r="CM45" i="5" s="1"/>
  <c r="CN45" i="5" s="1"/>
  <c r="CO45" i="5" s="1"/>
  <c r="CP45" i="5" s="1"/>
  <c r="CQ45" i="5" s="1"/>
  <c r="CR45" i="5" s="1"/>
  <c r="CS45" i="5" s="1"/>
  <c r="CT45" i="5" s="1"/>
  <c r="CU45" i="5" s="1"/>
  <c r="CV45" i="5" s="1"/>
  <c r="CW45" i="5" s="1"/>
  <c r="CX45" i="5" s="1"/>
  <c r="CY45" i="5" s="1"/>
  <c r="CZ45" i="5" s="1"/>
  <c r="DA45" i="5" s="1"/>
  <c r="DB45" i="5" s="1"/>
  <c r="DC45" i="5" s="1"/>
  <c r="DD45" i="5" s="1"/>
  <c r="DE45" i="5" s="1"/>
  <c r="DF45" i="5" s="1"/>
  <c r="DG45" i="5" s="1"/>
  <c r="DH45" i="5" s="1"/>
  <c r="DI45" i="5" s="1"/>
  <c r="DJ45" i="5" s="1"/>
  <c r="DK45" i="5" s="1"/>
  <c r="DL45" i="5" s="1"/>
  <c r="DM45" i="5" s="1"/>
  <c r="DN45" i="5" s="1"/>
  <c r="DO45" i="5" s="1"/>
  <c r="DP45" i="5" s="1"/>
  <c r="DQ45" i="5" s="1"/>
  <c r="DR45" i="5" s="1"/>
  <c r="DS45" i="5" s="1"/>
  <c r="DT45" i="5" s="1"/>
  <c r="DU45" i="5" s="1"/>
  <c r="DV45" i="5" s="1"/>
  <c r="DW45" i="5" s="1"/>
  <c r="DX45" i="5" s="1"/>
  <c r="DY45" i="5" s="1"/>
  <c r="DZ45" i="5" s="1"/>
  <c r="EA45" i="5" s="1"/>
  <c r="EB45" i="5" s="1"/>
  <c r="EC45" i="5" s="1"/>
  <c r="ED45" i="5" s="1"/>
  <c r="EE45" i="5" s="1"/>
  <c r="EF45" i="5" s="1"/>
  <c r="EG45" i="5" s="1"/>
  <c r="EH45" i="5" s="1"/>
  <c r="EI45" i="5" s="1"/>
  <c r="EJ45" i="5" s="1"/>
  <c r="EK45" i="5" s="1"/>
  <c r="EL45" i="5" s="1"/>
  <c r="EM45" i="5" s="1"/>
  <c r="EN45" i="5" s="1"/>
  <c r="EO45" i="5" s="1"/>
  <c r="EP45" i="5" s="1"/>
  <c r="EQ45" i="5" s="1"/>
  <c r="ER45" i="5" s="1"/>
  <c r="ES45" i="5" s="1"/>
  <c r="ET45" i="5" s="1"/>
  <c r="EU45" i="5" s="1"/>
  <c r="EV45" i="5" s="1"/>
  <c r="EW45" i="5" s="1"/>
  <c r="EX45" i="5" s="1"/>
  <c r="EY45" i="5" s="1"/>
  <c r="EZ45" i="5" s="1"/>
  <c r="FA45" i="5" s="1"/>
  <c r="FB45" i="5" s="1"/>
  <c r="FC45" i="5" s="1"/>
  <c r="FD45" i="5" s="1"/>
  <c r="FE45" i="5" s="1"/>
  <c r="FF45" i="5" s="1"/>
  <c r="FG45" i="5" s="1"/>
  <c r="FH45" i="5" s="1"/>
  <c r="FI45" i="5" s="1"/>
  <c r="FJ45" i="5" s="1"/>
  <c r="FK45" i="5" s="1"/>
  <c r="FL45" i="5" s="1"/>
  <c r="FM45" i="5" s="1"/>
  <c r="FN45" i="5" s="1"/>
  <c r="FO45" i="5" s="1"/>
  <c r="FP45" i="5" s="1"/>
  <c r="FQ45" i="5" s="1"/>
  <c r="FR45" i="5" s="1"/>
  <c r="FS45" i="5" s="1"/>
  <c r="FT45" i="5" s="1"/>
  <c r="FU45" i="5" s="1"/>
  <c r="FV45" i="5" s="1"/>
  <c r="FW45" i="5" s="1"/>
  <c r="FX45" i="5" s="1"/>
  <c r="FY45" i="5" s="1"/>
  <c r="FZ45" i="5" s="1"/>
  <c r="GA45" i="5" s="1"/>
  <c r="GB45" i="5" s="1"/>
  <c r="GC45" i="5" s="1"/>
  <c r="GD45" i="5" s="1"/>
  <c r="GE45" i="5" s="1"/>
  <c r="GF45" i="5" s="1"/>
  <c r="GG45" i="5" s="1"/>
  <c r="GH45" i="5" s="1"/>
  <c r="GI45" i="5" s="1"/>
  <c r="GJ45" i="5" s="1"/>
  <c r="GK45" i="5" s="1"/>
  <c r="GL45" i="5" s="1"/>
  <c r="GM45" i="5" s="1"/>
  <c r="GN45" i="5" s="1"/>
  <c r="GO45" i="5" s="1"/>
  <c r="GP45" i="5" s="1"/>
  <c r="GQ45" i="5" s="1"/>
  <c r="GR45" i="5" s="1"/>
  <c r="GS45" i="5" s="1"/>
  <c r="GT45" i="5" s="1"/>
  <c r="GU45" i="5" s="1"/>
  <c r="GV45" i="5" s="1"/>
  <c r="GW45" i="5" s="1"/>
  <c r="GX45" i="5" s="1"/>
  <c r="GY45" i="5" s="1"/>
  <c r="GZ45" i="5" s="1"/>
  <c r="HA45" i="5" s="1"/>
  <c r="HB45" i="5" s="1"/>
  <c r="HC45" i="5" s="1"/>
  <c r="HD45" i="5" s="1"/>
  <c r="HE45" i="5" s="1"/>
  <c r="HF45" i="5" s="1"/>
  <c r="HG45" i="5" s="1"/>
  <c r="HH45" i="5" s="1"/>
  <c r="HI45" i="5" s="1"/>
  <c r="HJ45" i="5" s="1"/>
  <c r="HK45" i="5" s="1"/>
  <c r="HL45" i="5" s="1"/>
  <c r="HM45" i="5" s="1"/>
  <c r="HN45" i="5" s="1"/>
  <c r="HO45" i="5" s="1"/>
  <c r="HP45" i="5" s="1"/>
  <c r="HQ45" i="5" s="1"/>
  <c r="HR45" i="5" s="1"/>
  <c r="HS45" i="5" s="1"/>
  <c r="HT45" i="5" s="1"/>
  <c r="HU45" i="5" s="1"/>
  <c r="HV45" i="5" s="1"/>
  <c r="HW45" i="5" s="1"/>
  <c r="HX45" i="5" s="1"/>
  <c r="HY45" i="5" s="1"/>
  <c r="HZ45" i="5" s="1"/>
  <c r="IA45" i="5" s="1"/>
  <c r="IB45" i="5" s="1"/>
  <c r="IC45" i="5" s="1"/>
  <c r="ID45" i="5" s="1"/>
  <c r="IE45" i="5" s="1"/>
  <c r="IF45" i="5" s="1"/>
  <c r="IG45" i="5" s="1"/>
  <c r="IH45" i="5" s="1"/>
  <c r="II45" i="5" s="1"/>
  <c r="IJ45" i="5" s="1"/>
  <c r="IK45" i="5" s="1"/>
  <c r="IL45" i="5" s="1"/>
  <c r="IM45" i="5" s="1"/>
  <c r="IN45" i="5" s="1"/>
  <c r="IO45" i="5" s="1"/>
  <c r="IP45" i="5" s="1"/>
  <c r="IQ45" i="5" s="1"/>
  <c r="IR45" i="5" s="1"/>
  <c r="IS45" i="5" s="1"/>
  <c r="IT45" i="5" s="1"/>
  <c r="IU45" i="5" s="1"/>
  <c r="F37" i="5"/>
  <c r="G37" i="5" s="1"/>
  <c r="H37" i="5" s="1"/>
  <c r="I37" i="5" s="1"/>
  <c r="J37" i="5" s="1"/>
  <c r="K37" i="5" s="1"/>
  <c r="L37" i="5" s="1"/>
  <c r="M37" i="5" s="1"/>
  <c r="N37" i="5" s="1"/>
  <c r="O37" i="5" s="1"/>
  <c r="P37" i="5" s="1"/>
  <c r="Q37" i="5" s="1"/>
  <c r="R37" i="5" s="1"/>
  <c r="S37" i="5" s="1"/>
  <c r="T37" i="5" s="1"/>
  <c r="U37" i="5" s="1"/>
  <c r="V37" i="5" s="1"/>
  <c r="W37" i="5" s="1"/>
  <c r="X37" i="5" s="1"/>
  <c r="Y37" i="5" s="1"/>
  <c r="Z37" i="5" s="1"/>
  <c r="AA37" i="5" s="1"/>
  <c r="AB37" i="5" s="1"/>
  <c r="AC37" i="5" s="1"/>
  <c r="AD37" i="5" s="1"/>
  <c r="AE37" i="5" s="1"/>
  <c r="AF37" i="5" s="1"/>
  <c r="AG37" i="5" s="1"/>
  <c r="AH37" i="5" s="1"/>
  <c r="AI37" i="5" s="1"/>
  <c r="AJ37" i="5" s="1"/>
  <c r="AK37" i="5" s="1"/>
  <c r="AL37" i="5" s="1"/>
  <c r="AM37" i="5" s="1"/>
  <c r="AN37" i="5" s="1"/>
  <c r="AO37" i="5" s="1"/>
  <c r="AP37" i="5" s="1"/>
  <c r="AQ37" i="5" s="1"/>
  <c r="AR37" i="5" s="1"/>
  <c r="AS37" i="5" s="1"/>
  <c r="AT37" i="5" s="1"/>
  <c r="AU37" i="5" s="1"/>
  <c r="AV37" i="5" s="1"/>
  <c r="AW37" i="5" s="1"/>
  <c r="AX37" i="5" s="1"/>
  <c r="AY37" i="5" s="1"/>
  <c r="AZ37" i="5" s="1"/>
  <c r="BA37" i="5" s="1"/>
  <c r="BB37" i="5" s="1"/>
  <c r="BC37" i="5" s="1"/>
  <c r="BD37" i="5" s="1"/>
  <c r="BE37" i="5" s="1"/>
  <c r="BF37" i="5" s="1"/>
  <c r="BG37" i="5" s="1"/>
  <c r="BH37" i="5" s="1"/>
  <c r="BI37" i="5" s="1"/>
  <c r="BJ37" i="5" s="1"/>
  <c r="BK37" i="5" s="1"/>
  <c r="BL37" i="5" s="1"/>
  <c r="BM37" i="5" s="1"/>
  <c r="BN37" i="5" s="1"/>
  <c r="BO37" i="5" s="1"/>
  <c r="BP37" i="5" s="1"/>
  <c r="BQ37" i="5" s="1"/>
  <c r="BR37" i="5" s="1"/>
  <c r="BS37" i="5" s="1"/>
  <c r="BT37" i="5" s="1"/>
  <c r="BU37" i="5" s="1"/>
  <c r="BV37" i="5" s="1"/>
  <c r="BW37" i="5" s="1"/>
  <c r="BX37" i="5" s="1"/>
  <c r="BY37" i="5" s="1"/>
  <c r="BZ37" i="5" s="1"/>
  <c r="CA37" i="5" s="1"/>
  <c r="CB37" i="5" s="1"/>
  <c r="CC37" i="5" s="1"/>
  <c r="CD37" i="5" s="1"/>
  <c r="CE37" i="5" s="1"/>
  <c r="CF37" i="5" s="1"/>
  <c r="CG37" i="5" s="1"/>
  <c r="CH37" i="5" s="1"/>
  <c r="CI37" i="5" s="1"/>
  <c r="CJ37" i="5" s="1"/>
  <c r="CK37" i="5" s="1"/>
  <c r="CL37" i="5" s="1"/>
  <c r="CM37" i="5" s="1"/>
  <c r="CN37" i="5" s="1"/>
  <c r="CO37" i="5" s="1"/>
  <c r="CP37" i="5" s="1"/>
  <c r="CQ37" i="5" s="1"/>
  <c r="CR37" i="5" s="1"/>
  <c r="CS37" i="5" s="1"/>
  <c r="CT37" i="5" s="1"/>
  <c r="CU37" i="5" s="1"/>
  <c r="CV37" i="5" s="1"/>
  <c r="CW37" i="5" s="1"/>
  <c r="CX37" i="5" s="1"/>
  <c r="CY37" i="5" s="1"/>
  <c r="CZ37" i="5" s="1"/>
  <c r="DA37" i="5" s="1"/>
  <c r="DB37" i="5" s="1"/>
  <c r="DC37" i="5" s="1"/>
  <c r="DD37" i="5" s="1"/>
  <c r="DE37" i="5" s="1"/>
  <c r="DF37" i="5" s="1"/>
  <c r="DG37" i="5" s="1"/>
  <c r="DH37" i="5" s="1"/>
  <c r="DI37" i="5" s="1"/>
  <c r="DJ37" i="5" s="1"/>
  <c r="DK37" i="5" s="1"/>
  <c r="DL37" i="5" s="1"/>
  <c r="DM37" i="5" s="1"/>
  <c r="DN37" i="5" s="1"/>
  <c r="DO37" i="5" s="1"/>
  <c r="DP37" i="5" s="1"/>
  <c r="DQ37" i="5" s="1"/>
  <c r="DR37" i="5" s="1"/>
  <c r="DS37" i="5" s="1"/>
  <c r="DT37" i="5" s="1"/>
  <c r="DU37" i="5" s="1"/>
  <c r="DV37" i="5" s="1"/>
  <c r="DW37" i="5" s="1"/>
  <c r="DX37" i="5" s="1"/>
  <c r="DY37" i="5" s="1"/>
  <c r="DZ37" i="5" s="1"/>
  <c r="EA37" i="5" s="1"/>
  <c r="EB37" i="5" s="1"/>
  <c r="EC37" i="5" s="1"/>
  <c r="ED37" i="5" s="1"/>
  <c r="EE37" i="5" s="1"/>
  <c r="EF37" i="5" s="1"/>
  <c r="EG37" i="5" s="1"/>
  <c r="EH37" i="5" s="1"/>
  <c r="EI37" i="5" s="1"/>
  <c r="EJ37" i="5" s="1"/>
  <c r="EK37" i="5" s="1"/>
  <c r="EL37" i="5" s="1"/>
  <c r="EM37" i="5" s="1"/>
  <c r="EN37" i="5" s="1"/>
  <c r="EO37" i="5" s="1"/>
  <c r="EP37" i="5" s="1"/>
  <c r="EQ37" i="5" s="1"/>
  <c r="ER37" i="5" s="1"/>
  <c r="ES37" i="5" s="1"/>
  <c r="ET37" i="5" s="1"/>
  <c r="EU37" i="5" s="1"/>
  <c r="EV37" i="5" s="1"/>
  <c r="EW37" i="5" s="1"/>
  <c r="EX37" i="5" s="1"/>
  <c r="EY37" i="5" s="1"/>
  <c r="EZ37" i="5" s="1"/>
  <c r="FA37" i="5" s="1"/>
  <c r="FB37" i="5" s="1"/>
  <c r="FC37" i="5" s="1"/>
  <c r="FD37" i="5" s="1"/>
  <c r="FE37" i="5" s="1"/>
  <c r="FF37" i="5" s="1"/>
  <c r="FG37" i="5" s="1"/>
  <c r="FH37" i="5" s="1"/>
  <c r="FI37" i="5" s="1"/>
  <c r="FJ37" i="5" s="1"/>
  <c r="FK37" i="5" s="1"/>
  <c r="FL37" i="5" s="1"/>
  <c r="FM37" i="5" s="1"/>
  <c r="FN37" i="5" s="1"/>
  <c r="FO37" i="5" s="1"/>
  <c r="FP37" i="5" s="1"/>
  <c r="FQ37" i="5" s="1"/>
  <c r="FR37" i="5" s="1"/>
  <c r="FS37" i="5" s="1"/>
  <c r="FT37" i="5" s="1"/>
  <c r="FU37" i="5" s="1"/>
  <c r="FV37" i="5" s="1"/>
  <c r="FW37" i="5" s="1"/>
  <c r="FX37" i="5" s="1"/>
  <c r="FY37" i="5" s="1"/>
  <c r="FZ37" i="5" s="1"/>
  <c r="GA37" i="5" s="1"/>
  <c r="GB37" i="5" s="1"/>
  <c r="GC37" i="5" s="1"/>
  <c r="GD37" i="5" s="1"/>
  <c r="GE37" i="5" s="1"/>
  <c r="GF37" i="5" s="1"/>
  <c r="GG37" i="5" s="1"/>
  <c r="GH37" i="5" s="1"/>
  <c r="GI37" i="5" s="1"/>
  <c r="GJ37" i="5" s="1"/>
  <c r="GK37" i="5" s="1"/>
  <c r="GL37" i="5" s="1"/>
  <c r="GM37" i="5" s="1"/>
  <c r="GN37" i="5" s="1"/>
  <c r="GO37" i="5" s="1"/>
  <c r="GP37" i="5" s="1"/>
  <c r="GQ37" i="5" s="1"/>
  <c r="GR37" i="5" s="1"/>
  <c r="GS37" i="5" s="1"/>
  <c r="GT37" i="5" s="1"/>
  <c r="GU37" i="5" s="1"/>
  <c r="GV37" i="5" s="1"/>
  <c r="GW37" i="5" s="1"/>
  <c r="GX37" i="5" s="1"/>
  <c r="GY37" i="5" s="1"/>
  <c r="GZ37" i="5" s="1"/>
  <c r="HA37" i="5" s="1"/>
  <c r="HB37" i="5" s="1"/>
  <c r="HC37" i="5" s="1"/>
  <c r="HD37" i="5" s="1"/>
  <c r="HE37" i="5" s="1"/>
  <c r="HF37" i="5" s="1"/>
  <c r="HG37" i="5" s="1"/>
  <c r="HH37" i="5" s="1"/>
  <c r="HI37" i="5" s="1"/>
  <c r="HJ37" i="5" s="1"/>
  <c r="HK37" i="5" s="1"/>
  <c r="HL37" i="5" s="1"/>
  <c r="HM37" i="5" s="1"/>
  <c r="HN37" i="5" s="1"/>
  <c r="HO37" i="5" s="1"/>
  <c r="HP37" i="5" s="1"/>
  <c r="HQ37" i="5" s="1"/>
  <c r="HR37" i="5" s="1"/>
  <c r="HS37" i="5" s="1"/>
  <c r="HT37" i="5" s="1"/>
  <c r="HU37" i="5" s="1"/>
  <c r="HV37" i="5" s="1"/>
  <c r="HW37" i="5" s="1"/>
  <c r="HX37" i="5" s="1"/>
  <c r="HY37" i="5" s="1"/>
  <c r="HZ37" i="5" s="1"/>
  <c r="IA37" i="5" s="1"/>
  <c r="IB37" i="5" s="1"/>
  <c r="IC37" i="5" s="1"/>
  <c r="ID37" i="5" s="1"/>
  <c r="IE37" i="5" s="1"/>
  <c r="IF37" i="5" s="1"/>
  <c r="IG37" i="5" s="1"/>
  <c r="IH37" i="5" s="1"/>
  <c r="II37" i="5" s="1"/>
  <c r="IJ37" i="5" s="1"/>
  <c r="IK37" i="5" s="1"/>
  <c r="IL37" i="5" s="1"/>
  <c r="IM37" i="5" s="1"/>
  <c r="IN37" i="5" s="1"/>
  <c r="IO37" i="5" s="1"/>
  <c r="IP37" i="5" s="1"/>
  <c r="IQ37" i="5" s="1"/>
  <c r="IR37" i="5" s="1"/>
  <c r="IS37" i="5" s="1"/>
  <c r="IT37" i="5" s="1"/>
  <c r="IU37" i="5" s="1"/>
  <c r="F29" i="5"/>
  <c r="G29" i="5" s="1"/>
  <c r="H29" i="5" s="1"/>
  <c r="I29" i="5" s="1"/>
  <c r="J29" i="5" s="1"/>
  <c r="K29" i="5" s="1"/>
  <c r="L29" i="5" s="1"/>
  <c r="M29" i="5" s="1"/>
  <c r="N29" i="5" s="1"/>
  <c r="O29" i="5" s="1"/>
  <c r="P29" i="5" s="1"/>
  <c r="Q29" i="5" s="1"/>
  <c r="R29" i="5" s="1"/>
  <c r="S29" i="5" s="1"/>
  <c r="T29" i="5" s="1"/>
  <c r="U29" i="5" s="1"/>
  <c r="V29" i="5" s="1"/>
  <c r="W29" i="5" s="1"/>
  <c r="X29" i="5" s="1"/>
  <c r="Y29" i="5" s="1"/>
  <c r="Z29" i="5" s="1"/>
  <c r="AA29" i="5" s="1"/>
  <c r="AB29" i="5" s="1"/>
  <c r="AC29" i="5" s="1"/>
  <c r="AD29" i="5" s="1"/>
  <c r="AE29" i="5" s="1"/>
  <c r="AF29" i="5" s="1"/>
  <c r="AG29" i="5" s="1"/>
  <c r="AH29" i="5" s="1"/>
  <c r="AI29" i="5" s="1"/>
  <c r="AJ29" i="5" s="1"/>
  <c r="AK29" i="5" s="1"/>
  <c r="AL29" i="5" s="1"/>
  <c r="AM29" i="5" s="1"/>
  <c r="AN29" i="5" s="1"/>
  <c r="AO29" i="5" s="1"/>
  <c r="AP29" i="5" s="1"/>
  <c r="AQ29" i="5" s="1"/>
  <c r="AR29" i="5" s="1"/>
  <c r="AS29" i="5" s="1"/>
  <c r="AT29" i="5" s="1"/>
  <c r="AU29" i="5" s="1"/>
  <c r="AV29" i="5" s="1"/>
  <c r="AW29" i="5" s="1"/>
  <c r="AX29" i="5" s="1"/>
  <c r="AY29" i="5" s="1"/>
  <c r="AZ29" i="5" s="1"/>
  <c r="BA29" i="5" s="1"/>
  <c r="BB29" i="5" s="1"/>
  <c r="BC29" i="5" s="1"/>
  <c r="BD29" i="5" s="1"/>
  <c r="BE29" i="5" s="1"/>
  <c r="BF29" i="5" s="1"/>
  <c r="BG29" i="5" s="1"/>
  <c r="BH29" i="5" s="1"/>
  <c r="BI29" i="5" s="1"/>
  <c r="BJ29" i="5" s="1"/>
  <c r="BK29" i="5" s="1"/>
  <c r="BL29" i="5" s="1"/>
  <c r="BM29" i="5" s="1"/>
  <c r="BN29" i="5" s="1"/>
  <c r="BO29" i="5" s="1"/>
  <c r="BP29" i="5" s="1"/>
  <c r="BQ29" i="5" s="1"/>
  <c r="BR29" i="5" s="1"/>
  <c r="BS29" i="5" s="1"/>
  <c r="BT29" i="5" s="1"/>
  <c r="BU29" i="5" s="1"/>
  <c r="BV29" i="5" s="1"/>
  <c r="BW29" i="5" s="1"/>
  <c r="BX29" i="5" s="1"/>
  <c r="BY29" i="5" s="1"/>
  <c r="BZ29" i="5" s="1"/>
  <c r="CA29" i="5" s="1"/>
  <c r="CB29" i="5" s="1"/>
  <c r="CC29" i="5" s="1"/>
  <c r="CD29" i="5" s="1"/>
  <c r="CE29" i="5" s="1"/>
  <c r="CF29" i="5" s="1"/>
  <c r="CG29" i="5" s="1"/>
  <c r="CH29" i="5" s="1"/>
  <c r="CI29" i="5" s="1"/>
  <c r="CJ29" i="5" s="1"/>
  <c r="CK29" i="5" s="1"/>
  <c r="CL29" i="5" s="1"/>
  <c r="CM29" i="5" s="1"/>
  <c r="CN29" i="5" s="1"/>
  <c r="CO29" i="5" s="1"/>
  <c r="CP29" i="5" s="1"/>
  <c r="CQ29" i="5" s="1"/>
  <c r="CR29" i="5" s="1"/>
  <c r="CS29" i="5" s="1"/>
  <c r="CT29" i="5" s="1"/>
  <c r="CU29" i="5" s="1"/>
  <c r="CV29" i="5" s="1"/>
  <c r="CW29" i="5" s="1"/>
  <c r="CX29" i="5" s="1"/>
  <c r="CY29" i="5" s="1"/>
  <c r="CZ29" i="5" s="1"/>
  <c r="DA29" i="5" s="1"/>
  <c r="DB29" i="5" s="1"/>
  <c r="DC29" i="5" s="1"/>
  <c r="DD29" i="5" s="1"/>
  <c r="DE29" i="5" s="1"/>
  <c r="DF29" i="5" s="1"/>
  <c r="DG29" i="5" s="1"/>
  <c r="DH29" i="5" s="1"/>
  <c r="DI29" i="5" s="1"/>
  <c r="DJ29" i="5" s="1"/>
  <c r="DK29" i="5" s="1"/>
  <c r="DL29" i="5" s="1"/>
  <c r="DM29" i="5" s="1"/>
  <c r="DN29" i="5" s="1"/>
  <c r="DO29" i="5" s="1"/>
  <c r="DP29" i="5" s="1"/>
  <c r="DQ29" i="5" s="1"/>
  <c r="DR29" i="5" s="1"/>
  <c r="DS29" i="5" s="1"/>
  <c r="DT29" i="5" s="1"/>
  <c r="DU29" i="5" s="1"/>
  <c r="DV29" i="5" s="1"/>
  <c r="DW29" i="5" s="1"/>
  <c r="DX29" i="5" s="1"/>
  <c r="DY29" i="5" s="1"/>
  <c r="DZ29" i="5" s="1"/>
  <c r="EA29" i="5" s="1"/>
  <c r="EB29" i="5" s="1"/>
  <c r="EC29" i="5" s="1"/>
  <c r="ED29" i="5" s="1"/>
  <c r="EE29" i="5" s="1"/>
  <c r="EF29" i="5" s="1"/>
  <c r="EG29" i="5" s="1"/>
  <c r="EH29" i="5" s="1"/>
  <c r="EI29" i="5" s="1"/>
  <c r="EJ29" i="5" s="1"/>
  <c r="EK29" i="5" s="1"/>
  <c r="EL29" i="5" s="1"/>
  <c r="EM29" i="5" s="1"/>
  <c r="EN29" i="5" s="1"/>
  <c r="EO29" i="5" s="1"/>
  <c r="EP29" i="5" s="1"/>
  <c r="EQ29" i="5" s="1"/>
  <c r="ER29" i="5" s="1"/>
  <c r="ES29" i="5" s="1"/>
  <c r="ET29" i="5" s="1"/>
  <c r="EU29" i="5" s="1"/>
  <c r="EV29" i="5" s="1"/>
  <c r="EW29" i="5" s="1"/>
  <c r="EX29" i="5" s="1"/>
  <c r="EY29" i="5" s="1"/>
  <c r="EZ29" i="5" s="1"/>
  <c r="FA29" i="5" s="1"/>
  <c r="FB29" i="5" s="1"/>
  <c r="FC29" i="5" s="1"/>
  <c r="FD29" i="5" s="1"/>
  <c r="FE29" i="5" s="1"/>
  <c r="FF29" i="5" s="1"/>
  <c r="FG29" i="5" s="1"/>
  <c r="FH29" i="5" s="1"/>
  <c r="FI29" i="5" s="1"/>
  <c r="FJ29" i="5" s="1"/>
  <c r="FK29" i="5" s="1"/>
  <c r="FL29" i="5" s="1"/>
  <c r="FM29" i="5" s="1"/>
  <c r="FN29" i="5" s="1"/>
  <c r="FO29" i="5" s="1"/>
  <c r="FP29" i="5" s="1"/>
  <c r="FQ29" i="5" s="1"/>
  <c r="FR29" i="5" s="1"/>
  <c r="FS29" i="5" s="1"/>
  <c r="FT29" i="5" s="1"/>
  <c r="FU29" i="5" s="1"/>
  <c r="FV29" i="5" s="1"/>
  <c r="FW29" i="5" s="1"/>
  <c r="FX29" i="5" s="1"/>
  <c r="FY29" i="5" s="1"/>
  <c r="FZ29" i="5" s="1"/>
  <c r="GA29" i="5" s="1"/>
  <c r="GB29" i="5" s="1"/>
  <c r="GC29" i="5" s="1"/>
  <c r="GD29" i="5" s="1"/>
  <c r="GE29" i="5" s="1"/>
  <c r="GF29" i="5" s="1"/>
  <c r="GG29" i="5" s="1"/>
  <c r="GH29" i="5" s="1"/>
  <c r="GI29" i="5" s="1"/>
  <c r="GJ29" i="5" s="1"/>
  <c r="GK29" i="5" s="1"/>
  <c r="GL29" i="5" s="1"/>
  <c r="GM29" i="5" s="1"/>
  <c r="GN29" i="5" s="1"/>
  <c r="GO29" i="5" s="1"/>
  <c r="GP29" i="5" s="1"/>
  <c r="GQ29" i="5" s="1"/>
  <c r="GR29" i="5" s="1"/>
  <c r="GS29" i="5" s="1"/>
  <c r="GT29" i="5" s="1"/>
  <c r="GU29" i="5" s="1"/>
  <c r="GV29" i="5" s="1"/>
  <c r="GW29" i="5" s="1"/>
  <c r="GX29" i="5" s="1"/>
  <c r="GY29" i="5" s="1"/>
  <c r="GZ29" i="5" s="1"/>
  <c r="HA29" i="5" s="1"/>
  <c r="HB29" i="5" s="1"/>
  <c r="HC29" i="5" s="1"/>
  <c r="HD29" i="5" s="1"/>
  <c r="HE29" i="5" s="1"/>
  <c r="HF29" i="5" s="1"/>
  <c r="HG29" i="5" s="1"/>
  <c r="HH29" i="5" s="1"/>
  <c r="HI29" i="5" s="1"/>
  <c r="HJ29" i="5" s="1"/>
  <c r="HK29" i="5" s="1"/>
  <c r="HL29" i="5" s="1"/>
  <c r="HM29" i="5" s="1"/>
  <c r="HN29" i="5" s="1"/>
  <c r="HO29" i="5" s="1"/>
  <c r="HP29" i="5" s="1"/>
  <c r="HQ29" i="5" s="1"/>
  <c r="HR29" i="5" s="1"/>
  <c r="HS29" i="5" s="1"/>
  <c r="HT29" i="5" s="1"/>
  <c r="HU29" i="5" s="1"/>
  <c r="HV29" i="5" s="1"/>
  <c r="HW29" i="5" s="1"/>
  <c r="HX29" i="5" s="1"/>
  <c r="HY29" i="5" s="1"/>
  <c r="HZ29" i="5" s="1"/>
  <c r="IA29" i="5" s="1"/>
  <c r="IB29" i="5" s="1"/>
  <c r="IC29" i="5" s="1"/>
  <c r="ID29" i="5" s="1"/>
  <c r="IE29" i="5" s="1"/>
  <c r="IF29" i="5" s="1"/>
  <c r="IG29" i="5" s="1"/>
  <c r="IH29" i="5" s="1"/>
  <c r="II29" i="5" s="1"/>
  <c r="IJ29" i="5" s="1"/>
  <c r="IK29" i="5" s="1"/>
  <c r="IL29" i="5" s="1"/>
  <c r="IM29" i="5" s="1"/>
  <c r="IN29" i="5" s="1"/>
  <c r="IO29" i="5" s="1"/>
  <c r="IP29" i="5" s="1"/>
  <c r="IQ29" i="5" s="1"/>
  <c r="IR29" i="5" s="1"/>
  <c r="IS29" i="5" s="1"/>
  <c r="IT29" i="5" s="1"/>
  <c r="IU29" i="5" s="1"/>
  <c r="F21" i="5"/>
  <c r="G21" i="5" s="1"/>
  <c r="H21" i="5" s="1"/>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CT21" i="5" s="1"/>
  <c r="CU21" i="5" s="1"/>
  <c r="CV21" i="5" s="1"/>
  <c r="CW21" i="5" s="1"/>
  <c r="CX21" i="5" s="1"/>
  <c r="CY21" i="5" s="1"/>
  <c r="CZ21" i="5" s="1"/>
  <c r="DA21" i="5" s="1"/>
  <c r="DB21" i="5" s="1"/>
  <c r="DC21" i="5" s="1"/>
  <c r="DD21" i="5" s="1"/>
  <c r="DE21" i="5" s="1"/>
  <c r="DF21" i="5" s="1"/>
  <c r="DG21" i="5" s="1"/>
  <c r="DH21" i="5" s="1"/>
  <c r="DI21" i="5" s="1"/>
  <c r="DJ21" i="5" s="1"/>
  <c r="DK21" i="5" s="1"/>
  <c r="DL21" i="5" s="1"/>
  <c r="DM21" i="5" s="1"/>
  <c r="DN21" i="5" s="1"/>
  <c r="DO21" i="5" s="1"/>
  <c r="DP21" i="5" s="1"/>
  <c r="DQ21" i="5" s="1"/>
  <c r="DR21" i="5" s="1"/>
  <c r="DS21" i="5" s="1"/>
  <c r="DT21" i="5" s="1"/>
  <c r="DU21" i="5" s="1"/>
  <c r="DV21" i="5" s="1"/>
  <c r="DW21" i="5" s="1"/>
  <c r="DX21" i="5" s="1"/>
  <c r="DY21" i="5" s="1"/>
  <c r="DZ21" i="5" s="1"/>
  <c r="EA21" i="5" s="1"/>
  <c r="EB21" i="5" s="1"/>
  <c r="EC21" i="5" s="1"/>
  <c r="ED21" i="5" s="1"/>
  <c r="EE21" i="5" s="1"/>
  <c r="EF21" i="5" s="1"/>
  <c r="EG21" i="5" s="1"/>
  <c r="EH21" i="5" s="1"/>
  <c r="EI21" i="5" s="1"/>
  <c r="EJ21" i="5" s="1"/>
  <c r="EK21" i="5" s="1"/>
  <c r="EL21" i="5" s="1"/>
  <c r="EM21" i="5" s="1"/>
  <c r="EN21" i="5" s="1"/>
  <c r="EO21" i="5" s="1"/>
  <c r="EP21" i="5" s="1"/>
  <c r="EQ21" i="5" s="1"/>
  <c r="ER21" i="5" s="1"/>
  <c r="ES21" i="5" s="1"/>
  <c r="ET21" i="5" s="1"/>
  <c r="EU21" i="5" s="1"/>
  <c r="EV21" i="5" s="1"/>
  <c r="EW21" i="5" s="1"/>
  <c r="EX21" i="5" s="1"/>
  <c r="EY21" i="5" s="1"/>
  <c r="EZ21" i="5" s="1"/>
  <c r="FA21" i="5" s="1"/>
  <c r="FB21" i="5" s="1"/>
  <c r="FC21" i="5" s="1"/>
  <c r="FD21" i="5" s="1"/>
  <c r="FE21" i="5" s="1"/>
  <c r="FF21" i="5" s="1"/>
  <c r="FG21" i="5" s="1"/>
  <c r="FH21" i="5" s="1"/>
  <c r="FI21" i="5" s="1"/>
  <c r="FJ21" i="5" s="1"/>
  <c r="FK21" i="5" s="1"/>
  <c r="FL21" i="5" s="1"/>
  <c r="FM21" i="5" s="1"/>
  <c r="FN21" i="5" s="1"/>
  <c r="FO21" i="5" s="1"/>
  <c r="FP21" i="5" s="1"/>
  <c r="FQ21" i="5" s="1"/>
  <c r="FR21" i="5" s="1"/>
  <c r="FS21" i="5" s="1"/>
  <c r="FT21" i="5" s="1"/>
  <c r="FU21" i="5" s="1"/>
  <c r="FV21" i="5" s="1"/>
  <c r="FW21" i="5" s="1"/>
  <c r="FX21" i="5" s="1"/>
  <c r="FY21" i="5" s="1"/>
  <c r="FZ21" i="5" s="1"/>
  <c r="GA21" i="5" s="1"/>
  <c r="GB21" i="5" s="1"/>
  <c r="GC21" i="5" s="1"/>
  <c r="GD21" i="5" s="1"/>
  <c r="GE21" i="5" s="1"/>
  <c r="GF21" i="5" s="1"/>
  <c r="GG21" i="5" s="1"/>
  <c r="GH21" i="5" s="1"/>
  <c r="GI21" i="5" s="1"/>
  <c r="GJ21" i="5" s="1"/>
  <c r="GK21" i="5" s="1"/>
  <c r="GL21" i="5" s="1"/>
  <c r="GM21" i="5" s="1"/>
  <c r="GN21" i="5" s="1"/>
  <c r="GO21" i="5" s="1"/>
  <c r="GP21" i="5" s="1"/>
  <c r="GQ21" i="5" s="1"/>
  <c r="GR21" i="5" s="1"/>
  <c r="GS21" i="5" s="1"/>
  <c r="GT21" i="5" s="1"/>
  <c r="GU21" i="5" s="1"/>
  <c r="GV21" i="5" s="1"/>
  <c r="GW21" i="5" s="1"/>
  <c r="GX21" i="5" s="1"/>
  <c r="GY21" i="5" s="1"/>
  <c r="GZ21" i="5" s="1"/>
  <c r="HA21" i="5" s="1"/>
  <c r="HB21" i="5" s="1"/>
  <c r="HC21" i="5" s="1"/>
  <c r="HD21" i="5" s="1"/>
  <c r="HE21" i="5" s="1"/>
  <c r="HF21" i="5" s="1"/>
  <c r="HG21" i="5" s="1"/>
  <c r="HH21" i="5" s="1"/>
  <c r="HI21" i="5" s="1"/>
  <c r="HJ21" i="5" s="1"/>
  <c r="HK21" i="5" s="1"/>
  <c r="HL21" i="5" s="1"/>
  <c r="HM21" i="5" s="1"/>
  <c r="HN21" i="5" s="1"/>
  <c r="HO21" i="5" s="1"/>
  <c r="HP21" i="5" s="1"/>
  <c r="HQ21" i="5" s="1"/>
  <c r="HR21" i="5" s="1"/>
  <c r="HS21" i="5" s="1"/>
  <c r="HT21" i="5" s="1"/>
  <c r="HU21" i="5" s="1"/>
  <c r="HV21" i="5" s="1"/>
  <c r="HW21" i="5" s="1"/>
  <c r="HX21" i="5" s="1"/>
  <c r="HY21" i="5" s="1"/>
  <c r="HZ21" i="5" s="1"/>
  <c r="IA21" i="5" s="1"/>
  <c r="IB21" i="5" s="1"/>
  <c r="IC21" i="5" s="1"/>
  <c r="ID21" i="5" s="1"/>
  <c r="IE21" i="5" s="1"/>
  <c r="IF21" i="5" s="1"/>
  <c r="IG21" i="5" s="1"/>
  <c r="IH21" i="5" s="1"/>
  <c r="II21" i="5" s="1"/>
  <c r="IJ21" i="5" s="1"/>
  <c r="IK21" i="5" s="1"/>
  <c r="IL21" i="5" s="1"/>
  <c r="IM21" i="5" s="1"/>
  <c r="IN21" i="5" s="1"/>
  <c r="IO21" i="5" s="1"/>
  <c r="IP21" i="5" s="1"/>
  <c r="IQ21" i="5" s="1"/>
  <c r="IR21" i="5" s="1"/>
  <c r="IS21" i="5" s="1"/>
  <c r="IT21" i="5" s="1"/>
  <c r="IU21" i="5" s="1"/>
  <c r="F13" i="5"/>
  <c r="G13" i="5" s="1"/>
  <c r="H13" i="5" s="1"/>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AV13" i="5" s="1"/>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CT13" i="5" s="1"/>
  <c r="CU13" i="5" s="1"/>
  <c r="CV13" i="5" s="1"/>
  <c r="CW13" i="5" s="1"/>
  <c r="CX13" i="5" s="1"/>
  <c r="CY13" i="5" s="1"/>
  <c r="CZ13" i="5" s="1"/>
  <c r="DA13" i="5" s="1"/>
  <c r="DB13" i="5" s="1"/>
  <c r="DC13" i="5" s="1"/>
  <c r="DD13" i="5" s="1"/>
  <c r="DE13" i="5" s="1"/>
  <c r="DF13" i="5" s="1"/>
  <c r="DG13" i="5" s="1"/>
  <c r="DH13" i="5" s="1"/>
  <c r="DI13" i="5" s="1"/>
  <c r="DJ13" i="5" s="1"/>
  <c r="DK13" i="5" s="1"/>
  <c r="DL13" i="5" s="1"/>
  <c r="DM13" i="5" s="1"/>
  <c r="DN13" i="5" s="1"/>
  <c r="DO13" i="5" s="1"/>
  <c r="DP13" i="5" s="1"/>
  <c r="DQ13" i="5" s="1"/>
  <c r="DR13" i="5" s="1"/>
  <c r="DS13" i="5" s="1"/>
  <c r="DT13" i="5" s="1"/>
  <c r="DU13" i="5" s="1"/>
  <c r="DV13" i="5" s="1"/>
  <c r="DW13" i="5" s="1"/>
  <c r="DX13" i="5" s="1"/>
  <c r="DY13" i="5" s="1"/>
  <c r="DZ13" i="5" s="1"/>
  <c r="EA13" i="5" s="1"/>
  <c r="EB13" i="5" s="1"/>
  <c r="EC13" i="5" s="1"/>
  <c r="ED13" i="5" s="1"/>
  <c r="EE13" i="5" s="1"/>
  <c r="EF13" i="5" s="1"/>
  <c r="EG13" i="5" s="1"/>
  <c r="EH13" i="5" s="1"/>
  <c r="EI13" i="5" s="1"/>
  <c r="EJ13" i="5" s="1"/>
  <c r="EK13" i="5" s="1"/>
  <c r="EL13" i="5" s="1"/>
  <c r="EM13" i="5" s="1"/>
  <c r="EN13" i="5" s="1"/>
  <c r="EO13" i="5" s="1"/>
  <c r="EP13" i="5" s="1"/>
  <c r="EQ13" i="5" s="1"/>
  <c r="ER13" i="5" s="1"/>
  <c r="ES13" i="5" s="1"/>
  <c r="ET13" i="5" s="1"/>
  <c r="EU13" i="5" s="1"/>
  <c r="EV13" i="5" s="1"/>
  <c r="EW13" i="5" s="1"/>
  <c r="EX13" i="5" s="1"/>
  <c r="EY13" i="5" s="1"/>
  <c r="EZ13" i="5" s="1"/>
  <c r="FA13" i="5" s="1"/>
  <c r="FB13" i="5" s="1"/>
  <c r="FC13" i="5" s="1"/>
  <c r="FD13" i="5" s="1"/>
  <c r="FE13" i="5" s="1"/>
  <c r="FF13" i="5" s="1"/>
  <c r="FG13" i="5" s="1"/>
  <c r="FH13" i="5" s="1"/>
  <c r="FI13" i="5" s="1"/>
  <c r="FJ13" i="5" s="1"/>
  <c r="FK13" i="5" s="1"/>
  <c r="FL13" i="5" s="1"/>
  <c r="FM13" i="5" s="1"/>
  <c r="FN13" i="5" s="1"/>
  <c r="FO13" i="5" s="1"/>
  <c r="FP13" i="5" s="1"/>
  <c r="FQ13" i="5" s="1"/>
  <c r="FR13" i="5" s="1"/>
  <c r="FS13" i="5" s="1"/>
  <c r="FT13" i="5" s="1"/>
  <c r="FU13" i="5" s="1"/>
  <c r="FV13" i="5" s="1"/>
  <c r="FW13" i="5" s="1"/>
  <c r="FX13" i="5" s="1"/>
  <c r="FY13" i="5" s="1"/>
  <c r="FZ13" i="5" s="1"/>
  <c r="GA13" i="5" s="1"/>
  <c r="GB13" i="5" s="1"/>
  <c r="GC13" i="5" s="1"/>
  <c r="GD13" i="5" s="1"/>
  <c r="GE13" i="5" s="1"/>
  <c r="GF13" i="5" s="1"/>
  <c r="GG13" i="5" s="1"/>
  <c r="GH13" i="5" s="1"/>
  <c r="GI13" i="5" s="1"/>
  <c r="GJ13" i="5" s="1"/>
  <c r="GK13" i="5" s="1"/>
  <c r="GL13" i="5" s="1"/>
  <c r="GM13" i="5" s="1"/>
  <c r="GN13" i="5" s="1"/>
  <c r="GO13" i="5" s="1"/>
  <c r="GP13" i="5" s="1"/>
  <c r="GQ13" i="5" s="1"/>
  <c r="GR13" i="5" s="1"/>
  <c r="GS13" i="5" s="1"/>
  <c r="GT13" i="5" s="1"/>
  <c r="GU13" i="5" s="1"/>
  <c r="GV13" i="5" s="1"/>
  <c r="GW13" i="5" s="1"/>
  <c r="GX13" i="5" s="1"/>
  <c r="GY13" i="5" s="1"/>
  <c r="GZ13" i="5" s="1"/>
  <c r="HA13" i="5" s="1"/>
  <c r="HB13" i="5" s="1"/>
  <c r="HC13" i="5" s="1"/>
  <c r="HD13" i="5" s="1"/>
  <c r="HE13" i="5" s="1"/>
  <c r="HF13" i="5" s="1"/>
  <c r="HG13" i="5" s="1"/>
  <c r="HH13" i="5" s="1"/>
  <c r="HI13" i="5" s="1"/>
  <c r="HJ13" i="5" s="1"/>
  <c r="HK13" i="5" s="1"/>
  <c r="HL13" i="5" s="1"/>
  <c r="HM13" i="5" s="1"/>
  <c r="HN13" i="5" s="1"/>
  <c r="HO13" i="5" s="1"/>
  <c r="HP13" i="5" s="1"/>
  <c r="HQ13" i="5" s="1"/>
  <c r="HR13" i="5" s="1"/>
  <c r="HS13" i="5" s="1"/>
  <c r="HT13" i="5" s="1"/>
  <c r="HU13" i="5" s="1"/>
  <c r="HV13" i="5" s="1"/>
  <c r="HW13" i="5" s="1"/>
  <c r="HX13" i="5" s="1"/>
  <c r="HY13" i="5" s="1"/>
  <c r="HZ13" i="5" s="1"/>
  <c r="IA13" i="5" s="1"/>
  <c r="IB13" i="5" s="1"/>
  <c r="IC13" i="5" s="1"/>
  <c r="ID13" i="5" s="1"/>
  <c r="IE13" i="5" s="1"/>
  <c r="IF13" i="5" s="1"/>
  <c r="IG13" i="5" s="1"/>
  <c r="IH13" i="5" s="1"/>
  <c r="II13" i="5" s="1"/>
  <c r="IJ13" i="5" s="1"/>
  <c r="IK13" i="5" s="1"/>
  <c r="IL13" i="5" s="1"/>
  <c r="IM13" i="5" s="1"/>
  <c r="IN13" i="5" s="1"/>
  <c r="IO13" i="5" s="1"/>
  <c r="IP13" i="5" s="1"/>
  <c r="IQ13" i="5" s="1"/>
  <c r="IR13" i="5" s="1"/>
  <c r="IS13" i="5" s="1"/>
  <c r="IT13" i="5" s="1"/>
  <c r="IU13" i="5" s="1"/>
  <c r="F12" i="5"/>
  <c r="G12" i="5" s="1"/>
  <c r="H12" i="5" s="1"/>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CT12" i="5" s="1"/>
  <c r="CU12" i="5" s="1"/>
  <c r="CV12" i="5" s="1"/>
  <c r="CW12" i="5" s="1"/>
  <c r="CX12" i="5" s="1"/>
  <c r="CY12" i="5" s="1"/>
  <c r="CZ12" i="5" s="1"/>
  <c r="DA12" i="5" s="1"/>
  <c r="DB12" i="5" s="1"/>
  <c r="DC12" i="5" s="1"/>
  <c r="DD12" i="5" s="1"/>
  <c r="DE12" i="5" s="1"/>
  <c r="DF12" i="5" s="1"/>
  <c r="DG12" i="5" s="1"/>
  <c r="DH12" i="5" s="1"/>
  <c r="DI12" i="5" s="1"/>
  <c r="DJ12" i="5" s="1"/>
  <c r="DK12" i="5" s="1"/>
  <c r="DL12" i="5" s="1"/>
  <c r="DM12" i="5" s="1"/>
  <c r="DN12" i="5" s="1"/>
  <c r="DO12" i="5" s="1"/>
  <c r="DP12" i="5" s="1"/>
  <c r="DQ12" i="5" s="1"/>
  <c r="DR12" i="5" s="1"/>
  <c r="DS12" i="5" s="1"/>
  <c r="DT12" i="5" s="1"/>
  <c r="DU12" i="5" s="1"/>
  <c r="DV12" i="5" s="1"/>
  <c r="DW12" i="5" s="1"/>
  <c r="DX12" i="5" s="1"/>
  <c r="DY12" i="5" s="1"/>
  <c r="DZ12" i="5" s="1"/>
  <c r="EA12" i="5" s="1"/>
  <c r="EB12" i="5" s="1"/>
  <c r="EC12" i="5" s="1"/>
  <c r="ED12" i="5" s="1"/>
  <c r="EE12" i="5" s="1"/>
  <c r="EF12" i="5" s="1"/>
  <c r="EG12" i="5" s="1"/>
  <c r="EH12" i="5" s="1"/>
  <c r="EI12" i="5" s="1"/>
  <c r="EJ12" i="5" s="1"/>
  <c r="EK12" i="5" s="1"/>
  <c r="EL12" i="5" s="1"/>
  <c r="EM12" i="5" s="1"/>
  <c r="EN12" i="5" s="1"/>
  <c r="EO12" i="5" s="1"/>
  <c r="EP12" i="5" s="1"/>
  <c r="EQ12" i="5" s="1"/>
  <c r="ER12" i="5" s="1"/>
  <c r="ES12" i="5" s="1"/>
  <c r="ET12" i="5" s="1"/>
  <c r="EU12" i="5" s="1"/>
  <c r="EV12" i="5" s="1"/>
  <c r="EW12" i="5" s="1"/>
  <c r="EX12" i="5" s="1"/>
  <c r="EY12" i="5" s="1"/>
  <c r="EZ12" i="5" s="1"/>
  <c r="FA12" i="5" s="1"/>
  <c r="FB12" i="5" s="1"/>
  <c r="FC12" i="5" s="1"/>
  <c r="FD12" i="5" s="1"/>
  <c r="FE12" i="5" s="1"/>
  <c r="FF12" i="5" s="1"/>
  <c r="FG12" i="5" s="1"/>
  <c r="FH12" i="5" s="1"/>
  <c r="FI12" i="5" s="1"/>
  <c r="FJ12" i="5" s="1"/>
  <c r="FK12" i="5" s="1"/>
  <c r="FL12" i="5" s="1"/>
  <c r="FM12" i="5" s="1"/>
  <c r="FN12" i="5" s="1"/>
  <c r="FO12" i="5" s="1"/>
  <c r="FP12" i="5" s="1"/>
  <c r="FQ12" i="5" s="1"/>
  <c r="FR12" i="5" s="1"/>
  <c r="FS12" i="5" s="1"/>
  <c r="FT12" i="5" s="1"/>
  <c r="FU12" i="5" s="1"/>
  <c r="FV12" i="5" s="1"/>
  <c r="FW12" i="5" s="1"/>
  <c r="FX12" i="5" s="1"/>
  <c r="FY12" i="5" s="1"/>
  <c r="FZ12" i="5" s="1"/>
  <c r="GA12" i="5" s="1"/>
  <c r="GB12" i="5" s="1"/>
  <c r="GC12" i="5" s="1"/>
  <c r="GD12" i="5" s="1"/>
  <c r="GE12" i="5" s="1"/>
  <c r="GF12" i="5" s="1"/>
  <c r="GG12" i="5" s="1"/>
  <c r="GH12" i="5" s="1"/>
  <c r="GI12" i="5" s="1"/>
  <c r="GJ12" i="5" s="1"/>
  <c r="GK12" i="5" s="1"/>
  <c r="GL12" i="5" s="1"/>
  <c r="GM12" i="5" s="1"/>
  <c r="GN12" i="5" s="1"/>
  <c r="GO12" i="5" s="1"/>
  <c r="GP12" i="5" s="1"/>
  <c r="GQ12" i="5" s="1"/>
  <c r="GR12" i="5" s="1"/>
  <c r="GS12" i="5" s="1"/>
  <c r="GT12" i="5" s="1"/>
  <c r="GU12" i="5" s="1"/>
  <c r="GV12" i="5" s="1"/>
  <c r="GW12" i="5" s="1"/>
  <c r="GX12" i="5" s="1"/>
  <c r="GY12" i="5" s="1"/>
  <c r="GZ12" i="5" s="1"/>
  <c r="HA12" i="5" s="1"/>
  <c r="HB12" i="5" s="1"/>
  <c r="HC12" i="5" s="1"/>
  <c r="HD12" i="5" s="1"/>
  <c r="HE12" i="5" s="1"/>
  <c r="HF12" i="5" s="1"/>
  <c r="HG12" i="5" s="1"/>
  <c r="HH12" i="5" s="1"/>
  <c r="HI12" i="5" s="1"/>
  <c r="HJ12" i="5" s="1"/>
  <c r="HK12" i="5" s="1"/>
  <c r="HL12" i="5" s="1"/>
  <c r="HM12" i="5" s="1"/>
  <c r="HN12" i="5" s="1"/>
  <c r="HO12" i="5" s="1"/>
  <c r="HP12" i="5" s="1"/>
  <c r="HQ12" i="5" s="1"/>
  <c r="HR12" i="5" s="1"/>
  <c r="HS12" i="5" s="1"/>
  <c r="HT12" i="5" s="1"/>
  <c r="HU12" i="5" s="1"/>
  <c r="HV12" i="5" s="1"/>
  <c r="HW12" i="5" s="1"/>
  <c r="HX12" i="5" s="1"/>
  <c r="HY12" i="5" s="1"/>
  <c r="HZ12" i="5" s="1"/>
  <c r="IA12" i="5" s="1"/>
  <c r="IB12" i="5" s="1"/>
  <c r="IC12" i="5" s="1"/>
  <c r="ID12" i="5" s="1"/>
  <c r="IE12" i="5" s="1"/>
  <c r="IF12" i="5" s="1"/>
  <c r="IG12" i="5" s="1"/>
  <c r="IH12" i="5" s="1"/>
  <c r="II12" i="5" s="1"/>
  <c r="IJ12" i="5" s="1"/>
  <c r="IK12" i="5" s="1"/>
  <c r="IL12" i="5" s="1"/>
  <c r="IM12" i="5" s="1"/>
  <c r="IN12" i="5" s="1"/>
  <c r="IO12" i="5" s="1"/>
  <c r="IP12" i="5" s="1"/>
  <c r="IQ12" i="5" s="1"/>
  <c r="IR12" i="5" s="1"/>
  <c r="IS12" i="5" s="1"/>
  <c r="IT12" i="5" s="1"/>
  <c r="IU12" i="5" s="1"/>
  <c r="C1" i="4"/>
  <c r="E1" i="4"/>
  <c r="G1" i="3"/>
  <c r="E1" i="3"/>
  <c r="R13" i="2"/>
  <c r="S10" i="2" s="1"/>
  <c r="T10" i="2" s="1"/>
  <c r="J10" i="2"/>
  <c r="J15" i="2"/>
  <c r="J16" i="2"/>
  <c r="J17" i="2"/>
  <c r="J18" i="2"/>
  <c r="J23" i="2"/>
  <c r="J24" i="2"/>
  <c r="J25" i="2"/>
  <c r="J26" i="2"/>
  <c r="J31" i="2"/>
  <c r="J32" i="2"/>
  <c r="J33" i="2"/>
  <c r="J34" i="2"/>
  <c r="J39" i="2"/>
  <c r="J40" i="2"/>
  <c r="J41" i="2"/>
  <c r="J42" i="2"/>
  <c r="J47" i="2"/>
  <c r="J48" i="2"/>
  <c r="J49" i="2"/>
  <c r="J50" i="2"/>
  <c r="J55" i="2"/>
  <c r="J56" i="2"/>
  <c r="J57" i="2"/>
  <c r="J58" i="2"/>
  <c r="J63" i="2"/>
  <c r="J64" i="2"/>
  <c r="J65" i="2"/>
  <c r="J66" i="2"/>
  <c r="I68" i="2"/>
  <c r="J68" i="2" s="1"/>
  <c r="I10" i="2"/>
  <c r="I11" i="2"/>
  <c r="J11" i="2" s="1"/>
  <c r="I12" i="2"/>
  <c r="J12" i="2" s="1"/>
  <c r="I13" i="2"/>
  <c r="J13" i="2" s="1"/>
  <c r="I14" i="2"/>
  <c r="J14" i="2" s="1"/>
  <c r="I15" i="2"/>
  <c r="I16" i="2"/>
  <c r="I17" i="2"/>
  <c r="I18" i="2"/>
  <c r="I19" i="2"/>
  <c r="J19" i="2" s="1"/>
  <c r="I20" i="2"/>
  <c r="J20" i="2" s="1"/>
  <c r="I21" i="2"/>
  <c r="J21" i="2" s="1"/>
  <c r="I22" i="2"/>
  <c r="J22" i="2" s="1"/>
  <c r="I23" i="2"/>
  <c r="I24" i="2"/>
  <c r="I25" i="2"/>
  <c r="I26" i="2"/>
  <c r="I27" i="2"/>
  <c r="J27" i="2" s="1"/>
  <c r="I28" i="2"/>
  <c r="J28" i="2" s="1"/>
  <c r="I29" i="2"/>
  <c r="J29" i="2" s="1"/>
  <c r="I30" i="2"/>
  <c r="J30" i="2" s="1"/>
  <c r="I31" i="2"/>
  <c r="I32" i="2"/>
  <c r="I33" i="2"/>
  <c r="I34" i="2"/>
  <c r="I35" i="2"/>
  <c r="J35" i="2" s="1"/>
  <c r="I36" i="2"/>
  <c r="J36" i="2" s="1"/>
  <c r="I37" i="2"/>
  <c r="J37" i="2" s="1"/>
  <c r="I38" i="2"/>
  <c r="J38" i="2" s="1"/>
  <c r="I39" i="2"/>
  <c r="I40" i="2"/>
  <c r="I41" i="2"/>
  <c r="I42" i="2"/>
  <c r="I43" i="2"/>
  <c r="J43" i="2" s="1"/>
  <c r="I44" i="2"/>
  <c r="J44" i="2" s="1"/>
  <c r="I45" i="2"/>
  <c r="J45" i="2" s="1"/>
  <c r="I46" i="2"/>
  <c r="J46" i="2" s="1"/>
  <c r="I47" i="2"/>
  <c r="I48" i="2"/>
  <c r="I49" i="2"/>
  <c r="I50" i="2"/>
  <c r="I51" i="2"/>
  <c r="J51" i="2" s="1"/>
  <c r="I52" i="2"/>
  <c r="J52" i="2" s="1"/>
  <c r="I53" i="2"/>
  <c r="J53" i="2" s="1"/>
  <c r="I54" i="2"/>
  <c r="J54" i="2" s="1"/>
  <c r="I55" i="2"/>
  <c r="I56" i="2"/>
  <c r="I57" i="2"/>
  <c r="I58" i="2"/>
  <c r="I59" i="2"/>
  <c r="J59" i="2" s="1"/>
  <c r="I60" i="2"/>
  <c r="J60" i="2" s="1"/>
  <c r="I61" i="2"/>
  <c r="J61" i="2" s="1"/>
  <c r="I62" i="2"/>
  <c r="J62" i="2" s="1"/>
  <c r="I63" i="2"/>
  <c r="I64" i="2"/>
  <c r="I65" i="2"/>
  <c r="I66" i="2"/>
  <c r="I67" i="2"/>
  <c r="J67" i="2" s="1"/>
  <c r="I9" i="2"/>
  <c r="J9" i="2" s="1"/>
  <c r="C11" i="2"/>
  <c r="B12" i="2"/>
  <c r="C12" i="2" s="1"/>
  <c r="B10" i="2"/>
  <c r="C10" i="2" s="1"/>
  <c r="B11" i="2"/>
  <c r="B9" i="2"/>
  <c r="H62" i="1"/>
  <c r="H48" i="1"/>
  <c r="H49" i="1"/>
  <c r="H50" i="1"/>
  <c r="H51" i="1"/>
  <c r="H52" i="1"/>
  <c r="H53" i="1"/>
  <c r="H54" i="1"/>
  <c r="H55" i="1"/>
  <c r="H56" i="1"/>
  <c r="H57" i="1"/>
  <c r="H58" i="1"/>
  <c r="H59" i="1"/>
  <c r="H60" i="1"/>
  <c r="H47" i="1"/>
  <c r="C48" i="1"/>
  <c r="C49" i="1"/>
  <c r="C50" i="1"/>
  <c r="C51" i="1"/>
  <c r="C52" i="1"/>
  <c r="C53" i="1"/>
  <c r="C54" i="1"/>
  <c r="C55" i="1"/>
  <c r="C56" i="1"/>
  <c r="C57" i="1"/>
  <c r="C58" i="1"/>
  <c r="C59" i="1"/>
  <c r="C60" i="1"/>
  <c r="C47" i="1"/>
  <c r="B48" i="1"/>
  <c r="B49" i="1"/>
  <c r="B50" i="1"/>
  <c r="B51" i="1"/>
  <c r="B52" i="1"/>
  <c r="B53" i="1"/>
  <c r="B54" i="1"/>
  <c r="B55" i="1"/>
  <c r="B56" i="1"/>
  <c r="B57" i="1"/>
  <c r="B58" i="1"/>
  <c r="B59" i="1"/>
  <c r="B60" i="1"/>
  <c r="B47" i="1"/>
  <c r="E60" i="1"/>
  <c r="F60" i="1" s="1"/>
  <c r="G60" i="1" s="1"/>
  <c r="E59" i="1"/>
  <c r="F59" i="1" s="1"/>
  <c r="G59" i="1" s="1"/>
  <c r="E58" i="1"/>
  <c r="F58" i="1" s="1"/>
  <c r="G58" i="1" s="1"/>
  <c r="E57" i="1"/>
  <c r="F57" i="1" s="1"/>
  <c r="G57" i="1" s="1"/>
  <c r="E56" i="1"/>
  <c r="F56" i="1" s="1"/>
  <c r="G56" i="1" s="1"/>
  <c r="E55" i="1"/>
  <c r="F55" i="1" s="1"/>
  <c r="G55" i="1" s="1"/>
  <c r="E54" i="1"/>
  <c r="F54" i="1" s="1"/>
  <c r="G54" i="1" s="1"/>
  <c r="E53" i="1"/>
  <c r="F53" i="1" s="1"/>
  <c r="G53" i="1" s="1"/>
  <c r="E52" i="1"/>
  <c r="F52" i="1" s="1"/>
  <c r="G52" i="1" s="1"/>
  <c r="E51" i="1"/>
  <c r="F51" i="1" s="1"/>
  <c r="G51" i="1" s="1"/>
  <c r="E50" i="1"/>
  <c r="F50" i="1" s="1"/>
  <c r="G50" i="1" s="1"/>
  <c r="E49" i="1"/>
  <c r="F49" i="1" s="1"/>
  <c r="G49" i="1" s="1"/>
  <c r="E48" i="1"/>
  <c r="F48" i="1" s="1"/>
  <c r="G48" i="1" s="1"/>
  <c r="E47" i="1"/>
  <c r="B42" i="1"/>
  <c r="B8" i="1"/>
  <c r="C30" i="1"/>
  <c r="D30" i="1"/>
  <c r="E30" i="1"/>
  <c r="F30" i="1"/>
  <c r="G30" i="1"/>
  <c r="H30" i="1"/>
  <c r="I30" i="1"/>
  <c r="J30" i="1"/>
  <c r="K30" i="1"/>
  <c r="L30" i="1"/>
  <c r="M30" i="1"/>
  <c r="P30" i="1" s="1"/>
  <c r="N30" i="1"/>
  <c r="O30" i="1"/>
  <c r="B30" i="1"/>
  <c r="C29" i="1"/>
  <c r="D29" i="1"/>
  <c r="E29" i="1"/>
  <c r="F29" i="1"/>
  <c r="G29" i="1"/>
  <c r="H29" i="1"/>
  <c r="I29" i="1"/>
  <c r="J29" i="1"/>
  <c r="K29" i="1"/>
  <c r="L29" i="1"/>
  <c r="M29" i="1"/>
  <c r="P29" i="1" s="1"/>
  <c r="N29" i="1"/>
  <c r="O29" i="1"/>
  <c r="B29" i="1"/>
  <c r="F26" i="1"/>
  <c r="F25" i="1"/>
  <c r="E12" i="1"/>
  <c r="E13" i="1"/>
  <c r="E14" i="1"/>
  <c r="E15" i="1"/>
  <c r="E16" i="1"/>
  <c r="E17" i="1"/>
  <c r="E18" i="1"/>
  <c r="E19" i="1"/>
  <c r="E20" i="1"/>
  <c r="E21" i="1"/>
  <c r="E22" i="1"/>
  <c r="E23" i="1"/>
  <c r="E24" i="1"/>
  <c r="E11" i="1"/>
  <c r="D25" i="1"/>
  <c r="D12" i="1"/>
  <c r="D13" i="1"/>
  <c r="D14" i="1"/>
  <c r="D15" i="1"/>
  <c r="D16" i="1"/>
  <c r="D17" i="1"/>
  <c r="D18" i="1"/>
  <c r="D19" i="1"/>
  <c r="D20" i="1"/>
  <c r="D21" i="1"/>
  <c r="D22" i="1"/>
  <c r="D23" i="1"/>
  <c r="D24" i="1"/>
  <c r="D11" i="1"/>
  <c r="C25" i="1"/>
  <c r="C12" i="1"/>
  <c r="C13" i="1"/>
  <c r="C14" i="1"/>
  <c r="C15" i="1"/>
  <c r="C16" i="1"/>
  <c r="C17" i="1"/>
  <c r="C18" i="1"/>
  <c r="C19" i="1"/>
  <c r="C20" i="1"/>
  <c r="C21" i="1"/>
  <c r="C22" i="1"/>
  <c r="C23" i="1"/>
  <c r="C24" i="1"/>
  <c r="C11" i="1"/>
  <c r="B6" i="1"/>
  <c r="C6" i="1"/>
  <c r="D6" i="1"/>
  <c r="E6" i="1"/>
  <c r="F6" i="1"/>
  <c r="G6" i="1"/>
  <c r="H6" i="1"/>
  <c r="I6" i="1"/>
  <c r="J6" i="1"/>
  <c r="K6" i="1"/>
  <c r="L6" i="1"/>
  <c r="M6" i="1"/>
  <c r="B7" i="1" s="1"/>
  <c r="N6" i="1"/>
  <c r="O6" i="1"/>
  <c r="E8" i="5" l="1"/>
  <c r="F9" i="5"/>
  <c r="F8" i="5" s="1"/>
  <c r="G18" i="5"/>
  <c r="H18" i="5" s="1"/>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BC18" i="5" s="1"/>
  <c r="BD18" i="5" s="1"/>
  <c r="BE18" i="5" s="1"/>
  <c r="BF18" i="5" s="1"/>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CT18" i="5" s="1"/>
  <c r="CU18" i="5" s="1"/>
  <c r="CV18" i="5" s="1"/>
  <c r="CW18" i="5" s="1"/>
  <c r="CX18" i="5" s="1"/>
  <c r="CY18" i="5" s="1"/>
  <c r="CZ18" i="5" s="1"/>
  <c r="DA18" i="5" s="1"/>
  <c r="DB18" i="5" s="1"/>
  <c r="DC18" i="5" s="1"/>
  <c r="DD18" i="5" s="1"/>
  <c r="DE18" i="5" s="1"/>
  <c r="DF18" i="5" s="1"/>
  <c r="DG18" i="5" s="1"/>
  <c r="DH18" i="5" s="1"/>
  <c r="DI18" i="5" s="1"/>
  <c r="DJ18" i="5" s="1"/>
  <c r="DK18" i="5" s="1"/>
  <c r="DL18" i="5" s="1"/>
  <c r="DM18" i="5" s="1"/>
  <c r="DN18" i="5" s="1"/>
  <c r="DO18" i="5" s="1"/>
  <c r="DP18" i="5" s="1"/>
  <c r="DQ18" i="5" s="1"/>
  <c r="DR18" i="5" s="1"/>
  <c r="DS18" i="5" s="1"/>
  <c r="DT18" i="5" s="1"/>
  <c r="DU18" i="5" s="1"/>
  <c r="DV18" i="5" s="1"/>
  <c r="DW18" i="5" s="1"/>
  <c r="DX18" i="5" s="1"/>
  <c r="DY18" i="5" s="1"/>
  <c r="DZ18" i="5" s="1"/>
  <c r="EA18" i="5" s="1"/>
  <c r="EB18" i="5" s="1"/>
  <c r="EC18" i="5" s="1"/>
  <c r="ED18" i="5" s="1"/>
  <c r="EE18" i="5" s="1"/>
  <c r="EF18" i="5" s="1"/>
  <c r="EG18" i="5" s="1"/>
  <c r="EH18" i="5" s="1"/>
  <c r="EI18" i="5" s="1"/>
  <c r="EJ18" i="5" s="1"/>
  <c r="EK18" i="5" s="1"/>
  <c r="EL18" i="5" s="1"/>
  <c r="EM18" i="5" s="1"/>
  <c r="EN18" i="5" s="1"/>
  <c r="EO18" i="5" s="1"/>
  <c r="EP18" i="5" s="1"/>
  <c r="EQ18" i="5" s="1"/>
  <c r="ER18" i="5" s="1"/>
  <c r="ES18" i="5" s="1"/>
  <c r="ET18" i="5" s="1"/>
  <c r="EU18" i="5" s="1"/>
  <c r="EV18" i="5" s="1"/>
  <c r="EW18" i="5" s="1"/>
  <c r="EX18" i="5" s="1"/>
  <c r="EY18" i="5" s="1"/>
  <c r="EZ18" i="5" s="1"/>
  <c r="FA18" i="5" s="1"/>
  <c r="FB18" i="5" s="1"/>
  <c r="FC18" i="5" s="1"/>
  <c r="FD18" i="5" s="1"/>
  <c r="FE18" i="5" s="1"/>
  <c r="FF18" i="5" s="1"/>
  <c r="FG18" i="5" s="1"/>
  <c r="FH18" i="5" s="1"/>
  <c r="FI18" i="5" s="1"/>
  <c r="FJ18" i="5" s="1"/>
  <c r="FK18" i="5" s="1"/>
  <c r="FL18" i="5" s="1"/>
  <c r="FM18" i="5" s="1"/>
  <c r="FN18" i="5" s="1"/>
  <c r="FO18" i="5" s="1"/>
  <c r="FP18" i="5" s="1"/>
  <c r="FQ18" i="5" s="1"/>
  <c r="FR18" i="5" s="1"/>
  <c r="FS18" i="5" s="1"/>
  <c r="FT18" i="5" s="1"/>
  <c r="FU18" i="5" s="1"/>
  <c r="FV18" i="5" s="1"/>
  <c r="FW18" i="5" s="1"/>
  <c r="FX18" i="5" s="1"/>
  <c r="FY18" i="5" s="1"/>
  <c r="FZ18" i="5" s="1"/>
  <c r="GA18" i="5" s="1"/>
  <c r="GB18" i="5" s="1"/>
  <c r="GC18" i="5" s="1"/>
  <c r="GD18" i="5" s="1"/>
  <c r="GE18" i="5" s="1"/>
  <c r="GF18" i="5" s="1"/>
  <c r="GG18" i="5" s="1"/>
  <c r="GH18" i="5" s="1"/>
  <c r="GI18" i="5" s="1"/>
  <c r="GJ18" i="5" s="1"/>
  <c r="GK18" i="5" s="1"/>
  <c r="GL18" i="5" s="1"/>
  <c r="GM18" i="5" s="1"/>
  <c r="GN18" i="5" s="1"/>
  <c r="GO18" i="5" s="1"/>
  <c r="GP18" i="5" s="1"/>
  <c r="GQ18" i="5" s="1"/>
  <c r="GR18" i="5" s="1"/>
  <c r="GS18" i="5" s="1"/>
  <c r="GT18" i="5" s="1"/>
  <c r="GU18" i="5" s="1"/>
  <c r="GV18" i="5" s="1"/>
  <c r="GW18" i="5" s="1"/>
  <c r="GX18" i="5" s="1"/>
  <c r="GY18" i="5" s="1"/>
  <c r="GZ18" i="5" s="1"/>
  <c r="HA18" i="5" s="1"/>
  <c r="HB18" i="5" s="1"/>
  <c r="HC18" i="5" s="1"/>
  <c r="HD18" i="5" s="1"/>
  <c r="HE18" i="5" s="1"/>
  <c r="HF18" i="5" s="1"/>
  <c r="HG18" i="5" s="1"/>
  <c r="HH18" i="5" s="1"/>
  <c r="HI18" i="5" s="1"/>
  <c r="HJ18" i="5" s="1"/>
  <c r="HK18" i="5" s="1"/>
  <c r="HL18" i="5" s="1"/>
  <c r="HM18" i="5" s="1"/>
  <c r="HN18" i="5" s="1"/>
  <c r="HO18" i="5" s="1"/>
  <c r="HP18" i="5" s="1"/>
  <c r="HQ18" i="5" s="1"/>
  <c r="HR18" i="5" s="1"/>
  <c r="HS18" i="5" s="1"/>
  <c r="HT18" i="5" s="1"/>
  <c r="HU18" i="5" s="1"/>
  <c r="HV18" i="5" s="1"/>
  <c r="HW18" i="5" s="1"/>
  <c r="HX18" i="5" s="1"/>
  <c r="HY18" i="5" s="1"/>
  <c r="HZ18" i="5" s="1"/>
  <c r="IA18" i="5" s="1"/>
  <c r="IB18" i="5" s="1"/>
  <c r="IC18" i="5" s="1"/>
  <c r="ID18" i="5" s="1"/>
  <c r="IE18" i="5" s="1"/>
  <c r="IF18" i="5" s="1"/>
  <c r="IG18" i="5" s="1"/>
  <c r="IH18" i="5" s="1"/>
  <c r="II18" i="5" s="1"/>
  <c r="IJ18" i="5" s="1"/>
  <c r="IK18" i="5" s="1"/>
  <c r="IL18" i="5" s="1"/>
  <c r="IM18" i="5" s="1"/>
  <c r="IN18" i="5" s="1"/>
  <c r="IO18" i="5" s="1"/>
  <c r="IP18" i="5" s="1"/>
  <c r="IQ18" i="5" s="1"/>
  <c r="IR18" i="5" s="1"/>
  <c r="IS18" i="5" s="1"/>
  <c r="IT18" i="5" s="1"/>
  <c r="IU18" i="5" s="1"/>
  <c r="IU9" i="5" s="1"/>
  <c r="S9" i="2"/>
  <c r="T9" i="2" s="1"/>
  <c r="S11" i="2"/>
  <c r="T11" i="2" s="1"/>
  <c r="S8" i="2"/>
  <c r="T8" i="2" s="1"/>
  <c r="B32" i="1"/>
  <c r="B35" i="1"/>
  <c r="B39" i="1" s="1"/>
  <c r="B40" i="1" s="1"/>
  <c r="K56" i="2"/>
  <c r="L56" i="2" s="1"/>
  <c r="K46" i="2"/>
  <c r="L46" i="2" s="1"/>
  <c r="K37" i="2"/>
  <c r="L37" i="2" s="1"/>
  <c r="K57" i="2"/>
  <c r="L57" i="2" s="1"/>
  <c r="J69" i="2"/>
  <c r="K24" i="2" s="1"/>
  <c r="L24" i="2" s="1"/>
  <c r="K9" i="2"/>
  <c r="K60" i="2"/>
  <c r="L60" i="2" s="1"/>
  <c r="K58" i="2"/>
  <c r="L58" i="2" s="1"/>
  <c r="K42" i="2"/>
  <c r="L42" i="2" s="1"/>
  <c r="C13" i="2"/>
  <c r="D11" i="2" s="1"/>
  <c r="E11" i="2" s="1"/>
  <c r="E61" i="1"/>
  <c r="F47" i="1"/>
  <c r="M9" i="5" l="1"/>
  <c r="L9" i="5"/>
  <c r="T9" i="5"/>
  <c r="N9" i="5"/>
  <c r="G9" i="5"/>
  <c r="G8" i="5" s="1"/>
  <c r="V9" i="5"/>
  <c r="AB9" i="5"/>
  <c r="BF9" i="5"/>
  <c r="EA9" i="5"/>
  <c r="DS9" i="5"/>
  <c r="CA9" i="5"/>
  <c r="BQ9" i="5"/>
  <c r="BV9" i="5"/>
  <c r="GN9" i="5"/>
  <c r="DT9" i="5"/>
  <c r="BL9" i="5"/>
  <c r="AZ9" i="5"/>
  <c r="J9" i="5"/>
  <c r="IE9" i="5"/>
  <c r="IC9" i="5"/>
  <c r="GU9" i="5"/>
  <c r="GC9" i="5"/>
  <c r="FK9" i="5"/>
  <c r="FI9" i="5"/>
  <c r="CO9" i="5"/>
  <c r="CI9" i="5"/>
  <c r="CS9" i="5"/>
  <c r="CK9" i="5"/>
  <c r="GR9" i="5"/>
  <c r="EP9" i="5"/>
  <c r="DL9" i="5"/>
  <c r="AR9" i="5"/>
  <c r="HU9" i="5"/>
  <c r="AW9" i="5"/>
  <c r="AC9" i="5"/>
  <c r="AO9" i="5"/>
  <c r="U9" i="5"/>
  <c r="AY9" i="5"/>
  <c r="O9" i="5"/>
  <c r="Y9" i="5"/>
  <c r="EX9" i="5"/>
  <c r="BB9" i="5"/>
  <c r="IP9" i="5"/>
  <c r="HX9" i="5"/>
  <c r="HN9" i="5"/>
  <c r="HL9" i="5"/>
  <c r="IH9" i="5"/>
  <c r="HP9" i="5"/>
  <c r="HF9" i="5"/>
  <c r="HD9" i="5"/>
  <c r="HZ9" i="5"/>
  <c r="HH9" i="5"/>
  <c r="GX9" i="5"/>
  <c r="GV9" i="5"/>
  <c r="HR9" i="5"/>
  <c r="GZ9" i="5"/>
  <c r="GP9" i="5"/>
  <c r="EB9" i="5"/>
  <c r="CL9" i="5"/>
  <c r="BT9" i="5"/>
  <c r="BJ9" i="5"/>
  <c r="BH9" i="5"/>
  <c r="R9" i="5"/>
  <c r="IM9" i="5"/>
  <c r="IK9" i="5"/>
  <c r="HC9" i="5"/>
  <c r="GK9" i="5"/>
  <c r="FS9" i="5"/>
  <c r="FQ9" i="5"/>
  <c r="EI9" i="5"/>
  <c r="DQ9" i="5"/>
  <c r="CY9" i="5"/>
  <c r="CW9" i="5"/>
  <c r="DI9" i="5"/>
  <c r="CG9" i="5"/>
  <c r="BY9" i="5"/>
  <c r="BS9" i="5"/>
  <c r="GH9" i="5"/>
  <c r="DX9" i="5"/>
  <c r="BD9" i="5"/>
  <c r="HW9" i="5"/>
  <c r="BO9" i="5"/>
  <c r="AE9" i="5"/>
  <c r="BG9" i="5"/>
  <c r="W9" i="5"/>
  <c r="AG9" i="5"/>
  <c r="AQ9" i="5"/>
  <c r="DV9" i="5"/>
  <c r="GD9" i="5"/>
  <c r="FB9" i="5"/>
  <c r="EZ9" i="5"/>
  <c r="FV9" i="5"/>
  <c r="FD9" i="5"/>
  <c r="ET9" i="5"/>
  <c r="ER9" i="5"/>
  <c r="FN9" i="5"/>
  <c r="EV9" i="5"/>
  <c r="EL9" i="5"/>
  <c r="EJ9" i="5"/>
  <c r="FF9" i="5"/>
  <c r="EN9" i="5"/>
  <c r="ED9" i="5"/>
  <c r="BP9" i="5"/>
  <c r="Z9" i="5"/>
  <c r="H9" i="5"/>
  <c r="IS9" i="5"/>
  <c r="HK9" i="5"/>
  <c r="GS9" i="5"/>
  <c r="GA9" i="5"/>
  <c r="FY9" i="5"/>
  <c r="EQ9" i="5"/>
  <c r="DY9" i="5"/>
  <c r="DG9" i="5"/>
  <c r="DE9" i="5"/>
  <c r="BW9" i="5"/>
  <c r="BE9" i="5"/>
  <c r="AM9" i="5"/>
  <c r="AK9" i="5"/>
  <c r="AD9" i="5"/>
  <c r="CQ9" i="5"/>
  <c r="DA9" i="5"/>
  <c r="DK9" i="5"/>
  <c r="DC9" i="5"/>
  <c r="HJ9" i="5"/>
  <c r="GF9" i="5"/>
  <c r="DN9" i="5"/>
  <c r="AT9" i="5"/>
  <c r="IO9" i="5"/>
  <c r="EF9" i="5"/>
  <c r="CD9" i="5"/>
  <c r="FL9" i="5"/>
  <c r="DR9" i="5"/>
  <c r="CZ9" i="5"/>
  <c r="CP9" i="5"/>
  <c r="CN9" i="5"/>
  <c r="DJ9" i="5"/>
  <c r="CR9" i="5"/>
  <c r="CH9" i="5"/>
  <c r="CF9" i="5"/>
  <c r="DB9" i="5"/>
  <c r="CJ9" i="5"/>
  <c r="BZ9" i="5"/>
  <c r="BX9" i="5"/>
  <c r="CT9" i="5"/>
  <c r="CB9" i="5"/>
  <c r="BR9" i="5"/>
  <c r="HS9" i="5"/>
  <c r="HA9" i="5"/>
  <c r="GI9" i="5"/>
  <c r="GG9" i="5"/>
  <c r="EY9" i="5"/>
  <c r="EG9" i="5"/>
  <c r="DO9" i="5"/>
  <c r="DM9" i="5"/>
  <c r="CE9" i="5"/>
  <c r="BM9" i="5"/>
  <c r="AU9" i="5"/>
  <c r="AS9" i="5"/>
  <c r="K9" i="5"/>
  <c r="IF9" i="5"/>
  <c r="HV9" i="5"/>
  <c r="HT9" i="5"/>
  <c r="AN9" i="5"/>
  <c r="AF9" i="5"/>
  <c r="AP9" i="5"/>
  <c r="X9" i="5"/>
  <c r="AH9" i="5"/>
  <c r="P9" i="5"/>
  <c r="FG9" i="5"/>
  <c r="DW9" i="5"/>
  <c r="CM9" i="5"/>
  <c r="BU9" i="5"/>
  <c r="BA9" i="5"/>
  <c r="S9" i="5"/>
  <c r="IN9" i="5"/>
  <c r="ID9" i="5"/>
  <c r="IB9" i="5"/>
  <c r="GL9" i="5"/>
  <c r="FT9" i="5"/>
  <c r="FJ9" i="5"/>
  <c r="FH9" i="5"/>
  <c r="IG9" i="5"/>
  <c r="HO9" i="5"/>
  <c r="HM9" i="5"/>
  <c r="IQ9" i="5"/>
  <c r="HY9" i="5"/>
  <c r="HG9" i="5"/>
  <c r="HE9" i="5"/>
  <c r="II9" i="5"/>
  <c r="HQ9" i="5"/>
  <c r="GY9" i="5"/>
  <c r="GW9" i="5"/>
  <c r="IA9" i="5"/>
  <c r="HI9" i="5"/>
  <c r="GQ9" i="5"/>
  <c r="GO9" i="5"/>
  <c r="CU9" i="5"/>
  <c r="CC9" i="5"/>
  <c r="BK9" i="5"/>
  <c r="BI9" i="5"/>
  <c r="AA9" i="5"/>
  <c r="I9" i="5"/>
  <c r="IL9" i="5"/>
  <c r="IJ9" i="5"/>
  <c r="GT9" i="5"/>
  <c r="GB9" i="5"/>
  <c r="FR9" i="5"/>
  <c r="FP9" i="5"/>
  <c r="DZ9" i="5"/>
  <c r="DH9" i="5"/>
  <c r="CX9" i="5"/>
  <c r="CV9" i="5"/>
  <c r="AX9" i="5"/>
  <c r="EO9" i="5"/>
  <c r="DU9" i="5"/>
  <c r="BC9" i="5"/>
  <c r="GM9" i="5"/>
  <c r="FU9" i="5"/>
  <c r="FC9" i="5"/>
  <c r="FA9" i="5"/>
  <c r="GE9" i="5"/>
  <c r="FM9" i="5"/>
  <c r="EU9" i="5"/>
  <c r="ES9" i="5"/>
  <c r="FW9" i="5"/>
  <c r="FE9" i="5"/>
  <c r="EM9" i="5"/>
  <c r="EK9" i="5"/>
  <c r="FO9" i="5"/>
  <c r="EW9" i="5"/>
  <c r="EE9" i="5"/>
  <c r="EC9" i="5"/>
  <c r="AI9" i="5"/>
  <c r="Q9" i="5"/>
  <c r="IT9" i="5"/>
  <c r="IR9" i="5"/>
  <c r="HB9" i="5"/>
  <c r="GJ9" i="5"/>
  <c r="FZ9" i="5"/>
  <c r="FX9" i="5"/>
  <c r="EH9" i="5"/>
  <c r="DP9" i="5"/>
  <c r="DF9" i="5"/>
  <c r="DD9" i="5"/>
  <c r="BN9" i="5"/>
  <c r="AV9" i="5"/>
  <c r="AL9" i="5"/>
  <c r="AJ9" i="5"/>
  <c r="R14" i="2"/>
  <c r="K62" i="2"/>
  <c r="L62" i="2" s="1"/>
  <c r="E9" i="2"/>
  <c r="K12" i="2"/>
  <c r="L12" i="2" s="1"/>
  <c r="L9" i="2"/>
  <c r="K17" i="2"/>
  <c r="L17" i="2" s="1"/>
  <c r="K19" i="2"/>
  <c r="L19" i="2" s="1"/>
  <c r="K45" i="2"/>
  <c r="L45" i="2" s="1"/>
  <c r="K25" i="2"/>
  <c r="L25" i="2" s="1"/>
  <c r="K49" i="2"/>
  <c r="L49" i="2" s="1"/>
  <c r="K53" i="2"/>
  <c r="L53" i="2" s="1"/>
  <c r="K11" i="2"/>
  <c r="L11" i="2" s="1"/>
  <c r="K16" i="2"/>
  <c r="L16" i="2" s="1"/>
  <c r="K51" i="2"/>
  <c r="L51" i="2" s="1"/>
  <c r="K27" i="2"/>
  <c r="L27" i="2" s="1"/>
  <c r="K28" i="2"/>
  <c r="L28" i="2" s="1"/>
  <c r="K48" i="2"/>
  <c r="L48" i="2" s="1"/>
  <c r="K50" i="2"/>
  <c r="L50" i="2" s="1"/>
  <c r="K67" i="2"/>
  <c r="L67" i="2" s="1"/>
  <c r="K32" i="2"/>
  <c r="L32" i="2" s="1"/>
  <c r="D12" i="2"/>
  <c r="E12" i="2" s="1"/>
  <c r="K43" i="2"/>
  <c r="L43" i="2" s="1"/>
  <c r="K36" i="2"/>
  <c r="L36" i="2" s="1"/>
  <c r="K66" i="2"/>
  <c r="L66" i="2" s="1"/>
  <c r="K34" i="2"/>
  <c r="L34" i="2" s="1"/>
  <c r="K10" i="2"/>
  <c r="L10" i="2" s="1"/>
  <c r="K38" i="2"/>
  <c r="L38" i="2" s="1"/>
  <c r="K21" i="2"/>
  <c r="L21" i="2" s="1"/>
  <c r="D10" i="2"/>
  <c r="E10" i="2" s="1"/>
  <c r="K15" i="2"/>
  <c r="L15" i="2" s="1"/>
  <c r="K31" i="2"/>
  <c r="L31" i="2" s="1"/>
  <c r="K55" i="2"/>
  <c r="L55" i="2" s="1"/>
  <c r="K47" i="2"/>
  <c r="L47" i="2" s="1"/>
  <c r="K63" i="2"/>
  <c r="L63" i="2" s="1"/>
  <c r="K39" i="2"/>
  <c r="L39" i="2" s="1"/>
  <c r="K35" i="2"/>
  <c r="L35" i="2" s="1"/>
  <c r="K33" i="2"/>
  <c r="L33" i="2" s="1"/>
  <c r="K20" i="2"/>
  <c r="L20" i="2" s="1"/>
  <c r="K18" i="2"/>
  <c r="L18" i="2" s="1"/>
  <c r="K61" i="2"/>
  <c r="L61" i="2" s="1"/>
  <c r="K65" i="2"/>
  <c r="L65" i="2" s="1"/>
  <c r="K22" i="2"/>
  <c r="L22" i="2" s="1"/>
  <c r="K13" i="2"/>
  <c r="L13" i="2" s="1"/>
  <c r="K64" i="2"/>
  <c r="L64" i="2" s="1"/>
  <c r="K59" i="2"/>
  <c r="L59" i="2" s="1"/>
  <c r="K44" i="2"/>
  <c r="L44" i="2" s="1"/>
  <c r="K23" i="2"/>
  <c r="L23" i="2" s="1"/>
  <c r="K14" i="2"/>
  <c r="L14" i="2" s="1"/>
  <c r="K26" i="2"/>
  <c r="L26" i="2" s="1"/>
  <c r="K52" i="2"/>
  <c r="L52" i="2" s="1"/>
  <c r="K54" i="2"/>
  <c r="L54" i="2" s="1"/>
  <c r="K41" i="2"/>
  <c r="L41" i="2" s="1"/>
  <c r="K29" i="2"/>
  <c r="L29" i="2" s="1"/>
  <c r="K30" i="2"/>
  <c r="L30" i="2" s="1"/>
  <c r="K68" i="2"/>
  <c r="L68" i="2" s="1"/>
  <c r="K40" i="2"/>
  <c r="L40" i="2" s="1"/>
  <c r="F61" i="1"/>
  <c r="G47" i="1"/>
  <c r="H61" i="1" s="1"/>
  <c r="CM8" i="5" l="1"/>
  <c r="DU8" i="5"/>
  <c r="HV8" i="5"/>
  <c r="Z8" i="5"/>
  <c r="BU8" i="5"/>
  <c r="FZ8" i="5"/>
  <c r="DD8" i="5"/>
  <c r="EK8" i="5"/>
  <c r="FA8" i="5"/>
  <c r="FR8" i="5"/>
  <c r="BK8" i="5"/>
  <c r="GY8" i="5"/>
  <c r="HO8" i="5"/>
  <c r="AV8" i="5"/>
  <c r="EO8" i="5"/>
  <c r="HE8" i="5"/>
  <c r="DF8" i="5"/>
  <c r="IT8" i="5"/>
  <c r="IL8" i="5"/>
  <c r="GQ8" i="5"/>
  <c r="HG8" i="5"/>
  <c r="EB8" i="5"/>
  <c r="EE8" i="5"/>
  <c r="EU8" i="5"/>
  <c r="AH8" i="5"/>
  <c r="K8" i="5"/>
  <c r="EY8" i="5"/>
  <c r="EC8" i="5"/>
  <c r="BC8" i="5"/>
  <c r="IF8" i="5"/>
  <c r="DT8" i="5"/>
  <c r="CP8" i="5"/>
  <c r="FM8" i="5"/>
  <c r="AX8" i="5"/>
  <c r="BA8" i="5"/>
  <c r="CJ8" i="5"/>
  <c r="AL8" i="5"/>
  <c r="U8" i="5"/>
  <c r="FC8" i="5"/>
  <c r="EM8" i="5"/>
  <c r="GL8" i="5"/>
  <c r="IA8" i="5"/>
  <c r="IQ8" i="5"/>
  <c r="CB8" i="5"/>
  <c r="BX8" i="5"/>
  <c r="AD8" i="5"/>
  <c r="AF8" i="5"/>
  <c r="CH8" i="5"/>
  <c r="GM8" i="5"/>
  <c r="GJ8" i="5"/>
  <c r="GB8" i="5"/>
  <c r="X8" i="5"/>
  <c r="GG8" i="5"/>
  <c r="GV8" i="5"/>
  <c r="EW8" i="5"/>
  <c r="CC8" i="5"/>
  <c r="GE8" i="5"/>
  <c r="FH8" i="5"/>
  <c r="CX8" i="5"/>
  <c r="IR8" i="5"/>
  <c r="EQ8" i="5"/>
  <c r="BP8" i="5"/>
  <c r="DB8" i="5"/>
  <c r="N8" i="5"/>
  <c r="GO8" i="5"/>
  <c r="DP8" i="5"/>
  <c r="DH8" i="5"/>
  <c r="I8" i="5"/>
  <c r="W8" i="5"/>
  <c r="CE8" i="5"/>
  <c r="HQ8" i="5"/>
  <c r="IG8" i="5"/>
  <c r="AS8" i="5"/>
  <c r="CU8" i="5"/>
  <c r="CZ8" i="5"/>
  <c r="FJ8" i="5"/>
  <c r="BM8" i="5"/>
  <c r="HA8" i="5"/>
  <c r="BE8" i="5"/>
  <c r="BG8" i="5"/>
  <c r="IN8" i="5"/>
  <c r="FO8" i="5"/>
  <c r="Q8" i="5"/>
  <c r="DW8" i="5"/>
  <c r="EH8" i="5"/>
  <c r="DZ8" i="5"/>
  <c r="AA8" i="5"/>
  <c r="HJ8" i="5"/>
  <c r="CR8" i="5"/>
  <c r="M8" i="5"/>
  <c r="ID8" i="5"/>
  <c r="CN8" i="5"/>
  <c r="AT8" i="5"/>
  <c r="AQ8" i="5"/>
  <c r="DX8" i="5"/>
  <c r="DQ8" i="5"/>
  <c r="R8" i="5"/>
  <c r="HR8" i="5"/>
  <c r="IH8" i="5"/>
  <c r="O8" i="5"/>
  <c r="DL8" i="5"/>
  <c r="FK8" i="5"/>
  <c r="AB8" i="5"/>
  <c r="BZ8" i="5"/>
  <c r="DN8" i="5"/>
  <c r="AK8" i="5"/>
  <c r="FY8" i="5"/>
  <c r="ED8" i="5"/>
  <c r="ET8" i="5"/>
  <c r="AG8" i="5"/>
  <c r="EI8" i="5"/>
  <c r="BH8" i="5"/>
  <c r="HL8" i="5"/>
  <c r="GN8" i="5"/>
  <c r="BN8" i="5"/>
  <c r="HB8" i="5"/>
  <c r="GT8" i="5"/>
  <c r="AP8" i="5"/>
  <c r="EN8" i="5"/>
  <c r="FD8" i="5"/>
  <c r="BS8" i="5"/>
  <c r="FQ8" i="5"/>
  <c r="BJ8" i="5"/>
  <c r="GX8" i="5"/>
  <c r="HN8" i="5"/>
  <c r="FT8" i="5"/>
  <c r="CL8" i="5"/>
  <c r="IP8" i="5"/>
  <c r="HI8" i="5"/>
  <c r="HY8" i="5"/>
  <c r="BR8" i="5"/>
  <c r="DK8" i="5"/>
  <c r="FW8" i="5"/>
  <c r="FG8" i="5"/>
  <c r="GH8" i="5"/>
  <c r="AY8" i="5"/>
  <c r="EP8" i="5"/>
  <c r="GC8" i="5"/>
  <c r="V8" i="5"/>
  <c r="AU8" i="5"/>
  <c r="AM8" i="5"/>
  <c r="GR8" i="5"/>
  <c r="GU8" i="5"/>
  <c r="BV8" i="5"/>
  <c r="DR8" i="5"/>
  <c r="GS8" i="5"/>
  <c r="FF8" i="5"/>
  <c r="FV8" i="5"/>
  <c r="BY8" i="5"/>
  <c r="FS8" i="5"/>
  <c r="BT8" i="5"/>
  <c r="HH8" i="5"/>
  <c r="HX8" i="5"/>
  <c r="AO8" i="5"/>
  <c r="CK8" i="5"/>
  <c r="IC8" i="5"/>
  <c r="BQ8" i="5"/>
  <c r="GF8" i="5"/>
  <c r="CV8" i="5"/>
  <c r="AN8" i="5"/>
  <c r="HS8" i="5"/>
  <c r="CF8" i="5"/>
  <c r="FL8" i="5"/>
  <c r="DC8" i="5"/>
  <c r="BW8" i="5"/>
  <c r="HK8" i="5"/>
  <c r="EJ8" i="5"/>
  <c r="EZ8" i="5"/>
  <c r="AE8" i="5"/>
  <c r="CG8" i="5"/>
  <c r="GK8" i="5"/>
  <c r="HZ8" i="5"/>
  <c r="AC8" i="5"/>
  <c r="CS8" i="5"/>
  <c r="IE8" i="5"/>
  <c r="CA8" i="5"/>
  <c r="T8" i="5"/>
  <c r="ER8" i="5"/>
  <c r="S8" i="5"/>
  <c r="FE8" i="5"/>
  <c r="FU8" i="5"/>
  <c r="HT8" i="5"/>
  <c r="DM8" i="5"/>
  <c r="CD8" i="5"/>
  <c r="DE8" i="5"/>
  <c r="IS8" i="5"/>
  <c r="EL8" i="5"/>
  <c r="FB8" i="5"/>
  <c r="BO8" i="5"/>
  <c r="DI8" i="5"/>
  <c r="HC8" i="5"/>
  <c r="HD8" i="5"/>
  <c r="BB8" i="5"/>
  <c r="AW8" i="5"/>
  <c r="CI8" i="5"/>
  <c r="J8" i="5"/>
  <c r="DS8" i="5"/>
  <c r="L8" i="5"/>
  <c r="II8" i="5"/>
  <c r="GI8" i="5"/>
  <c r="AI8" i="5"/>
  <c r="IB8" i="5"/>
  <c r="DO8" i="5"/>
  <c r="EF8" i="5"/>
  <c r="DA8" i="5"/>
  <c r="DG8" i="5"/>
  <c r="H8" i="5"/>
  <c r="EV8" i="5"/>
  <c r="GD8" i="5"/>
  <c r="HW8" i="5"/>
  <c r="CW8" i="5"/>
  <c r="IK8" i="5"/>
  <c r="GP8" i="5"/>
  <c r="HF8" i="5"/>
  <c r="EX8" i="5"/>
  <c r="HU8" i="5"/>
  <c r="CO8" i="5"/>
  <c r="AZ8" i="5"/>
  <c r="EA8" i="5"/>
  <c r="GA8" i="5"/>
  <c r="IJ8" i="5"/>
  <c r="AJ8" i="5"/>
  <c r="FX8" i="5"/>
  <c r="ES8" i="5"/>
  <c r="FP8" i="5"/>
  <c r="BI8" i="5"/>
  <c r="GW8" i="5"/>
  <c r="HM8" i="5"/>
  <c r="P8" i="5"/>
  <c r="EG8" i="5"/>
  <c r="CT8" i="5"/>
  <c r="DJ8" i="5"/>
  <c r="IO8" i="5"/>
  <c r="CQ8" i="5"/>
  <c r="DY8" i="5"/>
  <c r="FN8" i="5"/>
  <c r="DV8" i="5"/>
  <c r="BD8" i="5"/>
  <c r="CY8" i="5"/>
  <c r="IM8" i="5"/>
  <c r="GZ8" i="5"/>
  <c r="HP8" i="5"/>
  <c r="Y8" i="5"/>
  <c r="AR8" i="5"/>
  <c r="FI8" i="5"/>
  <c r="BL8" i="5"/>
  <c r="BF8" i="5"/>
  <c r="IU8" i="5"/>
  <c r="M69" i="2"/>
  <c r="M70" i="2" s="1"/>
  <c r="K69" i="2"/>
  <c r="D13" i="2"/>
  <c r="F13" i="2"/>
  <c r="F14" i="2" s="1"/>
  <c r="C7" i="5" l="1"/>
  <c r="C6" i="5"/>
</calcChain>
</file>

<file path=xl/sharedStrings.xml><?xml version="1.0" encoding="utf-8"?>
<sst xmlns="http://schemas.openxmlformats.org/spreadsheetml/2006/main" count="121" uniqueCount="82">
  <si>
    <t>t (year)</t>
  </si>
  <si>
    <t>(1) Calculate the price of Asset XYZ with yield of 2.75% (i.e., the present value). (3 points)</t>
  </si>
  <si>
    <t>Required Yield</t>
  </si>
  <si>
    <t xml:space="preserve">PV </t>
  </si>
  <si>
    <t>Price</t>
  </si>
  <si>
    <t xml:space="preserve">CF </t>
  </si>
  <si>
    <t>(2) Calculate the Macaulay duration and modified duration of Asset XYZ. (7 points)</t>
  </si>
  <si>
    <t>Weight</t>
  </si>
  <si>
    <t>t*Weight</t>
  </si>
  <si>
    <t>Macalay Duration</t>
  </si>
  <si>
    <t>(3) Calculate the duration of Asset XYZ by changing the yield up and down 25 basis points with the following formula: (5 points)</t>
  </si>
  <si>
    <t>Modified Duration</t>
  </si>
  <si>
    <t>.</t>
  </si>
  <si>
    <t>P-</t>
  </si>
  <si>
    <t>P+</t>
  </si>
  <si>
    <t>∆y</t>
  </si>
  <si>
    <t>NPV</t>
  </si>
  <si>
    <t>General Duration</t>
  </si>
  <si>
    <t>(4) Calculate the convexity of Asset XYZ by changing the yield up and down 25 basis points with the following formula: (3 points)</t>
  </si>
  <si>
    <t>Convexity</t>
  </si>
  <si>
    <r>
      <t xml:space="preserve">(5) Using the duration you calculated in (3) and the convexity you calculated in (4), estimate the relative price change of Asset XYZ with </t>
    </r>
    <r>
      <rPr>
        <b/>
        <u/>
        <sz val="12"/>
        <color theme="1"/>
        <rFont val="Arial"/>
        <family val="2"/>
      </rPr>
      <t>250 basis points decrease</t>
    </r>
    <r>
      <rPr>
        <b/>
        <sz val="12"/>
        <color theme="1"/>
        <rFont val="Arial"/>
        <family val="2"/>
      </rPr>
      <t xml:space="preserve"> in yield. Then estimate the price of Asset XYZ with 250 basis points decrease in yield. (3 points)</t>
    </r>
  </si>
  <si>
    <t>Relative Price Change</t>
  </si>
  <si>
    <t>Estimated Price</t>
  </si>
  <si>
    <t>Actual Price</t>
  </si>
  <si>
    <t>(6) Comparing with the actual price of Asset XYZ with 250 basis points yield decrease, is the estimation in (5) a good approximation? (4 points)</t>
  </si>
  <si>
    <t xml:space="preserve">I would say that the estimation is a good approximation because it is within $2 of the actual price. </t>
  </si>
  <si>
    <t>Bonus</t>
  </si>
  <si>
    <t>N</t>
  </si>
  <si>
    <t>N^2</t>
  </si>
  <si>
    <t>(1) 2-year Treasury bond with a face value of $1,000 and coupon rate 1.75%;</t>
  </si>
  <si>
    <t>(2) 5-year Treasury bond with a face value of $1,000 and coupon rate 2.65%;</t>
  </si>
  <si>
    <t>(3) 10-year Treasury bond with a face value of $1,000 and coupon rate 3.00%.</t>
  </si>
  <si>
    <t>(4) 30-year Treasury bond with a face value of $1,000 and coupon rate 3.75%.</t>
  </si>
  <si>
    <t>The current yield on all bonds is 2.50%. How many 2-year, 5-year, 10-year, and 30-year Treasury bonds should the insurance company buy in order to fully fund the liability and be immunized against the interest rate risk? Hint: To fully fund the liability, the present value of the assets must equal to the present value of the liabilities. To be fully immunized, the Macaulay duration of the assets must equal to the duration of the liabilities. (Round to the nearest integer)</t>
  </si>
  <si>
    <t>Weight * (N^2 + N)</t>
  </si>
  <si>
    <t>Bond 1</t>
  </si>
  <si>
    <t xml:space="preserve">t </t>
  </si>
  <si>
    <t>CF</t>
  </si>
  <si>
    <t>PV</t>
  </si>
  <si>
    <t>Bond 4</t>
  </si>
  <si>
    <t>Suppose that an insurance company sells a guaranteed investment contract (GIC) to make a $50,000,000 lump-sum payment in 15 years. The company wishes to construct a portfolio of assets to cover this single liability, such that it is immunized against interest rate risk. The company is considering investing in three semiannual bonds:</t>
  </si>
  <si>
    <t>Bond 2</t>
  </si>
  <si>
    <t>t</t>
  </si>
  <si>
    <t>t*weight</t>
  </si>
  <si>
    <t>Bond 3</t>
  </si>
  <si>
    <t>Bonds</t>
  </si>
  <si>
    <t>10 year</t>
  </si>
  <si>
    <t>30 year</t>
  </si>
  <si>
    <t>5 year</t>
  </si>
  <si>
    <t>2 year</t>
  </si>
  <si>
    <t>Duration</t>
  </si>
  <si>
    <t># of Shares</t>
  </si>
  <si>
    <t>MV of Bonds</t>
  </si>
  <si>
    <t>MV of Assets</t>
  </si>
  <si>
    <t>Weights</t>
  </si>
  <si>
    <t>Duration Contribution</t>
  </si>
  <si>
    <t>Duration of Assets</t>
  </si>
  <si>
    <t xml:space="preserve">MV of Liabilities </t>
  </si>
  <si>
    <t>Duration of Liabilities</t>
  </si>
  <si>
    <t>Parameter</t>
  </si>
  <si>
    <t>Value</t>
  </si>
  <si>
    <t>Case 1 Flip Coins</t>
  </si>
  <si>
    <t>Heads = 1</t>
  </si>
  <si>
    <t>Tails = 0</t>
  </si>
  <si>
    <t>Mean</t>
  </si>
  <si>
    <t>STD</t>
  </si>
  <si>
    <t>Case 2 Rolling Dice</t>
  </si>
  <si>
    <t>Case 3 Asset Returns</t>
  </si>
  <si>
    <t xml:space="preserve">Mean </t>
  </si>
  <si>
    <t>μ</t>
  </si>
  <si>
    <t>σ</t>
  </si>
  <si>
    <t>Path</t>
  </si>
  <si>
    <t>Mean Path</t>
  </si>
  <si>
    <t>Daily Return</t>
  </si>
  <si>
    <t>Mean Return</t>
  </si>
  <si>
    <t>Mean Volatility</t>
  </si>
  <si>
    <t>Variable</t>
  </si>
  <si>
    <t>No of Sims</t>
  </si>
  <si>
    <t>Clock</t>
  </si>
  <si>
    <t>Average</t>
  </si>
  <si>
    <t>Trial</t>
  </si>
  <si>
    <t># of Trial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</si>
</sst>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164" formatCode="0.0000%"/>
  </numFmts>
  <fonts count="10"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2"/>
      <color theme="1"/>
      <name val="Arial"/>
      <family val="2"/>
    </font>
    <font>
      <b/>
      <sz val="12"/>
      <color theme="1"/>
      <name val="Arial"/>
      <family val="2"/>
    </font>
    <font>
      <b/>
      <u/>
      <sz val="12"/>
      <color theme="1"/>
      <name val="Arial"/>
      <family val="2"/>
    </font>
    <font>
      <sz val="12"/>
      <color theme="1"/>
      <name val="Calibri"/>
      <family val="2"/>
    </font>
    <font>
      <b/>
      <u/>
      <sz val="12"/>
      <color theme="1"/>
      <name val="Calibri"/>
      <family val="2"/>
      <scheme val="minor"/>
    </font>
    <font>
      <sz val="11"/>
      <color theme="1"/>
      <name val="Cambria Math"/>
      <family val="1"/>
    </font>
  </fonts>
  <fills count="5">
    <fill>
      <patternFill patternType="none"/>
    </fill>
    <fill>
      <patternFill patternType="gray125"/>
    </fill>
    <fill>
      <patternFill patternType="solid">
        <fgColor rgb="FFFFFF00"/>
        <bgColor indexed="64"/>
      </patternFill>
    </fill>
    <fill>
      <patternFill patternType="solid">
        <fgColor rgb="FFEDFF00"/>
        <bgColor indexed="64"/>
      </patternFill>
    </fill>
    <fill>
      <patternFill patternType="solid">
        <fgColor rgb="FFD3FF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67">
    <xf numFmtId="0" fontId="0" fillId="0" borderId="0" xfId="0"/>
    <xf numFmtId="0" fontId="0" fillId="0" borderId="0" xfId="0" applyAlignment="1">
      <alignment horizontal="center" vertical="center"/>
    </xf>
    <xf numFmtId="0" fontId="3" fillId="0" borderId="1" xfId="0" applyFont="1" applyBorder="1" applyAlignment="1">
      <alignment horizontal="center" vertical="center"/>
    </xf>
    <xf numFmtId="0" fontId="4" fillId="0" borderId="0" xfId="0" applyFont="1" applyAlignment="1">
      <alignment vertical="center"/>
    </xf>
    <xf numFmtId="10" fontId="0" fillId="0" borderId="0" xfId="0" applyNumberFormat="1"/>
    <xf numFmtId="0" fontId="0" fillId="0" borderId="1" xfId="0" applyBorder="1"/>
    <xf numFmtId="10" fontId="0" fillId="0" borderId="1" xfId="0" applyNumberFormat="1" applyBorder="1"/>
    <xf numFmtId="0" fontId="0" fillId="0" borderId="1" xfId="0" applyFill="1" applyBorder="1"/>
    <xf numFmtId="44" fontId="0" fillId="0" borderId="1" xfId="1" applyFont="1" applyBorder="1"/>
    <xf numFmtId="44" fontId="0" fillId="0" borderId="0" xfId="1" applyFont="1"/>
    <xf numFmtId="44" fontId="3" fillId="0" borderId="1" xfId="1" applyFont="1" applyBorder="1" applyAlignment="1">
      <alignment horizontal="center" vertical="center"/>
    </xf>
    <xf numFmtId="44" fontId="0" fillId="0" borderId="0" xfId="0" applyNumberFormat="1"/>
    <xf numFmtId="44" fontId="0" fillId="0" borderId="1" xfId="0" applyNumberFormat="1" applyBorder="1"/>
    <xf numFmtId="10" fontId="0" fillId="0" borderId="1" xfId="2" applyNumberFormat="1" applyFont="1" applyBorder="1"/>
    <xf numFmtId="0" fontId="0" fillId="0" borderId="1" xfId="0" applyBorder="1" applyAlignment="1">
      <alignment horizontal="center"/>
    </xf>
    <xf numFmtId="44" fontId="0" fillId="0" borderId="1" xfId="1" applyFont="1" applyBorder="1" applyAlignment="1">
      <alignment horizontal="center"/>
    </xf>
    <xf numFmtId="10" fontId="0" fillId="0" borderId="1" xfId="2" applyNumberFormat="1" applyFont="1" applyBorder="1" applyAlignment="1">
      <alignment horizontal="center"/>
    </xf>
    <xf numFmtId="0" fontId="0" fillId="0" borderId="0" xfId="0" applyAlignment="1">
      <alignment horizontal="center"/>
    </xf>
    <xf numFmtId="44" fontId="0" fillId="0" borderId="1" xfId="0" applyNumberFormat="1" applyBorder="1" applyAlignment="1">
      <alignment horizontal="center"/>
    </xf>
    <xf numFmtId="0" fontId="0" fillId="0" borderId="1" xfId="0" applyBorder="1" applyAlignment="1">
      <alignment horizontal="center" vertical="center"/>
    </xf>
    <xf numFmtId="44" fontId="0" fillId="0" borderId="1" xfId="1" applyFont="1" applyBorder="1" applyAlignment="1">
      <alignment horizontal="center" vertical="center"/>
    </xf>
    <xf numFmtId="10" fontId="0" fillId="0" borderId="1" xfId="2" applyNumberFormat="1" applyFont="1" applyBorder="1" applyAlignment="1">
      <alignment horizontal="center" vertical="center"/>
    </xf>
    <xf numFmtId="44" fontId="0" fillId="0" borderId="1" xfId="0" applyNumberFormat="1" applyBorder="1" applyAlignment="1">
      <alignment horizontal="center" vertical="center"/>
    </xf>
    <xf numFmtId="10" fontId="0" fillId="0" borderId="1" xfId="0" applyNumberFormat="1" applyBorder="1" applyAlignment="1">
      <alignment horizontal="center" vertical="center"/>
    </xf>
    <xf numFmtId="2" fontId="0" fillId="0" borderId="1" xfId="2" applyNumberFormat="1" applyFont="1" applyBorder="1" applyAlignment="1">
      <alignment horizontal="center" vertical="center"/>
    </xf>
    <xf numFmtId="2" fontId="0" fillId="0" borderId="2" xfId="2" applyNumberFormat="1" applyFont="1" applyBorder="1" applyAlignment="1">
      <alignment horizontal="center" vertical="center"/>
    </xf>
    <xf numFmtId="2" fontId="0" fillId="0" borderId="1" xfId="0" applyNumberFormat="1" applyBorder="1" applyAlignment="1">
      <alignment horizontal="center" vertical="center"/>
    </xf>
    <xf numFmtId="0" fontId="0" fillId="2" borderId="1" xfId="0" applyFill="1" applyBorder="1" applyAlignment="1">
      <alignment horizontal="center" vertical="center"/>
    </xf>
    <xf numFmtId="2" fontId="0" fillId="2" borderId="1" xfId="0" applyNumberFormat="1" applyFill="1" applyBorder="1" applyAlignment="1">
      <alignment horizontal="center" vertical="center"/>
    </xf>
    <xf numFmtId="0" fontId="1" fillId="0" borderId="0" xfId="0" applyFont="1" applyAlignment="1">
      <alignment horizontal="center" vertical="center"/>
    </xf>
    <xf numFmtId="44" fontId="0" fillId="0" borderId="3" xfId="0" applyNumberFormat="1" applyBorder="1"/>
    <xf numFmtId="0" fontId="0" fillId="0" borderId="4" xfId="0" applyBorder="1"/>
    <xf numFmtId="44" fontId="0" fillId="0" borderId="5" xfId="0" applyNumberFormat="1" applyBorder="1"/>
    <xf numFmtId="44" fontId="0" fillId="0" borderId="6" xfId="0" applyNumberFormat="1" applyBorder="1"/>
    <xf numFmtId="0" fontId="5" fillId="0" borderId="0" xfId="0" applyFont="1" applyAlignment="1">
      <alignment vertical="center"/>
    </xf>
    <xf numFmtId="8" fontId="0" fillId="0" borderId="1" xfId="0" applyNumberFormat="1" applyBorder="1"/>
    <xf numFmtId="2" fontId="0" fillId="0" borderId="0" xfId="0" applyNumberFormat="1"/>
    <xf numFmtId="0" fontId="0" fillId="2" borderId="1" xfId="0" applyFill="1" applyBorder="1"/>
    <xf numFmtId="2" fontId="0" fillId="2" borderId="1" xfId="0" applyNumberFormat="1" applyFill="1" applyBorder="1"/>
    <xf numFmtId="0" fontId="5" fillId="0" borderId="0" xfId="0" applyFont="1"/>
    <xf numFmtId="10" fontId="0" fillId="2" borderId="1" xfId="2" applyNumberFormat="1" applyFont="1" applyFill="1" applyBorder="1"/>
    <xf numFmtId="0" fontId="0" fillId="3" borderId="1" xfId="0" applyFill="1" applyBorder="1"/>
    <xf numFmtId="44" fontId="0" fillId="3" borderId="1" xfId="0" applyNumberFormat="1" applyFill="1" applyBorder="1"/>
    <xf numFmtId="0" fontId="0" fillId="4" borderId="1" xfId="0" applyFill="1" applyBorder="1"/>
    <xf numFmtId="8" fontId="0" fillId="4" borderId="1" xfId="0" applyNumberFormat="1" applyFill="1" applyBorder="1"/>
    <xf numFmtId="0" fontId="2" fillId="0" borderId="0" xfId="0" applyFont="1"/>
    <xf numFmtId="0" fontId="4" fillId="0" borderId="0" xfId="0" applyFont="1" applyAlignment="1">
      <alignment horizontal="center" vertical="center"/>
    </xf>
    <xf numFmtId="10" fontId="0" fillId="2" borderId="1" xfId="0" applyNumberFormat="1" applyFill="1" applyBorder="1"/>
    <xf numFmtId="0" fontId="4" fillId="0" borderId="1" xfId="0" applyFont="1" applyBorder="1" applyAlignment="1">
      <alignment horizontal="center"/>
    </xf>
    <xf numFmtId="2" fontId="0" fillId="0" borderId="1" xfId="0" applyNumberFormat="1" applyBorder="1" applyAlignment="1">
      <alignment horizontal="center"/>
    </xf>
    <xf numFmtId="44" fontId="0" fillId="0" borderId="2" xfId="0" applyNumberFormat="1" applyBorder="1" applyAlignment="1">
      <alignment horizontal="center"/>
    </xf>
    <xf numFmtId="10" fontId="0" fillId="0" borderId="2" xfId="2" applyNumberFormat="1" applyFont="1" applyBorder="1" applyAlignment="1">
      <alignment horizontal="center"/>
    </xf>
    <xf numFmtId="2" fontId="0" fillId="0" borderId="2" xfId="0" applyNumberFormat="1" applyBorder="1" applyAlignment="1">
      <alignment horizontal="center"/>
    </xf>
    <xf numFmtId="0" fontId="4" fillId="0" borderId="1" xfId="0" applyFont="1" applyBorder="1" applyAlignment="1">
      <alignment horizontal="center" vertical="center"/>
    </xf>
    <xf numFmtId="0" fontId="7" fillId="0" borderId="0" xfId="0" applyFont="1" applyAlignment="1">
      <alignment vertical="center"/>
    </xf>
    <xf numFmtId="0" fontId="0" fillId="0" borderId="7" xfId="0" applyBorder="1" applyAlignment="1">
      <alignment horizontal="center"/>
    </xf>
    <xf numFmtId="0" fontId="0" fillId="0" borderId="8" xfId="0" applyFill="1" applyBorder="1" applyAlignment="1">
      <alignment horizontal="left" vertical="center"/>
    </xf>
    <xf numFmtId="0" fontId="0" fillId="0" borderId="0" xfId="0" applyAlignment="1">
      <alignment horizontal="left"/>
    </xf>
    <xf numFmtId="44" fontId="0" fillId="0" borderId="3" xfId="1" applyFont="1" applyBorder="1"/>
    <xf numFmtId="1" fontId="0" fillId="0" borderId="0" xfId="0" applyNumberFormat="1"/>
    <xf numFmtId="164" fontId="0" fillId="0" borderId="0" xfId="2" applyNumberFormat="1" applyFont="1"/>
    <xf numFmtId="0" fontId="8" fillId="0" borderId="0" xfId="0" applyFont="1"/>
    <xf numFmtId="0" fontId="8" fillId="2" borderId="1" xfId="0" applyFont="1" applyFill="1" applyBorder="1"/>
    <xf numFmtId="0" fontId="0" fillId="2" borderId="1" xfId="0" applyFont="1" applyFill="1" applyBorder="1"/>
    <xf numFmtId="0" fontId="9" fillId="0" borderId="0" xfId="0" applyFont="1"/>
    <xf numFmtId="0" fontId="4" fillId="0" borderId="0" xfId="0" applyFont="1" applyAlignment="1">
      <alignment horizontal="left" vertical="center" wrapText="1"/>
    </xf>
    <xf numFmtId="0" fontId="4" fillId="0" borderId="0" xfId="0" applyFont="1" applyAlignment="1">
      <alignment horizontal="left" vertical="center"/>
    </xf>
  </cellXfs>
  <cellStyles count="3">
    <cellStyle name="Currency" xfId="1" builtinId="4"/>
    <cellStyle name="Normal" xfId="0" builtinId="0"/>
    <cellStyle name="Percent" xfId="2" builtinId="5"/>
  </cellStyles>
  <dxfs count="0"/>
  <tableStyles count="0" defaultTableStyle="TableStyleMedium2" defaultPivotStyle="PivotStyleLight16"/>
  <colors>
    <mruColors>
      <color rgb="FFD3FF00"/>
      <color rgb="FFED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Stock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'Question 3 Case 3'!$C$9:$IU$9</c:f>
              <c:numCache>
                <c:formatCode>0.00</c:formatCode>
                <c:ptCount val="253"/>
                <c:pt idx="0">
                  <c:v>50</c:v>
                </c:pt>
                <c:pt idx="1">
                  <c:v>50.048383251195126</c:v>
                </c:pt>
                <c:pt idx="2">
                  <c:v>50.153968485022851</c:v>
                </c:pt>
                <c:pt idx="3">
                  <c:v>50.10660521292133</c:v>
                </c:pt>
                <c:pt idx="4">
                  <c:v>50.082456021348278</c:v>
                </c:pt>
                <c:pt idx="5">
                  <c:v>50.041835199035404</c:v>
                </c:pt>
                <c:pt idx="6">
                  <c:v>49.988032942192255</c:v>
                </c:pt>
                <c:pt idx="7">
                  <c:v>49.982699875532042</c:v>
                </c:pt>
                <c:pt idx="8">
                  <c:v>49.881243733796794</c:v>
                </c:pt>
                <c:pt idx="9">
                  <c:v>49.855547609257655</c:v>
                </c:pt>
                <c:pt idx="10">
                  <c:v>49.879787291381561</c:v>
                </c:pt>
                <c:pt idx="11">
                  <c:v>49.944873437394563</c:v>
                </c:pt>
                <c:pt idx="12">
                  <c:v>49.888781010238951</c:v>
                </c:pt>
                <c:pt idx="13">
                  <c:v>49.806634403643223</c:v>
                </c:pt>
                <c:pt idx="14">
                  <c:v>49.751996621868123</c:v>
                </c:pt>
                <c:pt idx="15">
                  <c:v>49.820865597271158</c:v>
                </c:pt>
                <c:pt idx="16">
                  <c:v>49.75814880584165</c:v>
                </c:pt>
                <c:pt idx="17">
                  <c:v>49.640238902213071</c:v>
                </c:pt>
                <c:pt idx="18">
                  <c:v>49.701548866317573</c:v>
                </c:pt>
                <c:pt idx="19">
                  <c:v>49.691599531669453</c:v>
                </c:pt>
                <c:pt idx="20">
                  <c:v>49.751863196035821</c:v>
                </c:pt>
                <c:pt idx="21">
                  <c:v>49.701137775035434</c:v>
                </c:pt>
                <c:pt idx="22">
                  <c:v>49.626324846072556</c:v>
                </c:pt>
                <c:pt idx="23">
                  <c:v>49.677094250881709</c:v>
                </c:pt>
                <c:pt idx="24">
                  <c:v>49.763607701119135</c:v>
                </c:pt>
                <c:pt idx="25">
                  <c:v>49.724911375879792</c:v>
                </c:pt>
                <c:pt idx="26">
                  <c:v>49.72720458566809</c:v>
                </c:pt>
                <c:pt idx="27">
                  <c:v>49.749560479063341</c:v>
                </c:pt>
                <c:pt idx="28">
                  <c:v>49.85003997769391</c:v>
                </c:pt>
                <c:pt idx="29">
                  <c:v>49.82153633488803</c:v>
                </c:pt>
                <c:pt idx="30">
                  <c:v>49.829525315192086</c:v>
                </c:pt>
                <c:pt idx="31">
                  <c:v>49.911925352160026</c:v>
                </c:pt>
                <c:pt idx="32">
                  <c:v>49.852907712561937</c:v>
                </c:pt>
                <c:pt idx="33">
                  <c:v>50.013426739797787</c:v>
                </c:pt>
                <c:pt idx="34">
                  <c:v>50.152290863987467</c:v>
                </c:pt>
                <c:pt idx="35">
                  <c:v>50.118384366688169</c:v>
                </c:pt>
                <c:pt idx="36">
                  <c:v>50.139148560621123</c:v>
                </c:pt>
                <c:pt idx="37">
                  <c:v>50.199843026524924</c:v>
                </c:pt>
                <c:pt idx="38">
                  <c:v>50.240192225580415</c:v>
                </c:pt>
                <c:pt idx="39">
                  <c:v>50.366568583494988</c:v>
                </c:pt>
                <c:pt idx="40">
                  <c:v>50.522760394800379</c:v>
                </c:pt>
                <c:pt idx="41">
                  <c:v>50.479904118044253</c:v>
                </c:pt>
                <c:pt idx="42">
                  <c:v>50.484518966279111</c:v>
                </c:pt>
                <c:pt idx="43">
                  <c:v>50.490336325627084</c:v>
                </c:pt>
                <c:pt idx="44">
                  <c:v>50.581839772976736</c:v>
                </c:pt>
                <c:pt idx="45">
                  <c:v>50.655778141869234</c:v>
                </c:pt>
                <c:pt idx="46">
                  <c:v>50.487063799574408</c:v>
                </c:pt>
                <c:pt idx="47">
                  <c:v>50.505225059855213</c:v>
                </c:pt>
                <c:pt idx="48">
                  <c:v>50.454435111443189</c:v>
                </c:pt>
                <c:pt idx="49">
                  <c:v>50.402247812772401</c:v>
                </c:pt>
                <c:pt idx="50">
                  <c:v>50.423552582948432</c:v>
                </c:pt>
                <c:pt idx="51">
                  <c:v>50.472997590236417</c:v>
                </c:pt>
                <c:pt idx="52">
                  <c:v>50.527393938734782</c:v>
                </c:pt>
                <c:pt idx="53">
                  <c:v>50.651371176638435</c:v>
                </c:pt>
                <c:pt idx="54">
                  <c:v>50.603871763669041</c:v>
                </c:pt>
                <c:pt idx="55">
                  <c:v>50.566453286276939</c:v>
                </c:pt>
                <c:pt idx="56">
                  <c:v>50.688002043077219</c:v>
                </c:pt>
                <c:pt idx="57">
                  <c:v>50.667871952290533</c:v>
                </c:pt>
                <c:pt idx="58">
                  <c:v>50.737981179221208</c:v>
                </c:pt>
                <c:pt idx="59">
                  <c:v>50.781946268016682</c:v>
                </c:pt>
                <c:pt idx="60">
                  <c:v>50.809693228089301</c:v>
                </c:pt>
                <c:pt idx="61">
                  <c:v>50.75090005394113</c:v>
                </c:pt>
                <c:pt idx="62">
                  <c:v>50.67239123476979</c:v>
                </c:pt>
                <c:pt idx="63">
                  <c:v>50.657499353156354</c:v>
                </c:pt>
                <c:pt idx="64">
                  <c:v>50.579821865679271</c:v>
                </c:pt>
                <c:pt idx="65">
                  <c:v>50.474790863641061</c:v>
                </c:pt>
                <c:pt idx="66">
                  <c:v>50.552453631552787</c:v>
                </c:pt>
                <c:pt idx="67">
                  <c:v>50.464515162794378</c:v>
                </c:pt>
                <c:pt idx="68">
                  <c:v>50.503397997467367</c:v>
                </c:pt>
                <c:pt idx="69">
                  <c:v>50.501918329304438</c:v>
                </c:pt>
                <c:pt idx="70">
                  <c:v>50.502229869002065</c:v>
                </c:pt>
                <c:pt idx="71">
                  <c:v>50.505024860410643</c:v>
                </c:pt>
                <c:pt idx="72">
                  <c:v>50.488403880314529</c:v>
                </c:pt>
                <c:pt idx="73">
                  <c:v>50.509406073510007</c:v>
                </c:pt>
                <c:pt idx="74">
                  <c:v>50.518219305943539</c:v>
                </c:pt>
                <c:pt idx="75">
                  <c:v>50.575939945355586</c:v>
                </c:pt>
                <c:pt idx="76">
                  <c:v>50.581328334559203</c:v>
                </c:pt>
                <c:pt idx="77">
                  <c:v>50.563998143738836</c:v>
                </c:pt>
                <c:pt idx="78">
                  <c:v>50.520171584634674</c:v>
                </c:pt>
                <c:pt idx="79">
                  <c:v>50.491993069473978</c:v>
                </c:pt>
                <c:pt idx="80">
                  <c:v>50.461991052621961</c:v>
                </c:pt>
                <c:pt idx="81">
                  <c:v>50.482205066392545</c:v>
                </c:pt>
                <c:pt idx="82">
                  <c:v>50.392176669069521</c:v>
                </c:pt>
                <c:pt idx="83">
                  <c:v>50.425881093622905</c:v>
                </c:pt>
                <c:pt idx="84">
                  <c:v>50.424852325353314</c:v>
                </c:pt>
                <c:pt idx="85">
                  <c:v>50.335395213269365</c:v>
                </c:pt>
                <c:pt idx="86">
                  <c:v>50.380391713348708</c:v>
                </c:pt>
                <c:pt idx="87">
                  <c:v>50.400022656404332</c:v>
                </c:pt>
                <c:pt idx="88">
                  <c:v>50.36655766895403</c:v>
                </c:pt>
                <c:pt idx="89">
                  <c:v>50.419645112947684</c:v>
                </c:pt>
                <c:pt idx="90">
                  <c:v>50.439325549886881</c:v>
                </c:pt>
                <c:pt idx="91">
                  <c:v>50.324567127903656</c:v>
                </c:pt>
                <c:pt idx="92">
                  <c:v>50.432561421096061</c:v>
                </c:pt>
                <c:pt idx="93">
                  <c:v>50.443403265936283</c:v>
                </c:pt>
                <c:pt idx="94">
                  <c:v>50.404669739437203</c:v>
                </c:pt>
                <c:pt idx="95">
                  <c:v>50.552528364423011</c:v>
                </c:pt>
                <c:pt idx="96">
                  <c:v>50.657204917896891</c:v>
                </c:pt>
                <c:pt idx="97">
                  <c:v>50.583711764539615</c:v>
                </c:pt>
                <c:pt idx="98">
                  <c:v>50.643911629506</c:v>
                </c:pt>
                <c:pt idx="99">
                  <c:v>50.589720949861068</c:v>
                </c:pt>
                <c:pt idx="100">
                  <c:v>50.536206800000635</c:v>
                </c:pt>
                <c:pt idx="101">
                  <c:v>50.614094401773535</c:v>
                </c:pt>
                <c:pt idx="102">
                  <c:v>50.527824345829195</c:v>
                </c:pt>
                <c:pt idx="103">
                  <c:v>50.537937877674665</c:v>
                </c:pt>
                <c:pt idx="104">
                  <c:v>50.454711405879088</c:v>
                </c:pt>
                <c:pt idx="105">
                  <c:v>50.428473074240536</c:v>
                </c:pt>
                <c:pt idx="106">
                  <c:v>50.446904743921294</c:v>
                </c:pt>
                <c:pt idx="107">
                  <c:v>50.503581866421619</c:v>
                </c:pt>
                <c:pt idx="108">
                  <c:v>50.397079222157807</c:v>
                </c:pt>
                <c:pt idx="109">
                  <c:v>50.416463866358946</c:v>
                </c:pt>
                <c:pt idx="110">
                  <c:v>50.316389746300636</c:v>
                </c:pt>
                <c:pt idx="111">
                  <c:v>50.37813931980827</c:v>
                </c:pt>
                <c:pt idx="112">
                  <c:v>50.372855221218721</c:v>
                </c:pt>
                <c:pt idx="113">
                  <c:v>50.421196024155343</c:v>
                </c:pt>
                <c:pt idx="114">
                  <c:v>50.471616015053677</c:v>
                </c:pt>
                <c:pt idx="115">
                  <c:v>50.546659418090798</c:v>
                </c:pt>
                <c:pt idx="116">
                  <c:v>50.554524690492052</c:v>
                </c:pt>
                <c:pt idx="117">
                  <c:v>50.517469323777725</c:v>
                </c:pt>
                <c:pt idx="118">
                  <c:v>50.53552142263591</c:v>
                </c:pt>
                <c:pt idx="119">
                  <c:v>50.607941537995842</c:v>
                </c:pt>
                <c:pt idx="120">
                  <c:v>50.597750120763159</c:v>
                </c:pt>
                <c:pt idx="121">
                  <c:v>50.613438157816056</c:v>
                </c:pt>
                <c:pt idx="122">
                  <c:v>50.530719813081134</c:v>
                </c:pt>
                <c:pt idx="123">
                  <c:v>50.646249216109112</c:v>
                </c:pt>
                <c:pt idx="124">
                  <c:v>50.70345413588624</c:v>
                </c:pt>
                <c:pt idx="125">
                  <c:v>50.701005780130238</c:v>
                </c:pt>
                <c:pt idx="126">
                  <c:v>50.775243339283506</c:v>
                </c:pt>
                <c:pt idx="127">
                  <c:v>50.725180856854479</c:v>
                </c:pt>
                <c:pt idx="128">
                  <c:v>50.702532880858804</c:v>
                </c:pt>
                <c:pt idx="129">
                  <c:v>50.845251639696833</c:v>
                </c:pt>
                <c:pt idx="130">
                  <c:v>50.866153073873036</c:v>
                </c:pt>
                <c:pt idx="131">
                  <c:v>50.821588077323689</c:v>
                </c:pt>
                <c:pt idx="132">
                  <c:v>50.838795503295444</c:v>
                </c:pt>
                <c:pt idx="133">
                  <c:v>50.956853967578638</c:v>
                </c:pt>
                <c:pt idx="134">
                  <c:v>50.854329726504282</c:v>
                </c:pt>
                <c:pt idx="135">
                  <c:v>50.810106868003906</c:v>
                </c:pt>
                <c:pt idx="136">
                  <c:v>50.732405357894876</c:v>
                </c:pt>
                <c:pt idx="137">
                  <c:v>50.7130896527621</c:v>
                </c:pt>
                <c:pt idx="138">
                  <c:v>50.633303660197583</c:v>
                </c:pt>
                <c:pt idx="139">
                  <c:v>50.750370114213432</c:v>
                </c:pt>
                <c:pt idx="140">
                  <c:v>50.815599015862993</c:v>
                </c:pt>
                <c:pt idx="141">
                  <c:v>50.779526714982104</c:v>
                </c:pt>
                <c:pt idx="142">
                  <c:v>50.90716103135491</c:v>
                </c:pt>
                <c:pt idx="143">
                  <c:v>50.90126482827899</c:v>
                </c:pt>
                <c:pt idx="144">
                  <c:v>50.937428238397246</c:v>
                </c:pt>
                <c:pt idx="145">
                  <c:v>50.900294532168125</c:v>
                </c:pt>
                <c:pt idx="146">
                  <c:v>50.813553246053118</c:v>
                </c:pt>
                <c:pt idx="147">
                  <c:v>50.7781704966213</c:v>
                </c:pt>
                <c:pt idx="148">
                  <c:v>50.792808500915037</c:v>
                </c:pt>
                <c:pt idx="149">
                  <c:v>50.847080216087342</c:v>
                </c:pt>
                <c:pt idx="150">
                  <c:v>50.953369073784017</c:v>
                </c:pt>
                <c:pt idx="151">
                  <c:v>51.070760083442693</c:v>
                </c:pt>
                <c:pt idx="152">
                  <c:v>51.129807612683379</c:v>
                </c:pt>
                <c:pt idx="153">
                  <c:v>51.185560900811446</c:v>
                </c:pt>
                <c:pt idx="154">
                  <c:v>51.051369686578298</c:v>
                </c:pt>
                <c:pt idx="155">
                  <c:v>51.054680990566197</c:v>
                </c:pt>
                <c:pt idx="156">
                  <c:v>50.98659488490938</c:v>
                </c:pt>
                <c:pt idx="157">
                  <c:v>50.973334446280489</c:v>
                </c:pt>
                <c:pt idx="158">
                  <c:v>51.009590516839054</c:v>
                </c:pt>
                <c:pt idx="159">
                  <c:v>51.161564220647321</c:v>
                </c:pt>
                <c:pt idx="160">
                  <c:v>51.246484132621525</c:v>
                </c:pt>
                <c:pt idx="161">
                  <c:v>51.212508101066405</c:v>
                </c:pt>
                <c:pt idx="162">
                  <c:v>51.299320650582111</c:v>
                </c:pt>
                <c:pt idx="163">
                  <c:v>51.170490818482975</c:v>
                </c:pt>
                <c:pt idx="164">
                  <c:v>51.176992740038742</c:v>
                </c:pt>
                <c:pt idx="165">
                  <c:v>51.19240806888326</c:v>
                </c:pt>
                <c:pt idx="166">
                  <c:v>51.211016722627875</c:v>
                </c:pt>
                <c:pt idx="167">
                  <c:v>51.263376817169117</c:v>
                </c:pt>
                <c:pt idx="168">
                  <c:v>51.327297105017486</c:v>
                </c:pt>
                <c:pt idx="169">
                  <c:v>51.423780877697283</c:v>
                </c:pt>
                <c:pt idx="170">
                  <c:v>51.457703465204766</c:v>
                </c:pt>
                <c:pt idx="171">
                  <c:v>51.549428864796603</c:v>
                </c:pt>
                <c:pt idx="172">
                  <c:v>51.461738591912621</c:v>
                </c:pt>
                <c:pt idx="173">
                  <c:v>51.385407537187263</c:v>
                </c:pt>
                <c:pt idx="174">
                  <c:v>51.385542290781238</c:v>
                </c:pt>
                <c:pt idx="175">
                  <c:v>51.482484278864561</c:v>
                </c:pt>
                <c:pt idx="176">
                  <c:v>51.43160289590903</c:v>
                </c:pt>
                <c:pt idx="177">
                  <c:v>51.338440084050966</c:v>
                </c:pt>
                <c:pt idx="178">
                  <c:v>51.389247035697032</c:v>
                </c:pt>
                <c:pt idx="179">
                  <c:v>51.521633437205836</c:v>
                </c:pt>
                <c:pt idx="180">
                  <c:v>51.466588244540482</c:v>
                </c:pt>
                <c:pt idx="181">
                  <c:v>51.419018930613902</c:v>
                </c:pt>
                <c:pt idx="182">
                  <c:v>51.390819515159464</c:v>
                </c:pt>
                <c:pt idx="183">
                  <c:v>51.411293333439602</c:v>
                </c:pt>
                <c:pt idx="184">
                  <c:v>51.395662036314391</c:v>
                </c:pt>
                <c:pt idx="185">
                  <c:v>51.423262846707665</c:v>
                </c:pt>
                <c:pt idx="186">
                  <c:v>51.526726391967124</c:v>
                </c:pt>
                <c:pt idx="187">
                  <c:v>51.438997878875</c:v>
                </c:pt>
                <c:pt idx="188">
                  <c:v>51.425436818715653</c:v>
                </c:pt>
                <c:pt idx="189">
                  <c:v>51.438337192911213</c:v>
                </c:pt>
                <c:pt idx="190">
                  <c:v>51.397156596020366</c:v>
                </c:pt>
                <c:pt idx="191">
                  <c:v>51.361324455680958</c:v>
                </c:pt>
                <c:pt idx="192">
                  <c:v>51.333527205285918</c:v>
                </c:pt>
                <c:pt idx="193">
                  <c:v>51.339207405811294</c:v>
                </c:pt>
                <c:pt idx="194">
                  <c:v>51.365010301856337</c:v>
                </c:pt>
                <c:pt idx="195">
                  <c:v>51.436354295201411</c:v>
                </c:pt>
                <c:pt idx="196">
                  <c:v>51.356875960426862</c:v>
                </c:pt>
                <c:pt idx="197">
                  <c:v>51.397202070333279</c:v>
                </c:pt>
                <c:pt idx="198">
                  <c:v>51.298911554307963</c:v>
                </c:pt>
                <c:pt idx="199">
                  <c:v>51.167993449188579</c:v>
                </c:pt>
                <c:pt idx="200">
                  <c:v>51.194584539909002</c:v>
                </c:pt>
                <c:pt idx="201">
                  <c:v>51.241028495774437</c:v>
                </c:pt>
                <c:pt idx="202">
                  <c:v>51.189201995778831</c:v>
                </c:pt>
                <c:pt idx="203">
                  <c:v>51.230437916771251</c:v>
                </c:pt>
                <c:pt idx="204">
                  <c:v>51.32642710422963</c:v>
                </c:pt>
                <c:pt idx="205">
                  <c:v>51.37930785827686</c:v>
                </c:pt>
                <c:pt idx="206">
                  <c:v>51.424464864260628</c:v>
                </c:pt>
                <c:pt idx="207">
                  <c:v>51.409315484070355</c:v>
                </c:pt>
                <c:pt idx="208">
                  <c:v>51.387313923557848</c:v>
                </c:pt>
                <c:pt idx="209">
                  <c:v>51.467448013882219</c:v>
                </c:pt>
                <c:pt idx="210">
                  <c:v>51.462936093368356</c:v>
                </c:pt>
                <c:pt idx="211">
                  <c:v>51.301877623226183</c:v>
                </c:pt>
                <c:pt idx="212">
                  <c:v>51.35862816192089</c:v>
                </c:pt>
                <c:pt idx="213">
                  <c:v>51.447742981192114</c:v>
                </c:pt>
                <c:pt idx="214">
                  <c:v>51.507984566583239</c:v>
                </c:pt>
                <c:pt idx="215">
                  <c:v>51.521648340763768</c:v>
                </c:pt>
                <c:pt idx="216">
                  <c:v>51.600769223949371</c:v>
                </c:pt>
                <c:pt idx="217">
                  <c:v>51.524749518345118</c:v>
                </c:pt>
                <c:pt idx="218">
                  <c:v>51.490531043037961</c:v>
                </c:pt>
                <c:pt idx="219">
                  <c:v>51.405400551903405</c:v>
                </c:pt>
                <c:pt idx="220">
                  <c:v>51.48131952914958</c:v>
                </c:pt>
                <c:pt idx="221">
                  <c:v>51.479217634246517</c:v>
                </c:pt>
                <c:pt idx="222">
                  <c:v>51.419495127576603</c:v>
                </c:pt>
                <c:pt idx="223">
                  <c:v>51.425265486862571</c:v>
                </c:pt>
                <c:pt idx="224">
                  <c:v>51.459668300378972</c:v>
                </c:pt>
                <c:pt idx="225">
                  <c:v>51.451170006201004</c:v>
                </c:pt>
                <c:pt idx="226">
                  <c:v>51.387883059675289</c:v>
                </c:pt>
                <c:pt idx="227">
                  <c:v>51.256250210724147</c:v>
                </c:pt>
                <c:pt idx="228">
                  <c:v>51.350584485647587</c:v>
                </c:pt>
                <c:pt idx="229">
                  <c:v>51.353460915533297</c:v>
                </c:pt>
                <c:pt idx="230">
                  <c:v>51.358697212080031</c:v>
                </c:pt>
                <c:pt idx="231">
                  <c:v>51.376308648532358</c:v>
                </c:pt>
                <c:pt idx="232">
                  <c:v>51.340556912806761</c:v>
                </c:pt>
                <c:pt idx="233">
                  <c:v>51.365699248782875</c:v>
                </c:pt>
                <c:pt idx="234">
                  <c:v>51.365560202504696</c:v>
                </c:pt>
                <c:pt idx="235">
                  <c:v>51.331413245557798</c:v>
                </c:pt>
                <c:pt idx="236">
                  <c:v>51.351583304554133</c:v>
                </c:pt>
                <c:pt idx="237">
                  <c:v>51.415600017854928</c:v>
                </c:pt>
                <c:pt idx="238">
                  <c:v>51.355709343811867</c:v>
                </c:pt>
                <c:pt idx="239">
                  <c:v>51.370841047566934</c:v>
                </c:pt>
                <c:pt idx="240">
                  <c:v>51.430949199409277</c:v>
                </c:pt>
                <c:pt idx="241">
                  <c:v>51.462693086145165</c:v>
                </c:pt>
                <c:pt idx="242">
                  <c:v>51.38785440489189</c:v>
                </c:pt>
                <c:pt idx="243">
                  <c:v>51.448387736474508</c:v>
                </c:pt>
                <c:pt idx="244">
                  <c:v>51.493488983141845</c:v>
                </c:pt>
                <c:pt idx="245">
                  <c:v>51.565883872742944</c:v>
                </c:pt>
                <c:pt idx="246">
                  <c:v>51.70905567844531</c:v>
                </c:pt>
                <c:pt idx="247">
                  <c:v>51.690708700672587</c:v>
                </c:pt>
                <c:pt idx="248">
                  <c:v>51.668131847613409</c:v>
                </c:pt>
                <c:pt idx="249">
                  <c:v>51.816045990730771</c:v>
                </c:pt>
                <c:pt idx="250">
                  <c:v>51.903468635659081</c:v>
                </c:pt>
                <c:pt idx="251">
                  <c:v>51.853941070684158</c:v>
                </c:pt>
                <c:pt idx="252">
                  <c:v>51.779910660703038</c:v>
                </c:pt>
              </c:numCache>
            </c:numRef>
          </c:val>
          <c:smooth val="0"/>
          <c:extLst>
            <c:ext xmlns:c16="http://schemas.microsoft.com/office/drawing/2014/chart" uri="{C3380CC4-5D6E-409C-BE32-E72D297353CC}">
              <c16:uniqueId val="{00000000-EBAA-9D40-9CC8-AEF3796FF6A9}"/>
            </c:ext>
          </c:extLst>
        </c:ser>
        <c:dLbls>
          <c:showLegendKey val="0"/>
          <c:showVal val="0"/>
          <c:showCatName val="0"/>
          <c:showSerName val="0"/>
          <c:showPercent val="0"/>
          <c:showBubbleSize val="0"/>
        </c:dLbls>
        <c:smooth val="0"/>
        <c:axId val="1839077759"/>
        <c:axId val="1838488015"/>
      </c:lineChart>
      <c:catAx>
        <c:axId val="1839077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8488015"/>
        <c:crosses val="autoZero"/>
        <c:auto val="1"/>
        <c:lblAlgn val="ctr"/>
        <c:lblOffset val="100"/>
        <c:noMultiLvlLbl val="0"/>
      </c:catAx>
      <c:valAx>
        <c:axId val="18384880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9077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10</xdr:col>
      <xdr:colOff>12700</xdr:colOff>
      <xdr:row>26</xdr:row>
      <xdr:rowOff>127000</xdr:rowOff>
    </xdr:from>
    <xdr:to>
      <xdr:col>11</xdr:col>
      <xdr:colOff>444500</xdr:colOff>
      <xdr:row>28</xdr:row>
      <xdr:rowOff>0</xdr:rowOff>
    </xdr:to>
    <xdr:pic>
      <xdr:nvPicPr>
        <xdr:cNvPr id="2" name="Picture 1">
          <a:extLst>
            <a:ext uri="{FF2B5EF4-FFF2-40B4-BE49-F238E27FC236}">
              <a16:creationId xmlns:a16="http://schemas.microsoft.com/office/drawing/2014/main" id="{63022408-F98F-C641-9080-AF10F6F631F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56700" y="5410200"/>
          <a:ext cx="1270000" cy="29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12700</xdr:colOff>
      <xdr:row>32</xdr:row>
      <xdr:rowOff>127000</xdr:rowOff>
    </xdr:from>
    <xdr:to>
      <xdr:col>11</xdr:col>
      <xdr:colOff>266700</xdr:colOff>
      <xdr:row>34</xdr:row>
      <xdr:rowOff>0</xdr:rowOff>
    </xdr:to>
    <xdr:pic>
      <xdr:nvPicPr>
        <xdr:cNvPr id="4" name="Picture 3">
          <a:extLst>
            <a:ext uri="{FF2B5EF4-FFF2-40B4-BE49-F238E27FC236}">
              <a16:creationId xmlns:a16="http://schemas.microsoft.com/office/drawing/2014/main" id="{A803E706-6DFC-DF48-8F56-B7CE7A8B0C47}"/>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09100" y="6654800"/>
          <a:ext cx="10922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584200</xdr:colOff>
      <xdr:row>41</xdr:row>
      <xdr:rowOff>76200</xdr:rowOff>
    </xdr:from>
    <xdr:to>
      <xdr:col>9</xdr:col>
      <xdr:colOff>762000</xdr:colOff>
      <xdr:row>44</xdr:row>
      <xdr:rowOff>0</xdr:rowOff>
    </xdr:to>
    <xdr:pic>
      <xdr:nvPicPr>
        <xdr:cNvPr id="5" name="Picture 4">
          <a:extLst>
            <a:ext uri="{FF2B5EF4-FFF2-40B4-BE49-F238E27FC236}">
              <a16:creationId xmlns:a16="http://schemas.microsoft.com/office/drawing/2014/main" id="{288330D1-3920-6B43-8587-B6F59CF958BD}"/>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667500" y="8432800"/>
          <a:ext cx="355600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12700</xdr:colOff>
      <xdr:row>0</xdr:row>
      <xdr:rowOff>165100</xdr:rowOff>
    </xdr:from>
    <xdr:to>
      <xdr:col>6</xdr:col>
      <xdr:colOff>482600</xdr:colOff>
      <xdr:row>3</xdr:row>
      <xdr:rowOff>30874</xdr:rowOff>
    </xdr:to>
    <xdr:pic>
      <xdr:nvPicPr>
        <xdr:cNvPr id="6" name="Picture 5">
          <a:extLst>
            <a:ext uri="{FF2B5EF4-FFF2-40B4-BE49-F238E27FC236}">
              <a16:creationId xmlns:a16="http://schemas.microsoft.com/office/drawing/2014/main" id="{4D831F0B-0B90-874B-A4C3-99D90564BA0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3400" y="165100"/>
          <a:ext cx="2120900" cy="47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800100</xdr:colOff>
      <xdr:row>0</xdr:row>
      <xdr:rowOff>190500</xdr:rowOff>
    </xdr:from>
    <xdr:to>
      <xdr:col>13</xdr:col>
      <xdr:colOff>719138</xdr:colOff>
      <xdr:row>3</xdr:row>
      <xdr:rowOff>50800</xdr:rowOff>
    </xdr:to>
    <xdr:pic>
      <xdr:nvPicPr>
        <xdr:cNvPr id="7" name="Picture 6">
          <a:extLst>
            <a:ext uri="{FF2B5EF4-FFF2-40B4-BE49-F238E27FC236}">
              <a16:creationId xmlns:a16="http://schemas.microsoft.com/office/drawing/2014/main" id="{001B2A09-A88F-6A40-809F-D9FCF8A53B7E}"/>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511800" y="190500"/>
          <a:ext cx="5697538" cy="46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412750</xdr:colOff>
      <xdr:row>12</xdr:row>
      <xdr:rowOff>6350</xdr:rowOff>
    </xdr:from>
    <xdr:to>
      <xdr:col>13</xdr:col>
      <xdr:colOff>63500</xdr:colOff>
      <xdr:row>31</xdr:row>
      <xdr:rowOff>139700</xdr:rowOff>
    </xdr:to>
    <xdr:graphicFrame macro="">
      <xdr:nvGraphicFramePr>
        <xdr:cNvPr id="3" name="Chart 2">
          <a:extLst>
            <a:ext uri="{FF2B5EF4-FFF2-40B4-BE49-F238E27FC236}">
              <a16:creationId xmlns:a16="http://schemas.microsoft.com/office/drawing/2014/main" id="{C62304CE-ADA5-A64F-B01E-56438179A4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xdr:row>
      <xdr:rowOff>127000</xdr:rowOff>
    </xdr:from>
    <xdr:to>
      <xdr:col>3</xdr:col>
      <xdr:colOff>609600</xdr:colOff>
      <xdr:row>4</xdr:row>
      <xdr:rowOff>76200</xdr:rowOff>
    </xdr:to>
    <xdr:sp macro="[0]!sim" textlink="">
      <xdr:nvSpPr>
        <xdr:cNvPr id="2" name="Oval 1">
          <a:extLst>
            <a:ext uri="{FF2B5EF4-FFF2-40B4-BE49-F238E27FC236}">
              <a16:creationId xmlns:a16="http://schemas.microsoft.com/office/drawing/2014/main" id="{ED97B3BE-5CAC-4144-8224-7246C6CCC6F0}"/>
            </a:ext>
          </a:extLst>
        </xdr:cNvPr>
        <xdr:cNvSpPr/>
      </xdr:nvSpPr>
      <xdr:spPr>
        <a:xfrm>
          <a:off x="2463800" y="330200"/>
          <a:ext cx="609600" cy="5588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70E9F-A4D9-C74E-8190-DC266C636B44}">
  <sheetPr codeName="Sheet1"/>
  <dimension ref="A1:P63"/>
  <sheetViews>
    <sheetView topLeftCell="A30" workbookViewId="0">
      <selection activeCell="M3" sqref="M3"/>
    </sheetView>
  </sheetViews>
  <sheetFormatPr baseColWidth="10" defaultRowHeight="16" x14ac:dyDescent="0.2"/>
  <cols>
    <col min="1" max="1" width="18.83203125" customWidth="1"/>
    <col min="2" max="4" width="11.5" bestFit="1" customWidth="1"/>
    <col min="5" max="5" width="15.5" bestFit="1" customWidth="1"/>
    <col min="6" max="6" width="11" bestFit="1" customWidth="1"/>
    <col min="7" max="7" width="16" bestFit="1" customWidth="1"/>
    <col min="8" max="8" width="17.33203125" bestFit="1" customWidth="1"/>
    <col min="9" max="9" width="11" bestFit="1" customWidth="1"/>
    <col min="10" max="10" width="13.33203125" customWidth="1"/>
    <col min="11" max="15" width="11" bestFit="1" customWidth="1"/>
    <col min="16" max="16" width="11.5" bestFit="1" customWidth="1"/>
  </cols>
  <sheetData>
    <row r="1" spans="1:15" x14ac:dyDescent="0.2">
      <c r="A1" s="2" t="s">
        <v>0</v>
      </c>
      <c r="B1" s="2">
        <v>0.25</v>
      </c>
      <c r="C1" s="2">
        <v>0.5</v>
      </c>
      <c r="D1" s="2">
        <v>0.75</v>
      </c>
      <c r="E1" s="2">
        <v>1</v>
      </c>
      <c r="F1" s="2">
        <v>1.25</v>
      </c>
      <c r="G1" s="2">
        <v>1.5</v>
      </c>
      <c r="H1" s="2">
        <v>1.75</v>
      </c>
      <c r="I1" s="2">
        <v>2</v>
      </c>
      <c r="J1" s="2">
        <v>2.25</v>
      </c>
      <c r="K1" s="2">
        <v>2.5</v>
      </c>
      <c r="L1" s="2">
        <v>2.75</v>
      </c>
      <c r="M1" s="2">
        <v>3</v>
      </c>
      <c r="N1" s="2">
        <v>3.25</v>
      </c>
      <c r="O1" s="2">
        <v>3.5</v>
      </c>
    </row>
    <row r="2" spans="1:15" x14ac:dyDescent="0.2">
      <c r="A2" s="2" t="s">
        <v>5</v>
      </c>
      <c r="B2" s="10">
        <v>100</v>
      </c>
      <c r="C2" s="10">
        <v>100</v>
      </c>
      <c r="D2" s="10">
        <v>200</v>
      </c>
      <c r="E2" s="10">
        <v>200</v>
      </c>
      <c r="F2" s="10">
        <v>300</v>
      </c>
      <c r="G2" s="10">
        <v>300</v>
      </c>
      <c r="H2" s="10">
        <v>400</v>
      </c>
      <c r="I2" s="10">
        <v>400</v>
      </c>
      <c r="J2" s="10">
        <v>500</v>
      </c>
      <c r="K2" s="10">
        <v>500</v>
      </c>
      <c r="L2" s="10">
        <v>1000</v>
      </c>
      <c r="M2" s="10">
        <v>1000</v>
      </c>
      <c r="N2" s="10">
        <v>5000</v>
      </c>
      <c r="O2" s="10">
        <v>10000</v>
      </c>
    </row>
    <row r="4" spans="1:15" x14ac:dyDescent="0.2">
      <c r="A4" s="34" t="s">
        <v>1</v>
      </c>
    </row>
    <row r="5" spans="1:15" x14ac:dyDescent="0.2">
      <c r="A5" s="5" t="s">
        <v>2</v>
      </c>
      <c r="B5" s="6">
        <v>2.75E-2</v>
      </c>
    </row>
    <row r="6" spans="1:15" x14ac:dyDescent="0.2">
      <c r="A6" s="5" t="s">
        <v>3</v>
      </c>
      <c r="B6" s="8">
        <f>B2/(1+$B$5/4)^(B1*4)</f>
        <v>99.317194289261337</v>
      </c>
      <c r="C6" s="8">
        <f t="shared" ref="C6:O6" si="0">C2/(1+$B$5/4)^(C1*4)</f>
        <v>98.639050814908842</v>
      </c>
      <c r="D6" s="8">
        <f t="shared" si="0"/>
        <v>195.93107548585249</v>
      </c>
      <c r="E6" s="8">
        <f t="shared" si="0"/>
        <v>194.59324691332338</v>
      </c>
      <c r="F6" s="8">
        <f t="shared" si="0"/>
        <v>289.89682966603112</v>
      </c>
      <c r="G6" s="8">
        <f t="shared" si="0"/>
        <v>287.91739755782112</v>
      </c>
      <c r="H6" s="8">
        <f t="shared" si="0"/>
        <v>381.26864150011488</v>
      </c>
      <c r="I6" s="8">
        <f t="shared" si="0"/>
        <v>378.66531744269639</v>
      </c>
      <c r="J6" s="8">
        <f t="shared" si="0"/>
        <v>470.09971128826368</v>
      </c>
      <c r="K6" s="8">
        <f t="shared" si="0"/>
        <v>466.88984361342148</v>
      </c>
      <c r="L6" s="8">
        <f t="shared" si="0"/>
        <v>927.4037861967405</v>
      </c>
      <c r="M6" s="8">
        <f t="shared" si="0"/>
        <v>921.07142018298237</v>
      </c>
      <c r="N6" s="8">
        <f t="shared" si="0"/>
        <v>4573.9114596299569</v>
      </c>
      <c r="O6" s="8">
        <f t="shared" si="0"/>
        <v>9085.3610619589454</v>
      </c>
    </row>
    <row r="7" spans="1:15" x14ac:dyDescent="0.2">
      <c r="A7" s="7" t="s">
        <v>4</v>
      </c>
      <c r="B7" s="8">
        <f>SUM(B6:O6)</f>
        <v>18370.966036540318</v>
      </c>
      <c r="C7" s="9"/>
      <c r="D7" s="9"/>
      <c r="E7" s="9"/>
      <c r="F7" s="9"/>
      <c r="G7" s="9"/>
      <c r="H7" s="9"/>
      <c r="I7" s="9"/>
      <c r="J7" s="9"/>
      <c r="K7" s="9"/>
      <c r="L7" s="9"/>
      <c r="M7" s="9"/>
      <c r="N7" s="9"/>
      <c r="O7" s="9"/>
    </row>
    <row r="8" spans="1:15" x14ac:dyDescent="0.2">
      <c r="A8" s="7" t="s">
        <v>16</v>
      </c>
      <c r="B8" s="35">
        <f>NPV(B5/4,B2:O2)</f>
        <v>18370.966036540314</v>
      </c>
    </row>
    <row r="9" spans="1:15" x14ac:dyDescent="0.2">
      <c r="A9" s="34" t="s">
        <v>6</v>
      </c>
    </row>
    <row r="10" spans="1:15" x14ac:dyDescent="0.2">
      <c r="A10" s="2" t="s">
        <v>0</v>
      </c>
      <c r="B10" s="2" t="s">
        <v>5</v>
      </c>
      <c r="C10" s="19" t="s">
        <v>3</v>
      </c>
      <c r="D10" s="19" t="s">
        <v>7</v>
      </c>
      <c r="E10" s="19" t="s">
        <v>8</v>
      </c>
      <c r="F10" s="1"/>
      <c r="G10" s="1"/>
      <c r="H10" s="1"/>
      <c r="I10" s="1"/>
      <c r="J10" s="1"/>
    </row>
    <row r="11" spans="1:15" x14ac:dyDescent="0.2">
      <c r="A11" s="2">
        <v>0.25</v>
      </c>
      <c r="B11" s="10">
        <v>100</v>
      </c>
      <c r="C11" s="20">
        <f>B11/(1+$B$5/4)^(A11*4)</f>
        <v>99.317194289261337</v>
      </c>
      <c r="D11" s="21">
        <f>C11/$C$25</f>
        <v>5.6616796450747802E-3</v>
      </c>
      <c r="E11" s="24">
        <f>D11*A11</f>
        <v>1.4154199112686951E-3</v>
      </c>
      <c r="F11" s="1"/>
      <c r="G11" s="1"/>
      <c r="H11" s="1"/>
      <c r="I11" s="1"/>
      <c r="J11" s="1"/>
    </row>
    <row r="12" spans="1:15" x14ac:dyDescent="0.2">
      <c r="A12" s="2">
        <v>0.5</v>
      </c>
      <c r="B12" s="10">
        <v>100</v>
      </c>
      <c r="C12" s="20">
        <f t="shared" ref="C12:C24" si="1">B12/(1+$B$5/4)^(A12*4)</f>
        <v>98.639050814908842</v>
      </c>
      <c r="D12" s="21">
        <f t="shared" ref="D12:D24" si="2">C12/$C$25</f>
        <v>5.6230213731344814E-3</v>
      </c>
      <c r="E12" s="24">
        <f t="shared" ref="E12:E24" si="3">D12*A12</f>
        <v>2.8115106865672407E-3</v>
      </c>
      <c r="F12" s="1"/>
      <c r="G12" s="1"/>
      <c r="H12" s="1"/>
      <c r="I12" s="1"/>
      <c r="J12" s="1"/>
    </row>
    <row r="13" spans="1:15" x14ac:dyDescent="0.2">
      <c r="A13" s="2">
        <v>0.75</v>
      </c>
      <c r="B13" s="10">
        <v>200</v>
      </c>
      <c r="C13" s="20">
        <f t="shared" si="1"/>
        <v>195.93107548585249</v>
      </c>
      <c r="D13" s="21">
        <f t="shared" si="2"/>
        <v>1.1169254124165327E-2</v>
      </c>
      <c r="E13" s="24">
        <f t="shared" si="3"/>
        <v>8.3769405931239955E-3</v>
      </c>
      <c r="F13" s="1"/>
      <c r="G13" s="1"/>
      <c r="H13" s="1"/>
      <c r="I13" s="1"/>
      <c r="J13" s="1"/>
    </row>
    <row r="14" spans="1:15" x14ac:dyDescent="0.2">
      <c r="A14" s="2">
        <v>1</v>
      </c>
      <c r="B14" s="10">
        <v>200</v>
      </c>
      <c r="C14" s="20">
        <f t="shared" si="1"/>
        <v>194.59324691332338</v>
      </c>
      <c r="D14" s="21">
        <f t="shared" si="2"/>
        <v>1.1092989819158612E-2</v>
      </c>
      <c r="E14" s="24">
        <f t="shared" si="3"/>
        <v>1.1092989819158612E-2</v>
      </c>
      <c r="F14" s="1"/>
      <c r="G14" s="1"/>
      <c r="H14" s="1"/>
      <c r="I14" s="1"/>
      <c r="J14" s="1"/>
    </row>
    <row r="15" spans="1:15" x14ac:dyDescent="0.2">
      <c r="A15" s="2">
        <v>1.25</v>
      </c>
      <c r="B15" s="10">
        <v>300</v>
      </c>
      <c r="C15" s="20">
        <f t="shared" si="1"/>
        <v>289.89682966603112</v>
      </c>
      <c r="D15" s="21">
        <f t="shared" si="2"/>
        <v>1.6525869376772608E-2</v>
      </c>
      <c r="E15" s="24">
        <f t="shared" si="3"/>
        <v>2.0657336720965761E-2</v>
      </c>
      <c r="F15" s="1"/>
      <c r="G15" s="1"/>
      <c r="H15" s="1"/>
      <c r="I15" s="1"/>
      <c r="J15" s="1"/>
    </row>
    <row r="16" spans="1:15" x14ac:dyDescent="0.2">
      <c r="A16" s="2">
        <v>1.5</v>
      </c>
      <c r="B16" s="10">
        <v>300</v>
      </c>
      <c r="C16" s="20">
        <f t="shared" si="1"/>
        <v>287.91739755782112</v>
      </c>
      <c r="D16" s="21">
        <f t="shared" si="2"/>
        <v>1.641302979691879E-2</v>
      </c>
      <c r="E16" s="24">
        <f t="shared" si="3"/>
        <v>2.4619544695378186E-2</v>
      </c>
      <c r="F16" s="1"/>
      <c r="G16" s="1"/>
      <c r="H16" s="1"/>
      <c r="I16" s="1"/>
      <c r="J16" s="1"/>
    </row>
    <row r="17" spans="1:16" x14ac:dyDescent="0.2">
      <c r="A17" s="2">
        <v>1.75</v>
      </c>
      <c r="B17" s="10">
        <v>400</v>
      </c>
      <c r="C17" s="20">
        <f t="shared" si="1"/>
        <v>381.26864150011488</v>
      </c>
      <c r="D17" s="21">
        <f t="shared" si="2"/>
        <v>2.1734614256213588E-2</v>
      </c>
      <c r="E17" s="24">
        <f t="shared" si="3"/>
        <v>3.8035574948373778E-2</v>
      </c>
      <c r="F17" s="1"/>
      <c r="G17" s="1"/>
      <c r="H17" s="1"/>
      <c r="I17" s="1"/>
      <c r="J17" s="1"/>
    </row>
    <row r="18" spans="1:16" x14ac:dyDescent="0.2">
      <c r="A18" s="2">
        <v>2</v>
      </c>
      <c r="B18" s="10">
        <v>400</v>
      </c>
      <c r="C18" s="20">
        <f t="shared" si="1"/>
        <v>378.66531744269639</v>
      </c>
      <c r="D18" s="21">
        <f t="shared" si="2"/>
        <v>2.1586209068865141E-2</v>
      </c>
      <c r="E18" s="24">
        <f t="shared" si="3"/>
        <v>4.3172418137730283E-2</v>
      </c>
      <c r="F18" s="1"/>
      <c r="G18" s="1"/>
      <c r="H18" s="1"/>
      <c r="I18" s="1"/>
      <c r="J18" s="1"/>
    </row>
    <row r="19" spans="1:16" x14ac:dyDescent="0.2">
      <c r="A19" s="2">
        <v>2.25</v>
      </c>
      <c r="B19" s="10">
        <v>500</v>
      </c>
      <c r="C19" s="20">
        <f t="shared" si="1"/>
        <v>470.09971128826368</v>
      </c>
      <c r="D19" s="21">
        <f t="shared" si="2"/>
        <v>2.6798521500763679E-2</v>
      </c>
      <c r="E19" s="24">
        <f t="shared" si="3"/>
        <v>6.0296673376718277E-2</v>
      </c>
      <c r="F19" s="1"/>
      <c r="G19" s="1"/>
      <c r="H19" s="1"/>
      <c r="I19" s="1"/>
      <c r="J19" s="1"/>
    </row>
    <row r="20" spans="1:16" x14ac:dyDescent="0.2">
      <c r="A20" s="2">
        <v>2.5</v>
      </c>
      <c r="B20" s="10">
        <v>500</v>
      </c>
      <c r="C20" s="20">
        <f t="shared" si="1"/>
        <v>466.88984361342148</v>
      </c>
      <c r="D20" s="21">
        <f t="shared" si="2"/>
        <v>2.6615539665562935E-2</v>
      </c>
      <c r="E20" s="24">
        <f t="shared" si="3"/>
        <v>6.6538849163907343E-2</v>
      </c>
      <c r="F20" s="1"/>
      <c r="G20" s="1"/>
      <c r="H20" s="1"/>
      <c r="I20" s="1"/>
      <c r="J20" s="1"/>
    </row>
    <row r="21" spans="1:16" x14ac:dyDescent="0.2">
      <c r="A21" s="2">
        <v>2.75</v>
      </c>
      <c r="B21" s="10">
        <v>1000</v>
      </c>
      <c r="C21" s="20">
        <f t="shared" si="1"/>
        <v>927.4037861967405</v>
      </c>
      <c r="D21" s="21">
        <f t="shared" si="2"/>
        <v>5.2867614481565121E-2</v>
      </c>
      <c r="E21" s="24">
        <f t="shared" si="3"/>
        <v>0.14538593982430409</v>
      </c>
      <c r="F21" s="1"/>
      <c r="G21" s="1"/>
      <c r="H21" s="1"/>
      <c r="I21" s="1"/>
      <c r="J21" s="1"/>
    </row>
    <row r="22" spans="1:16" x14ac:dyDescent="0.2">
      <c r="A22" s="2">
        <v>3</v>
      </c>
      <c r="B22" s="10">
        <v>100</v>
      </c>
      <c r="C22" s="20">
        <f t="shared" si="1"/>
        <v>92.107142018298234</v>
      </c>
      <c r="D22" s="21">
        <f t="shared" si="2"/>
        <v>5.2506631390753676E-3</v>
      </c>
      <c r="E22" s="24">
        <f t="shared" si="3"/>
        <v>1.5751989417226102E-2</v>
      </c>
      <c r="F22" s="1"/>
      <c r="G22" s="1"/>
      <c r="H22" s="1"/>
      <c r="I22" s="1"/>
      <c r="J22" s="1"/>
    </row>
    <row r="23" spans="1:16" x14ac:dyDescent="0.2">
      <c r="A23" s="2">
        <v>3.25</v>
      </c>
      <c r="B23" s="10">
        <v>5000</v>
      </c>
      <c r="C23" s="20">
        <f t="shared" si="1"/>
        <v>4573.9114596299569</v>
      </c>
      <c r="D23" s="21">
        <f t="shared" si="2"/>
        <v>0.26074056556550562</v>
      </c>
      <c r="E23" s="24">
        <f t="shared" si="3"/>
        <v>0.8474068380878933</v>
      </c>
      <c r="F23" s="1"/>
      <c r="G23" s="1"/>
      <c r="H23" s="1"/>
      <c r="I23" s="1"/>
      <c r="J23" s="1"/>
    </row>
    <row r="24" spans="1:16" x14ac:dyDescent="0.2">
      <c r="A24" s="2">
        <v>3.5</v>
      </c>
      <c r="B24" s="10">
        <v>10000</v>
      </c>
      <c r="C24" s="20">
        <f t="shared" si="1"/>
        <v>9085.3610619589454</v>
      </c>
      <c r="D24" s="21">
        <f t="shared" si="2"/>
        <v>0.51792042818722406</v>
      </c>
      <c r="E24" s="25">
        <f t="shared" si="3"/>
        <v>1.8127214986552842</v>
      </c>
      <c r="F24" s="1"/>
      <c r="G24" s="1"/>
      <c r="H24" s="1"/>
      <c r="I24" s="1"/>
      <c r="J24" s="1"/>
    </row>
    <row r="25" spans="1:16" x14ac:dyDescent="0.2">
      <c r="A25" s="1"/>
      <c r="B25" s="1"/>
      <c r="C25" s="22">
        <f>SUM(C11:C24)</f>
        <v>17542.001758375634</v>
      </c>
      <c r="D25" s="23">
        <f>SUM(D11:D24)</f>
        <v>1</v>
      </c>
      <c r="E25" s="27" t="s">
        <v>9</v>
      </c>
      <c r="F25" s="28">
        <f>SUM(E11:E24)</f>
        <v>3.0982835240378996</v>
      </c>
      <c r="G25" s="1"/>
      <c r="H25" s="1"/>
      <c r="I25" s="1"/>
      <c r="J25" s="1"/>
    </row>
    <row r="26" spans="1:16" x14ac:dyDescent="0.2">
      <c r="E26" s="27" t="s">
        <v>11</v>
      </c>
      <c r="F26" s="28">
        <f>F25/(1+$B$5/4)</f>
        <v>3.0771282672008935</v>
      </c>
      <c r="G26" s="1"/>
      <c r="H26" s="1"/>
      <c r="I26" s="1"/>
      <c r="J26" s="1"/>
    </row>
    <row r="27" spans="1:16" ht="17" thickBot="1" x14ac:dyDescent="0.25">
      <c r="E27" s="1"/>
      <c r="F27" s="1"/>
      <c r="G27" s="1"/>
      <c r="H27" s="1"/>
      <c r="I27" s="1"/>
      <c r="J27" s="1"/>
    </row>
    <row r="28" spans="1:16" x14ac:dyDescent="0.2">
      <c r="A28" s="34" t="s">
        <v>10</v>
      </c>
      <c r="E28" s="1"/>
      <c r="F28" s="1"/>
      <c r="G28" s="1"/>
      <c r="H28" s="1"/>
      <c r="I28" s="1"/>
      <c r="J28" s="1"/>
      <c r="K28" s="29" t="s">
        <v>12</v>
      </c>
      <c r="P28" s="31" t="s">
        <v>4</v>
      </c>
    </row>
    <row r="29" spans="1:16" x14ac:dyDescent="0.2">
      <c r="A29" s="5" t="s">
        <v>13</v>
      </c>
      <c r="B29" s="12">
        <f>B2/(1+($B$5-$B$31)/4)^(B1*4)</f>
        <v>99.378881987577628</v>
      </c>
      <c r="C29" s="12">
        <f t="shared" ref="C29:O29" si="4">C2/(1+($B$5-$B$31)/4)^(C1*4)</f>
        <v>98.761621851008826</v>
      </c>
      <c r="D29" s="12">
        <f t="shared" si="4"/>
        <v>196.29639125666347</v>
      </c>
      <c r="E29" s="12">
        <f t="shared" si="4"/>
        <v>195.07715901283328</v>
      </c>
      <c r="F29" s="12">
        <f t="shared" si="4"/>
        <v>290.79824946012411</v>
      </c>
      <c r="G29" s="12">
        <f t="shared" si="4"/>
        <v>288.99204915291836</v>
      </c>
      <c r="H29" s="12">
        <f t="shared" si="4"/>
        <v>382.92942330821478</v>
      </c>
      <c r="I29" s="12">
        <f t="shared" si="4"/>
        <v>380.55097968518237</v>
      </c>
      <c r="J29" s="12">
        <f t="shared" si="4"/>
        <v>472.73413625488496</v>
      </c>
      <c r="K29" s="12">
        <f t="shared" si="4"/>
        <v>469.79789938373654</v>
      </c>
      <c r="L29" s="12">
        <f t="shared" si="4"/>
        <v>933.75980001736446</v>
      </c>
      <c r="M29" s="12">
        <f t="shared" si="4"/>
        <v>927.96004970669765</v>
      </c>
      <c r="N29" s="12">
        <f t="shared" si="4"/>
        <v>4610.9816134494286</v>
      </c>
      <c r="O29" s="30">
        <f t="shared" si="4"/>
        <v>9164.6839521976217</v>
      </c>
      <c r="P29" s="32">
        <f>SUM(B29:O29)</f>
        <v>18512.702206724258</v>
      </c>
    </row>
    <row r="30" spans="1:16" ht="17" thickBot="1" x14ac:dyDescent="0.25">
      <c r="A30" s="5" t="s">
        <v>14</v>
      </c>
      <c r="B30" s="12">
        <f>B2/(1+($B$5+$B$31)/4)^(B1*4)</f>
        <v>99.25558312655086</v>
      </c>
      <c r="C30" s="12">
        <f t="shared" ref="C30:O30" si="5">C2/(1+($B$5+$B$31)/4)^(C1*4)</f>
        <v>98.516707817916469</v>
      </c>
      <c r="D30" s="12">
        <f t="shared" si="5"/>
        <v>195.56666564350664</v>
      </c>
      <c r="E30" s="12">
        <f t="shared" si="5"/>
        <v>194.11083438561451</v>
      </c>
      <c r="F30" s="12">
        <f t="shared" si="5"/>
        <v>288.99876087188267</v>
      </c>
      <c r="G30" s="12">
        <f t="shared" si="5"/>
        <v>286.84740533189336</v>
      </c>
      <c r="H30" s="12">
        <f t="shared" si="5"/>
        <v>379.61608646073563</v>
      </c>
      <c r="I30" s="12">
        <f t="shared" si="5"/>
        <v>376.79016025879463</v>
      </c>
      <c r="J30" s="12">
        <f t="shared" si="5"/>
        <v>467.48158841041521</v>
      </c>
      <c r="K30" s="12">
        <f t="shared" si="5"/>
        <v>464.00157658601995</v>
      </c>
      <c r="L30" s="12">
        <f t="shared" si="5"/>
        <v>921.09494111368713</v>
      </c>
      <c r="M30" s="12">
        <f t="shared" si="5"/>
        <v>914.23815495155043</v>
      </c>
      <c r="N30" s="12">
        <f t="shared" si="5"/>
        <v>4537.1620593129055</v>
      </c>
      <c r="O30" s="30">
        <f t="shared" si="5"/>
        <v>9006.7733187352951</v>
      </c>
      <c r="P30" s="33">
        <f>SUM(B30:O30)</f>
        <v>18230.45384300677</v>
      </c>
    </row>
    <row r="31" spans="1:16" x14ac:dyDescent="0.2">
      <c r="A31" s="5" t="s">
        <v>15</v>
      </c>
      <c r="B31" s="6">
        <v>2.5000000000000001E-3</v>
      </c>
    </row>
    <row r="32" spans="1:16" x14ac:dyDescent="0.2">
      <c r="A32" s="37" t="s">
        <v>17</v>
      </c>
      <c r="B32" s="38">
        <f>(P29-P30)/(2*B8*B31)</f>
        <v>3.072765614569088</v>
      </c>
    </row>
    <row r="34" spans="1:12" x14ac:dyDescent="0.2">
      <c r="A34" s="34" t="s">
        <v>18</v>
      </c>
      <c r="L34" s="29"/>
    </row>
    <row r="35" spans="1:12" x14ac:dyDescent="0.2">
      <c r="A35" s="37" t="s">
        <v>19</v>
      </c>
      <c r="B35" s="38">
        <f xml:space="preserve"> (P30+P29+(-2*B7))/(B7*(B31^2))</f>
        <v>10.660096136106807</v>
      </c>
    </row>
    <row r="37" spans="1:12" x14ac:dyDescent="0.2">
      <c r="A37" s="39" t="s">
        <v>20</v>
      </c>
    </row>
    <row r="38" spans="1:12" x14ac:dyDescent="0.2">
      <c r="A38" s="5" t="s">
        <v>15</v>
      </c>
      <c r="B38" s="6">
        <v>-2.5000000000000001E-2</v>
      </c>
    </row>
    <row r="39" spans="1:12" x14ac:dyDescent="0.2">
      <c r="A39" s="37" t="s">
        <v>21</v>
      </c>
      <c r="B39" s="40">
        <f>-B32*B38+(0.5*B35*B38^2)</f>
        <v>8.0150420406760584E-2</v>
      </c>
    </row>
    <row r="40" spans="1:12" x14ac:dyDescent="0.2">
      <c r="A40" s="41" t="s">
        <v>22</v>
      </c>
      <c r="B40" s="42">
        <f>B7+(B7*B39)</f>
        <v>19843.406687647344</v>
      </c>
    </row>
    <row r="41" spans="1:12" x14ac:dyDescent="0.2">
      <c r="A41" s="34" t="s">
        <v>24</v>
      </c>
    </row>
    <row r="42" spans="1:12" x14ac:dyDescent="0.2">
      <c r="A42" s="43" t="s">
        <v>23</v>
      </c>
      <c r="B42" s="44">
        <f>NPV((B5+B38)/4,B2:O2)</f>
        <v>19845.364645910264</v>
      </c>
    </row>
    <row r="43" spans="1:12" x14ac:dyDescent="0.2">
      <c r="A43" t="s">
        <v>25</v>
      </c>
    </row>
    <row r="45" spans="1:12" x14ac:dyDescent="0.2">
      <c r="A45" s="45" t="s">
        <v>26</v>
      </c>
    </row>
    <row r="46" spans="1:12" x14ac:dyDescent="0.2">
      <c r="A46" s="2" t="s">
        <v>0</v>
      </c>
      <c r="B46" s="19" t="s">
        <v>27</v>
      </c>
      <c r="C46" s="19" t="s">
        <v>28</v>
      </c>
      <c r="D46" s="2" t="s">
        <v>5</v>
      </c>
      <c r="E46" s="19" t="s">
        <v>3</v>
      </c>
      <c r="F46" s="19" t="s">
        <v>7</v>
      </c>
      <c r="G46" s="19" t="s">
        <v>8</v>
      </c>
      <c r="H46" s="19" t="s">
        <v>34</v>
      </c>
    </row>
    <row r="47" spans="1:12" x14ac:dyDescent="0.2">
      <c r="A47" s="2">
        <v>0.25</v>
      </c>
      <c r="B47" s="5">
        <f>A47*4</f>
        <v>1</v>
      </c>
      <c r="C47" s="5">
        <f>B47^2</f>
        <v>1</v>
      </c>
      <c r="D47" s="10">
        <v>100</v>
      </c>
      <c r="E47" s="20">
        <f t="shared" ref="E47:E60" si="6">D47/(1+$B$5/4)^(A47*4)</f>
        <v>99.317194289261337</v>
      </c>
      <c r="F47" s="21">
        <f>E47/$C$25</f>
        <v>5.6616796450747802E-3</v>
      </c>
      <c r="G47" s="24">
        <f t="shared" ref="G47:G60" si="7">F47*A47</f>
        <v>1.4154199112686951E-3</v>
      </c>
      <c r="H47" s="26">
        <f>F47*(B47+C47)</f>
        <v>1.132335929014956E-2</v>
      </c>
    </row>
    <row r="48" spans="1:12" x14ac:dyDescent="0.2">
      <c r="A48" s="2">
        <v>0.5</v>
      </c>
      <c r="B48" s="5">
        <f t="shared" ref="B48:B60" si="8">A48*4</f>
        <v>2</v>
      </c>
      <c r="C48" s="5">
        <f t="shared" ref="C48:C60" si="9">B48^2</f>
        <v>4</v>
      </c>
      <c r="D48" s="10">
        <v>100</v>
      </c>
      <c r="E48" s="20">
        <f t="shared" si="6"/>
        <v>98.639050814908842</v>
      </c>
      <c r="F48" s="21">
        <f t="shared" ref="F48:F60" si="10">E48/$C$25</f>
        <v>5.6230213731344814E-3</v>
      </c>
      <c r="G48" s="24">
        <f t="shared" si="7"/>
        <v>2.8115106865672407E-3</v>
      </c>
      <c r="H48" s="26">
        <f t="shared" ref="H48:H60" si="11">F48*(B48+C48)</f>
        <v>3.373812823880689E-2</v>
      </c>
    </row>
    <row r="49" spans="1:8" x14ac:dyDescent="0.2">
      <c r="A49" s="2">
        <v>0.75</v>
      </c>
      <c r="B49" s="5">
        <f t="shared" si="8"/>
        <v>3</v>
      </c>
      <c r="C49" s="5">
        <f t="shared" si="9"/>
        <v>9</v>
      </c>
      <c r="D49" s="10">
        <v>200</v>
      </c>
      <c r="E49" s="20">
        <f t="shared" si="6"/>
        <v>195.93107548585249</v>
      </c>
      <c r="F49" s="21">
        <f t="shared" si="10"/>
        <v>1.1169254124165327E-2</v>
      </c>
      <c r="G49" s="24">
        <f t="shared" si="7"/>
        <v>8.3769405931239955E-3</v>
      </c>
      <c r="H49" s="26">
        <f t="shared" si="11"/>
        <v>0.13403104948998393</v>
      </c>
    </row>
    <row r="50" spans="1:8" x14ac:dyDescent="0.2">
      <c r="A50" s="2">
        <v>1</v>
      </c>
      <c r="B50" s="5">
        <f t="shared" si="8"/>
        <v>4</v>
      </c>
      <c r="C50" s="5">
        <f t="shared" si="9"/>
        <v>16</v>
      </c>
      <c r="D50" s="10">
        <v>200</v>
      </c>
      <c r="E50" s="20">
        <f t="shared" si="6"/>
        <v>194.59324691332338</v>
      </c>
      <c r="F50" s="21">
        <f t="shared" si="10"/>
        <v>1.1092989819158612E-2</v>
      </c>
      <c r="G50" s="24">
        <f t="shared" si="7"/>
        <v>1.1092989819158612E-2</v>
      </c>
      <c r="H50" s="26">
        <f t="shared" si="11"/>
        <v>0.22185979638317224</v>
      </c>
    </row>
    <row r="51" spans="1:8" x14ac:dyDescent="0.2">
      <c r="A51" s="2">
        <v>1.25</v>
      </c>
      <c r="B51" s="5">
        <f t="shared" si="8"/>
        <v>5</v>
      </c>
      <c r="C51" s="5">
        <f t="shared" si="9"/>
        <v>25</v>
      </c>
      <c r="D51" s="10">
        <v>300</v>
      </c>
      <c r="E51" s="20">
        <f t="shared" si="6"/>
        <v>289.89682966603112</v>
      </c>
      <c r="F51" s="21">
        <f t="shared" si="10"/>
        <v>1.6525869376772608E-2</v>
      </c>
      <c r="G51" s="24">
        <f t="shared" si="7"/>
        <v>2.0657336720965761E-2</v>
      </c>
      <c r="H51" s="26">
        <f t="shared" si="11"/>
        <v>0.49577608130317824</v>
      </c>
    </row>
    <row r="52" spans="1:8" x14ac:dyDescent="0.2">
      <c r="A52" s="2">
        <v>1.5</v>
      </c>
      <c r="B52" s="5">
        <f t="shared" si="8"/>
        <v>6</v>
      </c>
      <c r="C52" s="5">
        <f t="shared" si="9"/>
        <v>36</v>
      </c>
      <c r="D52" s="10">
        <v>300</v>
      </c>
      <c r="E52" s="20">
        <f t="shared" si="6"/>
        <v>287.91739755782112</v>
      </c>
      <c r="F52" s="21">
        <f t="shared" si="10"/>
        <v>1.641302979691879E-2</v>
      </c>
      <c r="G52" s="24">
        <f t="shared" si="7"/>
        <v>2.4619544695378186E-2</v>
      </c>
      <c r="H52" s="26">
        <f t="shared" si="11"/>
        <v>0.68934725147058917</v>
      </c>
    </row>
    <row r="53" spans="1:8" x14ac:dyDescent="0.2">
      <c r="A53" s="2">
        <v>1.75</v>
      </c>
      <c r="B53" s="5">
        <f t="shared" si="8"/>
        <v>7</v>
      </c>
      <c r="C53" s="5">
        <f t="shared" si="9"/>
        <v>49</v>
      </c>
      <c r="D53" s="10">
        <v>400</v>
      </c>
      <c r="E53" s="20">
        <f t="shared" si="6"/>
        <v>381.26864150011488</v>
      </c>
      <c r="F53" s="21">
        <f t="shared" si="10"/>
        <v>2.1734614256213588E-2</v>
      </c>
      <c r="G53" s="24">
        <f t="shared" si="7"/>
        <v>3.8035574948373778E-2</v>
      </c>
      <c r="H53" s="26">
        <f t="shared" si="11"/>
        <v>1.2171383983479609</v>
      </c>
    </row>
    <row r="54" spans="1:8" x14ac:dyDescent="0.2">
      <c r="A54" s="2">
        <v>2</v>
      </c>
      <c r="B54" s="5">
        <f t="shared" si="8"/>
        <v>8</v>
      </c>
      <c r="C54" s="5">
        <f t="shared" si="9"/>
        <v>64</v>
      </c>
      <c r="D54" s="10">
        <v>400</v>
      </c>
      <c r="E54" s="20">
        <f t="shared" si="6"/>
        <v>378.66531744269639</v>
      </c>
      <c r="F54" s="21">
        <f t="shared" si="10"/>
        <v>2.1586209068865141E-2</v>
      </c>
      <c r="G54" s="24">
        <f t="shared" si="7"/>
        <v>4.3172418137730283E-2</v>
      </c>
      <c r="H54" s="26">
        <f t="shared" si="11"/>
        <v>1.5542070529582901</v>
      </c>
    </row>
    <row r="55" spans="1:8" x14ac:dyDescent="0.2">
      <c r="A55" s="2">
        <v>2.25</v>
      </c>
      <c r="B55" s="5">
        <f t="shared" si="8"/>
        <v>9</v>
      </c>
      <c r="C55" s="5">
        <f t="shared" si="9"/>
        <v>81</v>
      </c>
      <c r="D55" s="10">
        <v>500</v>
      </c>
      <c r="E55" s="20">
        <f t="shared" si="6"/>
        <v>470.09971128826368</v>
      </c>
      <c r="F55" s="21">
        <f t="shared" si="10"/>
        <v>2.6798521500763679E-2</v>
      </c>
      <c r="G55" s="24">
        <f t="shared" si="7"/>
        <v>6.0296673376718277E-2</v>
      </c>
      <c r="H55" s="26">
        <f t="shared" si="11"/>
        <v>2.4118669350687312</v>
      </c>
    </row>
    <row r="56" spans="1:8" x14ac:dyDescent="0.2">
      <c r="A56" s="2">
        <v>2.5</v>
      </c>
      <c r="B56" s="5">
        <f t="shared" si="8"/>
        <v>10</v>
      </c>
      <c r="C56" s="5">
        <f t="shared" si="9"/>
        <v>100</v>
      </c>
      <c r="D56" s="10">
        <v>500</v>
      </c>
      <c r="E56" s="20">
        <f t="shared" si="6"/>
        <v>466.88984361342148</v>
      </c>
      <c r="F56" s="21">
        <f t="shared" si="10"/>
        <v>2.6615539665562935E-2</v>
      </c>
      <c r="G56" s="24">
        <f t="shared" si="7"/>
        <v>6.6538849163907343E-2</v>
      </c>
      <c r="H56" s="26">
        <f t="shared" si="11"/>
        <v>2.9277093632119229</v>
      </c>
    </row>
    <row r="57" spans="1:8" x14ac:dyDescent="0.2">
      <c r="A57" s="2">
        <v>2.75</v>
      </c>
      <c r="B57" s="5">
        <f t="shared" si="8"/>
        <v>11</v>
      </c>
      <c r="C57" s="5">
        <f t="shared" si="9"/>
        <v>121</v>
      </c>
      <c r="D57" s="10">
        <v>1000</v>
      </c>
      <c r="E57" s="20">
        <f t="shared" si="6"/>
        <v>927.4037861967405</v>
      </c>
      <c r="F57" s="21">
        <f t="shared" si="10"/>
        <v>5.2867614481565121E-2</v>
      </c>
      <c r="G57" s="24">
        <f t="shared" si="7"/>
        <v>0.14538593982430409</v>
      </c>
      <c r="H57" s="26">
        <f t="shared" si="11"/>
        <v>6.9785251115665963</v>
      </c>
    </row>
    <row r="58" spans="1:8" x14ac:dyDescent="0.2">
      <c r="A58" s="2">
        <v>3</v>
      </c>
      <c r="B58" s="5">
        <f t="shared" si="8"/>
        <v>12</v>
      </c>
      <c r="C58" s="5">
        <f t="shared" si="9"/>
        <v>144</v>
      </c>
      <c r="D58" s="10">
        <v>100</v>
      </c>
      <c r="E58" s="20">
        <f t="shared" si="6"/>
        <v>92.107142018298234</v>
      </c>
      <c r="F58" s="21">
        <f t="shared" si="10"/>
        <v>5.2506631390753676E-3</v>
      </c>
      <c r="G58" s="24">
        <f t="shared" si="7"/>
        <v>1.5751989417226102E-2</v>
      </c>
      <c r="H58" s="26">
        <f t="shared" si="11"/>
        <v>0.81910344969575732</v>
      </c>
    </row>
    <row r="59" spans="1:8" x14ac:dyDescent="0.2">
      <c r="A59" s="2">
        <v>3.25</v>
      </c>
      <c r="B59" s="5">
        <f t="shared" si="8"/>
        <v>13</v>
      </c>
      <c r="C59" s="5">
        <f t="shared" si="9"/>
        <v>169</v>
      </c>
      <c r="D59" s="10">
        <v>5000</v>
      </c>
      <c r="E59" s="20">
        <f t="shared" si="6"/>
        <v>4573.9114596299569</v>
      </c>
      <c r="F59" s="21">
        <f t="shared" si="10"/>
        <v>0.26074056556550562</v>
      </c>
      <c r="G59" s="24">
        <f t="shared" si="7"/>
        <v>0.8474068380878933</v>
      </c>
      <c r="H59" s="26">
        <f t="shared" si="11"/>
        <v>47.454782932922022</v>
      </c>
    </row>
    <row r="60" spans="1:8" x14ac:dyDescent="0.2">
      <c r="A60" s="2">
        <v>3.5</v>
      </c>
      <c r="B60" s="5">
        <f t="shared" si="8"/>
        <v>14</v>
      </c>
      <c r="C60" s="5">
        <f t="shared" si="9"/>
        <v>196</v>
      </c>
      <c r="D60" s="10">
        <v>10000</v>
      </c>
      <c r="E60" s="20">
        <f t="shared" si="6"/>
        <v>9085.3610619589454</v>
      </c>
      <c r="F60" s="21">
        <f t="shared" si="10"/>
        <v>0.51792042818722406</v>
      </c>
      <c r="G60" s="25">
        <f t="shared" si="7"/>
        <v>1.8127214986552842</v>
      </c>
      <c r="H60" s="26">
        <f t="shared" si="11"/>
        <v>108.76328991931705</v>
      </c>
    </row>
    <row r="61" spans="1:8" x14ac:dyDescent="0.2">
      <c r="A61" s="1"/>
      <c r="D61" s="1"/>
      <c r="E61" s="22">
        <f>SUM(E47:E60)</f>
        <v>17542.001758375634</v>
      </c>
      <c r="F61" s="23">
        <f>SUM(F47:F60)</f>
        <v>1</v>
      </c>
      <c r="G61" s="27" t="s">
        <v>9</v>
      </c>
      <c r="H61" s="28">
        <f>SUM(G47:G60)</f>
        <v>3.0982835240378996</v>
      </c>
    </row>
    <row r="62" spans="1:8" x14ac:dyDescent="0.2">
      <c r="G62" s="27" t="s">
        <v>11</v>
      </c>
      <c r="H62" s="28">
        <f>H61/(1+$B$5/4)</f>
        <v>3.0771282672008935</v>
      </c>
    </row>
    <row r="63" spans="1:8" x14ac:dyDescent="0.2">
      <c r="G63" t="s">
        <v>19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391FB-085D-AA48-8FDB-7857983454EC}">
  <sheetPr codeName="Sheet2"/>
  <dimension ref="A1:U70"/>
  <sheetViews>
    <sheetView topLeftCell="G2" workbookViewId="0">
      <selection activeCell="R17" sqref="R17"/>
    </sheetView>
  </sheetViews>
  <sheetFormatPr baseColWidth="10" defaultRowHeight="16" x14ac:dyDescent="0.2"/>
  <cols>
    <col min="1" max="1" width="10.83203125" customWidth="1"/>
    <col min="5" max="5" width="16" bestFit="1" customWidth="1"/>
    <col min="9" max="9" width="13" bestFit="1" customWidth="1"/>
    <col min="11" max="12" width="16" bestFit="1" customWidth="1"/>
    <col min="15" max="15" width="14.6640625" customWidth="1"/>
    <col min="17" max="17" width="16.33203125" bestFit="1" customWidth="1"/>
    <col min="18" max="18" width="19.33203125" customWidth="1"/>
    <col min="19" max="19" width="16.5" customWidth="1"/>
    <col min="20" max="20" width="18.83203125" bestFit="1" customWidth="1"/>
    <col min="21" max="21" width="16.6640625" customWidth="1"/>
  </cols>
  <sheetData>
    <row r="1" spans="1:21" ht="60" customHeight="1" x14ac:dyDescent="0.2">
      <c r="A1" s="65" t="s">
        <v>40</v>
      </c>
      <c r="B1" s="65"/>
      <c r="C1" s="65"/>
      <c r="D1" s="65"/>
      <c r="E1" s="65"/>
      <c r="F1" s="65"/>
      <c r="G1" s="65"/>
      <c r="H1" s="65"/>
      <c r="I1" s="65"/>
      <c r="J1" s="65"/>
    </row>
    <row r="2" spans="1:21" x14ac:dyDescent="0.2">
      <c r="A2" s="66" t="s">
        <v>29</v>
      </c>
      <c r="B2" s="66"/>
      <c r="C2" s="66"/>
      <c r="D2" s="66"/>
      <c r="E2" s="66"/>
      <c r="F2" s="66"/>
      <c r="G2" s="66"/>
      <c r="I2" s="37" t="s">
        <v>2</v>
      </c>
    </row>
    <row r="3" spans="1:21" x14ac:dyDescent="0.2">
      <c r="A3" s="66" t="s">
        <v>30</v>
      </c>
      <c r="B3" s="66"/>
      <c r="C3" s="66"/>
      <c r="D3" s="66"/>
      <c r="E3" s="66"/>
      <c r="F3" s="66"/>
      <c r="G3" s="66"/>
      <c r="I3" s="47">
        <v>2.5000000000000001E-2</v>
      </c>
    </row>
    <row r="4" spans="1:21" x14ac:dyDescent="0.2">
      <c r="A4" s="66" t="s">
        <v>31</v>
      </c>
      <c r="B4" s="66"/>
      <c r="C4" s="66"/>
      <c r="D4" s="66"/>
      <c r="E4" s="66"/>
      <c r="F4" s="66"/>
      <c r="G4" s="66"/>
    </row>
    <row r="5" spans="1:21" x14ac:dyDescent="0.2">
      <c r="A5" s="66" t="s">
        <v>32</v>
      </c>
      <c r="B5" s="66"/>
      <c r="C5" s="66"/>
      <c r="D5" s="66"/>
      <c r="E5" s="66"/>
      <c r="F5" s="66"/>
      <c r="G5" s="66"/>
    </row>
    <row r="6" spans="1:21" ht="80" customHeight="1" x14ac:dyDescent="0.2">
      <c r="A6" s="65" t="s">
        <v>33</v>
      </c>
      <c r="B6" s="65"/>
      <c r="C6" s="65"/>
      <c r="D6" s="65"/>
      <c r="E6" s="65"/>
      <c r="F6" s="65"/>
      <c r="G6" s="65"/>
      <c r="H6" s="65"/>
      <c r="I6" s="65"/>
      <c r="J6" s="65"/>
    </row>
    <row r="7" spans="1:21" x14ac:dyDescent="0.2">
      <c r="A7" s="54" t="s">
        <v>35</v>
      </c>
      <c r="H7" t="s">
        <v>39</v>
      </c>
      <c r="N7" t="s">
        <v>45</v>
      </c>
      <c r="O7" t="s">
        <v>4</v>
      </c>
      <c r="P7" t="s">
        <v>50</v>
      </c>
      <c r="Q7" t="s">
        <v>51</v>
      </c>
      <c r="R7" t="s">
        <v>52</v>
      </c>
      <c r="S7" t="s">
        <v>54</v>
      </c>
      <c r="T7" t="s">
        <v>55</v>
      </c>
    </row>
    <row r="8" spans="1:21" x14ac:dyDescent="0.2">
      <c r="A8" s="48" t="s">
        <v>36</v>
      </c>
      <c r="B8" s="14" t="s">
        <v>37</v>
      </c>
      <c r="C8" s="14" t="s">
        <v>38</v>
      </c>
      <c r="D8" s="14" t="s">
        <v>7</v>
      </c>
      <c r="E8" s="14" t="s">
        <v>8</v>
      </c>
      <c r="F8" s="17"/>
      <c r="H8" s="53" t="s">
        <v>36</v>
      </c>
      <c r="I8" s="19" t="s">
        <v>37</v>
      </c>
      <c r="J8" s="19" t="s">
        <v>38</v>
      </c>
      <c r="K8" s="19" t="s">
        <v>7</v>
      </c>
      <c r="L8" s="19" t="s">
        <v>8</v>
      </c>
      <c r="N8" s="56" t="s">
        <v>49</v>
      </c>
      <c r="O8" s="11">
        <f>C13</f>
        <v>985.45728256514599</v>
      </c>
      <c r="P8" s="36">
        <f>F13</f>
        <v>1.9739073394035342</v>
      </c>
      <c r="Q8" s="59">
        <v>2878.4943606204424</v>
      </c>
      <c r="R8" s="11">
        <f>Q8*O8</f>
        <v>2836633.2304961188</v>
      </c>
      <c r="S8" s="60">
        <f>R8/$R$13</f>
        <v>8.2353893896567998E-2</v>
      </c>
      <c r="T8" s="36">
        <f>P8*S8</f>
        <v>0.1625589555908955</v>
      </c>
    </row>
    <row r="9" spans="1:21" x14ac:dyDescent="0.2">
      <c r="A9" s="14">
        <v>0.5</v>
      </c>
      <c r="B9" s="15">
        <f>1000*(1.75%/2)</f>
        <v>8.75</v>
      </c>
      <c r="C9" s="18">
        <f>B9/(1+$I$3/2)^(A9*2)</f>
        <v>8.6419753086419764</v>
      </c>
      <c r="D9" s="16">
        <f>C9/$C$13</f>
        <v>8.7695077823636437E-3</v>
      </c>
      <c r="E9" s="49">
        <f>D9*A9</f>
        <v>4.3847538911818218E-3</v>
      </c>
      <c r="F9" s="17"/>
      <c r="H9" s="19">
        <v>0.5</v>
      </c>
      <c r="I9" s="20">
        <f>1000*3.75%/2</f>
        <v>18.75</v>
      </c>
      <c r="J9" s="22">
        <f>I9/(1+$I$3/2)^(H9*2)</f>
        <v>18.518518518518519</v>
      </c>
      <c r="K9" s="21">
        <f t="shared" ref="K9:K40" si="0">J9/$J$69</f>
        <v>1.4665622043459829E-2</v>
      </c>
      <c r="L9" s="26">
        <f>K9*H9</f>
        <v>7.3328110217299146E-3</v>
      </c>
      <c r="N9" s="57" t="s">
        <v>48</v>
      </c>
      <c r="O9" s="11">
        <f>C28</f>
        <v>1007.009144430762</v>
      </c>
      <c r="P9" s="36">
        <f>F28</f>
        <v>4.7170262441351438</v>
      </c>
      <c r="Q9" s="59">
        <v>3640.5828044230811</v>
      </c>
      <c r="R9" s="11">
        <f t="shared" ref="R9:R11" si="1">Q9*O9</f>
        <v>3666100.1751114312</v>
      </c>
      <c r="S9" s="60">
        <f t="shared" ref="S9:S11" si="2">R9/$R$13</f>
        <v>0.10643519986632592</v>
      </c>
      <c r="T9" s="36">
        <f t="shared" ref="T9:T11" si="3">P9*S9</f>
        <v>0.50205763106922874</v>
      </c>
    </row>
    <row r="10" spans="1:21" x14ac:dyDescent="0.2">
      <c r="A10" s="14">
        <v>1</v>
      </c>
      <c r="B10" s="15">
        <f t="shared" ref="B10:B11" si="4">1000*(1.75%/2)</f>
        <v>8.75</v>
      </c>
      <c r="C10" s="18">
        <f t="shared" ref="C10:C12" si="5">B10/(1+$I$3/2)^(A10*2)</f>
        <v>8.5352842554488646</v>
      </c>
      <c r="D10" s="16">
        <f t="shared" ref="D10:D12" si="6">C10/$C$13</f>
        <v>8.6612422541863139E-3</v>
      </c>
      <c r="E10" s="49">
        <f t="shared" ref="E10:E12" si="7">D10*A10</f>
        <v>8.6612422541863139E-3</v>
      </c>
      <c r="F10" s="17"/>
      <c r="H10" s="19">
        <v>1</v>
      </c>
      <c r="I10" s="20">
        <f t="shared" ref="I10:I67" si="8">1000*3.75%/2</f>
        <v>18.75</v>
      </c>
      <c r="J10" s="22">
        <f t="shared" ref="J10:J68" si="9">I10/(1+$I$3/2)^(H10*2)</f>
        <v>18.289894833104711</v>
      </c>
      <c r="K10" s="21">
        <f t="shared" si="0"/>
        <v>1.4484564981194893E-2</v>
      </c>
      <c r="L10" s="26">
        <f t="shared" ref="L10:L68" si="10">K10*H10</f>
        <v>1.4484564981194893E-2</v>
      </c>
      <c r="N10" s="57" t="s">
        <v>46</v>
      </c>
      <c r="O10" s="11">
        <f>C53</f>
        <v>1043.9982903355642</v>
      </c>
      <c r="P10" s="36">
        <f>F53</f>
        <v>8.7467264452728255</v>
      </c>
      <c r="Q10" s="59">
        <v>4839.0747128621224</v>
      </c>
      <c r="R10" s="11">
        <f t="shared" si="1"/>
        <v>5051985.7270341171</v>
      </c>
      <c r="S10" s="60">
        <f t="shared" si="2"/>
        <v>0.14667059951856293</v>
      </c>
      <c r="T10" s="36">
        <f t="shared" si="3"/>
        <v>1.2828876115530341</v>
      </c>
    </row>
    <row r="11" spans="1:21" x14ac:dyDescent="0.2">
      <c r="A11" s="14">
        <v>1.5</v>
      </c>
      <c r="B11" s="15">
        <f t="shared" si="4"/>
        <v>8.75</v>
      </c>
      <c r="C11" s="18">
        <f t="shared" si="5"/>
        <v>8.429910375751966</v>
      </c>
      <c r="D11" s="16">
        <f t="shared" si="6"/>
        <v>8.5543133374679659E-3</v>
      </c>
      <c r="E11" s="49">
        <f t="shared" si="7"/>
        <v>1.283147000620195E-2</v>
      </c>
      <c r="F11" s="17"/>
      <c r="H11" s="19">
        <v>1.5</v>
      </c>
      <c r="I11" s="20">
        <f t="shared" si="8"/>
        <v>18.75</v>
      </c>
      <c r="J11" s="22">
        <f t="shared" si="9"/>
        <v>18.064093662325643</v>
      </c>
      <c r="K11" s="21">
        <f t="shared" si="0"/>
        <v>1.4305743191303601E-2</v>
      </c>
      <c r="L11" s="26">
        <f t="shared" si="10"/>
        <v>2.1458614786955401E-2</v>
      </c>
      <c r="N11" s="57" t="s">
        <v>47</v>
      </c>
      <c r="O11" s="11">
        <f>J69</f>
        <v>1262.7161987156828</v>
      </c>
      <c r="P11" s="36">
        <f>M69</f>
        <v>19.64139220725259</v>
      </c>
      <c r="Q11" s="59">
        <v>18127.362661854946</v>
      </c>
      <c r="R11" s="11">
        <f t="shared" si="1"/>
        <v>22889714.473118078</v>
      </c>
      <c r="S11" s="60">
        <f t="shared" si="2"/>
        <v>0.66454030671854325</v>
      </c>
      <c r="T11" s="36">
        <f t="shared" si="3"/>
        <v>13.052496801786841</v>
      </c>
    </row>
    <row r="12" spans="1:21" x14ac:dyDescent="0.2">
      <c r="A12" s="14">
        <v>2</v>
      </c>
      <c r="B12" s="15">
        <f>1000*(1.75%/2)+1000</f>
        <v>1008.75</v>
      </c>
      <c r="C12" s="50">
        <f t="shared" si="5"/>
        <v>959.85011262530315</v>
      </c>
      <c r="D12" s="51">
        <f t="shared" si="6"/>
        <v>0.97401493662598204</v>
      </c>
      <c r="E12" s="52">
        <f t="shared" si="7"/>
        <v>1.9480298732519641</v>
      </c>
      <c r="F12" s="17"/>
      <c r="H12" s="19">
        <v>2</v>
      </c>
      <c r="I12" s="20">
        <f t="shared" si="8"/>
        <v>18.75</v>
      </c>
      <c r="J12" s="22">
        <f t="shared" si="9"/>
        <v>17.841080160321621</v>
      </c>
      <c r="K12" s="21">
        <f t="shared" si="0"/>
        <v>1.4129129077830715E-2</v>
      </c>
      <c r="L12" s="26">
        <f t="shared" si="10"/>
        <v>2.825825815566143E-2</v>
      </c>
      <c r="N12" s="57"/>
    </row>
    <row r="13" spans="1:21" x14ac:dyDescent="0.2">
      <c r="A13" s="17"/>
      <c r="B13" s="17"/>
      <c r="C13" s="18">
        <f>SUM(C9:C12)</f>
        <v>985.45728256514599</v>
      </c>
      <c r="D13" s="16">
        <f>SUM(D9:D12)</f>
        <v>1</v>
      </c>
      <c r="E13" s="14" t="s">
        <v>9</v>
      </c>
      <c r="F13" s="49">
        <f>SUM(E9:E12)</f>
        <v>1.9739073394035342</v>
      </c>
      <c r="H13" s="19">
        <v>2.5</v>
      </c>
      <c r="I13" s="20">
        <f t="shared" si="8"/>
        <v>18.75</v>
      </c>
      <c r="J13" s="22">
        <f t="shared" si="9"/>
        <v>17.620819911428764</v>
      </c>
      <c r="K13" s="21">
        <f t="shared" si="0"/>
        <v>1.395469538551182E-2</v>
      </c>
      <c r="L13" s="26">
        <f t="shared" si="10"/>
        <v>3.488673846377955E-2</v>
      </c>
      <c r="Q13" t="s">
        <v>53</v>
      </c>
      <c r="R13" s="11">
        <f>SUM(R8:R11)</f>
        <v>34444433.60575974</v>
      </c>
      <c r="T13" t="s">
        <v>57</v>
      </c>
      <c r="U13" s="9">
        <f>50000000/((1+I3/2)^(15*2))</f>
        <v>34444433.605759747</v>
      </c>
    </row>
    <row r="14" spans="1:21" x14ac:dyDescent="0.2">
      <c r="A14" s="17"/>
      <c r="B14" s="17"/>
      <c r="C14" s="17"/>
      <c r="D14" s="17"/>
      <c r="E14" s="14" t="s">
        <v>11</v>
      </c>
      <c r="F14" s="49">
        <f>F13/(1+(I3/2))</f>
        <v>1.9495381129911451</v>
      </c>
      <c r="H14" s="19">
        <v>3</v>
      </c>
      <c r="I14" s="20">
        <f t="shared" si="8"/>
        <v>18.75</v>
      </c>
      <c r="J14" s="22">
        <f t="shared" si="9"/>
        <v>17.403278924867912</v>
      </c>
      <c r="K14" s="21">
        <f t="shared" si="0"/>
        <v>1.3782415195567227E-2</v>
      </c>
      <c r="L14" s="26">
        <f t="shared" si="10"/>
        <v>4.1347245586701678E-2</v>
      </c>
      <c r="Q14" t="s">
        <v>56</v>
      </c>
      <c r="R14" s="59">
        <f>SUM(T8:T11)</f>
        <v>15.000000999999999</v>
      </c>
      <c r="T14" t="s">
        <v>58</v>
      </c>
      <c r="U14">
        <v>15</v>
      </c>
    </row>
    <row r="15" spans="1:21" x14ac:dyDescent="0.2">
      <c r="H15" s="19">
        <v>3.5</v>
      </c>
      <c r="I15" s="20">
        <f t="shared" si="8"/>
        <v>18.75</v>
      </c>
      <c r="J15" s="22">
        <f t="shared" si="9"/>
        <v>17.188423629499177</v>
      </c>
      <c r="K15" s="21">
        <f t="shared" si="0"/>
        <v>1.361226192154788E-2</v>
      </c>
      <c r="L15" s="26">
        <f t="shared" si="10"/>
        <v>4.7642916725417581E-2</v>
      </c>
    </row>
    <row r="16" spans="1:21" x14ac:dyDescent="0.2">
      <c r="A16" t="s">
        <v>41</v>
      </c>
      <c r="H16" s="19">
        <v>4</v>
      </c>
      <c r="I16" s="20">
        <f t="shared" si="8"/>
        <v>18.75</v>
      </c>
      <c r="J16" s="22">
        <f t="shared" si="9"/>
        <v>16.976220868641157</v>
      </c>
      <c r="K16" s="21">
        <f t="shared" si="0"/>
        <v>1.3444209305232472E-2</v>
      </c>
      <c r="L16" s="26">
        <f t="shared" si="10"/>
        <v>5.3776837220929886E-2</v>
      </c>
    </row>
    <row r="17" spans="1:12" x14ac:dyDescent="0.2">
      <c r="A17" s="5" t="s">
        <v>42</v>
      </c>
      <c r="B17" s="5" t="s">
        <v>37</v>
      </c>
      <c r="C17" s="5" t="s">
        <v>38</v>
      </c>
      <c r="D17" s="5" t="s">
        <v>7</v>
      </c>
      <c r="E17" s="5" t="s">
        <v>43</v>
      </c>
      <c r="H17" s="19">
        <v>4.5</v>
      </c>
      <c r="I17" s="20">
        <f t="shared" si="8"/>
        <v>18.75</v>
      </c>
      <c r="J17" s="22">
        <f t="shared" si="9"/>
        <v>16.766637894954233</v>
      </c>
      <c r="K17" s="21">
        <f t="shared" si="0"/>
        <v>1.3278231412575283E-2</v>
      </c>
      <c r="L17" s="26">
        <f t="shared" si="10"/>
        <v>5.9752041356588771E-2</v>
      </c>
    </row>
    <row r="18" spans="1:12" x14ac:dyDescent="0.2">
      <c r="A18" s="5">
        <v>0.5</v>
      </c>
      <c r="B18" s="8">
        <f>1000*(2.65%/2)</f>
        <v>13.25</v>
      </c>
      <c r="C18" s="18">
        <f>B18/(1+$I$3/2)^(A18*2)</f>
        <v>13.086419753086421</v>
      </c>
      <c r="D18" s="13">
        <f>C18/$C$28</f>
        <v>1.2995333583076705E-2</v>
      </c>
      <c r="E18" s="5">
        <f>D18*A18</f>
        <v>6.4976667915383523E-3</v>
      </c>
      <c r="H18" s="19">
        <v>5</v>
      </c>
      <c r="I18" s="20">
        <f t="shared" si="8"/>
        <v>18.75</v>
      </c>
      <c r="J18" s="22">
        <f t="shared" si="9"/>
        <v>16.559642365386892</v>
      </c>
      <c r="K18" s="21">
        <f t="shared" si="0"/>
        <v>1.3114302629703979E-2</v>
      </c>
      <c r="L18" s="26">
        <f t="shared" si="10"/>
        <v>6.5571513148519903E-2</v>
      </c>
    </row>
    <row r="19" spans="1:12" x14ac:dyDescent="0.2">
      <c r="A19" s="5">
        <v>1</v>
      </c>
      <c r="B19" s="8">
        <f t="shared" ref="B19:B26" si="11">1000*(2.65%/2)</f>
        <v>13.25</v>
      </c>
      <c r="C19" s="18">
        <f t="shared" ref="C19:C27" si="12">B19/(1+$I$3/2)^(A19*2)</f>
        <v>12.924859015393995</v>
      </c>
      <c r="D19" s="13">
        <f t="shared" ref="D19:D27" si="13">C19/$C$28</f>
        <v>1.2834897366001682E-2</v>
      </c>
      <c r="E19" s="5">
        <f t="shared" ref="E19:E27" si="14">D19*A19</f>
        <v>1.2834897366001682E-2</v>
      </c>
      <c r="H19" s="19">
        <v>5.5</v>
      </c>
      <c r="I19" s="20">
        <f t="shared" si="8"/>
        <v>18.75</v>
      </c>
      <c r="J19" s="22">
        <f t="shared" si="9"/>
        <v>16.35520233618459</v>
      </c>
      <c r="K19" s="21">
        <f t="shared" si="0"/>
        <v>1.2952397658966898E-2</v>
      </c>
      <c r="L19" s="26">
        <f t="shared" si="10"/>
        <v>7.1238187124317939E-2</v>
      </c>
    </row>
    <row r="20" spans="1:12" x14ac:dyDescent="0.2">
      <c r="A20" s="5">
        <v>1.5</v>
      </c>
      <c r="B20" s="8">
        <f t="shared" si="11"/>
        <v>13.25</v>
      </c>
      <c r="C20" s="18">
        <f t="shared" si="12"/>
        <v>12.76529285471012</v>
      </c>
      <c r="D20" s="13">
        <f t="shared" si="13"/>
        <v>1.2676441842964625E-2</v>
      </c>
      <c r="E20" s="5">
        <f t="shared" si="14"/>
        <v>1.9014662764446938E-2</v>
      </c>
      <c r="H20" s="19">
        <v>6</v>
      </c>
      <c r="I20" s="20">
        <f t="shared" si="8"/>
        <v>18.75</v>
      </c>
      <c r="J20" s="22">
        <f t="shared" si="9"/>
        <v>16.153286257960087</v>
      </c>
      <c r="K20" s="21">
        <f t="shared" si="0"/>
        <v>1.2792491515029033E-2</v>
      </c>
      <c r="L20" s="26">
        <f t="shared" si="10"/>
        <v>7.675494909017419E-2</v>
      </c>
    </row>
    <row r="21" spans="1:12" x14ac:dyDescent="0.2">
      <c r="A21" s="5">
        <v>2</v>
      </c>
      <c r="B21" s="8">
        <f t="shared" si="11"/>
        <v>13.25</v>
      </c>
      <c r="C21" s="18">
        <f t="shared" si="12"/>
        <v>12.607696646627279</v>
      </c>
      <c r="D21" s="13">
        <f t="shared" si="13"/>
        <v>1.2519942560952716E-2</v>
      </c>
      <c r="E21" s="5">
        <f t="shared" si="14"/>
        <v>2.5039885121905432E-2</v>
      </c>
      <c r="H21" s="19">
        <v>6.5</v>
      </c>
      <c r="I21" s="20">
        <f t="shared" si="8"/>
        <v>18.75</v>
      </c>
      <c r="J21" s="22">
        <f t="shared" si="9"/>
        <v>15.95386297082478</v>
      </c>
      <c r="K21" s="21">
        <f t="shared" si="0"/>
        <v>1.2634559521016331E-2</v>
      </c>
      <c r="L21" s="26">
        <f t="shared" si="10"/>
        <v>8.212463688660615E-2</v>
      </c>
    </row>
    <row r="22" spans="1:12" x14ac:dyDescent="0.2">
      <c r="A22" s="5">
        <v>2.5</v>
      </c>
      <c r="B22" s="8">
        <f t="shared" si="11"/>
        <v>13.25</v>
      </c>
      <c r="C22" s="18">
        <f t="shared" si="12"/>
        <v>12.452046070742993</v>
      </c>
      <c r="D22" s="13">
        <f t="shared" si="13"/>
        <v>1.2365375368842191E-2</v>
      </c>
      <c r="E22" s="5">
        <f t="shared" si="14"/>
        <v>3.0913438422105477E-2</v>
      </c>
      <c r="H22" s="19">
        <v>7</v>
      </c>
      <c r="I22" s="20">
        <f t="shared" si="8"/>
        <v>18.75</v>
      </c>
      <c r="J22" s="22">
        <f t="shared" si="9"/>
        <v>15.756901699580027</v>
      </c>
      <c r="K22" s="21">
        <f t="shared" si="0"/>
        <v>1.2478577304707486E-2</v>
      </c>
      <c r="L22" s="26">
        <f t="shared" si="10"/>
        <v>8.7350041132952402E-2</v>
      </c>
    </row>
    <row r="23" spans="1:12" x14ac:dyDescent="0.2">
      <c r="A23" s="5">
        <v>3</v>
      </c>
      <c r="B23" s="8">
        <f t="shared" si="11"/>
        <v>13.25</v>
      </c>
      <c r="C23" s="18">
        <f t="shared" si="12"/>
        <v>12.298317106906659</v>
      </c>
      <c r="D23" s="13">
        <f t="shared" si="13"/>
        <v>1.2212716413671299E-2</v>
      </c>
      <c r="E23" s="5">
        <f t="shared" si="14"/>
        <v>3.6638149241013898E-2</v>
      </c>
      <c r="H23" s="19">
        <v>7.5</v>
      </c>
      <c r="I23" s="20">
        <f t="shared" si="8"/>
        <v>18.75</v>
      </c>
      <c r="J23" s="22">
        <f t="shared" si="9"/>
        <v>15.56237204896793</v>
      </c>
      <c r="K23" s="21">
        <f t="shared" si="0"/>
        <v>1.2324520794772828E-2</v>
      </c>
      <c r="L23" s="26">
        <f t="shared" si="10"/>
        <v>9.2433905960796203E-2</v>
      </c>
    </row>
    <row r="24" spans="1:12" x14ac:dyDescent="0.2">
      <c r="A24" s="5">
        <v>3.5</v>
      </c>
      <c r="B24" s="8">
        <f t="shared" si="11"/>
        <v>13.25</v>
      </c>
      <c r="C24" s="18">
        <f t="shared" si="12"/>
        <v>12.146486031512751</v>
      </c>
      <c r="D24" s="13">
        <f t="shared" si="13"/>
        <v>1.2061942136959309E-2</v>
      </c>
      <c r="E24" s="5">
        <f t="shared" si="14"/>
        <v>4.2216797479357582E-2</v>
      </c>
      <c r="H24" s="19">
        <v>8</v>
      </c>
      <c r="I24" s="20">
        <f t="shared" si="8"/>
        <v>18.75</v>
      </c>
      <c r="J24" s="22">
        <f t="shared" si="9"/>
        <v>15.370243998980669</v>
      </c>
      <c r="K24" s="21">
        <f t="shared" si="0"/>
        <v>1.2172366217059581E-2</v>
      </c>
      <c r="L24" s="26">
        <f t="shared" si="10"/>
        <v>9.7378929736476647E-2</v>
      </c>
    </row>
    <row r="25" spans="1:12" x14ac:dyDescent="0.2">
      <c r="A25" s="5">
        <v>4</v>
      </c>
      <c r="B25" s="8">
        <f t="shared" si="11"/>
        <v>13.25</v>
      </c>
      <c r="C25" s="18">
        <f t="shared" si="12"/>
        <v>11.996529413839752</v>
      </c>
      <c r="D25" s="13">
        <f t="shared" si="13"/>
        <v>1.1913029271070921E-2</v>
      </c>
      <c r="E25" s="5">
        <f t="shared" si="14"/>
        <v>4.7652117084283685E-2</v>
      </c>
      <c r="H25" s="19">
        <v>8.5</v>
      </c>
      <c r="I25" s="20">
        <f t="shared" si="8"/>
        <v>18.75</v>
      </c>
      <c r="J25" s="22">
        <f t="shared" si="9"/>
        <v>15.180487900227822</v>
      </c>
      <c r="K25" s="21">
        <f t="shared" si="0"/>
        <v>1.2022090090923043E-2</v>
      </c>
      <c r="L25" s="26">
        <f t="shared" si="10"/>
        <v>0.10218776577284586</v>
      </c>
    </row>
    <row r="26" spans="1:12" x14ac:dyDescent="0.2">
      <c r="A26" s="5">
        <v>4.5</v>
      </c>
      <c r="B26" s="8">
        <f t="shared" si="11"/>
        <v>13.25</v>
      </c>
      <c r="C26" s="18">
        <f t="shared" si="12"/>
        <v>11.848424112434323</v>
      </c>
      <c r="D26" s="13">
        <f t="shared" si="13"/>
        <v>1.17659548356256E-2</v>
      </c>
      <c r="E26" s="5">
        <f t="shared" si="14"/>
        <v>5.2946796760315204E-2</v>
      </c>
      <c r="H26" s="19">
        <v>9</v>
      </c>
      <c r="I26" s="20">
        <f t="shared" si="8"/>
        <v>18.75</v>
      </c>
      <c r="J26" s="22">
        <f t="shared" si="9"/>
        <v>14.99307446936081</v>
      </c>
      <c r="K26" s="21">
        <f t="shared" si="0"/>
        <v>1.1873669225603003E-2</v>
      </c>
      <c r="L26" s="26">
        <f t="shared" si="10"/>
        <v>0.10686302303042702</v>
      </c>
    </row>
    <row r="27" spans="1:12" x14ac:dyDescent="0.2">
      <c r="A27" s="5">
        <v>5</v>
      </c>
      <c r="B27" s="8">
        <f>1000*(2.65%/2)+1000</f>
        <v>1013.25</v>
      </c>
      <c r="C27" s="18">
        <f t="shared" si="12"/>
        <v>894.88307342550775</v>
      </c>
      <c r="D27" s="13">
        <f t="shared" si="13"/>
        <v>0.88865436662083497</v>
      </c>
      <c r="E27" s="5">
        <f t="shared" si="14"/>
        <v>4.4432718331041752</v>
      </c>
      <c r="H27" s="19">
        <v>9.5</v>
      </c>
      <c r="I27" s="20">
        <f t="shared" si="8"/>
        <v>18.75</v>
      </c>
      <c r="J27" s="22">
        <f t="shared" si="9"/>
        <v>14.80797478455389</v>
      </c>
      <c r="K27" s="21">
        <f t="shared" si="0"/>
        <v>1.1727080716644944E-2</v>
      </c>
      <c r="L27" s="26">
        <f t="shared" si="10"/>
        <v>0.11140726680812697</v>
      </c>
    </row>
    <row r="28" spans="1:12" x14ac:dyDescent="0.2">
      <c r="C28" s="12">
        <f>SUM(C18:C27)</f>
        <v>1007.009144430762</v>
      </c>
      <c r="D28" s="13">
        <f>SUM(D18:D27)</f>
        <v>1</v>
      </c>
      <c r="E28" s="14" t="s">
        <v>9</v>
      </c>
      <c r="F28" s="49">
        <f>SUM(E18:E27)</f>
        <v>4.7170262441351438</v>
      </c>
      <c r="H28" s="19">
        <v>10</v>
      </c>
      <c r="I28" s="20">
        <f t="shared" si="8"/>
        <v>18.75</v>
      </c>
      <c r="J28" s="22">
        <f t="shared" si="9"/>
        <v>14.625160281040879</v>
      </c>
      <c r="K28" s="21">
        <f t="shared" si="0"/>
        <v>1.1582301942365376E-2</v>
      </c>
      <c r="L28" s="26">
        <f t="shared" si="10"/>
        <v>0.11582301942365376</v>
      </c>
    </row>
    <row r="29" spans="1:12" x14ac:dyDescent="0.2">
      <c r="E29" s="55" t="s">
        <v>11</v>
      </c>
      <c r="F29" s="49">
        <f>F28/(1+(I3/2))</f>
        <v>4.6587913522322406</v>
      </c>
      <c r="H29" s="19">
        <v>10.5</v>
      </c>
      <c r="I29" s="20">
        <f t="shared" si="8"/>
        <v>18.75</v>
      </c>
      <c r="J29" s="22">
        <f t="shared" si="9"/>
        <v>14.444602746707043</v>
      </c>
      <c r="K29" s="21">
        <f t="shared" si="0"/>
        <v>1.1439310560360868E-2</v>
      </c>
      <c r="L29" s="26">
        <f t="shared" si="10"/>
        <v>0.12011276088378911</v>
      </c>
    </row>
    <row r="30" spans="1:12" x14ac:dyDescent="0.2">
      <c r="H30" s="19">
        <v>11</v>
      </c>
      <c r="I30" s="20">
        <f t="shared" si="8"/>
        <v>18.75</v>
      </c>
      <c r="J30" s="22">
        <f t="shared" si="9"/>
        <v>14.26627431773535</v>
      </c>
      <c r="K30" s="21">
        <f t="shared" si="0"/>
        <v>1.1298084504060116E-2</v>
      </c>
      <c r="L30" s="26">
        <f t="shared" si="10"/>
        <v>0.12427892954466128</v>
      </c>
    </row>
    <row r="31" spans="1:12" x14ac:dyDescent="0.2">
      <c r="A31" t="s">
        <v>44</v>
      </c>
      <c r="H31" s="19">
        <v>11.5</v>
      </c>
      <c r="I31" s="20">
        <f t="shared" si="8"/>
        <v>18.75</v>
      </c>
      <c r="J31" s="22">
        <f t="shared" si="9"/>
        <v>14.090147474306519</v>
      </c>
      <c r="K31" s="21">
        <f t="shared" si="0"/>
        <v>1.1158601979318634E-2</v>
      </c>
      <c r="L31" s="26">
        <f t="shared" si="10"/>
        <v>0.12832392276216428</v>
      </c>
    </row>
    <row r="32" spans="1:12" x14ac:dyDescent="0.2">
      <c r="A32" s="5" t="s">
        <v>42</v>
      </c>
      <c r="B32" s="5" t="s">
        <v>37</v>
      </c>
      <c r="C32" s="5" t="s">
        <v>38</v>
      </c>
      <c r="D32" s="5" t="s">
        <v>7</v>
      </c>
      <c r="E32" s="5" t="s">
        <v>43</v>
      </c>
      <c r="H32" s="19">
        <v>12</v>
      </c>
      <c r="I32" s="20">
        <f t="shared" si="8"/>
        <v>18.75</v>
      </c>
      <c r="J32" s="22">
        <f t="shared" si="9"/>
        <v>13.916195036352116</v>
      </c>
      <c r="K32" s="21">
        <f t="shared" si="0"/>
        <v>1.1020841461055439E-2</v>
      </c>
      <c r="L32" s="26">
        <f t="shared" si="10"/>
        <v>0.13225009753266526</v>
      </c>
    </row>
    <row r="33" spans="1:12" x14ac:dyDescent="0.2">
      <c r="A33" s="5">
        <v>0.5</v>
      </c>
      <c r="B33" s="8">
        <f>1000*(3%/2)</f>
        <v>15</v>
      </c>
      <c r="C33" s="18">
        <f>B33/(1+$I$3/2)^(A33*2)</f>
        <v>14.814814814814815</v>
      </c>
      <c r="D33" s="13">
        <f>C33/$C$53</f>
        <v>1.4190458884806224E-2</v>
      </c>
      <c r="E33" s="5">
        <f>D33*A33</f>
        <v>7.0952294424031122E-3</v>
      </c>
      <c r="H33" s="19">
        <v>12.5</v>
      </c>
      <c r="I33" s="20">
        <f t="shared" si="8"/>
        <v>18.75</v>
      </c>
      <c r="J33" s="22">
        <f t="shared" si="9"/>
        <v>13.744390159360115</v>
      </c>
      <c r="K33" s="21">
        <f t="shared" si="0"/>
        <v>1.0884781689931299E-2</v>
      </c>
      <c r="L33" s="26">
        <f t="shared" si="10"/>
        <v>0.13605977112414125</v>
      </c>
    </row>
    <row r="34" spans="1:12" x14ac:dyDescent="0.2">
      <c r="A34" s="5">
        <v>1</v>
      </c>
      <c r="B34" s="8">
        <f t="shared" ref="B34:B51" si="15">1000*(3%/2)</f>
        <v>15</v>
      </c>
      <c r="C34" s="18">
        <f t="shared" ref="C34:C52" si="16">B34/(1+$I$3/2)^(A34*2)</f>
        <v>14.631915866483768</v>
      </c>
      <c r="D34" s="13">
        <f t="shared" ref="D34:D52" si="17">C34/$C$53</f>
        <v>1.4015268034376518E-2</v>
      </c>
      <c r="E34" s="5">
        <f t="shared" ref="E34:E52" si="18">D34*A34</f>
        <v>1.4015268034376518E-2</v>
      </c>
      <c r="H34" s="19">
        <v>13</v>
      </c>
      <c r="I34" s="20">
        <f t="shared" si="8"/>
        <v>18.75</v>
      </c>
      <c r="J34" s="22">
        <f t="shared" si="9"/>
        <v>13.57470633023221</v>
      </c>
      <c r="K34" s="21">
        <f t="shared" si="0"/>
        <v>1.0750401669067947E-2</v>
      </c>
      <c r="L34" s="26">
        <f t="shared" si="10"/>
        <v>0.13975522169788329</v>
      </c>
    </row>
    <row r="35" spans="1:12" x14ac:dyDescent="0.2">
      <c r="A35" s="5">
        <v>1.5</v>
      </c>
      <c r="B35" s="8">
        <f t="shared" si="15"/>
        <v>15</v>
      </c>
      <c r="C35" s="18">
        <f t="shared" si="16"/>
        <v>14.451274929860514</v>
      </c>
      <c r="D35" s="13">
        <f t="shared" si="17"/>
        <v>1.3842240033952118E-2</v>
      </c>
      <c r="E35" s="5">
        <f t="shared" si="18"/>
        <v>2.0763360050928176E-2</v>
      </c>
      <c r="H35" s="19">
        <v>13.5</v>
      </c>
      <c r="I35" s="20">
        <f t="shared" si="8"/>
        <v>18.75</v>
      </c>
      <c r="J35" s="22">
        <f t="shared" si="9"/>
        <v>13.40711736319231</v>
      </c>
      <c r="K35" s="21">
        <f t="shared" si="0"/>
        <v>1.0617680660807852E-2</v>
      </c>
      <c r="L35" s="26">
        <f t="shared" si="10"/>
        <v>0.14333868892090601</v>
      </c>
    </row>
    <row r="36" spans="1:12" x14ac:dyDescent="0.2">
      <c r="A36" s="5">
        <v>2</v>
      </c>
      <c r="B36" s="8">
        <f t="shared" si="15"/>
        <v>15</v>
      </c>
      <c r="C36" s="18">
        <f t="shared" si="16"/>
        <v>14.272864128257297</v>
      </c>
      <c r="D36" s="13">
        <f t="shared" si="17"/>
        <v>1.3671348181681104E-2</v>
      </c>
      <c r="E36" s="5">
        <f t="shared" si="18"/>
        <v>2.7342696363362208E-2</v>
      </c>
      <c r="H36" s="19">
        <v>14</v>
      </c>
      <c r="I36" s="20">
        <f t="shared" si="8"/>
        <v>18.75</v>
      </c>
      <c r="J36" s="22">
        <f t="shared" si="9"/>
        <v>13.24159739574549</v>
      </c>
      <c r="K36" s="21">
        <f t="shared" si="0"/>
        <v>1.0486598183513926E-2</v>
      </c>
      <c r="L36" s="26">
        <f t="shared" si="10"/>
        <v>0.14681237456919496</v>
      </c>
    </row>
    <row r="37" spans="1:12" x14ac:dyDescent="0.2">
      <c r="A37" s="5">
        <v>2.5</v>
      </c>
      <c r="B37" s="8">
        <f t="shared" si="15"/>
        <v>15</v>
      </c>
      <c r="C37" s="18">
        <f t="shared" si="16"/>
        <v>14.09665592914301</v>
      </c>
      <c r="D37" s="13">
        <f t="shared" si="17"/>
        <v>1.3502566105364053E-2</v>
      </c>
      <c r="E37" s="5">
        <f t="shared" si="18"/>
        <v>3.3756415263410132E-2</v>
      </c>
      <c r="H37" s="19">
        <v>14.5</v>
      </c>
      <c r="I37" s="20">
        <f t="shared" si="8"/>
        <v>18.75</v>
      </c>
      <c r="J37" s="22">
        <f t="shared" si="9"/>
        <v>13.078120884686907</v>
      </c>
      <c r="K37" s="21">
        <f t="shared" si="0"/>
        <v>1.0357134008408819E-2</v>
      </c>
      <c r="L37" s="26">
        <f t="shared" si="10"/>
        <v>0.15017844312192788</v>
      </c>
    </row>
    <row r="38" spans="1:12" x14ac:dyDescent="0.2">
      <c r="A38" s="5">
        <v>3</v>
      </c>
      <c r="B38" s="8">
        <f t="shared" si="15"/>
        <v>15</v>
      </c>
      <c r="C38" s="18">
        <f t="shared" si="16"/>
        <v>13.922623139894331</v>
      </c>
      <c r="D38" s="13">
        <f t="shared" si="17"/>
        <v>1.3335867758384251E-2</v>
      </c>
      <c r="E38" s="5">
        <f t="shared" si="18"/>
        <v>4.000760327515275E-2</v>
      </c>
      <c r="H38" s="19">
        <v>15</v>
      </c>
      <c r="I38" s="20">
        <f t="shared" si="8"/>
        <v>18.75</v>
      </c>
      <c r="J38" s="22">
        <f t="shared" si="9"/>
        <v>12.916662602159905</v>
      </c>
      <c r="K38" s="21">
        <f t="shared" si="0"/>
        <v>1.0229268156453152E-2</v>
      </c>
      <c r="L38" s="26">
        <f t="shared" si="10"/>
        <v>0.15343902234679729</v>
      </c>
    </row>
    <row r="39" spans="1:12" x14ac:dyDescent="0.2">
      <c r="A39" s="5">
        <v>3.5</v>
      </c>
      <c r="B39" s="8">
        <f t="shared" si="15"/>
        <v>15</v>
      </c>
      <c r="C39" s="18">
        <f t="shared" si="16"/>
        <v>13.750738903599341</v>
      </c>
      <c r="D39" s="13">
        <f t="shared" si="17"/>
        <v>1.3171227415688151E-2</v>
      </c>
      <c r="E39" s="5">
        <f t="shared" si="18"/>
        <v>4.6099295954908526E-2</v>
      </c>
      <c r="H39" s="19">
        <v>15.5</v>
      </c>
      <c r="I39" s="20">
        <f t="shared" si="8"/>
        <v>18.75</v>
      </c>
      <c r="J39" s="22">
        <f t="shared" si="9"/>
        <v>12.757197631762871</v>
      </c>
      <c r="K39" s="21">
        <f t="shared" si="0"/>
        <v>1.0102980895262374E-2</v>
      </c>
      <c r="L39" s="26">
        <f t="shared" si="10"/>
        <v>0.15659620387656681</v>
      </c>
    </row>
    <row r="40" spans="1:12" x14ac:dyDescent="0.2">
      <c r="A40" s="5">
        <v>4</v>
      </c>
      <c r="B40" s="8">
        <f t="shared" si="15"/>
        <v>15</v>
      </c>
      <c r="C40" s="18">
        <f t="shared" si="16"/>
        <v>13.580976694912927</v>
      </c>
      <c r="D40" s="13">
        <f t="shared" si="17"/>
        <v>1.3008619669815456E-2</v>
      </c>
      <c r="E40" s="5">
        <f t="shared" si="18"/>
        <v>5.2034478679261822E-2</v>
      </c>
      <c r="H40" s="19">
        <v>16</v>
      </c>
      <c r="I40" s="20">
        <f t="shared" si="8"/>
        <v>18.75</v>
      </c>
      <c r="J40" s="22">
        <f t="shared" si="9"/>
        <v>12.599701364704069</v>
      </c>
      <c r="K40" s="21">
        <f t="shared" si="0"/>
        <v>9.978252736061604E-3</v>
      </c>
      <c r="L40" s="26">
        <f t="shared" si="10"/>
        <v>0.15965204377698566</v>
      </c>
    </row>
    <row r="41" spans="1:12" x14ac:dyDescent="0.2">
      <c r="A41" s="5">
        <v>4.5</v>
      </c>
      <c r="B41" s="8">
        <f t="shared" si="15"/>
        <v>15</v>
      </c>
      <c r="C41" s="18">
        <f t="shared" si="16"/>
        <v>13.413310315963384</v>
      </c>
      <c r="D41" s="13">
        <f t="shared" si="17"/>
        <v>1.2848019426978228E-2</v>
      </c>
      <c r="E41" s="5">
        <f t="shared" si="18"/>
        <v>5.7816087421402027E-2</v>
      </c>
      <c r="H41" s="19">
        <v>16.5</v>
      </c>
      <c r="I41" s="20">
        <f t="shared" si="8"/>
        <v>18.75</v>
      </c>
      <c r="J41" s="22">
        <f t="shared" si="9"/>
        <v>12.44414949600402</v>
      </c>
      <c r="K41" s="21">
        <f t="shared" ref="K41:K72" si="19">J41/$J$69</f>
        <v>9.855064430678127E-3</v>
      </c>
      <c r="L41" s="26">
        <f t="shared" si="10"/>
        <v>0.1626085631061891</v>
      </c>
    </row>
    <row r="42" spans="1:12" x14ac:dyDescent="0.2">
      <c r="A42" s="5">
        <v>5</v>
      </c>
      <c r="B42" s="8">
        <f t="shared" si="15"/>
        <v>15</v>
      </c>
      <c r="C42" s="18">
        <f t="shared" si="16"/>
        <v>13.247713892309514</v>
      </c>
      <c r="D42" s="13">
        <f t="shared" si="17"/>
        <v>1.2689401903188371E-2</v>
      </c>
      <c r="E42" s="5">
        <f t="shared" si="18"/>
        <v>6.3447009515941857E-2</v>
      </c>
      <c r="H42" s="19">
        <v>17</v>
      </c>
      <c r="I42" s="20">
        <f t="shared" si="8"/>
        <v>18.75</v>
      </c>
      <c r="J42" s="22">
        <f t="shared" si="9"/>
        <v>12.29051802074471</v>
      </c>
      <c r="K42" s="21">
        <f t="shared" si="19"/>
        <v>9.7333969685709891E-3</v>
      </c>
      <c r="L42" s="26">
        <f t="shared" si="10"/>
        <v>0.1654677484657068</v>
      </c>
    </row>
    <row r="43" spans="1:12" x14ac:dyDescent="0.2">
      <c r="A43" s="5">
        <v>5.5</v>
      </c>
      <c r="B43" s="8">
        <f t="shared" si="15"/>
        <v>15</v>
      </c>
      <c r="C43" s="18">
        <f t="shared" si="16"/>
        <v>13.084161868947673</v>
      </c>
      <c r="D43" s="13">
        <f t="shared" si="17"/>
        <v>1.2532742620432963E-2</v>
      </c>
      <c r="E43" s="5">
        <f t="shared" si="18"/>
        <v>6.8930084412381298E-2</v>
      </c>
      <c r="H43" s="19">
        <v>17.5</v>
      </c>
      <c r="I43" s="20">
        <f t="shared" si="8"/>
        <v>18.75</v>
      </c>
      <c r="J43" s="22">
        <f t="shared" si="9"/>
        <v>12.138783230365146</v>
      </c>
      <c r="K43" s="21">
        <f t="shared" si="19"/>
        <v>9.6132315738972733E-3</v>
      </c>
      <c r="L43" s="26">
        <f t="shared" si="10"/>
        <v>0.1682315525432023</v>
      </c>
    </row>
    <row r="44" spans="1:12" x14ac:dyDescent="0.2">
      <c r="A44" s="5">
        <v>6</v>
      </c>
      <c r="B44" s="8">
        <f t="shared" si="15"/>
        <v>15</v>
      </c>
      <c r="C44" s="18">
        <f t="shared" si="16"/>
        <v>12.922629006368069</v>
      </c>
      <c r="D44" s="13">
        <f t="shared" si="17"/>
        <v>1.2378017402896752E-2</v>
      </c>
      <c r="E44" s="5">
        <f t="shared" si="18"/>
        <v>7.426810441738052E-2</v>
      </c>
      <c r="H44" s="19">
        <v>18</v>
      </c>
      <c r="I44" s="20">
        <f t="shared" si="8"/>
        <v>18.75</v>
      </c>
      <c r="J44" s="22">
        <f t="shared" si="9"/>
        <v>11.988921709002614</v>
      </c>
      <c r="K44" s="21">
        <f t="shared" si="19"/>
        <v>9.4945497026145912E-3</v>
      </c>
      <c r="L44" s="26">
        <f t="shared" si="10"/>
        <v>0.17090189464706265</v>
      </c>
    </row>
    <row r="45" spans="1:12" x14ac:dyDescent="0.2">
      <c r="A45" s="5">
        <v>6.5</v>
      </c>
      <c r="B45" s="8">
        <f t="shared" si="15"/>
        <v>15</v>
      </c>
      <c r="C45" s="18">
        <f t="shared" si="16"/>
        <v>12.763090376659823</v>
      </c>
      <c r="D45" s="13">
        <f t="shared" si="17"/>
        <v>1.2225202373231362E-2</v>
      </c>
      <c r="E45" s="5">
        <f t="shared" si="18"/>
        <v>7.946381542600385E-2</v>
      </c>
      <c r="H45" s="19">
        <v>18.5</v>
      </c>
      <c r="I45" s="20">
        <f t="shared" si="8"/>
        <v>18.75</v>
      </c>
      <c r="J45" s="22">
        <f t="shared" si="9"/>
        <v>11.840910329879126</v>
      </c>
      <c r="K45" s="21">
        <f t="shared" si="19"/>
        <v>9.3773330396193511E-3</v>
      </c>
      <c r="L45" s="26">
        <f t="shared" si="10"/>
        <v>0.17348066123295799</v>
      </c>
    </row>
    <row r="46" spans="1:12" x14ac:dyDescent="0.2">
      <c r="A46" s="5">
        <v>7</v>
      </c>
      <c r="B46" s="8">
        <f t="shared" si="15"/>
        <v>15</v>
      </c>
      <c r="C46" s="18">
        <f t="shared" si="16"/>
        <v>12.605521359664021</v>
      </c>
      <c r="D46" s="13">
        <f t="shared" si="17"/>
        <v>1.2074273948870479E-2</v>
      </c>
      <c r="E46" s="5">
        <f t="shared" si="18"/>
        <v>8.4519917642093351E-2</v>
      </c>
      <c r="H46" s="19">
        <v>19</v>
      </c>
      <c r="I46" s="20">
        <f t="shared" si="8"/>
        <v>18.75</v>
      </c>
      <c r="J46" s="22">
        <f t="shared" si="9"/>
        <v>11.694726251732469</v>
      </c>
      <c r="K46" s="21">
        <f t="shared" si="19"/>
        <v>9.2615634959203452E-3</v>
      </c>
      <c r="L46" s="26">
        <f t="shared" si="10"/>
        <v>0.17596970642248655</v>
      </c>
    </row>
    <row r="47" spans="1:12" x14ac:dyDescent="0.2">
      <c r="A47" s="5">
        <v>7.5</v>
      </c>
      <c r="B47" s="8">
        <f t="shared" si="15"/>
        <v>15</v>
      </c>
      <c r="C47" s="18">
        <f t="shared" si="16"/>
        <v>12.449897639174345</v>
      </c>
      <c r="D47" s="13">
        <f t="shared" si="17"/>
        <v>1.19252088383906E-2</v>
      </c>
      <c r="E47" s="5">
        <f t="shared" si="18"/>
        <v>8.9439066287929497E-2</v>
      </c>
      <c r="H47" s="19">
        <v>19.5</v>
      </c>
      <c r="I47" s="20">
        <f t="shared" si="8"/>
        <v>18.75</v>
      </c>
      <c r="J47" s="22">
        <f t="shared" si="9"/>
        <v>11.550346915291328</v>
      </c>
      <c r="K47" s="21">
        <f t="shared" si="19"/>
        <v>9.1472232058472554E-3</v>
      </c>
      <c r="L47" s="26">
        <f t="shared" si="10"/>
        <v>0.17837085251402149</v>
      </c>
    </row>
    <row r="48" spans="1:12" x14ac:dyDescent="0.2">
      <c r="A48" s="5">
        <v>8</v>
      </c>
      <c r="B48" s="8">
        <f t="shared" si="15"/>
        <v>15</v>
      </c>
      <c r="C48" s="18">
        <f t="shared" si="16"/>
        <v>12.296195199184536</v>
      </c>
      <c r="D48" s="13">
        <f t="shared" si="17"/>
        <v>1.1777984037916639E-2</v>
      </c>
      <c r="E48" s="5">
        <f t="shared" si="18"/>
        <v>9.4223872303333109E-2</v>
      </c>
      <c r="H48" s="19">
        <v>20</v>
      </c>
      <c r="I48" s="20">
        <f t="shared" si="8"/>
        <v>18.75</v>
      </c>
      <c r="J48" s="22">
        <f t="shared" si="9"/>
        <v>11.407750039793905</v>
      </c>
      <c r="K48" s="21">
        <f t="shared" si="19"/>
        <v>9.034294524293586E-3</v>
      </c>
      <c r="L48" s="26">
        <f t="shared" si="10"/>
        <v>0.18068589048587172</v>
      </c>
    </row>
    <row r="49" spans="1:12" x14ac:dyDescent="0.2">
      <c r="A49" s="5">
        <v>8.5</v>
      </c>
      <c r="B49" s="8">
        <f t="shared" si="15"/>
        <v>15</v>
      </c>
      <c r="C49" s="18">
        <f t="shared" si="16"/>
        <v>12.144390320182257</v>
      </c>
      <c r="D49" s="13">
        <f t="shared" si="17"/>
        <v>1.1632576827571989E-2</v>
      </c>
      <c r="E49" s="5">
        <f t="shared" si="18"/>
        <v>9.8876903034361904E-2</v>
      </c>
      <c r="H49" s="19">
        <v>20.5</v>
      </c>
      <c r="I49" s="20">
        <f t="shared" si="8"/>
        <v>18.75</v>
      </c>
      <c r="J49" s="22">
        <f t="shared" si="9"/>
        <v>11.266913619549534</v>
      </c>
      <c r="K49" s="21">
        <f t="shared" si="19"/>
        <v>8.922760023993663E-3</v>
      </c>
      <c r="L49" s="26">
        <f t="shared" si="10"/>
        <v>0.1829165804918701</v>
      </c>
    </row>
    <row r="50" spans="1:12" x14ac:dyDescent="0.2">
      <c r="A50" s="5">
        <v>9</v>
      </c>
      <c r="B50" s="8">
        <f t="shared" si="15"/>
        <v>15</v>
      </c>
      <c r="C50" s="18">
        <f t="shared" si="16"/>
        <v>11.994459575488648</v>
      </c>
      <c r="D50" s="13">
        <f t="shared" si="17"/>
        <v>1.1488964767972332E-2</v>
      </c>
      <c r="E50" s="5">
        <f t="shared" si="18"/>
        <v>0.10340068291175099</v>
      </c>
      <c r="H50" s="19">
        <v>21</v>
      </c>
      <c r="I50" s="20">
        <f t="shared" si="8"/>
        <v>18.75</v>
      </c>
      <c r="J50" s="22">
        <f t="shared" si="9"/>
        <v>11.12781592054275</v>
      </c>
      <c r="K50" s="21">
        <f t="shared" si="19"/>
        <v>8.8126024928332474E-3</v>
      </c>
      <c r="L50" s="26">
        <f t="shared" si="10"/>
        <v>0.1850646523494982</v>
      </c>
    </row>
    <row r="51" spans="1:12" x14ac:dyDescent="0.2">
      <c r="A51" s="5">
        <v>9.5</v>
      </c>
      <c r="B51" s="8">
        <f t="shared" si="15"/>
        <v>15</v>
      </c>
      <c r="C51" s="18">
        <f t="shared" si="16"/>
        <v>11.846379827643112</v>
      </c>
      <c r="D51" s="13">
        <f t="shared" si="17"/>
        <v>1.1347125696762802E-2</v>
      </c>
      <c r="E51" s="5">
        <f t="shared" si="18"/>
        <v>0.10779769411924661</v>
      </c>
      <c r="H51" s="19">
        <v>21.5</v>
      </c>
      <c r="I51" s="20">
        <f t="shared" si="8"/>
        <v>18.75</v>
      </c>
      <c r="J51" s="22">
        <f t="shared" si="9"/>
        <v>10.990435477079261</v>
      </c>
      <c r="K51" s="21">
        <f t="shared" si="19"/>
        <v>8.7038049311933333E-3</v>
      </c>
      <c r="L51" s="26">
        <f t="shared" si="10"/>
        <v>0.18713180602065665</v>
      </c>
    </row>
    <row r="52" spans="1:12" x14ac:dyDescent="0.2">
      <c r="A52" s="5">
        <v>10</v>
      </c>
      <c r="B52" s="58">
        <f>1000*(3%/2)+1000</f>
        <v>1015</v>
      </c>
      <c r="C52" s="18">
        <f t="shared" si="16"/>
        <v>791.70867654701294</v>
      </c>
      <c r="D52" s="13">
        <f t="shared" si="17"/>
        <v>0.75834288607171974</v>
      </c>
      <c r="E52" s="5">
        <f t="shared" si="18"/>
        <v>7.5834288607171976</v>
      </c>
      <c r="H52" s="19">
        <v>22</v>
      </c>
      <c r="I52" s="20">
        <f t="shared" si="8"/>
        <v>18.75</v>
      </c>
      <c r="J52" s="22">
        <f t="shared" si="9"/>
        <v>10.854751088473343</v>
      </c>
      <c r="K52" s="21">
        <f t="shared" si="19"/>
        <v>8.5963505493267481E-3</v>
      </c>
      <c r="L52" s="26">
        <f t="shared" si="10"/>
        <v>0.18911971208518846</v>
      </c>
    </row>
    <row r="53" spans="1:12" x14ac:dyDescent="0.2">
      <c r="C53" s="12">
        <f>SUM(C33:C52)</f>
        <v>1043.9982903355642</v>
      </c>
      <c r="D53" s="6">
        <f>SUM(D33:D52)</f>
        <v>1.0000000000000002</v>
      </c>
      <c r="E53" s="14" t="s">
        <v>9</v>
      </c>
      <c r="F53" s="49">
        <f>SUM(E33:E52)</f>
        <v>8.7467264452728255</v>
      </c>
      <c r="H53" s="19">
        <v>22.5</v>
      </c>
      <c r="I53" s="20">
        <f t="shared" si="8"/>
        <v>18.75</v>
      </c>
      <c r="J53" s="22">
        <f t="shared" si="9"/>
        <v>10.720741815776144</v>
      </c>
      <c r="K53" s="21">
        <f t="shared" si="19"/>
        <v>8.4902227647671597E-3</v>
      </c>
      <c r="L53" s="26">
        <f t="shared" si="10"/>
        <v>0.1910300122072611</v>
      </c>
    </row>
    <row r="54" spans="1:12" x14ac:dyDescent="0.2">
      <c r="E54" s="55" t="s">
        <v>11</v>
      </c>
      <c r="F54" s="49">
        <f>F53/(1+(I3/2))</f>
        <v>8.6387421681706922</v>
      </c>
      <c r="H54" s="19">
        <v>23</v>
      </c>
      <c r="I54" s="20">
        <f t="shared" si="8"/>
        <v>18.75</v>
      </c>
      <c r="J54" s="22">
        <f t="shared" si="9"/>
        <v>10.588386978544337</v>
      </c>
      <c r="K54" s="21">
        <f t="shared" si="19"/>
        <v>8.3854051997700324E-3</v>
      </c>
      <c r="L54" s="26">
        <f t="shared" si="10"/>
        <v>0.19286431959471073</v>
      </c>
    </row>
    <row r="55" spans="1:12" x14ac:dyDescent="0.2">
      <c r="H55" s="19">
        <v>23.5</v>
      </c>
      <c r="I55" s="20">
        <f t="shared" si="8"/>
        <v>18.75</v>
      </c>
      <c r="J55" s="22">
        <f t="shared" si="9"/>
        <v>10.457666151648731</v>
      </c>
      <c r="K55" s="21">
        <f t="shared" si="19"/>
        <v>8.2818816787852204E-3</v>
      </c>
      <c r="L55" s="26">
        <f t="shared" si="10"/>
        <v>0.19462421945145267</v>
      </c>
    </row>
    <row r="56" spans="1:12" x14ac:dyDescent="0.2">
      <c r="H56" s="19">
        <v>24</v>
      </c>
      <c r="I56" s="20">
        <f t="shared" si="8"/>
        <v>18.75</v>
      </c>
      <c r="J56" s="22">
        <f t="shared" si="9"/>
        <v>10.3285591621222</v>
      </c>
      <c r="K56" s="21">
        <f t="shared" si="19"/>
        <v>8.179636225960709E-3</v>
      </c>
      <c r="L56" s="26">
        <f t="shared" si="10"/>
        <v>0.19631126942305702</v>
      </c>
    </row>
    <row r="57" spans="1:12" x14ac:dyDescent="0.2">
      <c r="H57" s="19">
        <v>24.5</v>
      </c>
      <c r="I57" s="20">
        <f t="shared" si="8"/>
        <v>18.75</v>
      </c>
      <c r="J57" s="22">
        <f t="shared" si="9"/>
        <v>10.201046086046619</v>
      </c>
      <c r="K57" s="21">
        <f t="shared" si="19"/>
        <v>8.0786530626772435E-3</v>
      </c>
      <c r="L57" s="26">
        <f t="shared" si="10"/>
        <v>0.19792700003559247</v>
      </c>
    </row>
    <row r="58" spans="1:12" x14ac:dyDescent="0.2">
      <c r="H58" s="19">
        <v>25</v>
      </c>
      <c r="I58" s="20">
        <f t="shared" si="8"/>
        <v>18.75</v>
      </c>
      <c r="J58" s="22">
        <f t="shared" si="9"/>
        <v>10.07510724547814</v>
      </c>
      <c r="K58" s="21">
        <f t="shared" si="19"/>
        <v>7.9789166051133266E-3</v>
      </c>
      <c r="L58" s="26">
        <f t="shared" si="10"/>
        <v>0.19947291512783316</v>
      </c>
    </row>
    <row r="59" spans="1:12" x14ac:dyDescent="0.2">
      <c r="H59" s="19">
        <v>25.5</v>
      </c>
      <c r="I59" s="20">
        <f t="shared" si="8"/>
        <v>18.75</v>
      </c>
      <c r="J59" s="22">
        <f t="shared" si="9"/>
        <v>9.9507232054105099</v>
      </c>
      <c r="K59" s="21">
        <f t="shared" si="19"/>
        <v>7.8804114618403233E-3</v>
      </c>
      <c r="L59" s="26">
        <f t="shared" si="10"/>
        <v>0.20095049227692824</v>
      </c>
    </row>
    <row r="60" spans="1:12" x14ac:dyDescent="0.2">
      <c r="H60" s="19">
        <v>26</v>
      </c>
      <c r="I60" s="20">
        <f t="shared" si="8"/>
        <v>18.75</v>
      </c>
      <c r="J60" s="22">
        <f t="shared" si="9"/>
        <v>9.8278747707758125</v>
      </c>
      <c r="K60" s="21">
        <f t="shared" si="19"/>
        <v>7.7831224314472329E-3</v>
      </c>
      <c r="L60" s="26">
        <f t="shared" si="10"/>
        <v>0.20236118321762805</v>
      </c>
    </row>
    <row r="61" spans="1:12" x14ac:dyDescent="0.2">
      <c r="H61" s="19">
        <v>26.5</v>
      </c>
      <c r="I61" s="20">
        <f t="shared" si="8"/>
        <v>18.75</v>
      </c>
      <c r="J61" s="22">
        <f t="shared" si="9"/>
        <v>9.7065429834822865</v>
      </c>
      <c r="K61" s="21">
        <f t="shared" si="19"/>
        <v>7.6870345001948002E-3</v>
      </c>
      <c r="L61" s="26">
        <f t="shared" si="10"/>
        <v>0.2037064142551622</v>
      </c>
    </row>
    <row r="62" spans="1:12" x14ac:dyDescent="0.2">
      <c r="H62" s="19">
        <v>27</v>
      </c>
      <c r="I62" s="20">
        <f t="shared" si="8"/>
        <v>18.75</v>
      </c>
      <c r="J62" s="22">
        <f t="shared" si="9"/>
        <v>9.5867091194886775</v>
      </c>
      <c r="K62" s="21">
        <f t="shared" si="19"/>
        <v>7.5921328396985673E-3</v>
      </c>
      <c r="L62" s="26">
        <f t="shared" si="10"/>
        <v>0.20498758667186132</v>
      </c>
    </row>
    <row r="63" spans="1:12" x14ac:dyDescent="0.2">
      <c r="H63" s="19">
        <v>27.5</v>
      </c>
      <c r="I63" s="20">
        <f t="shared" si="8"/>
        <v>18.75</v>
      </c>
      <c r="J63" s="22">
        <f t="shared" si="9"/>
        <v>9.4683546859147434</v>
      </c>
      <c r="K63" s="21">
        <f t="shared" si="19"/>
        <v>7.4984028046405603E-3</v>
      </c>
      <c r="L63" s="26">
        <f t="shared" si="10"/>
        <v>0.20620607712761541</v>
      </c>
    </row>
    <row r="64" spans="1:12" x14ac:dyDescent="0.2">
      <c r="H64" s="19">
        <v>28</v>
      </c>
      <c r="I64" s="20">
        <f t="shared" si="8"/>
        <v>18.75</v>
      </c>
      <c r="J64" s="22">
        <f t="shared" si="9"/>
        <v>9.3514614181874016</v>
      </c>
      <c r="K64" s="21">
        <f t="shared" si="19"/>
        <v>7.4058299305091958E-3</v>
      </c>
      <c r="L64" s="26">
        <f t="shared" si="10"/>
        <v>0.20736323805425749</v>
      </c>
    </row>
    <row r="65" spans="8:13" x14ac:dyDescent="0.2">
      <c r="H65" s="19">
        <v>28.5</v>
      </c>
      <c r="I65" s="20">
        <f t="shared" si="8"/>
        <v>18.75</v>
      </c>
      <c r="J65" s="22">
        <f t="shared" si="9"/>
        <v>9.2360112772221239</v>
      </c>
      <c r="K65" s="21">
        <f t="shared" si="19"/>
        <v>7.3143999313671068E-3</v>
      </c>
      <c r="L65" s="26">
        <f t="shared" si="10"/>
        <v>0.20846039804396255</v>
      </c>
    </row>
    <row r="66" spans="8:13" x14ac:dyDescent="0.2">
      <c r="H66" s="19">
        <v>29</v>
      </c>
      <c r="I66" s="20">
        <f t="shared" si="8"/>
        <v>18.75</v>
      </c>
      <c r="J66" s="22">
        <f t="shared" si="9"/>
        <v>9.1219864466391325</v>
      </c>
      <c r="K66" s="21">
        <f t="shared" si="19"/>
        <v>7.224098697646523E-3</v>
      </c>
      <c r="L66" s="26">
        <f t="shared" si="10"/>
        <v>0.20949886223174916</v>
      </c>
    </row>
    <row r="67" spans="8:13" x14ac:dyDescent="0.2">
      <c r="H67" s="19">
        <v>29.5</v>
      </c>
      <c r="I67" s="20">
        <f t="shared" si="8"/>
        <v>18.75</v>
      </c>
      <c r="J67" s="22">
        <f t="shared" si="9"/>
        <v>9.0093693300139623</v>
      </c>
      <c r="K67" s="21">
        <f t="shared" si="19"/>
        <v>7.1349122939718783E-3</v>
      </c>
      <c r="L67" s="26">
        <f t="shared" si="10"/>
        <v>0.21047991267217042</v>
      </c>
    </row>
    <row r="68" spans="8:13" x14ac:dyDescent="0.2">
      <c r="H68" s="19">
        <v>30</v>
      </c>
      <c r="I68" s="20">
        <f>1000*3.75%/2+1000</f>
        <v>1018.75</v>
      </c>
      <c r="J68" s="22">
        <f t="shared" si="9"/>
        <v>483.46574511679853</v>
      </c>
      <c r="K68" s="21">
        <f t="shared" si="19"/>
        <v>0.38287759799750315</v>
      </c>
      <c r="L68" s="26">
        <f t="shared" si="10"/>
        <v>11.486327939925095</v>
      </c>
    </row>
    <row r="69" spans="8:13" x14ac:dyDescent="0.2">
      <c r="J69" s="22">
        <f>SUM(J9:J68)</f>
        <v>1262.7161987156828</v>
      </c>
      <c r="K69" s="23">
        <f>SUM(K9:K68)</f>
        <v>0.99999999999999978</v>
      </c>
      <c r="L69" s="19" t="s">
        <v>9</v>
      </c>
      <c r="M69" s="26">
        <f>SUM(L9:L68)</f>
        <v>19.64139220725259</v>
      </c>
    </row>
    <row r="70" spans="8:13" x14ac:dyDescent="0.2">
      <c r="L70" s="19" t="s">
        <v>11</v>
      </c>
      <c r="M70" s="26">
        <f>M69/(1+I3/2)</f>
        <v>19.398905883706263</v>
      </c>
    </row>
  </sheetData>
  <mergeCells count="6">
    <mergeCell ref="A1:J1"/>
    <mergeCell ref="A6:J6"/>
    <mergeCell ref="A2:G2"/>
    <mergeCell ref="A3:G3"/>
    <mergeCell ref="A4:G4"/>
    <mergeCell ref="A5:G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E17E9-8F85-AC4A-B779-123368567E40}">
  <sheetPr codeName="Sheet3"/>
  <dimension ref="A1:AX164"/>
  <sheetViews>
    <sheetView workbookViewId="0">
      <selection activeCell="H7" sqref="H7"/>
    </sheetView>
  </sheetViews>
  <sheetFormatPr baseColWidth="10" defaultRowHeight="16" x14ac:dyDescent="0.2"/>
  <cols>
    <col min="1" max="1" width="17.83203125" bestFit="1" customWidth="1"/>
  </cols>
  <sheetData>
    <row r="1" spans="1:50" x14ac:dyDescent="0.2">
      <c r="A1" s="34" t="s">
        <v>61</v>
      </c>
      <c r="B1" s="37" t="s">
        <v>62</v>
      </c>
      <c r="C1" s="37" t="s">
        <v>63</v>
      </c>
      <c r="D1" s="62" t="s">
        <v>64</v>
      </c>
      <c r="E1" s="63">
        <f ca="1">AVERAGE(A2:AX101)</f>
        <v>0.505</v>
      </c>
      <c r="F1" s="62" t="s">
        <v>65</v>
      </c>
      <c r="G1" s="37">
        <f ca="1">_xlfn.STDEV.S(A2:AX101)</f>
        <v>0.50002500437578146</v>
      </c>
    </row>
    <row r="2" spans="1:50" x14ac:dyDescent="0.2">
      <c r="A2" s="3">
        <f ca="1">RANDBETWEEN(0,1)</f>
        <v>1</v>
      </c>
      <c r="B2" s="3">
        <f t="shared" ref="B2:AW7" ca="1" si="0">RANDBETWEEN(0,1)</f>
        <v>1</v>
      </c>
      <c r="C2" s="3">
        <f t="shared" ca="1" si="0"/>
        <v>1</v>
      </c>
      <c r="D2" s="3">
        <f t="shared" ca="1" si="0"/>
        <v>0</v>
      </c>
      <c r="E2" s="3">
        <f t="shared" ca="1" si="0"/>
        <v>1</v>
      </c>
      <c r="F2" s="3">
        <f t="shared" ca="1" si="0"/>
        <v>1</v>
      </c>
      <c r="G2" s="3">
        <f t="shared" ca="1" si="0"/>
        <v>0</v>
      </c>
      <c r="H2" s="3">
        <f t="shared" ca="1" si="0"/>
        <v>1</v>
      </c>
      <c r="I2" s="3">
        <f t="shared" ca="1" si="0"/>
        <v>1</v>
      </c>
      <c r="J2" s="3">
        <f t="shared" ca="1" si="0"/>
        <v>1</v>
      </c>
      <c r="K2" s="3">
        <f t="shared" ca="1" si="0"/>
        <v>1</v>
      </c>
      <c r="L2" s="3">
        <f t="shared" ca="1" si="0"/>
        <v>1</v>
      </c>
      <c r="M2" s="3">
        <f t="shared" ca="1" si="0"/>
        <v>0</v>
      </c>
      <c r="N2" s="3">
        <f t="shared" ca="1" si="0"/>
        <v>0</v>
      </c>
      <c r="O2" s="3">
        <f t="shared" ca="1" si="0"/>
        <v>0</v>
      </c>
      <c r="P2" s="3">
        <f t="shared" ca="1" si="0"/>
        <v>0</v>
      </c>
      <c r="Q2" s="3">
        <f t="shared" ca="1" si="0"/>
        <v>1</v>
      </c>
      <c r="R2" s="3">
        <f t="shared" ca="1" si="0"/>
        <v>1</v>
      </c>
      <c r="S2" s="3">
        <f t="shared" ca="1" si="0"/>
        <v>1</v>
      </c>
      <c r="T2" s="3">
        <f t="shared" ca="1" si="0"/>
        <v>0</v>
      </c>
      <c r="U2" s="3">
        <f t="shared" ca="1" si="0"/>
        <v>0</v>
      </c>
      <c r="V2" s="3">
        <f t="shared" ca="1" si="0"/>
        <v>1</v>
      </c>
      <c r="W2" s="3">
        <f t="shared" ca="1" si="0"/>
        <v>1</v>
      </c>
      <c r="X2" s="3">
        <f t="shared" ca="1" si="0"/>
        <v>0</v>
      </c>
      <c r="Y2" s="3">
        <f t="shared" ca="1" si="0"/>
        <v>1</v>
      </c>
      <c r="Z2" s="3">
        <f t="shared" ca="1" si="0"/>
        <v>1</v>
      </c>
      <c r="AA2" s="3">
        <f t="shared" ca="1" si="0"/>
        <v>0</v>
      </c>
      <c r="AB2" s="3">
        <f t="shared" ca="1" si="0"/>
        <v>1</v>
      </c>
      <c r="AC2" s="3">
        <f t="shared" ca="1" si="0"/>
        <v>0</v>
      </c>
      <c r="AD2" s="3">
        <f t="shared" ca="1" si="0"/>
        <v>1</v>
      </c>
      <c r="AE2" s="3">
        <f t="shared" ca="1" si="0"/>
        <v>0</v>
      </c>
      <c r="AF2" s="3">
        <f t="shared" ca="1" si="0"/>
        <v>1</v>
      </c>
      <c r="AG2" s="3">
        <f t="shared" ca="1" si="0"/>
        <v>1</v>
      </c>
      <c r="AH2" s="3">
        <f t="shared" ca="1" si="0"/>
        <v>0</v>
      </c>
      <c r="AI2" s="3">
        <f t="shared" ca="1" si="0"/>
        <v>1</v>
      </c>
      <c r="AJ2" s="3">
        <f ca="1">RANDBETWEEN(0,1)</f>
        <v>1</v>
      </c>
      <c r="AK2" s="3">
        <f t="shared" ca="1" si="0"/>
        <v>1</v>
      </c>
      <c r="AL2" s="3">
        <f t="shared" ca="1" si="0"/>
        <v>1</v>
      </c>
      <c r="AM2" s="3">
        <f t="shared" ca="1" si="0"/>
        <v>1</v>
      </c>
      <c r="AN2" s="3">
        <f t="shared" ca="1" si="0"/>
        <v>0</v>
      </c>
      <c r="AO2" s="3">
        <f t="shared" ca="1" si="0"/>
        <v>1</v>
      </c>
      <c r="AP2" s="3">
        <f t="shared" ca="1" si="0"/>
        <v>0</v>
      </c>
      <c r="AQ2" s="3">
        <f t="shared" ca="1" si="0"/>
        <v>1</v>
      </c>
      <c r="AR2" s="3">
        <f t="shared" ca="1" si="0"/>
        <v>1</v>
      </c>
      <c r="AS2" s="3">
        <f t="shared" ca="1" si="0"/>
        <v>1</v>
      </c>
      <c r="AT2" s="3">
        <f t="shared" ca="1" si="0"/>
        <v>1</v>
      </c>
      <c r="AU2" s="3">
        <f t="shared" ca="1" si="0"/>
        <v>1</v>
      </c>
      <c r="AV2" s="3">
        <f t="shared" ca="1" si="0"/>
        <v>0</v>
      </c>
      <c r="AW2" s="3">
        <f t="shared" ca="1" si="0"/>
        <v>1</v>
      </c>
      <c r="AX2" s="3">
        <f ca="1">RANDBETWEEN(0,1)</f>
        <v>0</v>
      </c>
    </row>
    <row r="3" spans="1:50" x14ac:dyDescent="0.2">
      <c r="A3" s="3">
        <f t="shared" ref="A3:P29" ca="1" si="1">RANDBETWEEN(0,1)</f>
        <v>1</v>
      </c>
      <c r="B3" s="3">
        <f t="shared" ca="1" si="0"/>
        <v>1</v>
      </c>
      <c r="C3" s="3">
        <f t="shared" ca="1" si="0"/>
        <v>0</v>
      </c>
      <c r="D3" s="3">
        <f t="shared" ca="1" si="0"/>
        <v>0</v>
      </c>
      <c r="E3" s="3">
        <f t="shared" ca="1" si="0"/>
        <v>0</v>
      </c>
      <c r="F3" s="3">
        <f t="shared" ca="1" si="0"/>
        <v>0</v>
      </c>
      <c r="G3" s="3">
        <f t="shared" ca="1" si="0"/>
        <v>1</v>
      </c>
      <c r="H3" s="3">
        <f t="shared" ca="1" si="0"/>
        <v>1</v>
      </c>
      <c r="I3" s="3">
        <f t="shared" ca="1" si="0"/>
        <v>0</v>
      </c>
      <c r="J3" s="3">
        <f t="shared" ca="1" si="0"/>
        <v>0</v>
      </c>
      <c r="K3" s="3">
        <f t="shared" ca="1" si="0"/>
        <v>0</v>
      </c>
      <c r="L3" s="3">
        <f t="shared" ca="1" si="0"/>
        <v>0</v>
      </c>
      <c r="M3" s="3">
        <f t="shared" ca="1" si="0"/>
        <v>1</v>
      </c>
      <c r="N3" s="3">
        <f t="shared" ca="1" si="0"/>
        <v>0</v>
      </c>
      <c r="O3" s="3">
        <f t="shared" ca="1" si="0"/>
        <v>1</v>
      </c>
      <c r="P3" s="3">
        <f t="shared" ca="1" si="0"/>
        <v>0</v>
      </c>
      <c r="Q3" s="3">
        <f t="shared" ca="1" si="0"/>
        <v>0</v>
      </c>
      <c r="R3" s="3">
        <f t="shared" ca="1" si="0"/>
        <v>0</v>
      </c>
      <c r="S3" s="3">
        <f t="shared" ca="1" si="0"/>
        <v>1</v>
      </c>
      <c r="T3" s="3">
        <f t="shared" ca="1" si="0"/>
        <v>0</v>
      </c>
      <c r="U3" s="3">
        <f t="shared" ca="1" si="0"/>
        <v>1</v>
      </c>
      <c r="V3" s="3">
        <f t="shared" ca="1" si="0"/>
        <v>1</v>
      </c>
      <c r="W3" s="3">
        <f t="shared" ca="1" si="0"/>
        <v>0</v>
      </c>
      <c r="X3" s="3">
        <f t="shared" ca="1" si="0"/>
        <v>0</v>
      </c>
      <c r="Y3" s="3">
        <f t="shared" ca="1" si="0"/>
        <v>1</v>
      </c>
      <c r="Z3" s="3">
        <f t="shared" ca="1" si="0"/>
        <v>1</v>
      </c>
      <c r="AA3" s="3">
        <f t="shared" ca="1" si="0"/>
        <v>1</v>
      </c>
      <c r="AB3" s="3">
        <f t="shared" ca="1" si="0"/>
        <v>1</v>
      </c>
      <c r="AC3" s="3">
        <f t="shared" ca="1" si="0"/>
        <v>0</v>
      </c>
      <c r="AD3" s="3">
        <f t="shared" ca="1" si="0"/>
        <v>0</v>
      </c>
      <c r="AE3" s="3">
        <f t="shared" ca="1" si="0"/>
        <v>0</v>
      </c>
      <c r="AF3" s="3">
        <f t="shared" ca="1" si="0"/>
        <v>0</v>
      </c>
      <c r="AG3" s="3">
        <f t="shared" ca="1" si="0"/>
        <v>1</v>
      </c>
      <c r="AH3" s="3">
        <f t="shared" ca="1" si="0"/>
        <v>1</v>
      </c>
      <c r="AI3" s="3">
        <f t="shared" ca="1" si="0"/>
        <v>1</v>
      </c>
      <c r="AJ3" s="3">
        <f t="shared" ca="1" si="0"/>
        <v>0</v>
      </c>
      <c r="AK3" s="3">
        <f t="shared" ca="1" si="0"/>
        <v>0</v>
      </c>
      <c r="AL3" s="3">
        <f t="shared" ca="1" si="0"/>
        <v>1</v>
      </c>
      <c r="AM3" s="3">
        <f t="shared" ca="1" si="0"/>
        <v>0</v>
      </c>
      <c r="AN3" s="3">
        <f t="shared" ca="1" si="0"/>
        <v>1</v>
      </c>
      <c r="AO3" s="3">
        <f t="shared" ca="1" si="0"/>
        <v>0</v>
      </c>
      <c r="AP3" s="3">
        <f t="shared" ca="1" si="0"/>
        <v>1</v>
      </c>
      <c r="AQ3" s="3">
        <f t="shared" ca="1" si="0"/>
        <v>0</v>
      </c>
      <c r="AR3" s="3">
        <f t="shared" ca="1" si="0"/>
        <v>0</v>
      </c>
      <c r="AS3" s="3">
        <f t="shared" ca="1" si="0"/>
        <v>1</v>
      </c>
      <c r="AT3" s="3">
        <f t="shared" ca="1" si="0"/>
        <v>1</v>
      </c>
      <c r="AU3" s="3">
        <f t="shared" ca="1" si="0"/>
        <v>1</v>
      </c>
      <c r="AV3" s="3">
        <f t="shared" ca="1" si="0"/>
        <v>0</v>
      </c>
      <c r="AW3" s="3">
        <f t="shared" ca="1" si="0"/>
        <v>1</v>
      </c>
      <c r="AX3" s="3">
        <f t="shared" ref="AX3:AX66" ca="1" si="2">RANDBETWEEN(0,1)</f>
        <v>1</v>
      </c>
    </row>
    <row r="4" spans="1:50" x14ac:dyDescent="0.2">
      <c r="A4" s="3">
        <f t="shared" ca="1" si="1"/>
        <v>0</v>
      </c>
      <c r="B4" s="3">
        <f t="shared" ca="1" si="0"/>
        <v>1</v>
      </c>
      <c r="C4" s="3">
        <f t="shared" ca="1" si="0"/>
        <v>1</v>
      </c>
      <c r="D4" s="3">
        <f t="shared" ca="1" si="0"/>
        <v>1</v>
      </c>
      <c r="E4" s="3">
        <f t="shared" ca="1" si="0"/>
        <v>1</v>
      </c>
      <c r="F4" s="3">
        <f t="shared" ca="1" si="0"/>
        <v>1</v>
      </c>
      <c r="G4" s="3">
        <f t="shared" ca="1" si="0"/>
        <v>0</v>
      </c>
      <c r="H4" s="3">
        <f t="shared" ca="1" si="0"/>
        <v>0</v>
      </c>
      <c r="I4" s="3">
        <f t="shared" ca="1" si="0"/>
        <v>0</v>
      </c>
      <c r="J4" s="3">
        <f t="shared" ca="1" si="0"/>
        <v>1</v>
      </c>
      <c r="K4" s="3">
        <f t="shared" ca="1" si="0"/>
        <v>1</v>
      </c>
      <c r="L4" s="3">
        <f t="shared" ca="1" si="0"/>
        <v>1</v>
      </c>
      <c r="M4" s="3">
        <f t="shared" ca="1" si="0"/>
        <v>0</v>
      </c>
      <c r="N4" s="3">
        <f t="shared" ca="1" si="0"/>
        <v>0</v>
      </c>
      <c r="O4" s="3">
        <f t="shared" ca="1" si="0"/>
        <v>1</v>
      </c>
      <c r="P4" s="3">
        <f t="shared" ca="1" si="0"/>
        <v>1</v>
      </c>
      <c r="Q4" s="3">
        <f t="shared" ca="1" si="0"/>
        <v>1</v>
      </c>
      <c r="R4" s="3">
        <f t="shared" ca="1" si="0"/>
        <v>1</v>
      </c>
      <c r="S4" s="3">
        <f t="shared" ca="1" si="0"/>
        <v>0</v>
      </c>
      <c r="T4" s="3">
        <f t="shared" ca="1" si="0"/>
        <v>1</v>
      </c>
      <c r="U4" s="3">
        <f t="shared" ca="1" si="0"/>
        <v>1</v>
      </c>
      <c r="V4" s="3">
        <f t="shared" ca="1" si="0"/>
        <v>1</v>
      </c>
      <c r="W4" s="3">
        <f t="shared" ca="1" si="0"/>
        <v>0</v>
      </c>
      <c r="X4" s="3">
        <f t="shared" ca="1" si="0"/>
        <v>0</v>
      </c>
      <c r="Y4" s="3">
        <f t="shared" ca="1" si="0"/>
        <v>0</v>
      </c>
      <c r="Z4" s="3">
        <f t="shared" ca="1" si="0"/>
        <v>0</v>
      </c>
      <c r="AA4" s="3">
        <f t="shared" ca="1" si="0"/>
        <v>0</v>
      </c>
      <c r="AB4" s="3">
        <f t="shared" ca="1" si="0"/>
        <v>0</v>
      </c>
      <c r="AC4" s="3">
        <f t="shared" ca="1" si="0"/>
        <v>0</v>
      </c>
      <c r="AD4" s="3">
        <f t="shared" ca="1" si="0"/>
        <v>1</v>
      </c>
      <c r="AE4" s="3">
        <f t="shared" ca="1" si="0"/>
        <v>0</v>
      </c>
      <c r="AF4" s="3">
        <f t="shared" ca="1" si="0"/>
        <v>1</v>
      </c>
      <c r="AG4" s="3">
        <f t="shared" ca="1" si="0"/>
        <v>0</v>
      </c>
      <c r="AH4" s="3">
        <f t="shared" ca="1" si="0"/>
        <v>1</v>
      </c>
      <c r="AI4" s="3">
        <f t="shared" ca="1" si="0"/>
        <v>1</v>
      </c>
      <c r="AJ4" s="3">
        <f t="shared" ca="1" si="0"/>
        <v>0</v>
      </c>
      <c r="AK4" s="3">
        <f t="shared" ca="1" si="0"/>
        <v>1</v>
      </c>
      <c r="AL4" s="3">
        <f t="shared" ca="1" si="0"/>
        <v>0</v>
      </c>
      <c r="AM4" s="3">
        <f t="shared" ca="1" si="0"/>
        <v>0</v>
      </c>
      <c r="AN4" s="3">
        <f t="shared" ca="1" si="0"/>
        <v>1</v>
      </c>
      <c r="AO4" s="3">
        <f t="shared" ca="1" si="0"/>
        <v>1</v>
      </c>
      <c r="AP4" s="3">
        <f t="shared" ca="1" si="0"/>
        <v>1</v>
      </c>
      <c r="AQ4" s="3">
        <f t="shared" ca="1" si="0"/>
        <v>1</v>
      </c>
      <c r="AR4" s="3">
        <f t="shared" ca="1" si="0"/>
        <v>0</v>
      </c>
      <c r="AS4" s="3">
        <f t="shared" ca="1" si="0"/>
        <v>0</v>
      </c>
      <c r="AT4" s="3">
        <f t="shared" ca="1" si="0"/>
        <v>1</v>
      </c>
      <c r="AU4" s="3">
        <f t="shared" ca="1" si="0"/>
        <v>1</v>
      </c>
      <c r="AV4" s="3">
        <f t="shared" ca="1" si="0"/>
        <v>0</v>
      </c>
      <c r="AW4" s="3">
        <f t="shared" ca="1" si="0"/>
        <v>1</v>
      </c>
      <c r="AX4" s="3">
        <f t="shared" ca="1" si="2"/>
        <v>1</v>
      </c>
    </row>
    <row r="5" spans="1:50" x14ac:dyDescent="0.2">
      <c r="A5" s="3">
        <f t="shared" ca="1" si="1"/>
        <v>0</v>
      </c>
      <c r="B5" s="3">
        <f t="shared" ca="1" si="0"/>
        <v>0</v>
      </c>
      <c r="C5" s="3">
        <f t="shared" ca="1" si="0"/>
        <v>1</v>
      </c>
      <c r="D5" s="3">
        <f t="shared" ca="1" si="0"/>
        <v>1</v>
      </c>
      <c r="E5" s="3">
        <f t="shared" ca="1" si="0"/>
        <v>1</v>
      </c>
      <c r="F5" s="3">
        <f t="shared" ca="1" si="0"/>
        <v>0</v>
      </c>
      <c r="G5" s="3">
        <f t="shared" ca="1" si="0"/>
        <v>0</v>
      </c>
      <c r="H5" s="3">
        <f t="shared" ca="1" si="0"/>
        <v>0</v>
      </c>
      <c r="I5" s="3">
        <f t="shared" ca="1" si="0"/>
        <v>1</v>
      </c>
      <c r="J5" s="3">
        <f t="shared" ca="1" si="0"/>
        <v>0</v>
      </c>
      <c r="K5" s="3">
        <f t="shared" ca="1" si="0"/>
        <v>1</v>
      </c>
      <c r="L5" s="3">
        <f t="shared" ca="1" si="0"/>
        <v>1</v>
      </c>
      <c r="M5" s="3">
        <f t="shared" ca="1" si="0"/>
        <v>1</v>
      </c>
      <c r="N5" s="3">
        <f t="shared" ca="1" si="0"/>
        <v>1</v>
      </c>
      <c r="O5" s="3">
        <f t="shared" ca="1" si="0"/>
        <v>0</v>
      </c>
      <c r="P5" s="3">
        <f t="shared" ca="1" si="0"/>
        <v>0</v>
      </c>
      <c r="Q5" s="3">
        <f t="shared" ca="1" si="0"/>
        <v>0</v>
      </c>
      <c r="R5" s="3">
        <f t="shared" ca="1" si="0"/>
        <v>1</v>
      </c>
      <c r="S5" s="3">
        <f t="shared" ca="1" si="0"/>
        <v>1</v>
      </c>
      <c r="T5" s="3">
        <f t="shared" ca="1" si="0"/>
        <v>0</v>
      </c>
      <c r="U5" s="3">
        <f t="shared" ca="1" si="0"/>
        <v>0</v>
      </c>
      <c r="V5" s="3">
        <f t="shared" ca="1" si="0"/>
        <v>0</v>
      </c>
      <c r="W5" s="3">
        <f t="shared" ca="1" si="0"/>
        <v>0</v>
      </c>
      <c r="X5" s="3">
        <f t="shared" ca="1" si="0"/>
        <v>1</v>
      </c>
      <c r="Y5" s="3">
        <f t="shared" ca="1" si="0"/>
        <v>1</v>
      </c>
      <c r="Z5" s="3">
        <f t="shared" ca="1" si="0"/>
        <v>1</v>
      </c>
      <c r="AA5" s="3">
        <f t="shared" ca="1" si="0"/>
        <v>1</v>
      </c>
      <c r="AB5" s="3">
        <f t="shared" ca="1" si="0"/>
        <v>1</v>
      </c>
      <c r="AC5" s="3">
        <f t="shared" ca="1" si="0"/>
        <v>1</v>
      </c>
      <c r="AD5" s="3">
        <f t="shared" ca="1" si="0"/>
        <v>1</v>
      </c>
      <c r="AE5" s="3">
        <f t="shared" ca="1" si="0"/>
        <v>0</v>
      </c>
      <c r="AF5" s="3">
        <f t="shared" ca="1" si="0"/>
        <v>1</v>
      </c>
      <c r="AG5" s="3">
        <f t="shared" ca="1" si="0"/>
        <v>1</v>
      </c>
      <c r="AH5" s="3">
        <f t="shared" ca="1" si="0"/>
        <v>1</v>
      </c>
      <c r="AI5" s="3">
        <f t="shared" ca="1" si="0"/>
        <v>1</v>
      </c>
      <c r="AJ5" s="3">
        <f t="shared" ca="1" si="0"/>
        <v>0</v>
      </c>
      <c r="AK5" s="3">
        <f t="shared" ca="1" si="0"/>
        <v>0</v>
      </c>
      <c r="AL5" s="3">
        <f t="shared" ca="1" si="0"/>
        <v>0</v>
      </c>
      <c r="AM5" s="3">
        <f t="shared" ca="1" si="0"/>
        <v>1</v>
      </c>
      <c r="AN5" s="3">
        <f t="shared" ca="1" si="0"/>
        <v>1</v>
      </c>
      <c r="AO5" s="3">
        <f t="shared" ca="1" si="0"/>
        <v>0</v>
      </c>
      <c r="AP5" s="3">
        <f t="shared" ca="1" si="0"/>
        <v>1</v>
      </c>
      <c r="AQ5" s="3">
        <f t="shared" ca="1" si="0"/>
        <v>1</v>
      </c>
      <c r="AR5" s="3">
        <f t="shared" ca="1" si="0"/>
        <v>1</v>
      </c>
      <c r="AS5" s="3">
        <f t="shared" ca="1" si="0"/>
        <v>1</v>
      </c>
      <c r="AT5" s="3">
        <f t="shared" ca="1" si="0"/>
        <v>0</v>
      </c>
      <c r="AU5" s="3">
        <f t="shared" ca="1" si="0"/>
        <v>0</v>
      </c>
      <c r="AV5" s="3">
        <f t="shared" ca="1" si="0"/>
        <v>0</v>
      </c>
      <c r="AW5" s="3">
        <f t="shared" ca="1" si="0"/>
        <v>0</v>
      </c>
      <c r="AX5" s="3">
        <f t="shared" ca="1" si="2"/>
        <v>0</v>
      </c>
    </row>
    <row r="6" spans="1:50" x14ac:dyDescent="0.2">
      <c r="A6" s="3">
        <f t="shared" ca="1" si="1"/>
        <v>0</v>
      </c>
      <c r="B6" s="3">
        <f t="shared" ca="1" si="0"/>
        <v>0</v>
      </c>
      <c r="C6" s="3">
        <f t="shared" ca="1" si="0"/>
        <v>1</v>
      </c>
      <c r="D6" s="3">
        <f t="shared" ca="1" si="0"/>
        <v>0</v>
      </c>
      <c r="E6" s="3">
        <f t="shared" ca="1" si="0"/>
        <v>1</v>
      </c>
      <c r="F6" s="3">
        <f t="shared" ca="1" si="0"/>
        <v>0</v>
      </c>
      <c r="G6" s="3">
        <f t="shared" ca="1" si="0"/>
        <v>1</v>
      </c>
      <c r="H6" s="3">
        <f t="shared" ca="1" si="0"/>
        <v>0</v>
      </c>
      <c r="I6" s="3">
        <f t="shared" ca="1" si="0"/>
        <v>0</v>
      </c>
      <c r="J6" s="3">
        <f t="shared" ca="1" si="0"/>
        <v>0</v>
      </c>
      <c r="K6" s="3">
        <f t="shared" ca="1" si="0"/>
        <v>1</v>
      </c>
      <c r="L6" s="3">
        <f t="shared" ca="1" si="0"/>
        <v>0</v>
      </c>
      <c r="M6" s="3">
        <f t="shared" ca="1" si="0"/>
        <v>0</v>
      </c>
      <c r="N6" s="3">
        <f t="shared" ca="1" si="0"/>
        <v>1</v>
      </c>
      <c r="O6" s="3">
        <f t="shared" ca="1" si="0"/>
        <v>1</v>
      </c>
      <c r="P6" s="3">
        <f t="shared" ca="1" si="0"/>
        <v>0</v>
      </c>
      <c r="Q6" s="3">
        <f t="shared" ca="1" si="0"/>
        <v>0</v>
      </c>
      <c r="R6" s="3">
        <f t="shared" ca="1" si="0"/>
        <v>0</v>
      </c>
      <c r="S6" s="3">
        <f t="shared" ca="1" si="0"/>
        <v>0</v>
      </c>
      <c r="T6" s="3">
        <f t="shared" ca="1" si="0"/>
        <v>1</v>
      </c>
      <c r="U6" s="3">
        <f t="shared" ca="1" si="0"/>
        <v>0</v>
      </c>
      <c r="V6" s="3">
        <f t="shared" ca="1" si="0"/>
        <v>0</v>
      </c>
      <c r="W6" s="3">
        <f t="shared" ca="1" si="0"/>
        <v>0</v>
      </c>
      <c r="X6" s="3">
        <f t="shared" ca="1" si="0"/>
        <v>1</v>
      </c>
      <c r="Y6" s="3">
        <f t="shared" ca="1" si="0"/>
        <v>1</v>
      </c>
      <c r="Z6" s="3">
        <f t="shared" ca="1" si="0"/>
        <v>0</v>
      </c>
      <c r="AA6" s="3">
        <f t="shared" ca="1" si="0"/>
        <v>0</v>
      </c>
      <c r="AB6" s="3">
        <f t="shared" ca="1" si="0"/>
        <v>0</v>
      </c>
      <c r="AC6" s="3">
        <f t="shared" ca="1" si="0"/>
        <v>0</v>
      </c>
      <c r="AD6" s="3">
        <f t="shared" ca="1" si="0"/>
        <v>1</v>
      </c>
      <c r="AE6" s="3">
        <f t="shared" ca="1" si="0"/>
        <v>1</v>
      </c>
      <c r="AF6" s="3">
        <f t="shared" ca="1" si="0"/>
        <v>1</v>
      </c>
      <c r="AG6" s="3">
        <f t="shared" ca="1" si="0"/>
        <v>1</v>
      </c>
      <c r="AH6" s="3">
        <f t="shared" ca="1" si="0"/>
        <v>1</v>
      </c>
      <c r="AI6" s="3">
        <f t="shared" ca="1" si="0"/>
        <v>0</v>
      </c>
      <c r="AJ6" s="3">
        <f t="shared" ca="1" si="0"/>
        <v>0</v>
      </c>
      <c r="AK6" s="3">
        <f t="shared" ca="1" si="0"/>
        <v>1</v>
      </c>
      <c r="AL6" s="3">
        <f t="shared" ca="1" si="0"/>
        <v>0</v>
      </c>
      <c r="AM6" s="3">
        <f t="shared" ca="1" si="0"/>
        <v>1</v>
      </c>
      <c r="AN6" s="3">
        <f t="shared" ca="1" si="0"/>
        <v>1</v>
      </c>
      <c r="AO6" s="3">
        <f t="shared" ca="1" si="0"/>
        <v>0</v>
      </c>
      <c r="AP6" s="3">
        <f t="shared" ca="1" si="0"/>
        <v>1</v>
      </c>
      <c r="AQ6" s="3">
        <f t="shared" ca="1" si="0"/>
        <v>0</v>
      </c>
      <c r="AR6" s="3">
        <f t="shared" ca="1" si="0"/>
        <v>0</v>
      </c>
      <c r="AS6" s="3">
        <f t="shared" ca="1" si="0"/>
        <v>1</v>
      </c>
      <c r="AT6" s="3">
        <f t="shared" ca="1" si="0"/>
        <v>1</v>
      </c>
      <c r="AU6" s="3">
        <f t="shared" ca="1" si="0"/>
        <v>0</v>
      </c>
      <c r="AV6" s="3">
        <f t="shared" ca="1" si="0"/>
        <v>1</v>
      </c>
      <c r="AW6" s="3">
        <f t="shared" ca="1" si="0"/>
        <v>1</v>
      </c>
      <c r="AX6" s="3">
        <f t="shared" ca="1" si="2"/>
        <v>0</v>
      </c>
    </row>
    <row r="7" spans="1:50" x14ac:dyDescent="0.2">
      <c r="A7" s="3">
        <f t="shared" ca="1" si="1"/>
        <v>0</v>
      </c>
      <c r="B7" s="3">
        <f t="shared" ca="1" si="0"/>
        <v>1</v>
      </c>
      <c r="C7" s="3">
        <f t="shared" ca="1" si="0"/>
        <v>1</v>
      </c>
      <c r="D7" s="3">
        <f t="shared" ca="1" si="0"/>
        <v>1</v>
      </c>
      <c r="E7" s="3">
        <f t="shared" ca="1" si="0"/>
        <v>1</v>
      </c>
      <c r="F7" s="3">
        <f t="shared" ca="1" si="0"/>
        <v>1</v>
      </c>
      <c r="G7" s="3">
        <f t="shared" ca="1" si="0"/>
        <v>1</v>
      </c>
      <c r="H7" s="3">
        <f t="shared" ca="1" si="0"/>
        <v>1</v>
      </c>
      <c r="I7" s="3">
        <f t="shared" ca="1" si="0"/>
        <v>1</v>
      </c>
      <c r="J7" s="3">
        <f t="shared" ca="1" si="0"/>
        <v>1</v>
      </c>
      <c r="K7" s="3">
        <f t="shared" ca="1" si="0"/>
        <v>0</v>
      </c>
      <c r="L7" s="3">
        <f t="shared" ca="1" si="0"/>
        <v>1</v>
      </c>
      <c r="M7" s="3">
        <f t="shared" ca="1" si="0"/>
        <v>0</v>
      </c>
      <c r="N7" s="3">
        <f t="shared" ca="1" si="0"/>
        <v>1</v>
      </c>
      <c r="O7" s="3">
        <f t="shared" ca="1" si="0"/>
        <v>1</v>
      </c>
      <c r="P7" s="3">
        <f t="shared" ca="1" si="0"/>
        <v>0</v>
      </c>
      <c r="Q7" s="3">
        <f t="shared" ca="1" si="0"/>
        <v>1</v>
      </c>
      <c r="R7" s="3">
        <f t="shared" ref="R7:AG22" ca="1" si="3">RANDBETWEEN(0,1)</f>
        <v>1</v>
      </c>
      <c r="S7" s="3">
        <f t="shared" ca="1" si="3"/>
        <v>0</v>
      </c>
      <c r="T7" s="3">
        <f t="shared" ca="1" si="3"/>
        <v>1</v>
      </c>
      <c r="U7" s="3">
        <f t="shared" ca="1" si="3"/>
        <v>0</v>
      </c>
      <c r="V7" s="3">
        <f t="shared" ca="1" si="3"/>
        <v>1</v>
      </c>
      <c r="W7" s="3">
        <f t="shared" ca="1" si="3"/>
        <v>0</v>
      </c>
      <c r="X7" s="3">
        <f t="shared" ca="1" si="3"/>
        <v>1</v>
      </c>
      <c r="Y7" s="3">
        <f t="shared" ca="1" si="3"/>
        <v>1</v>
      </c>
      <c r="Z7" s="3">
        <f t="shared" ca="1" si="3"/>
        <v>1</v>
      </c>
      <c r="AA7" s="3">
        <f t="shared" ca="1" si="3"/>
        <v>1</v>
      </c>
      <c r="AB7" s="3">
        <f t="shared" ca="1" si="3"/>
        <v>1</v>
      </c>
      <c r="AC7" s="3">
        <f t="shared" ca="1" si="3"/>
        <v>0</v>
      </c>
      <c r="AD7" s="3">
        <f t="shared" ca="1" si="3"/>
        <v>1</v>
      </c>
      <c r="AE7" s="3">
        <f t="shared" ca="1" si="3"/>
        <v>1</v>
      </c>
      <c r="AF7" s="3">
        <f t="shared" ca="1" si="3"/>
        <v>1</v>
      </c>
      <c r="AG7" s="3">
        <f t="shared" ca="1" si="3"/>
        <v>0</v>
      </c>
      <c r="AH7" s="3">
        <f t="shared" ref="AH7:AW22" ca="1" si="4">RANDBETWEEN(0,1)</f>
        <v>0</v>
      </c>
      <c r="AI7" s="3">
        <f t="shared" ca="1" si="4"/>
        <v>0</v>
      </c>
      <c r="AJ7" s="3">
        <f t="shared" ca="1" si="4"/>
        <v>1</v>
      </c>
      <c r="AK7" s="3">
        <f t="shared" ca="1" si="4"/>
        <v>1</v>
      </c>
      <c r="AL7" s="3">
        <f t="shared" ca="1" si="4"/>
        <v>1</v>
      </c>
      <c r="AM7" s="3">
        <f t="shared" ca="1" si="4"/>
        <v>0</v>
      </c>
      <c r="AN7" s="3">
        <f t="shared" ca="1" si="4"/>
        <v>1</v>
      </c>
      <c r="AO7" s="3">
        <f t="shared" ca="1" si="4"/>
        <v>1</v>
      </c>
      <c r="AP7" s="3">
        <f t="shared" ca="1" si="4"/>
        <v>0</v>
      </c>
      <c r="AQ7" s="3">
        <f t="shared" ca="1" si="4"/>
        <v>1</v>
      </c>
      <c r="AR7" s="3">
        <f t="shared" ca="1" si="4"/>
        <v>0</v>
      </c>
      <c r="AS7" s="3">
        <f t="shared" ca="1" si="4"/>
        <v>0</v>
      </c>
      <c r="AT7" s="3">
        <f t="shared" ca="1" si="4"/>
        <v>1</v>
      </c>
      <c r="AU7" s="3">
        <f t="shared" ca="1" si="4"/>
        <v>1</v>
      </c>
      <c r="AV7" s="3">
        <f t="shared" ca="1" si="4"/>
        <v>1</v>
      </c>
      <c r="AW7" s="3">
        <f t="shared" ca="1" si="4"/>
        <v>1</v>
      </c>
      <c r="AX7" s="3">
        <f t="shared" ca="1" si="2"/>
        <v>0</v>
      </c>
    </row>
    <row r="8" spans="1:50" x14ac:dyDescent="0.2">
      <c r="A8" s="3">
        <f t="shared" ca="1" si="1"/>
        <v>0</v>
      </c>
      <c r="B8" s="3">
        <f t="shared" ca="1" si="1"/>
        <v>1</v>
      </c>
      <c r="C8" s="3">
        <f t="shared" ca="1" si="1"/>
        <v>1</v>
      </c>
      <c r="D8" s="3">
        <f t="shared" ca="1" si="1"/>
        <v>1</v>
      </c>
      <c r="E8" s="3">
        <f t="shared" ca="1" si="1"/>
        <v>1</v>
      </c>
      <c r="F8" s="3">
        <f t="shared" ca="1" si="1"/>
        <v>0</v>
      </c>
      <c r="G8" s="3">
        <f t="shared" ca="1" si="1"/>
        <v>0</v>
      </c>
      <c r="H8" s="3">
        <f t="shared" ca="1" si="1"/>
        <v>1</v>
      </c>
      <c r="I8" s="3">
        <f t="shared" ca="1" si="1"/>
        <v>0</v>
      </c>
      <c r="J8" s="3">
        <f t="shared" ca="1" si="1"/>
        <v>1</v>
      </c>
      <c r="K8" s="3">
        <f t="shared" ca="1" si="1"/>
        <v>0</v>
      </c>
      <c r="L8" s="3">
        <f t="shared" ca="1" si="1"/>
        <v>1</v>
      </c>
      <c r="M8" s="3">
        <f t="shared" ca="1" si="1"/>
        <v>1</v>
      </c>
      <c r="N8" s="3">
        <f t="shared" ca="1" si="1"/>
        <v>1</v>
      </c>
      <c r="O8" s="3">
        <f t="shared" ca="1" si="1"/>
        <v>0</v>
      </c>
      <c r="P8" s="3">
        <f t="shared" ca="1" si="1"/>
        <v>0</v>
      </c>
      <c r="Q8" s="3">
        <f t="shared" ref="Q8:AF22" ca="1" si="5">RANDBETWEEN(0,1)</f>
        <v>0</v>
      </c>
      <c r="R8" s="3">
        <f t="shared" ca="1" si="5"/>
        <v>1</v>
      </c>
      <c r="S8" s="3">
        <f t="shared" ca="1" si="5"/>
        <v>1</v>
      </c>
      <c r="T8" s="3">
        <f t="shared" ca="1" si="5"/>
        <v>0</v>
      </c>
      <c r="U8" s="3">
        <f t="shared" ca="1" si="5"/>
        <v>0</v>
      </c>
      <c r="V8" s="3">
        <f t="shared" ca="1" si="5"/>
        <v>1</v>
      </c>
      <c r="W8" s="3">
        <f t="shared" ca="1" si="5"/>
        <v>0</v>
      </c>
      <c r="X8" s="3">
        <f t="shared" ca="1" si="5"/>
        <v>1</v>
      </c>
      <c r="Y8" s="3">
        <f t="shared" ca="1" si="5"/>
        <v>1</v>
      </c>
      <c r="Z8" s="3">
        <f t="shared" ca="1" si="5"/>
        <v>0</v>
      </c>
      <c r="AA8" s="3">
        <f t="shared" ca="1" si="5"/>
        <v>1</v>
      </c>
      <c r="AB8" s="3">
        <f t="shared" ca="1" si="5"/>
        <v>0</v>
      </c>
      <c r="AC8" s="3">
        <f t="shared" ca="1" si="5"/>
        <v>1</v>
      </c>
      <c r="AD8" s="3">
        <f t="shared" ca="1" si="5"/>
        <v>1</v>
      </c>
      <c r="AE8" s="3">
        <f t="shared" ca="1" si="5"/>
        <v>1</v>
      </c>
      <c r="AF8" s="3">
        <f t="shared" ca="1" si="5"/>
        <v>1</v>
      </c>
      <c r="AG8" s="3">
        <f t="shared" ca="1" si="3"/>
        <v>1</v>
      </c>
      <c r="AH8" s="3">
        <f t="shared" ca="1" si="4"/>
        <v>0</v>
      </c>
      <c r="AI8" s="3">
        <f t="shared" ca="1" si="4"/>
        <v>0</v>
      </c>
      <c r="AJ8" s="3">
        <f t="shared" ca="1" si="4"/>
        <v>0</v>
      </c>
      <c r="AK8" s="3">
        <f t="shared" ca="1" si="4"/>
        <v>0</v>
      </c>
      <c r="AL8" s="3">
        <f t="shared" ca="1" si="4"/>
        <v>0</v>
      </c>
      <c r="AM8" s="3">
        <f t="shared" ca="1" si="4"/>
        <v>0</v>
      </c>
      <c r="AN8" s="3">
        <f t="shared" ca="1" si="4"/>
        <v>0</v>
      </c>
      <c r="AO8" s="3">
        <f t="shared" ca="1" si="4"/>
        <v>1</v>
      </c>
      <c r="AP8" s="3">
        <f t="shared" ca="1" si="4"/>
        <v>0</v>
      </c>
      <c r="AQ8" s="3">
        <f t="shared" ca="1" si="4"/>
        <v>1</v>
      </c>
      <c r="AR8" s="3">
        <f t="shared" ca="1" si="4"/>
        <v>1</v>
      </c>
      <c r="AS8" s="3">
        <f t="shared" ca="1" si="4"/>
        <v>1</v>
      </c>
      <c r="AT8" s="3">
        <f t="shared" ca="1" si="4"/>
        <v>0</v>
      </c>
      <c r="AU8" s="3">
        <f t="shared" ca="1" si="4"/>
        <v>0</v>
      </c>
      <c r="AV8" s="3">
        <f t="shared" ca="1" si="4"/>
        <v>0</v>
      </c>
      <c r="AW8" s="3">
        <f t="shared" ca="1" si="4"/>
        <v>0</v>
      </c>
      <c r="AX8" s="3">
        <f t="shared" ca="1" si="2"/>
        <v>1</v>
      </c>
    </row>
    <row r="9" spans="1:50" x14ac:dyDescent="0.2">
      <c r="A9" s="3">
        <f t="shared" ca="1" si="1"/>
        <v>1</v>
      </c>
      <c r="B9" s="3">
        <f t="shared" ca="1" si="1"/>
        <v>1</v>
      </c>
      <c r="C9" s="3">
        <f t="shared" ca="1" si="1"/>
        <v>0</v>
      </c>
      <c r="D9" s="3">
        <f t="shared" ca="1" si="1"/>
        <v>1</v>
      </c>
      <c r="E9" s="3">
        <f t="shared" ca="1" si="1"/>
        <v>1</v>
      </c>
      <c r="F9" s="3">
        <f t="shared" ca="1" si="1"/>
        <v>0</v>
      </c>
      <c r="G9" s="3">
        <f t="shared" ca="1" si="1"/>
        <v>1</v>
      </c>
      <c r="H9" s="3">
        <f t="shared" ca="1" si="1"/>
        <v>1</v>
      </c>
      <c r="I9" s="3">
        <f t="shared" ca="1" si="1"/>
        <v>0</v>
      </c>
      <c r="J9" s="3">
        <f t="shared" ca="1" si="1"/>
        <v>1</v>
      </c>
      <c r="K9" s="3">
        <f t="shared" ca="1" si="1"/>
        <v>1</v>
      </c>
      <c r="L9" s="3">
        <f t="shared" ca="1" si="1"/>
        <v>1</v>
      </c>
      <c r="M9" s="3">
        <f t="shared" ca="1" si="1"/>
        <v>1</v>
      </c>
      <c r="N9" s="3">
        <f t="shared" ca="1" si="1"/>
        <v>0</v>
      </c>
      <c r="O9" s="3">
        <f t="shared" ca="1" si="1"/>
        <v>1</v>
      </c>
      <c r="P9" s="3">
        <f t="shared" ca="1" si="1"/>
        <v>1</v>
      </c>
      <c r="Q9" s="3">
        <f t="shared" ca="1" si="5"/>
        <v>1</v>
      </c>
      <c r="R9" s="3">
        <f t="shared" ca="1" si="5"/>
        <v>1</v>
      </c>
      <c r="S9" s="3">
        <f t="shared" ca="1" si="5"/>
        <v>0</v>
      </c>
      <c r="T9" s="3">
        <f t="shared" ca="1" si="5"/>
        <v>0</v>
      </c>
      <c r="U9" s="3">
        <f t="shared" ca="1" si="5"/>
        <v>1</v>
      </c>
      <c r="V9" s="3">
        <f t="shared" ca="1" si="5"/>
        <v>0</v>
      </c>
      <c r="W9" s="3">
        <f t="shared" ca="1" si="5"/>
        <v>0</v>
      </c>
      <c r="X9" s="3">
        <f t="shared" ca="1" si="5"/>
        <v>1</v>
      </c>
      <c r="Y9" s="3">
        <f t="shared" ca="1" si="5"/>
        <v>1</v>
      </c>
      <c r="Z9" s="3">
        <f t="shared" ca="1" si="5"/>
        <v>0</v>
      </c>
      <c r="AA9" s="3">
        <f t="shared" ca="1" si="5"/>
        <v>1</v>
      </c>
      <c r="AB9" s="3">
        <f t="shared" ca="1" si="5"/>
        <v>1</v>
      </c>
      <c r="AC9" s="3">
        <f t="shared" ca="1" si="5"/>
        <v>0</v>
      </c>
      <c r="AD9" s="3">
        <f t="shared" ca="1" si="5"/>
        <v>1</v>
      </c>
      <c r="AE9" s="3">
        <f t="shared" ca="1" si="5"/>
        <v>0</v>
      </c>
      <c r="AF9" s="3">
        <f t="shared" ca="1" si="5"/>
        <v>1</v>
      </c>
      <c r="AG9" s="3">
        <f t="shared" ca="1" si="3"/>
        <v>0</v>
      </c>
      <c r="AH9" s="3">
        <f t="shared" ca="1" si="4"/>
        <v>1</v>
      </c>
      <c r="AI9" s="3">
        <f t="shared" ca="1" si="4"/>
        <v>0</v>
      </c>
      <c r="AJ9" s="3">
        <f t="shared" ca="1" si="4"/>
        <v>1</v>
      </c>
      <c r="AK9" s="3">
        <f t="shared" ca="1" si="4"/>
        <v>0</v>
      </c>
      <c r="AL9" s="3">
        <f t="shared" ca="1" si="4"/>
        <v>0</v>
      </c>
      <c r="AM9" s="3">
        <f t="shared" ca="1" si="4"/>
        <v>1</v>
      </c>
      <c r="AN9" s="3">
        <f t="shared" ca="1" si="4"/>
        <v>1</v>
      </c>
      <c r="AO9" s="3">
        <f t="shared" ca="1" si="4"/>
        <v>1</v>
      </c>
      <c r="AP9" s="3">
        <f t="shared" ca="1" si="4"/>
        <v>1</v>
      </c>
      <c r="AQ9" s="3">
        <f t="shared" ca="1" si="4"/>
        <v>1</v>
      </c>
      <c r="AR9" s="3">
        <f t="shared" ca="1" si="4"/>
        <v>1</v>
      </c>
      <c r="AS9" s="3">
        <f t="shared" ca="1" si="4"/>
        <v>0</v>
      </c>
      <c r="AT9" s="3">
        <f t="shared" ca="1" si="4"/>
        <v>1</v>
      </c>
      <c r="AU9" s="3">
        <f t="shared" ca="1" si="4"/>
        <v>0</v>
      </c>
      <c r="AV9" s="3">
        <f t="shared" ca="1" si="4"/>
        <v>0</v>
      </c>
      <c r="AW9" s="3">
        <f t="shared" ca="1" si="4"/>
        <v>1</v>
      </c>
      <c r="AX9" s="3">
        <f t="shared" ca="1" si="2"/>
        <v>0</v>
      </c>
    </row>
    <row r="10" spans="1:50" x14ac:dyDescent="0.2">
      <c r="A10" s="3">
        <f t="shared" ca="1" si="1"/>
        <v>1</v>
      </c>
      <c r="B10" s="3">
        <f t="shared" ca="1" si="1"/>
        <v>0</v>
      </c>
      <c r="C10" s="3">
        <f t="shared" ca="1" si="1"/>
        <v>1</v>
      </c>
      <c r="D10" s="3">
        <f t="shared" ca="1" si="1"/>
        <v>1</v>
      </c>
      <c r="E10" s="3">
        <f t="shared" ca="1" si="1"/>
        <v>0</v>
      </c>
      <c r="F10" s="3">
        <f t="shared" ca="1" si="1"/>
        <v>0</v>
      </c>
      <c r="G10" s="3">
        <f t="shared" ca="1" si="1"/>
        <v>1</v>
      </c>
      <c r="H10" s="3">
        <f t="shared" ca="1" si="1"/>
        <v>0</v>
      </c>
      <c r="I10" s="3">
        <f t="shared" ca="1" si="1"/>
        <v>0</v>
      </c>
      <c r="J10" s="3">
        <f t="shared" ca="1" si="1"/>
        <v>1</v>
      </c>
      <c r="K10" s="3">
        <f t="shared" ca="1" si="1"/>
        <v>0</v>
      </c>
      <c r="L10" s="3">
        <f t="shared" ca="1" si="1"/>
        <v>1</v>
      </c>
      <c r="M10" s="3">
        <f t="shared" ca="1" si="1"/>
        <v>1</v>
      </c>
      <c r="N10" s="3">
        <f t="shared" ca="1" si="1"/>
        <v>1</v>
      </c>
      <c r="O10" s="3">
        <f t="shared" ca="1" si="1"/>
        <v>1</v>
      </c>
      <c r="P10" s="3">
        <f t="shared" ca="1" si="1"/>
        <v>1</v>
      </c>
      <c r="Q10" s="3">
        <f t="shared" ca="1" si="5"/>
        <v>1</v>
      </c>
      <c r="R10" s="3">
        <f t="shared" ca="1" si="5"/>
        <v>0</v>
      </c>
      <c r="S10" s="3">
        <f t="shared" ca="1" si="5"/>
        <v>0</v>
      </c>
      <c r="T10" s="3">
        <f t="shared" ca="1" si="5"/>
        <v>0</v>
      </c>
      <c r="U10" s="3">
        <f t="shared" ca="1" si="5"/>
        <v>1</v>
      </c>
      <c r="V10" s="3">
        <f t="shared" ca="1" si="5"/>
        <v>0</v>
      </c>
      <c r="W10" s="3">
        <f t="shared" ca="1" si="5"/>
        <v>1</v>
      </c>
      <c r="X10" s="3">
        <f t="shared" ca="1" si="5"/>
        <v>1</v>
      </c>
      <c r="Y10" s="3">
        <f t="shared" ca="1" si="5"/>
        <v>0</v>
      </c>
      <c r="Z10" s="3">
        <f t="shared" ca="1" si="5"/>
        <v>1</v>
      </c>
      <c r="AA10" s="3">
        <f t="shared" ca="1" si="5"/>
        <v>0</v>
      </c>
      <c r="AB10" s="3">
        <f t="shared" ca="1" si="5"/>
        <v>0</v>
      </c>
      <c r="AC10" s="3">
        <f t="shared" ca="1" si="5"/>
        <v>0</v>
      </c>
      <c r="AD10" s="3">
        <f t="shared" ca="1" si="5"/>
        <v>1</v>
      </c>
      <c r="AE10" s="3">
        <f t="shared" ca="1" si="5"/>
        <v>1</v>
      </c>
      <c r="AF10" s="3">
        <f t="shared" ca="1" si="5"/>
        <v>0</v>
      </c>
      <c r="AG10" s="3">
        <f t="shared" ca="1" si="3"/>
        <v>1</v>
      </c>
      <c r="AH10" s="3">
        <f t="shared" ca="1" si="4"/>
        <v>0</v>
      </c>
      <c r="AI10" s="3">
        <f t="shared" ca="1" si="4"/>
        <v>0</v>
      </c>
      <c r="AJ10" s="3">
        <f t="shared" ca="1" si="4"/>
        <v>1</v>
      </c>
      <c r="AK10" s="3">
        <f t="shared" ca="1" si="4"/>
        <v>1</v>
      </c>
      <c r="AL10" s="3">
        <f t="shared" ca="1" si="4"/>
        <v>0</v>
      </c>
      <c r="AM10" s="3">
        <f t="shared" ca="1" si="4"/>
        <v>1</v>
      </c>
      <c r="AN10" s="3">
        <f t="shared" ca="1" si="4"/>
        <v>0</v>
      </c>
      <c r="AO10" s="3">
        <f t="shared" ca="1" si="4"/>
        <v>0</v>
      </c>
      <c r="AP10" s="3">
        <f t="shared" ca="1" si="4"/>
        <v>0</v>
      </c>
      <c r="AQ10" s="3">
        <f t="shared" ca="1" si="4"/>
        <v>1</v>
      </c>
      <c r="AR10" s="3">
        <f t="shared" ca="1" si="4"/>
        <v>0</v>
      </c>
      <c r="AS10" s="3">
        <f t="shared" ca="1" si="4"/>
        <v>0</v>
      </c>
      <c r="AT10" s="3">
        <f t="shared" ca="1" si="4"/>
        <v>0</v>
      </c>
      <c r="AU10" s="3">
        <f t="shared" ca="1" si="4"/>
        <v>0</v>
      </c>
      <c r="AV10" s="3">
        <f t="shared" ca="1" si="4"/>
        <v>0</v>
      </c>
      <c r="AW10" s="3">
        <f t="shared" ca="1" si="4"/>
        <v>0</v>
      </c>
      <c r="AX10" s="3">
        <f t="shared" ca="1" si="2"/>
        <v>0</v>
      </c>
    </row>
    <row r="11" spans="1:50" x14ac:dyDescent="0.2">
      <c r="A11" s="3">
        <f t="shared" ca="1" si="1"/>
        <v>1</v>
      </c>
      <c r="B11" s="3">
        <f t="shared" ca="1" si="1"/>
        <v>0</v>
      </c>
      <c r="C11" s="3">
        <f t="shared" ca="1" si="1"/>
        <v>0</v>
      </c>
      <c r="D11" s="3">
        <f t="shared" ca="1" si="1"/>
        <v>0</v>
      </c>
      <c r="E11" s="3">
        <f t="shared" ca="1" si="1"/>
        <v>0</v>
      </c>
      <c r="F11" s="3">
        <f t="shared" ca="1" si="1"/>
        <v>1</v>
      </c>
      <c r="G11" s="3">
        <f t="shared" ca="1" si="1"/>
        <v>0</v>
      </c>
      <c r="H11" s="3">
        <f t="shared" ca="1" si="1"/>
        <v>1</v>
      </c>
      <c r="I11" s="3">
        <f t="shared" ca="1" si="1"/>
        <v>0</v>
      </c>
      <c r="J11" s="3">
        <f t="shared" ca="1" si="1"/>
        <v>1</v>
      </c>
      <c r="K11" s="3">
        <f t="shared" ca="1" si="1"/>
        <v>0</v>
      </c>
      <c r="L11" s="3">
        <f t="shared" ca="1" si="1"/>
        <v>0</v>
      </c>
      <c r="M11" s="3">
        <f t="shared" ca="1" si="1"/>
        <v>0</v>
      </c>
      <c r="N11" s="3">
        <f t="shared" ca="1" si="1"/>
        <v>1</v>
      </c>
      <c r="O11" s="3">
        <f t="shared" ca="1" si="1"/>
        <v>1</v>
      </c>
      <c r="P11" s="3">
        <f t="shared" ca="1" si="1"/>
        <v>0</v>
      </c>
      <c r="Q11" s="3">
        <f t="shared" ca="1" si="5"/>
        <v>0</v>
      </c>
      <c r="R11" s="3">
        <f t="shared" ca="1" si="5"/>
        <v>0</v>
      </c>
      <c r="S11" s="3">
        <f t="shared" ca="1" si="5"/>
        <v>0</v>
      </c>
      <c r="T11" s="3">
        <f t="shared" ca="1" si="5"/>
        <v>1</v>
      </c>
      <c r="U11" s="3">
        <f t="shared" ca="1" si="5"/>
        <v>1</v>
      </c>
      <c r="V11" s="3">
        <f t="shared" ca="1" si="5"/>
        <v>1</v>
      </c>
      <c r="W11" s="3">
        <f t="shared" ca="1" si="5"/>
        <v>0</v>
      </c>
      <c r="X11" s="3">
        <f t="shared" ca="1" si="5"/>
        <v>1</v>
      </c>
      <c r="Y11" s="3">
        <f t="shared" ca="1" si="5"/>
        <v>0</v>
      </c>
      <c r="Z11" s="3">
        <f t="shared" ca="1" si="5"/>
        <v>0</v>
      </c>
      <c r="AA11" s="3">
        <f t="shared" ca="1" si="5"/>
        <v>0</v>
      </c>
      <c r="AB11" s="3">
        <f t="shared" ca="1" si="5"/>
        <v>0</v>
      </c>
      <c r="AC11" s="3">
        <f t="shared" ca="1" si="5"/>
        <v>1</v>
      </c>
      <c r="AD11" s="3">
        <f t="shared" ca="1" si="5"/>
        <v>0</v>
      </c>
      <c r="AE11" s="3">
        <f t="shared" ca="1" si="5"/>
        <v>1</v>
      </c>
      <c r="AF11" s="3">
        <f t="shared" ca="1" si="5"/>
        <v>0</v>
      </c>
      <c r="AG11" s="3">
        <f t="shared" ca="1" si="3"/>
        <v>0</v>
      </c>
      <c r="AH11" s="3">
        <f t="shared" ca="1" si="4"/>
        <v>0</v>
      </c>
      <c r="AI11" s="3">
        <f t="shared" ca="1" si="4"/>
        <v>1</v>
      </c>
      <c r="AJ11" s="3">
        <f t="shared" ca="1" si="4"/>
        <v>0</v>
      </c>
      <c r="AK11" s="3">
        <f t="shared" ca="1" si="4"/>
        <v>1</v>
      </c>
      <c r="AL11" s="3">
        <f t="shared" ca="1" si="4"/>
        <v>0</v>
      </c>
      <c r="AM11" s="3">
        <f t="shared" ca="1" si="4"/>
        <v>1</v>
      </c>
      <c r="AN11" s="3">
        <f t="shared" ca="1" si="4"/>
        <v>1</v>
      </c>
      <c r="AO11" s="3">
        <f t="shared" ca="1" si="4"/>
        <v>0</v>
      </c>
      <c r="AP11" s="3">
        <f t="shared" ca="1" si="4"/>
        <v>1</v>
      </c>
      <c r="AQ11" s="3">
        <f t="shared" ca="1" si="4"/>
        <v>0</v>
      </c>
      <c r="AR11" s="3">
        <f t="shared" ca="1" si="4"/>
        <v>1</v>
      </c>
      <c r="AS11" s="3">
        <f t="shared" ca="1" si="4"/>
        <v>0</v>
      </c>
      <c r="AT11" s="3">
        <f t="shared" ca="1" si="4"/>
        <v>1</v>
      </c>
      <c r="AU11" s="3">
        <f t="shared" ca="1" si="4"/>
        <v>1</v>
      </c>
      <c r="AV11" s="3">
        <f t="shared" ca="1" si="4"/>
        <v>1</v>
      </c>
      <c r="AW11" s="3">
        <f t="shared" ca="1" si="4"/>
        <v>0</v>
      </c>
      <c r="AX11" s="3">
        <f t="shared" ca="1" si="2"/>
        <v>0</v>
      </c>
    </row>
    <row r="12" spans="1:50" x14ac:dyDescent="0.2">
      <c r="A12" s="3">
        <f t="shared" ca="1" si="1"/>
        <v>0</v>
      </c>
      <c r="B12" s="3">
        <f t="shared" ca="1" si="1"/>
        <v>0</v>
      </c>
      <c r="C12" s="3">
        <f t="shared" ca="1" si="1"/>
        <v>0</v>
      </c>
      <c r="D12" s="3">
        <f t="shared" ca="1" si="1"/>
        <v>1</v>
      </c>
      <c r="E12" s="3">
        <f t="shared" ca="1" si="1"/>
        <v>1</v>
      </c>
      <c r="F12" s="3">
        <f t="shared" ca="1" si="1"/>
        <v>1</v>
      </c>
      <c r="G12" s="3">
        <f t="shared" ca="1" si="1"/>
        <v>0</v>
      </c>
      <c r="H12" s="3">
        <f t="shared" ca="1" si="1"/>
        <v>1</v>
      </c>
      <c r="I12" s="3">
        <f t="shared" ca="1" si="1"/>
        <v>0</v>
      </c>
      <c r="J12" s="3">
        <f t="shared" ca="1" si="1"/>
        <v>0</v>
      </c>
      <c r="K12" s="3">
        <f t="shared" ca="1" si="1"/>
        <v>1</v>
      </c>
      <c r="L12" s="3">
        <f t="shared" ca="1" si="1"/>
        <v>1</v>
      </c>
      <c r="M12" s="3">
        <f t="shared" ca="1" si="1"/>
        <v>1</v>
      </c>
      <c r="N12" s="3">
        <f t="shared" ca="1" si="1"/>
        <v>0</v>
      </c>
      <c r="O12" s="3">
        <f t="shared" ca="1" si="1"/>
        <v>1</v>
      </c>
      <c r="P12" s="3">
        <f t="shared" ca="1" si="1"/>
        <v>1</v>
      </c>
      <c r="Q12" s="3">
        <f t="shared" ca="1" si="5"/>
        <v>0</v>
      </c>
      <c r="R12" s="3">
        <f t="shared" ca="1" si="5"/>
        <v>1</v>
      </c>
      <c r="S12" s="3">
        <f t="shared" ca="1" si="5"/>
        <v>0</v>
      </c>
      <c r="T12" s="3">
        <f t="shared" ca="1" si="5"/>
        <v>0</v>
      </c>
      <c r="U12" s="3">
        <f t="shared" ca="1" si="5"/>
        <v>0</v>
      </c>
      <c r="V12" s="3">
        <f t="shared" ca="1" si="5"/>
        <v>1</v>
      </c>
      <c r="W12" s="3">
        <f t="shared" ca="1" si="5"/>
        <v>0</v>
      </c>
      <c r="X12" s="3">
        <f t="shared" ca="1" si="5"/>
        <v>1</v>
      </c>
      <c r="Y12" s="3">
        <f t="shared" ca="1" si="5"/>
        <v>1</v>
      </c>
      <c r="Z12" s="3">
        <f t="shared" ca="1" si="5"/>
        <v>0</v>
      </c>
      <c r="AA12" s="3">
        <f t="shared" ca="1" si="5"/>
        <v>0</v>
      </c>
      <c r="AB12" s="3">
        <f t="shared" ca="1" si="5"/>
        <v>0</v>
      </c>
      <c r="AC12" s="3">
        <f t="shared" ca="1" si="5"/>
        <v>1</v>
      </c>
      <c r="AD12" s="3">
        <f t="shared" ca="1" si="5"/>
        <v>1</v>
      </c>
      <c r="AE12" s="3">
        <f t="shared" ca="1" si="5"/>
        <v>0</v>
      </c>
      <c r="AF12" s="3">
        <f t="shared" ca="1" si="5"/>
        <v>1</v>
      </c>
      <c r="AG12" s="3">
        <f t="shared" ca="1" si="3"/>
        <v>1</v>
      </c>
      <c r="AH12" s="3">
        <f t="shared" ca="1" si="4"/>
        <v>0</v>
      </c>
      <c r="AI12" s="3">
        <f t="shared" ca="1" si="4"/>
        <v>0</v>
      </c>
      <c r="AJ12" s="3">
        <f t="shared" ca="1" si="4"/>
        <v>0</v>
      </c>
      <c r="AK12" s="3">
        <f t="shared" ca="1" si="4"/>
        <v>0</v>
      </c>
      <c r="AL12" s="3">
        <f t="shared" ca="1" si="4"/>
        <v>0</v>
      </c>
      <c r="AM12" s="3">
        <f t="shared" ca="1" si="4"/>
        <v>0</v>
      </c>
      <c r="AN12" s="3">
        <f t="shared" ca="1" si="4"/>
        <v>1</v>
      </c>
      <c r="AO12" s="3">
        <f t="shared" ca="1" si="4"/>
        <v>1</v>
      </c>
      <c r="AP12" s="3">
        <f t="shared" ca="1" si="4"/>
        <v>0</v>
      </c>
      <c r="AQ12" s="3">
        <f t="shared" ca="1" si="4"/>
        <v>0</v>
      </c>
      <c r="AR12" s="3">
        <f t="shared" ca="1" si="4"/>
        <v>1</v>
      </c>
      <c r="AS12" s="3">
        <f t="shared" ca="1" si="4"/>
        <v>0</v>
      </c>
      <c r="AT12" s="3">
        <f t="shared" ca="1" si="4"/>
        <v>1</v>
      </c>
      <c r="AU12" s="3">
        <f t="shared" ca="1" si="4"/>
        <v>1</v>
      </c>
      <c r="AV12" s="3">
        <f t="shared" ca="1" si="4"/>
        <v>0</v>
      </c>
      <c r="AW12" s="3">
        <f t="shared" ca="1" si="4"/>
        <v>0</v>
      </c>
      <c r="AX12" s="3">
        <f t="shared" ca="1" si="2"/>
        <v>0</v>
      </c>
    </row>
    <row r="13" spans="1:50" x14ac:dyDescent="0.2">
      <c r="A13" s="3">
        <f t="shared" ca="1" si="1"/>
        <v>0</v>
      </c>
      <c r="B13" s="3">
        <f t="shared" ca="1" si="1"/>
        <v>1</v>
      </c>
      <c r="C13" s="3">
        <f t="shared" ca="1" si="1"/>
        <v>1</v>
      </c>
      <c r="D13" s="3">
        <f t="shared" ca="1" si="1"/>
        <v>0</v>
      </c>
      <c r="E13" s="3">
        <f t="shared" ca="1" si="1"/>
        <v>0</v>
      </c>
      <c r="F13" s="3">
        <f t="shared" ca="1" si="1"/>
        <v>0</v>
      </c>
      <c r="G13" s="3">
        <f t="shared" ca="1" si="1"/>
        <v>0</v>
      </c>
      <c r="H13" s="3">
        <f t="shared" ca="1" si="1"/>
        <v>1</v>
      </c>
      <c r="I13" s="3">
        <f t="shared" ca="1" si="1"/>
        <v>0</v>
      </c>
      <c r="J13" s="3">
        <f t="shared" ca="1" si="1"/>
        <v>1</v>
      </c>
      <c r="K13" s="3">
        <f t="shared" ca="1" si="1"/>
        <v>0</v>
      </c>
      <c r="L13" s="3">
        <f t="shared" ca="1" si="1"/>
        <v>1</v>
      </c>
      <c r="M13" s="3">
        <f t="shared" ca="1" si="1"/>
        <v>0</v>
      </c>
      <c r="N13" s="3">
        <f t="shared" ca="1" si="1"/>
        <v>1</v>
      </c>
      <c r="O13" s="3">
        <f t="shared" ca="1" si="1"/>
        <v>1</v>
      </c>
      <c r="P13" s="3">
        <f t="shared" ca="1" si="1"/>
        <v>0</v>
      </c>
      <c r="Q13" s="3">
        <f t="shared" ca="1" si="5"/>
        <v>1</v>
      </c>
      <c r="R13" s="3">
        <f t="shared" ca="1" si="5"/>
        <v>0</v>
      </c>
      <c r="S13" s="3">
        <f t="shared" ca="1" si="5"/>
        <v>0</v>
      </c>
      <c r="T13" s="3">
        <f t="shared" ca="1" si="5"/>
        <v>1</v>
      </c>
      <c r="U13" s="3">
        <f t="shared" ca="1" si="5"/>
        <v>0</v>
      </c>
      <c r="V13" s="3">
        <f t="shared" ca="1" si="5"/>
        <v>0</v>
      </c>
      <c r="W13" s="3">
        <f t="shared" ca="1" si="5"/>
        <v>1</v>
      </c>
      <c r="X13" s="3">
        <f t="shared" ca="1" si="5"/>
        <v>0</v>
      </c>
      <c r="Y13" s="3">
        <f t="shared" ca="1" si="5"/>
        <v>0</v>
      </c>
      <c r="Z13" s="3">
        <f t="shared" ca="1" si="5"/>
        <v>1</v>
      </c>
      <c r="AA13" s="3">
        <f t="shared" ca="1" si="5"/>
        <v>1</v>
      </c>
      <c r="AB13" s="3">
        <f t="shared" ca="1" si="5"/>
        <v>0</v>
      </c>
      <c r="AC13" s="3">
        <f t="shared" ca="1" si="5"/>
        <v>1</v>
      </c>
      <c r="AD13" s="3">
        <f t="shared" ca="1" si="5"/>
        <v>0</v>
      </c>
      <c r="AE13" s="3">
        <f t="shared" ca="1" si="5"/>
        <v>0</v>
      </c>
      <c r="AF13" s="3">
        <f t="shared" ca="1" si="5"/>
        <v>0</v>
      </c>
      <c r="AG13" s="3">
        <f t="shared" ca="1" si="3"/>
        <v>1</v>
      </c>
      <c r="AH13" s="3">
        <f t="shared" ca="1" si="4"/>
        <v>1</v>
      </c>
      <c r="AI13" s="3">
        <f t="shared" ca="1" si="4"/>
        <v>0</v>
      </c>
      <c r="AJ13" s="3">
        <f t="shared" ca="1" si="4"/>
        <v>1</v>
      </c>
      <c r="AK13" s="3">
        <f t="shared" ca="1" si="4"/>
        <v>0</v>
      </c>
      <c r="AL13" s="3">
        <f t="shared" ca="1" si="4"/>
        <v>0</v>
      </c>
      <c r="AM13" s="3">
        <f t="shared" ca="1" si="4"/>
        <v>1</v>
      </c>
      <c r="AN13" s="3">
        <f t="shared" ca="1" si="4"/>
        <v>0</v>
      </c>
      <c r="AO13" s="3">
        <f t="shared" ca="1" si="4"/>
        <v>1</v>
      </c>
      <c r="AP13" s="3">
        <f t="shared" ca="1" si="4"/>
        <v>0</v>
      </c>
      <c r="AQ13" s="3">
        <f t="shared" ca="1" si="4"/>
        <v>0</v>
      </c>
      <c r="AR13" s="3">
        <f t="shared" ca="1" si="4"/>
        <v>1</v>
      </c>
      <c r="AS13" s="3">
        <f t="shared" ca="1" si="4"/>
        <v>1</v>
      </c>
      <c r="AT13" s="3">
        <f t="shared" ca="1" si="4"/>
        <v>0</v>
      </c>
      <c r="AU13" s="3">
        <f t="shared" ca="1" si="4"/>
        <v>0</v>
      </c>
      <c r="AV13" s="3">
        <f t="shared" ca="1" si="4"/>
        <v>1</v>
      </c>
      <c r="AW13" s="3">
        <f t="shared" ca="1" si="4"/>
        <v>1</v>
      </c>
      <c r="AX13" s="3">
        <f t="shared" ca="1" si="2"/>
        <v>1</v>
      </c>
    </row>
    <row r="14" spans="1:50" x14ac:dyDescent="0.2">
      <c r="A14" s="3">
        <f t="shared" ca="1" si="1"/>
        <v>0</v>
      </c>
      <c r="B14" s="3">
        <f t="shared" ca="1" si="1"/>
        <v>0</v>
      </c>
      <c r="C14" s="3">
        <f t="shared" ca="1" si="1"/>
        <v>1</v>
      </c>
      <c r="D14" s="3">
        <f t="shared" ca="1" si="1"/>
        <v>1</v>
      </c>
      <c r="E14" s="3">
        <f t="shared" ca="1" si="1"/>
        <v>1</v>
      </c>
      <c r="F14" s="3">
        <f t="shared" ca="1" si="1"/>
        <v>0</v>
      </c>
      <c r="G14" s="3">
        <f t="shared" ca="1" si="1"/>
        <v>1</v>
      </c>
      <c r="H14" s="3">
        <f t="shared" ca="1" si="1"/>
        <v>0</v>
      </c>
      <c r="I14" s="3">
        <f t="shared" ca="1" si="1"/>
        <v>1</v>
      </c>
      <c r="J14" s="3">
        <f t="shared" ca="1" si="1"/>
        <v>1</v>
      </c>
      <c r="K14" s="3">
        <f t="shared" ca="1" si="1"/>
        <v>1</v>
      </c>
      <c r="L14" s="3">
        <f t="shared" ca="1" si="1"/>
        <v>1</v>
      </c>
      <c r="M14" s="3">
        <f t="shared" ca="1" si="1"/>
        <v>1</v>
      </c>
      <c r="N14" s="3">
        <f t="shared" ca="1" si="1"/>
        <v>0</v>
      </c>
      <c r="O14" s="3">
        <f t="shared" ca="1" si="1"/>
        <v>1</v>
      </c>
      <c r="P14" s="3">
        <f t="shared" ca="1" si="1"/>
        <v>1</v>
      </c>
      <c r="Q14" s="3">
        <f t="shared" ca="1" si="5"/>
        <v>1</v>
      </c>
      <c r="R14" s="3">
        <f t="shared" ca="1" si="5"/>
        <v>1</v>
      </c>
      <c r="S14" s="3">
        <f t="shared" ca="1" si="5"/>
        <v>0</v>
      </c>
      <c r="T14" s="3">
        <f t="shared" ca="1" si="5"/>
        <v>1</v>
      </c>
      <c r="U14" s="3">
        <f t="shared" ca="1" si="5"/>
        <v>0</v>
      </c>
      <c r="V14" s="3">
        <f t="shared" ca="1" si="5"/>
        <v>0</v>
      </c>
      <c r="W14" s="3">
        <f t="shared" ca="1" si="5"/>
        <v>0</v>
      </c>
      <c r="X14" s="3">
        <f t="shared" ca="1" si="5"/>
        <v>0</v>
      </c>
      <c r="Y14" s="3">
        <f t="shared" ca="1" si="5"/>
        <v>0</v>
      </c>
      <c r="Z14" s="3">
        <f t="shared" ca="1" si="5"/>
        <v>0</v>
      </c>
      <c r="AA14" s="3">
        <f t="shared" ca="1" si="5"/>
        <v>1</v>
      </c>
      <c r="AB14" s="3">
        <f t="shared" ca="1" si="5"/>
        <v>0</v>
      </c>
      <c r="AC14" s="3">
        <f t="shared" ca="1" si="5"/>
        <v>0</v>
      </c>
      <c r="AD14" s="3">
        <f t="shared" ca="1" si="5"/>
        <v>0</v>
      </c>
      <c r="AE14" s="3">
        <f t="shared" ca="1" si="5"/>
        <v>0</v>
      </c>
      <c r="AF14" s="3">
        <f t="shared" ca="1" si="5"/>
        <v>1</v>
      </c>
      <c r="AG14" s="3">
        <f t="shared" ca="1" si="3"/>
        <v>0</v>
      </c>
      <c r="AH14" s="3">
        <f t="shared" ca="1" si="4"/>
        <v>1</v>
      </c>
      <c r="AI14" s="3">
        <f t="shared" ca="1" si="4"/>
        <v>1</v>
      </c>
      <c r="AJ14" s="3">
        <f t="shared" ca="1" si="4"/>
        <v>0</v>
      </c>
      <c r="AK14" s="3">
        <f t="shared" ca="1" si="4"/>
        <v>1</v>
      </c>
      <c r="AL14" s="3">
        <f t="shared" ca="1" si="4"/>
        <v>0</v>
      </c>
      <c r="AM14" s="3">
        <f t="shared" ca="1" si="4"/>
        <v>1</v>
      </c>
      <c r="AN14" s="3">
        <f t="shared" ca="1" si="4"/>
        <v>0</v>
      </c>
      <c r="AO14" s="3">
        <f t="shared" ca="1" si="4"/>
        <v>1</v>
      </c>
      <c r="AP14" s="3">
        <f t="shared" ca="1" si="4"/>
        <v>1</v>
      </c>
      <c r="AQ14" s="3">
        <f t="shared" ca="1" si="4"/>
        <v>1</v>
      </c>
      <c r="AR14" s="3">
        <f t="shared" ca="1" si="4"/>
        <v>0</v>
      </c>
      <c r="AS14" s="3">
        <f t="shared" ca="1" si="4"/>
        <v>1</v>
      </c>
      <c r="AT14" s="3">
        <f t="shared" ca="1" si="4"/>
        <v>1</v>
      </c>
      <c r="AU14" s="3">
        <f t="shared" ca="1" si="4"/>
        <v>1</v>
      </c>
      <c r="AV14" s="3">
        <f t="shared" ca="1" si="4"/>
        <v>1</v>
      </c>
      <c r="AW14" s="3">
        <f t="shared" ca="1" si="4"/>
        <v>1</v>
      </c>
      <c r="AX14" s="3">
        <f t="shared" ca="1" si="2"/>
        <v>1</v>
      </c>
    </row>
    <row r="15" spans="1:50" x14ac:dyDescent="0.2">
      <c r="A15" s="3">
        <f t="shared" ca="1" si="1"/>
        <v>0</v>
      </c>
      <c r="B15" s="3">
        <f t="shared" ca="1" si="1"/>
        <v>0</v>
      </c>
      <c r="C15" s="3">
        <f t="shared" ca="1" si="1"/>
        <v>0</v>
      </c>
      <c r="D15" s="3">
        <f t="shared" ca="1" si="1"/>
        <v>0</v>
      </c>
      <c r="E15" s="3">
        <f t="shared" ca="1" si="1"/>
        <v>1</v>
      </c>
      <c r="F15" s="3">
        <f t="shared" ca="1" si="1"/>
        <v>0</v>
      </c>
      <c r="G15" s="3">
        <f t="shared" ca="1" si="1"/>
        <v>0</v>
      </c>
      <c r="H15" s="3">
        <f t="shared" ca="1" si="1"/>
        <v>1</v>
      </c>
      <c r="I15" s="3">
        <f t="shared" ca="1" si="1"/>
        <v>0</v>
      </c>
      <c r="J15" s="3">
        <f t="shared" ca="1" si="1"/>
        <v>0</v>
      </c>
      <c r="K15" s="3">
        <f t="shared" ca="1" si="1"/>
        <v>1</v>
      </c>
      <c r="L15" s="3">
        <f t="shared" ca="1" si="1"/>
        <v>1</v>
      </c>
      <c r="M15" s="3">
        <f t="shared" ca="1" si="1"/>
        <v>1</v>
      </c>
      <c r="N15" s="3">
        <f t="shared" ca="1" si="1"/>
        <v>1</v>
      </c>
      <c r="O15" s="3">
        <f t="shared" ca="1" si="1"/>
        <v>0</v>
      </c>
      <c r="P15" s="3">
        <f t="shared" ca="1" si="1"/>
        <v>1</v>
      </c>
      <c r="Q15" s="3">
        <f t="shared" ca="1" si="5"/>
        <v>0</v>
      </c>
      <c r="R15" s="3">
        <f t="shared" ca="1" si="5"/>
        <v>1</v>
      </c>
      <c r="S15" s="3">
        <f t="shared" ca="1" si="5"/>
        <v>0</v>
      </c>
      <c r="T15" s="3">
        <f t="shared" ca="1" si="5"/>
        <v>1</v>
      </c>
      <c r="U15" s="3">
        <f t="shared" ca="1" si="5"/>
        <v>0</v>
      </c>
      <c r="V15" s="3">
        <f t="shared" ca="1" si="5"/>
        <v>1</v>
      </c>
      <c r="W15" s="3">
        <f t="shared" ca="1" si="5"/>
        <v>0</v>
      </c>
      <c r="X15" s="3">
        <f t="shared" ca="1" si="5"/>
        <v>0</v>
      </c>
      <c r="Y15" s="3">
        <f t="shared" ca="1" si="5"/>
        <v>0</v>
      </c>
      <c r="Z15" s="3">
        <f t="shared" ca="1" si="5"/>
        <v>1</v>
      </c>
      <c r="AA15" s="3">
        <f t="shared" ca="1" si="5"/>
        <v>1</v>
      </c>
      <c r="AB15" s="3">
        <f t="shared" ca="1" si="5"/>
        <v>0</v>
      </c>
      <c r="AC15" s="3">
        <f t="shared" ca="1" si="5"/>
        <v>1</v>
      </c>
      <c r="AD15" s="3">
        <f t="shared" ca="1" si="5"/>
        <v>0</v>
      </c>
      <c r="AE15" s="3">
        <f t="shared" ca="1" si="5"/>
        <v>0</v>
      </c>
      <c r="AF15" s="3">
        <f t="shared" ca="1" si="5"/>
        <v>1</v>
      </c>
      <c r="AG15" s="3">
        <f t="shared" ca="1" si="3"/>
        <v>1</v>
      </c>
      <c r="AH15" s="3">
        <f t="shared" ca="1" si="4"/>
        <v>1</v>
      </c>
      <c r="AI15" s="3">
        <f t="shared" ca="1" si="4"/>
        <v>0</v>
      </c>
      <c r="AJ15" s="3">
        <f t="shared" ca="1" si="4"/>
        <v>1</v>
      </c>
      <c r="AK15" s="3">
        <f t="shared" ca="1" si="4"/>
        <v>0</v>
      </c>
      <c r="AL15" s="3">
        <f t="shared" ca="1" si="4"/>
        <v>0</v>
      </c>
      <c r="AM15" s="3">
        <f t="shared" ca="1" si="4"/>
        <v>0</v>
      </c>
      <c r="AN15" s="3">
        <f t="shared" ca="1" si="4"/>
        <v>1</v>
      </c>
      <c r="AO15" s="3">
        <f t="shared" ca="1" si="4"/>
        <v>1</v>
      </c>
      <c r="AP15" s="3">
        <f t="shared" ca="1" si="4"/>
        <v>1</v>
      </c>
      <c r="AQ15" s="3">
        <f t="shared" ca="1" si="4"/>
        <v>0</v>
      </c>
      <c r="AR15" s="3">
        <f t="shared" ca="1" si="4"/>
        <v>0</v>
      </c>
      <c r="AS15" s="3">
        <f t="shared" ca="1" si="4"/>
        <v>0</v>
      </c>
      <c r="AT15" s="3">
        <f t="shared" ca="1" si="4"/>
        <v>1</v>
      </c>
      <c r="AU15" s="3">
        <f t="shared" ca="1" si="4"/>
        <v>0</v>
      </c>
      <c r="AV15" s="3">
        <f t="shared" ca="1" si="4"/>
        <v>0</v>
      </c>
      <c r="AW15" s="3">
        <f t="shared" ca="1" si="4"/>
        <v>1</v>
      </c>
      <c r="AX15" s="3">
        <f t="shared" ca="1" si="2"/>
        <v>0</v>
      </c>
    </row>
    <row r="16" spans="1:50" x14ac:dyDescent="0.2">
      <c r="A16" s="3">
        <f t="shared" ca="1" si="1"/>
        <v>1</v>
      </c>
      <c r="B16" s="3">
        <f t="shared" ca="1" si="1"/>
        <v>0</v>
      </c>
      <c r="C16" s="3">
        <f t="shared" ca="1" si="1"/>
        <v>1</v>
      </c>
      <c r="D16" s="3">
        <f t="shared" ca="1" si="1"/>
        <v>1</v>
      </c>
      <c r="E16" s="3">
        <f t="shared" ca="1" si="1"/>
        <v>1</v>
      </c>
      <c r="F16" s="3">
        <f t="shared" ca="1" si="1"/>
        <v>1</v>
      </c>
      <c r="G16" s="3">
        <f t="shared" ca="1" si="1"/>
        <v>1</v>
      </c>
      <c r="H16" s="3">
        <f t="shared" ca="1" si="1"/>
        <v>0</v>
      </c>
      <c r="I16" s="3">
        <f t="shared" ca="1" si="1"/>
        <v>0</v>
      </c>
      <c r="J16" s="3">
        <f t="shared" ca="1" si="1"/>
        <v>1</v>
      </c>
      <c r="K16" s="3">
        <f t="shared" ca="1" si="1"/>
        <v>1</v>
      </c>
      <c r="L16" s="3">
        <f t="shared" ca="1" si="1"/>
        <v>0</v>
      </c>
      <c r="M16" s="3">
        <f t="shared" ca="1" si="1"/>
        <v>0</v>
      </c>
      <c r="N16" s="3">
        <f t="shared" ca="1" si="1"/>
        <v>0</v>
      </c>
      <c r="O16" s="3">
        <f t="shared" ca="1" si="1"/>
        <v>1</v>
      </c>
      <c r="P16" s="3">
        <f t="shared" ca="1" si="1"/>
        <v>0</v>
      </c>
      <c r="Q16" s="3">
        <f t="shared" ca="1" si="5"/>
        <v>1</v>
      </c>
      <c r="R16" s="3">
        <f t="shared" ca="1" si="5"/>
        <v>1</v>
      </c>
      <c r="S16" s="3">
        <f t="shared" ca="1" si="5"/>
        <v>1</v>
      </c>
      <c r="T16" s="3">
        <f t="shared" ca="1" si="5"/>
        <v>1</v>
      </c>
      <c r="U16" s="3">
        <f t="shared" ca="1" si="5"/>
        <v>0</v>
      </c>
      <c r="V16" s="3">
        <f t="shared" ca="1" si="5"/>
        <v>0</v>
      </c>
      <c r="W16" s="3">
        <f t="shared" ca="1" si="5"/>
        <v>0</v>
      </c>
      <c r="X16" s="3">
        <f t="shared" ca="1" si="5"/>
        <v>0</v>
      </c>
      <c r="Y16" s="3">
        <f t="shared" ca="1" si="5"/>
        <v>1</v>
      </c>
      <c r="Z16" s="3">
        <f t="shared" ca="1" si="5"/>
        <v>1</v>
      </c>
      <c r="AA16" s="3">
        <f t="shared" ca="1" si="5"/>
        <v>1</v>
      </c>
      <c r="AB16" s="3">
        <f t="shared" ca="1" si="5"/>
        <v>0</v>
      </c>
      <c r="AC16" s="3">
        <f t="shared" ca="1" si="5"/>
        <v>1</v>
      </c>
      <c r="AD16" s="3">
        <f t="shared" ca="1" si="5"/>
        <v>1</v>
      </c>
      <c r="AE16" s="3">
        <f t="shared" ca="1" si="5"/>
        <v>1</v>
      </c>
      <c r="AF16" s="3">
        <f t="shared" ca="1" si="5"/>
        <v>1</v>
      </c>
      <c r="AG16" s="3">
        <f t="shared" ca="1" si="3"/>
        <v>0</v>
      </c>
      <c r="AH16" s="3">
        <f t="shared" ca="1" si="4"/>
        <v>1</v>
      </c>
      <c r="AI16" s="3">
        <f t="shared" ca="1" si="4"/>
        <v>0</v>
      </c>
      <c r="AJ16" s="3">
        <f t="shared" ca="1" si="4"/>
        <v>1</v>
      </c>
      <c r="AK16" s="3">
        <f t="shared" ca="1" si="4"/>
        <v>1</v>
      </c>
      <c r="AL16" s="3">
        <f t="shared" ca="1" si="4"/>
        <v>0</v>
      </c>
      <c r="AM16" s="3">
        <f t="shared" ca="1" si="4"/>
        <v>0</v>
      </c>
      <c r="AN16" s="3">
        <f t="shared" ca="1" si="4"/>
        <v>1</v>
      </c>
      <c r="AO16" s="3">
        <f t="shared" ca="1" si="4"/>
        <v>0</v>
      </c>
      <c r="AP16" s="3">
        <f t="shared" ca="1" si="4"/>
        <v>1</v>
      </c>
      <c r="AQ16" s="3">
        <f t="shared" ca="1" si="4"/>
        <v>0</v>
      </c>
      <c r="AR16" s="3">
        <f t="shared" ca="1" si="4"/>
        <v>0</v>
      </c>
      <c r="AS16" s="3">
        <f t="shared" ca="1" si="4"/>
        <v>0</v>
      </c>
      <c r="AT16" s="3">
        <f t="shared" ca="1" si="4"/>
        <v>1</v>
      </c>
      <c r="AU16" s="3">
        <f t="shared" ca="1" si="4"/>
        <v>1</v>
      </c>
      <c r="AV16" s="3">
        <f t="shared" ca="1" si="4"/>
        <v>0</v>
      </c>
      <c r="AW16" s="3">
        <f t="shared" ca="1" si="4"/>
        <v>1</v>
      </c>
      <c r="AX16" s="3">
        <f t="shared" ca="1" si="2"/>
        <v>0</v>
      </c>
    </row>
    <row r="17" spans="1:50" x14ac:dyDescent="0.2">
      <c r="A17" s="3">
        <f t="shared" ca="1" si="1"/>
        <v>0</v>
      </c>
      <c r="B17" s="3">
        <f t="shared" ca="1" si="1"/>
        <v>1</v>
      </c>
      <c r="C17" s="3">
        <f t="shared" ca="1" si="1"/>
        <v>0</v>
      </c>
      <c r="D17" s="3">
        <f t="shared" ca="1" si="1"/>
        <v>1</v>
      </c>
      <c r="E17" s="3">
        <f t="shared" ca="1" si="1"/>
        <v>0</v>
      </c>
      <c r="F17" s="3">
        <f t="shared" ca="1" si="1"/>
        <v>0</v>
      </c>
      <c r="G17" s="3">
        <f t="shared" ca="1" si="1"/>
        <v>0</v>
      </c>
      <c r="H17" s="3">
        <f t="shared" ca="1" si="1"/>
        <v>0</v>
      </c>
      <c r="I17" s="3">
        <f t="shared" ca="1" si="1"/>
        <v>0</v>
      </c>
      <c r="J17" s="3">
        <f t="shared" ca="1" si="1"/>
        <v>0</v>
      </c>
      <c r="K17" s="3">
        <f t="shared" ca="1" si="1"/>
        <v>1</v>
      </c>
      <c r="L17" s="3">
        <f t="shared" ca="1" si="1"/>
        <v>0</v>
      </c>
      <c r="M17" s="3">
        <f t="shared" ca="1" si="1"/>
        <v>1</v>
      </c>
      <c r="N17" s="3">
        <f t="shared" ca="1" si="1"/>
        <v>1</v>
      </c>
      <c r="O17" s="3">
        <f t="shared" ca="1" si="1"/>
        <v>0</v>
      </c>
      <c r="P17" s="3">
        <f t="shared" ca="1" si="1"/>
        <v>1</v>
      </c>
      <c r="Q17" s="3">
        <f t="shared" ca="1" si="5"/>
        <v>1</v>
      </c>
      <c r="R17" s="3">
        <f t="shared" ca="1" si="5"/>
        <v>1</v>
      </c>
      <c r="S17" s="3">
        <f t="shared" ca="1" si="5"/>
        <v>0</v>
      </c>
      <c r="T17" s="3">
        <f t="shared" ca="1" si="5"/>
        <v>0</v>
      </c>
      <c r="U17" s="3">
        <f t="shared" ca="1" si="5"/>
        <v>0</v>
      </c>
      <c r="V17" s="3">
        <f t="shared" ca="1" si="5"/>
        <v>0</v>
      </c>
      <c r="W17" s="3">
        <f t="shared" ca="1" si="5"/>
        <v>1</v>
      </c>
      <c r="X17" s="3">
        <f t="shared" ca="1" si="5"/>
        <v>0</v>
      </c>
      <c r="Y17" s="3">
        <f t="shared" ca="1" si="5"/>
        <v>0</v>
      </c>
      <c r="Z17" s="3">
        <f t="shared" ca="1" si="5"/>
        <v>0</v>
      </c>
      <c r="AA17" s="3">
        <f t="shared" ca="1" si="5"/>
        <v>0</v>
      </c>
      <c r="AB17" s="3">
        <f t="shared" ca="1" si="5"/>
        <v>0</v>
      </c>
      <c r="AC17" s="3">
        <f t="shared" ca="1" si="5"/>
        <v>1</v>
      </c>
      <c r="AD17" s="3">
        <f t="shared" ca="1" si="5"/>
        <v>1</v>
      </c>
      <c r="AE17" s="3">
        <f t="shared" ca="1" si="5"/>
        <v>0</v>
      </c>
      <c r="AF17" s="3">
        <f t="shared" ca="1" si="5"/>
        <v>1</v>
      </c>
      <c r="AG17" s="3">
        <f t="shared" ca="1" si="3"/>
        <v>1</v>
      </c>
      <c r="AH17" s="3">
        <f t="shared" ca="1" si="4"/>
        <v>1</v>
      </c>
      <c r="AI17" s="3">
        <f t="shared" ca="1" si="4"/>
        <v>1</v>
      </c>
      <c r="AJ17" s="3">
        <f t="shared" ca="1" si="4"/>
        <v>0</v>
      </c>
      <c r="AK17" s="3">
        <f t="shared" ca="1" si="4"/>
        <v>1</v>
      </c>
      <c r="AL17" s="3">
        <f t="shared" ca="1" si="4"/>
        <v>1</v>
      </c>
      <c r="AM17" s="3">
        <f t="shared" ca="1" si="4"/>
        <v>1</v>
      </c>
      <c r="AN17" s="3">
        <f t="shared" ca="1" si="4"/>
        <v>0</v>
      </c>
      <c r="AO17" s="3">
        <f t="shared" ca="1" si="4"/>
        <v>1</v>
      </c>
      <c r="AP17" s="3">
        <f t="shared" ca="1" si="4"/>
        <v>1</v>
      </c>
      <c r="AQ17" s="3">
        <f t="shared" ca="1" si="4"/>
        <v>0</v>
      </c>
      <c r="AR17" s="3">
        <f t="shared" ca="1" si="4"/>
        <v>1</v>
      </c>
      <c r="AS17" s="3">
        <f t="shared" ca="1" si="4"/>
        <v>1</v>
      </c>
      <c r="AT17" s="3">
        <f t="shared" ca="1" si="4"/>
        <v>0</v>
      </c>
      <c r="AU17" s="3">
        <f t="shared" ca="1" si="4"/>
        <v>1</v>
      </c>
      <c r="AV17" s="3">
        <f t="shared" ca="1" si="4"/>
        <v>1</v>
      </c>
      <c r="AW17" s="3">
        <f t="shared" ca="1" si="4"/>
        <v>1</v>
      </c>
      <c r="AX17" s="3">
        <f t="shared" ca="1" si="2"/>
        <v>0</v>
      </c>
    </row>
    <row r="18" spans="1:50" x14ac:dyDescent="0.2">
      <c r="A18" s="3">
        <f t="shared" ca="1" si="1"/>
        <v>0</v>
      </c>
      <c r="B18" s="3">
        <f t="shared" ca="1" si="1"/>
        <v>0</v>
      </c>
      <c r="C18" s="3">
        <f t="shared" ca="1" si="1"/>
        <v>1</v>
      </c>
      <c r="D18" s="3">
        <f t="shared" ca="1" si="1"/>
        <v>1</v>
      </c>
      <c r="E18" s="3">
        <f t="shared" ca="1" si="1"/>
        <v>0</v>
      </c>
      <c r="F18" s="3">
        <f t="shared" ca="1" si="1"/>
        <v>1</v>
      </c>
      <c r="G18" s="3">
        <f t="shared" ca="1" si="1"/>
        <v>0</v>
      </c>
      <c r="H18" s="3">
        <f t="shared" ca="1" si="1"/>
        <v>0</v>
      </c>
      <c r="I18" s="3">
        <f t="shared" ca="1" si="1"/>
        <v>1</v>
      </c>
      <c r="J18" s="3">
        <f t="shared" ca="1" si="1"/>
        <v>0</v>
      </c>
      <c r="K18" s="3">
        <f t="shared" ca="1" si="1"/>
        <v>1</v>
      </c>
      <c r="L18" s="3">
        <f t="shared" ca="1" si="1"/>
        <v>0</v>
      </c>
      <c r="M18" s="3">
        <f t="shared" ca="1" si="1"/>
        <v>0</v>
      </c>
      <c r="N18" s="3">
        <f t="shared" ca="1" si="1"/>
        <v>1</v>
      </c>
      <c r="O18" s="3">
        <f t="shared" ca="1" si="1"/>
        <v>1</v>
      </c>
      <c r="P18" s="3">
        <f t="shared" ca="1" si="1"/>
        <v>1</v>
      </c>
      <c r="Q18" s="3">
        <f t="shared" ca="1" si="5"/>
        <v>0</v>
      </c>
      <c r="R18" s="3">
        <f t="shared" ca="1" si="5"/>
        <v>1</v>
      </c>
      <c r="S18" s="3">
        <f t="shared" ca="1" si="5"/>
        <v>0</v>
      </c>
      <c r="T18" s="3">
        <f t="shared" ca="1" si="5"/>
        <v>1</v>
      </c>
      <c r="U18" s="3">
        <f t="shared" ca="1" si="5"/>
        <v>0</v>
      </c>
      <c r="V18" s="3">
        <f t="shared" ca="1" si="5"/>
        <v>1</v>
      </c>
      <c r="W18" s="3">
        <f t="shared" ca="1" si="5"/>
        <v>0</v>
      </c>
      <c r="X18" s="3">
        <f t="shared" ca="1" si="5"/>
        <v>0</v>
      </c>
      <c r="Y18" s="3">
        <f t="shared" ca="1" si="5"/>
        <v>0</v>
      </c>
      <c r="Z18" s="3">
        <f t="shared" ca="1" si="5"/>
        <v>0</v>
      </c>
      <c r="AA18" s="3">
        <f t="shared" ca="1" si="5"/>
        <v>1</v>
      </c>
      <c r="AB18" s="3">
        <f t="shared" ca="1" si="5"/>
        <v>1</v>
      </c>
      <c r="AC18" s="3">
        <f t="shared" ca="1" si="5"/>
        <v>0</v>
      </c>
      <c r="AD18" s="3">
        <f t="shared" ca="1" si="5"/>
        <v>0</v>
      </c>
      <c r="AE18" s="3">
        <f t="shared" ca="1" si="5"/>
        <v>1</v>
      </c>
      <c r="AF18" s="3">
        <f t="shared" ca="1" si="5"/>
        <v>0</v>
      </c>
      <c r="AG18" s="3">
        <f t="shared" ca="1" si="3"/>
        <v>1</v>
      </c>
      <c r="AH18" s="3">
        <f t="shared" ca="1" si="4"/>
        <v>0</v>
      </c>
      <c r="AI18" s="3">
        <f t="shared" ca="1" si="4"/>
        <v>0</v>
      </c>
      <c r="AJ18" s="3">
        <f t="shared" ca="1" si="4"/>
        <v>1</v>
      </c>
      <c r="AK18" s="3">
        <f t="shared" ca="1" si="4"/>
        <v>1</v>
      </c>
      <c r="AL18" s="3">
        <f t="shared" ca="1" si="4"/>
        <v>0</v>
      </c>
      <c r="AM18" s="3">
        <f t="shared" ca="1" si="4"/>
        <v>1</v>
      </c>
      <c r="AN18" s="3">
        <f t="shared" ca="1" si="4"/>
        <v>1</v>
      </c>
      <c r="AO18" s="3">
        <f t="shared" ca="1" si="4"/>
        <v>0</v>
      </c>
      <c r="AP18" s="3">
        <f t="shared" ca="1" si="4"/>
        <v>1</v>
      </c>
      <c r="AQ18" s="3">
        <f t="shared" ca="1" si="4"/>
        <v>1</v>
      </c>
      <c r="AR18" s="3">
        <f t="shared" ca="1" si="4"/>
        <v>1</v>
      </c>
      <c r="AS18" s="3">
        <f t="shared" ca="1" si="4"/>
        <v>1</v>
      </c>
      <c r="AT18" s="3">
        <f t="shared" ca="1" si="4"/>
        <v>1</v>
      </c>
      <c r="AU18" s="3">
        <f t="shared" ca="1" si="4"/>
        <v>1</v>
      </c>
      <c r="AV18" s="3">
        <f t="shared" ca="1" si="4"/>
        <v>1</v>
      </c>
      <c r="AW18" s="3">
        <f t="shared" ca="1" si="4"/>
        <v>1</v>
      </c>
      <c r="AX18" s="3">
        <f t="shared" ca="1" si="2"/>
        <v>1</v>
      </c>
    </row>
    <row r="19" spans="1:50" x14ac:dyDescent="0.2">
      <c r="A19" s="3">
        <f t="shared" ca="1" si="1"/>
        <v>0</v>
      </c>
      <c r="B19" s="3">
        <f t="shared" ca="1" si="1"/>
        <v>0</v>
      </c>
      <c r="C19" s="3">
        <f t="shared" ca="1" si="1"/>
        <v>1</v>
      </c>
      <c r="D19" s="3">
        <f t="shared" ca="1" si="1"/>
        <v>0</v>
      </c>
      <c r="E19" s="3">
        <f t="shared" ca="1" si="1"/>
        <v>1</v>
      </c>
      <c r="F19" s="3">
        <f t="shared" ca="1" si="1"/>
        <v>1</v>
      </c>
      <c r="G19" s="3">
        <f t="shared" ca="1" si="1"/>
        <v>1</v>
      </c>
      <c r="H19" s="3">
        <f t="shared" ca="1" si="1"/>
        <v>0</v>
      </c>
      <c r="I19" s="3">
        <f t="shared" ca="1" si="1"/>
        <v>0</v>
      </c>
      <c r="J19" s="3">
        <f t="shared" ca="1" si="1"/>
        <v>1</v>
      </c>
      <c r="K19" s="3">
        <f t="shared" ca="1" si="1"/>
        <v>1</v>
      </c>
      <c r="L19" s="3">
        <f t="shared" ca="1" si="1"/>
        <v>1</v>
      </c>
      <c r="M19" s="3">
        <f t="shared" ca="1" si="1"/>
        <v>1</v>
      </c>
      <c r="N19" s="3">
        <f t="shared" ca="1" si="1"/>
        <v>0</v>
      </c>
      <c r="O19" s="3">
        <f t="shared" ca="1" si="1"/>
        <v>1</v>
      </c>
      <c r="P19" s="3">
        <f t="shared" ca="1" si="1"/>
        <v>1</v>
      </c>
      <c r="Q19" s="3">
        <f t="shared" ca="1" si="5"/>
        <v>1</v>
      </c>
      <c r="R19" s="3">
        <f t="shared" ca="1" si="5"/>
        <v>0</v>
      </c>
      <c r="S19" s="3">
        <f t="shared" ca="1" si="5"/>
        <v>0</v>
      </c>
      <c r="T19" s="3">
        <f t="shared" ca="1" si="5"/>
        <v>0</v>
      </c>
      <c r="U19" s="3">
        <f t="shared" ca="1" si="5"/>
        <v>0</v>
      </c>
      <c r="V19" s="3">
        <f t="shared" ca="1" si="5"/>
        <v>1</v>
      </c>
      <c r="W19" s="3">
        <f t="shared" ca="1" si="5"/>
        <v>0</v>
      </c>
      <c r="X19" s="3">
        <f t="shared" ca="1" si="5"/>
        <v>0</v>
      </c>
      <c r="Y19" s="3">
        <f t="shared" ca="1" si="5"/>
        <v>0</v>
      </c>
      <c r="Z19" s="3">
        <f t="shared" ca="1" si="5"/>
        <v>1</v>
      </c>
      <c r="AA19" s="3">
        <f t="shared" ca="1" si="5"/>
        <v>1</v>
      </c>
      <c r="AB19" s="3">
        <f t="shared" ca="1" si="5"/>
        <v>0</v>
      </c>
      <c r="AC19" s="3">
        <f t="shared" ca="1" si="5"/>
        <v>1</v>
      </c>
      <c r="AD19" s="3">
        <f t="shared" ca="1" si="5"/>
        <v>0</v>
      </c>
      <c r="AE19" s="3">
        <f t="shared" ca="1" si="5"/>
        <v>0</v>
      </c>
      <c r="AF19" s="3">
        <f t="shared" ca="1" si="5"/>
        <v>0</v>
      </c>
      <c r="AG19" s="3">
        <f t="shared" ca="1" si="3"/>
        <v>1</v>
      </c>
      <c r="AH19" s="3">
        <f t="shared" ca="1" si="4"/>
        <v>1</v>
      </c>
      <c r="AI19" s="3">
        <f t="shared" ca="1" si="4"/>
        <v>1</v>
      </c>
      <c r="AJ19" s="3">
        <f t="shared" ca="1" si="4"/>
        <v>1</v>
      </c>
      <c r="AK19" s="3">
        <f t="shared" ca="1" si="4"/>
        <v>0</v>
      </c>
      <c r="AL19" s="3">
        <f t="shared" ca="1" si="4"/>
        <v>0</v>
      </c>
      <c r="AM19" s="3">
        <f t="shared" ca="1" si="4"/>
        <v>1</v>
      </c>
      <c r="AN19" s="3">
        <f t="shared" ca="1" si="4"/>
        <v>0</v>
      </c>
      <c r="AO19" s="3">
        <f t="shared" ca="1" si="4"/>
        <v>0</v>
      </c>
      <c r="AP19" s="3">
        <f t="shared" ca="1" si="4"/>
        <v>0</v>
      </c>
      <c r="AQ19" s="3">
        <f t="shared" ca="1" si="4"/>
        <v>1</v>
      </c>
      <c r="AR19" s="3">
        <f t="shared" ca="1" si="4"/>
        <v>0</v>
      </c>
      <c r="AS19" s="3">
        <f t="shared" ca="1" si="4"/>
        <v>0</v>
      </c>
      <c r="AT19" s="3">
        <f t="shared" ca="1" si="4"/>
        <v>1</v>
      </c>
      <c r="AU19" s="3">
        <f t="shared" ca="1" si="4"/>
        <v>0</v>
      </c>
      <c r="AV19" s="3">
        <f t="shared" ca="1" si="4"/>
        <v>0</v>
      </c>
      <c r="AW19" s="3">
        <f t="shared" ca="1" si="4"/>
        <v>1</v>
      </c>
      <c r="AX19" s="3">
        <f t="shared" ca="1" si="2"/>
        <v>0</v>
      </c>
    </row>
    <row r="20" spans="1:50" x14ac:dyDescent="0.2">
      <c r="A20" s="3">
        <f t="shared" ca="1" si="1"/>
        <v>0</v>
      </c>
      <c r="B20" s="3">
        <f t="shared" ca="1" si="1"/>
        <v>0</v>
      </c>
      <c r="C20" s="3">
        <f t="shared" ca="1" si="1"/>
        <v>0</v>
      </c>
      <c r="D20" s="3">
        <f t="shared" ca="1" si="1"/>
        <v>0</v>
      </c>
      <c r="E20" s="3">
        <f t="shared" ca="1" si="1"/>
        <v>1</v>
      </c>
      <c r="F20" s="3">
        <f t="shared" ca="1" si="1"/>
        <v>0</v>
      </c>
      <c r="G20" s="3">
        <f t="shared" ca="1" si="1"/>
        <v>1</v>
      </c>
      <c r="H20" s="3">
        <f t="shared" ca="1" si="1"/>
        <v>1</v>
      </c>
      <c r="I20" s="3">
        <f t="shared" ca="1" si="1"/>
        <v>1</v>
      </c>
      <c r="J20" s="3">
        <f t="shared" ca="1" si="1"/>
        <v>0</v>
      </c>
      <c r="K20" s="3">
        <f t="shared" ca="1" si="1"/>
        <v>1</v>
      </c>
      <c r="L20" s="3">
        <f t="shared" ca="1" si="1"/>
        <v>0</v>
      </c>
      <c r="M20" s="3">
        <f t="shared" ca="1" si="1"/>
        <v>1</v>
      </c>
      <c r="N20" s="3">
        <f t="shared" ca="1" si="1"/>
        <v>1</v>
      </c>
      <c r="O20" s="3">
        <f t="shared" ca="1" si="1"/>
        <v>0</v>
      </c>
      <c r="P20" s="3">
        <f t="shared" ca="1" si="1"/>
        <v>1</v>
      </c>
      <c r="Q20" s="3">
        <f t="shared" ca="1" si="5"/>
        <v>1</v>
      </c>
      <c r="R20" s="3">
        <f t="shared" ca="1" si="5"/>
        <v>1</v>
      </c>
      <c r="S20" s="3">
        <f t="shared" ca="1" si="5"/>
        <v>0</v>
      </c>
      <c r="T20" s="3">
        <f t="shared" ca="1" si="5"/>
        <v>0</v>
      </c>
      <c r="U20" s="3">
        <f t="shared" ca="1" si="5"/>
        <v>1</v>
      </c>
      <c r="V20" s="3">
        <f t="shared" ca="1" si="5"/>
        <v>0</v>
      </c>
      <c r="W20" s="3">
        <f t="shared" ca="1" si="5"/>
        <v>0</v>
      </c>
      <c r="X20" s="3">
        <f t="shared" ca="1" si="5"/>
        <v>1</v>
      </c>
      <c r="Y20" s="3">
        <f t="shared" ca="1" si="5"/>
        <v>1</v>
      </c>
      <c r="Z20" s="3">
        <f t="shared" ca="1" si="5"/>
        <v>0</v>
      </c>
      <c r="AA20" s="3">
        <f t="shared" ca="1" si="5"/>
        <v>0</v>
      </c>
      <c r="AB20" s="3">
        <f t="shared" ca="1" si="5"/>
        <v>0</v>
      </c>
      <c r="AC20" s="3">
        <f t="shared" ca="1" si="5"/>
        <v>0</v>
      </c>
      <c r="AD20" s="3">
        <f t="shared" ca="1" si="5"/>
        <v>0</v>
      </c>
      <c r="AE20" s="3">
        <f t="shared" ca="1" si="5"/>
        <v>1</v>
      </c>
      <c r="AF20" s="3">
        <f t="shared" ca="1" si="5"/>
        <v>1</v>
      </c>
      <c r="AG20" s="3">
        <f t="shared" ca="1" si="3"/>
        <v>1</v>
      </c>
      <c r="AH20" s="3">
        <f t="shared" ca="1" si="4"/>
        <v>1</v>
      </c>
      <c r="AI20" s="3">
        <f t="shared" ca="1" si="4"/>
        <v>0</v>
      </c>
      <c r="AJ20" s="3">
        <f t="shared" ca="1" si="4"/>
        <v>1</v>
      </c>
      <c r="AK20" s="3">
        <f t="shared" ca="1" si="4"/>
        <v>1</v>
      </c>
      <c r="AL20" s="3">
        <f t="shared" ca="1" si="4"/>
        <v>0</v>
      </c>
      <c r="AM20" s="3">
        <f t="shared" ca="1" si="4"/>
        <v>1</v>
      </c>
      <c r="AN20" s="3">
        <f t="shared" ca="1" si="4"/>
        <v>0</v>
      </c>
      <c r="AO20" s="3">
        <f t="shared" ca="1" si="4"/>
        <v>0</v>
      </c>
      <c r="AP20" s="3">
        <f t="shared" ca="1" si="4"/>
        <v>1</v>
      </c>
      <c r="AQ20" s="3">
        <f t="shared" ca="1" si="4"/>
        <v>0</v>
      </c>
      <c r="AR20" s="3">
        <f t="shared" ca="1" si="4"/>
        <v>0</v>
      </c>
      <c r="AS20" s="3">
        <f t="shared" ca="1" si="4"/>
        <v>1</v>
      </c>
      <c r="AT20" s="3">
        <f t="shared" ca="1" si="4"/>
        <v>1</v>
      </c>
      <c r="AU20" s="3">
        <f t="shared" ca="1" si="4"/>
        <v>1</v>
      </c>
      <c r="AV20" s="3">
        <f t="shared" ca="1" si="4"/>
        <v>0</v>
      </c>
      <c r="AW20" s="3">
        <f t="shared" ca="1" si="4"/>
        <v>1</v>
      </c>
      <c r="AX20" s="3">
        <f t="shared" ca="1" si="2"/>
        <v>0</v>
      </c>
    </row>
    <row r="21" spans="1:50" x14ac:dyDescent="0.2">
      <c r="A21" s="3">
        <f t="shared" ca="1" si="1"/>
        <v>0</v>
      </c>
      <c r="B21" s="3">
        <f t="shared" ca="1" si="1"/>
        <v>1</v>
      </c>
      <c r="C21" s="3">
        <f t="shared" ca="1" si="1"/>
        <v>1</v>
      </c>
      <c r="D21" s="3">
        <f t="shared" ca="1" si="1"/>
        <v>1</v>
      </c>
      <c r="E21" s="3">
        <f t="shared" ca="1" si="1"/>
        <v>0</v>
      </c>
      <c r="F21" s="3">
        <f t="shared" ca="1" si="1"/>
        <v>1</v>
      </c>
      <c r="G21" s="3">
        <f t="shared" ca="1" si="1"/>
        <v>1</v>
      </c>
      <c r="H21" s="3">
        <f t="shared" ca="1" si="1"/>
        <v>1</v>
      </c>
      <c r="I21" s="3">
        <f t="shared" ca="1" si="1"/>
        <v>0</v>
      </c>
      <c r="J21" s="3">
        <f t="shared" ca="1" si="1"/>
        <v>1</v>
      </c>
      <c r="K21" s="3">
        <f t="shared" ca="1" si="1"/>
        <v>0</v>
      </c>
      <c r="L21" s="3">
        <f t="shared" ca="1" si="1"/>
        <v>0</v>
      </c>
      <c r="M21" s="3">
        <f t="shared" ca="1" si="1"/>
        <v>0</v>
      </c>
      <c r="N21" s="3">
        <f t="shared" ca="1" si="1"/>
        <v>0</v>
      </c>
      <c r="O21" s="3">
        <f t="shared" ca="1" si="1"/>
        <v>0</v>
      </c>
      <c r="P21" s="3">
        <f t="shared" ca="1" si="1"/>
        <v>0</v>
      </c>
      <c r="Q21" s="3">
        <f t="shared" ca="1" si="5"/>
        <v>1</v>
      </c>
      <c r="R21" s="3">
        <f t="shared" ca="1" si="5"/>
        <v>0</v>
      </c>
      <c r="S21" s="3">
        <f t="shared" ca="1" si="5"/>
        <v>1</v>
      </c>
      <c r="T21" s="3">
        <f t="shared" ca="1" si="5"/>
        <v>0</v>
      </c>
      <c r="U21" s="3">
        <f t="shared" ca="1" si="5"/>
        <v>1</v>
      </c>
      <c r="V21" s="3">
        <f t="shared" ca="1" si="5"/>
        <v>1</v>
      </c>
      <c r="W21" s="3">
        <f t="shared" ca="1" si="5"/>
        <v>0</v>
      </c>
      <c r="X21" s="3">
        <f t="shared" ca="1" si="5"/>
        <v>0</v>
      </c>
      <c r="Y21" s="3">
        <f t="shared" ca="1" si="5"/>
        <v>1</v>
      </c>
      <c r="Z21" s="3">
        <f t="shared" ca="1" si="5"/>
        <v>1</v>
      </c>
      <c r="AA21" s="3">
        <f t="shared" ca="1" si="5"/>
        <v>0</v>
      </c>
      <c r="AB21" s="3">
        <f t="shared" ca="1" si="5"/>
        <v>1</v>
      </c>
      <c r="AC21" s="3">
        <f t="shared" ca="1" si="5"/>
        <v>0</v>
      </c>
      <c r="AD21" s="3">
        <f t="shared" ca="1" si="5"/>
        <v>1</v>
      </c>
      <c r="AE21" s="3">
        <f t="shared" ca="1" si="5"/>
        <v>1</v>
      </c>
      <c r="AF21" s="3">
        <f t="shared" ca="1" si="5"/>
        <v>0</v>
      </c>
      <c r="AG21" s="3">
        <f t="shared" ca="1" si="3"/>
        <v>0</v>
      </c>
      <c r="AH21" s="3">
        <f t="shared" ca="1" si="4"/>
        <v>0</v>
      </c>
      <c r="AI21" s="3">
        <f t="shared" ca="1" si="4"/>
        <v>0</v>
      </c>
      <c r="AJ21" s="3">
        <f t="shared" ca="1" si="4"/>
        <v>1</v>
      </c>
      <c r="AK21" s="3">
        <f t="shared" ca="1" si="4"/>
        <v>1</v>
      </c>
      <c r="AL21" s="3">
        <f t="shared" ca="1" si="4"/>
        <v>1</v>
      </c>
      <c r="AM21" s="3">
        <f t="shared" ca="1" si="4"/>
        <v>1</v>
      </c>
      <c r="AN21" s="3">
        <f t="shared" ca="1" si="4"/>
        <v>0</v>
      </c>
      <c r="AO21" s="3">
        <f t="shared" ca="1" si="4"/>
        <v>0</v>
      </c>
      <c r="AP21" s="3">
        <f t="shared" ca="1" si="4"/>
        <v>1</v>
      </c>
      <c r="AQ21" s="3">
        <f t="shared" ca="1" si="4"/>
        <v>0</v>
      </c>
      <c r="AR21" s="3">
        <f t="shared" ca="1" si="4"/>
        <v>1</v>
      </c>
      <c r="AS21" s="3">
        <f t="shared" ca="1" si="4"/>
        <v>0</v>
      </c>
      <c r="AT21" s="3">
        <f t="shared" ca="1" si="4"/>
        <v>0</v>
      </c>
      <c r="AU21" s="3">
        <f t="shared" ca="1" si="4"/>
        <v>1</v>
      </c>
      <c r="AV21" s="3">
        <f t="shared" ca="1" si="4"/>
        <v>0</v>
      </c>
      <c r="AW21" s="3">
        <f t="shared" ca="1" si="4"/>
        <v>0</v>
      </c>
      <c r="AX21" s="3">
        <f t="shared" ca="1" si="2"/>
        <v>0</v>
      </c>
    </row>
    <row r="22" spans="1:50" x14ac:dyDescent="0.2">
      <c r="A22" s="3">
        <f t="shared" ca="1" si="1"/>
        <v>1</v>
      </c>
      <c r="B22" s="3">
        <f t="shared" ca="1" si="1"/>
        <v>1</v>
      </c>
      <c r="C22" s="3">
        <f t="shared" ca="1" si="1"/>
        <v>1</v>
      </c>
      <c r="D22" s="3">
        <f t="shared" ca="1" si="1"/>
        <v>0</v>
      </c>
      <c r="E22" s="3">
        <f t="shared" ca="1" si="1"/>
        <v>0</v>
      </c>
      <c r="F22" s="3">
        <f t="shared" ca="1" si="1"/>
        <v>0</v>
      </c>
      <c r="G22" s="3">
        <f t="shared" ca="1" si="1"/>
        <v>0</v>
      </c>
      <c r="H22" s="3">
        <f t="shared" ca="1" si="1"/>
        <v>1</v>
      </c>
      <c r="I22" s="3">
        <f t="shared" ca="1" si="1"/>
        <v>1</v>
      </c>
      <c r="J22" s="3">
        <f t="shared" ca="1" si="1"/>
        <v>1</v>
      </c>
      <c r="K22" s="3">
        <f t="shared" ca="1" si="1"/>
        <v>0</v>
      </c>
      <c r="L22" s="3">
        <f t="shared" ca="1" si="1"/>
        <v>1</v>
      </c>
      <c r="M22" s="3">
        <f t="shared" ca="1" si="1"/>
        <v>0</v>
      </c>
      <c r="N22" s="3">
        <f t="shared" ca="1" si="1"/>
        <v>0</v>
      </c>
      <c r="O22" s="3">
        <f t="shared" ca="1" si="1"/>
        <v>0</v>
      </c>
      <c r="P22" s="3">
        <f t="shared" ca="1" si="1"/>
        <v>0</v>
      </c>
      <c r="Q22" s="3">
        <f t="shared" ca="1" si="5"/>
        <v>1</v>
      </c>
      <c r="R22" s="3">
        <f t="shared" ca="1" si="5"/>
        <v>0</v>
      </c>
      <c r="S22" s="3">
        <f t="shared" ca="1" si="5"/>
        <v>0</v>
      </c>
      <c r="T22" s="3">
        <f t="shared" ca="1" si="5"/>
        <v>1</v>
      </c>
      <c r="U22" s="3">
        <f t="shared" ca="1" si="5"/>
        <v>0</v>
      </c>
      <c r="V22" s="3">
        <f t="shared" ca="1" si="5"/>
        <v>1</v>
      </c>
      <c r="W22" s="3">
        <f t="shared" ca="1" si="5"/>
        <v>0</v>
      </c>
      <c r="X22" s="3">
        <f t="shared" ca="1" si="5"/>
        <v>1</v>
      </c>
      <c r="Y22" s="3">
        <f t="shared" ca="1" si="5"/>
        <v>0</v>
      </c>
      <c r="Z22" s="3">
        <f t="shared" ca="1" si="5"/>
        <v>0</v>
      </c>
      <c r="AA22" s="3">
        <f t="shared" ca="1" si="5"/>
        <v>1</v>
      </c>
      <c r="AB22" s="3">
        <f t="shared" ca="1" si="5"/>
        <v>1</v>
      </c>
      <c r="AC22" s="3">
        <f t="shared" ca="1" si="5"/>
        <v>0</v>
      </c>
      <c r="AD22" s="3">
        <f t="shared" ca="1" si="5"/>
        <v>0</v>
      </c>
      <c r="AE22" s="3">
        <f t="shared" ca="1" si="5"/>
        <v>0</v>
      </c>
      <c r="AF22" s="3">
        <f t="shared" ca="1" si="5"/>
        <v>0</v>
      </c>
      <c r="AG22" s="3">
        <f t="shared" ca="1" si="3"/>
        <v>1</v>
      </c>
      <c r="AH22" s="3">
        <f t="shared" ca="1" si="4"/>
        <v>1</v>
      </c>
      <c r="AI22" s="3">
        <f t="shared" ca="1" si="4"/>
        <v>0</v>
      </c>
      <c r="AJ22" s="3">
        <f t="shared" ca="1" si="4"/>
        <v>1</v>
      </c>
      <c r="AK22" s="3">
        <f t="shared" ca="1" si="4"/>
        <v>1</v>
      </c>
      <c r="AL22" s="3">
        <f t="shared" ca="1" si="4"/>
        <v>1</v>
      </c>
      <c r="AM22" s="3">
        <f t="shared" ca="1" si="4"/>
        <v>0</v>
      </c>
      <c r="AN22" s="3">
        <f t="shared" ca="1" si="4"/>
        <v>1</v>
      </c>
      <c r="AO22" s="3">
        <f t="shared" ca="1" si="4"/>
        <v>0</v>
      </c>
      <c r="AP22" s="3">
        <f t="shared" ca="1" si="4"/>
        <v>0</v>
      </c>
      <c r="AQ22" s="3">
        <f t="shared" ca="1" si="4"/>
        <v>1</v>
      </c>
      <c r="AR22" s="3">
        <f t="shared" ca="1" si="4"/>
        <v>0</v>
      </c>
      <c r="AS22" s="3">
        <f t="shared" ca="1" si="4"/>
        <v>1</v>
      </c>
      <c r="AT22" s="3">
        <f t="shared" ca="1" si="4"/>
        <v>1</v>
      </c>
      <c r="AU22" s="3">
        <f t="shared" ca="1" si="4"/>
        <v>1</v>
      </c>
      <c r="AV22" s="3">
        <f t="shared" ca="1" si="4"/>
        <v>1</v>
      </c>
      <c r="AW22" s="3">
        <f t="shared" ref="B22:AW28" ca="1" si="6">RANDBETWEEN(0,1)</f>
        <v>1</v>
      </c>
      <c r="AX22" s="3">
        <f t="shared" ca="1" si="2"/>
        <v>0</v>
      </c>
    </row>
    <row r="23" spans="1:50" x14ac:dyDescent="0.2">
      <c r="A23" s="3">
        <f t="shared" ca="1" si="1"/>
        <v>1</v>
      </c>
      <c r="B23" s="3">
        <f t="shared" ca="1" si="6"/>
        <v>1</v>
      </c>
      <c r="C23" s="3">
        <f t="shared" ca="1" si="6"/>
        <v>0</v>
      </c>
      <c r="D23" s="3">
        <f t="shared" ca="1" si="6"/>
        <v>0</v>
      </c>
      <c r="E23" s="3">
        <f t="shared" ca="1" si="6"/>
        <v>0</v>
      </c>
      <c r="F23" s="3">
        <f t="shared" ca="1" si="6"/>
        <v>0</v>
      </c>
      <c r="G23" s="3">
        <f t="shared" ca="1" si="6"/>
        <v>1</v>
      </c>
      <c r="H23" s="3">
        <f t="shared" ca="1" si="6"/>
        <v>0</v>
      </c>
      <c r="I23" s="3">
        <f t="shared" ca="1" si="6"/>
        <v>1</v>
      </c>
      <c r="J23" s="3">
        <f t="shared" ca="1" si="6"/>
        <v>0</v>
      </c>
      <c r="K23" s="3">
        <f t="shared" ca="1" si="6"/>
        <v>1</v>
      </c>
      <c r="L23" s="3">
        <f t="shared" ca="1" si="6"/>
        <v>1</v>
      </c>
      <c r="M23" s="3">
        <f t="shared" ca="1" si="6"/>
        <v>0</v>
      </c>
      <c r="N23" s="3">
        <f t="shared" ca="1" si="6"/>
        <v>0</v>
      </c>
      <c r="O23" s="3">
        <f t="shared" ca="1" si="6"/>
        <v>0</v>
      </c>
      <c r="P23" s="3">
        <f t="shared" ca="1" si="6"/>
        <v>1</v>
      </c>
      <c r="Q23" s="3">
        <f t="shared" ca="1" si="6"/>
        <v>1</v>
      </c>
      <c r="R23" s="3">
        <f t="shared" ca="1" si="6"/>
        <v>1</v>
      </c>
      <c r="S23" s="3">
        <f t="shared" ca="1" si="6"/>
        <v>0</v>
      </c>
      <c r="T23" s="3">
        <f t="shared" ca="1" si="6"/>
        <v>0</v>
      </c>
      <c r="U23" s="3">
        <f t="shared" ca="1" si="6"/>
        <v>0</v>
      </c>
      <c r="V23" s="3">
        <f t="shared" ca="1" si="6"/>
        <v>0</v>
      </c>
      <c r="W23" s="3">
        <f t="shared" ca="1" si="6"/>
        <v>0</v>
      </c>
      <c r="X23" s="3">
        <f t="shared" ca="1" si="6"/>
        <v>0</v>
      </c>
      <c r="Y23" s="3">
        <f t="shared" ca="1" si="6"/>
        <v>1</v>
      </c>
      <c r="Z23" s="3">
        <f t="shared" ca="1" si="6"/>
        <v>0</v>
      </c>
      <c r="AA23" s="3">
        <f t="shared" ca="1" si="6"/>
        <v>0</v>
      </c>
      <c r="AB23" s="3">
        <f t="shared" ca="1" si="6"/>
        <v>0</v>
      </c>
      <c r="AC23" s="3">
        <f t="shared" ca="1" si="6"/>
        <v>0</v>
      </c>
      <c r="AD23" s="3">
        <f t="shared" ca="1" si="6"/>
        <v>1</v>
      </c>
      <c r="AE23" s="3">
        <f t="shared" ca="1" si="6"/>
        <v>1</v>
      </c>
      <c r="AF23" s="3">
        <f t="shared" ca="1" si="6"/>
        <v>1</v>
      </c>
      <c r="AG23" s="3">
        <f t="shared" ca="1" si="6"/>
        <v>1</v>
      </c>
      <c r="AH23" s="3">
        <f t="shared" ca="1" si="6"/>
        <v>0</v>
      </c>
      <c r="AI23" s="3">
        <f t="shared" ca="1" si="6"/>
        <v>1</v>
      </c>
      <c r="AJ23" s="3">
        <f t="shared" ca="1" si="6"/>
        <v>1</v>
      </c>
      <c r="AK23" s="3">
        <f t="shared" ca="1" si="6"/>
        <v>1</v>
      </c>
      <c r="AL23" s="3">
        <f t="shared" ca="1" si="6"/>
        <v>1</v>
      </c>
      <c r="AM23" s="3">
        <f t="shared" ca="1" si="6"/>
        <v>1</v>
      </c>
      <c r="AN23" s="3">
        <f t="shared" ca="1" si="6"/>
        <v>1</v>
      </c>
      <c r="AO23" s="3">
        <f t="shared" ca="1" si="6"/>
        <v>0</v>
      </c>
      <c r="AP23" s="3">
        <f t="shared" ca="1" si="6"/>
        <v>1</v>
      </c>
      <c r="AQ23" s="3">
        <f t="shared" ca="1" si="6"/>
        <v>1</v>
      </c>
      <c r="AR23" s="3">
        <f t="shared" ca="1" si="6"/>
        <v>1</v>
      </c>
      <c r="AS23" s="3">
        <f t="shared" ca="1" si="6"/>
        <v>1</v>
      </c>
      <c r="AT23" s="3">
        <f t="shared" ca="1" si="6"/>
        <v>0</v>
      </c>
      <c r="AU23" s="3">
        <f t="shared" ca="1" si="6"/>
        <v>1</v>
      </c>
      <c r="AV23" s="3">
        <f t="shared" ca="1" si="6"/>
        <v>1</v>
      </c>
      <c r="AW23" s="3">
        <f t="shared" ca="1" si="6"/>
        <v>0</v>
      </c>
      <c r="AX23" s="3">
        <f t="shared" ca="1" si="2"/>
        <v>0</v>
      </c>
    </row>
    <row r="24" spans="1:50" x14ac:dyDescent="0.2">
      <c r="A24" s="3">
        <f t="shared" ca="1" si="1"/>
        <v>0</v>
      </c>
      <c r="B24" s="3">
        <f t="shared" ca="1" si="6"/>
        <v>0</v>
      </c>
      <c r="C24" s="3">
        <f t="shared" ca="1" si="6"/>
        <v>1</v>
      </c>
      <c r="D24" s="3">
        <f t="shared" ca="1" si="6"/>
        <v>0</v>
      </c>
      <c r="E24" s="3">
        <f t="shared" ca="1" si="6"/>
        <v>1</v>
      </c>
      <c r="F24" s="3">
        <f t="shared" ca="1" si="6"/>
        <v>0</v>
      </c>
      <c r="G24" s="3">
        <f t="shared" ca="1" si="6"/>
        <v>1</v>
      </c>
      <c r="H24" s="3">
        <f t="shared" ca="1" si="6"/>
        <v>0</v>
      </c>
      <c r="I24" s="3">
        <f t="shared" ca="1" si="6"/>
        <v>1</v>
      </c>
      <c r="J24" s="3">
        <f t="shared" ca="1" si="6"/>
        <v>0</v>
      </c>
      <c r="K24" s="3">
        <f t="shared" ca="1" si="6"/>
        <v>1</v>
      </c>
      <c r="L24" s="3">
        <f t="shared" ca="1" si="6"/>
        <v>0</v>
      </c>
      <c r="M24" s="3">
        <f t="shared" ca="1" si="6"/>
        <v>0</v>
      </c>
      <c r="N24" s="3">
        <f t="shared" ca="1" si="6"/>
        <v>0</v>
      </c>
      <c r="O24" s="3">
        <f t="shared" ca="1" si="6"/>
        <v>1</v>
      </c>
      <c r="P24" s="3">
        <f t="shared" ca="1" si="6"/>
        <v>1</v>
      </c>
      <c r="Q24" s="3">
        <f t="shared" ca="1" si="6"/>
        <v>0</v>
      </c>
      <c r="R24" s="3">
        <f t="shared" ca="1" si="6"/>
        <v>1</v>
      </c>
      <c r="S24" s="3">
        <f t="shared" ca="1" si="6"/>
        <v>0</v>
      </c>
      <c r="T24" s="3">
        <f t="shared" ca="1" si="6"/>
        <v>0</v>
      </c>
      <c r="U24" s="3">
        <f t="shared" ca="1" si="6"/>
        <v>1</v>
      </c>
      <c r="V24" s="3">
        <f t="shared" ca="1" si="6"/>
        <v>0</v>
      </c>
      <c r="W24" s="3">
        <f t="shared" ca="1" si="6"/>
        <v>1</v>
      </c>
      <c r="X24" s="3">
        <f t="shared" ca="1" si="6"/>
        <v>1</v>
      </c>
      <c r="Y24" s="3">
        <f t="shared" ca="1" si="6"/>
        <v>1</v>
      </c>
      <c r="Z24" s="3">
        <f t="shared" ca="1" si="6"/>
        <v>0</v>
      </c>
      <c r="AA24" s="3">
        <f t="shared" ca="1" si="6"/>
        <v>0</v>
      </c>
      <c r="AB24" s="3">
        <f t="shared" ca="1" si="6"/>
        <v>1</v>
      </c>
      <c r="AC24" s="3">
        <f t="shared" ca="1" si="6"/>
        <v>0</v>
      </c>
      <c r="AD24" s="3">
        <f t="shared" ca="1" si="6"/>
        <v>0</v>
      </c>
      <c r="AE24" s="3">
        <f t="shared" ca="1" si="6"/>
        <v>1</v>
      </c>
      <c r="AF24" s="3">
        <f t="shared" ca="1" si="6"/>
        <v>0</v>
      </c>
      <c r="AG24" s="3">
        <f t="shared" ca="1" si="6"/>
        <v>1</v>
      </c>
      <c r="AH24" s="3">
        <f t="shared" ca="1" si="6"/>
        <v>1</v>
      </c>
      <c r="AI24" s="3">
        <f t="shared" ca="1" si="6"/>
        <v>1</v>
      </c>
      <c r="AJ24" s="3">
        <f t="shared" ca="1" si="6"/>
        <v>0</v>
      </c>
      <c r="AK24" s="3">
        <f t="shared" ca="1" si="6"/>
        <v>1</v>
      </c>
      <c r="AL24" s="3">
        <f t="shared" ca="1" si="6"/>
        <v>1</v>
      </c>
      <c r="AM24" s="3">
        <f t="shared" ca="1" si="6"/>
        <v>0</v>
      </c>
      <c r="AN24" s="3">
        <f t="shared" ca="1" si="6"/>
        <v>0</v>
      </c>
      <c r="AO24" s="3">
        <f t="shared" ca="1" si="6"/>
        <v>0</v>
      </c>
      <c r="AP24" s="3">
        <f t="shared" ca="1" si="6"/>
        <v>1</v>
      </c>
      <c r="AQ24" s="3">
        <f t="shared" ca="1" si="6"/>
        <v>1</v>
      </c>
      <c r="AR24" s="3">
        <f t="shared" ca="1" si="6"/>
        <v>0</v>
      </c>
      <c r="AS24" s="3">
        <f t="shared" ca="1" si="6"/>
        <v>0</v>
      </c>
      <c r="AT24" s="3">
        <f t="shared" ca="1" si="6"/>
        <v>0</v>
      </c>
      <c r="AU24" s="3">
        <f t="shared" ca="1" si="6"/>
        <v>0</v>
      </c>
      <c r="AV24" s="3">
        <f t="shared" ca="1" si="6"/>
        <v>1</v>
      </c>
      <c r="AW24" s="3">
        <f t="shared" ca="1" si="6"/>
        <v>0</v>
      </c>
      <c r="AX24" s="3">
        <f t="shared" ca="1" si="2"/>
        <v>0</v>
      </c>
    </row>
    <row r="25" spans="1:50" x14ac:dyDescent="0.2">
      <c r="A25" s="3">
        <f t="shared" ca="1" si="1"/>
        <v>1</v>
      </c>
      <c r="B25" s="3">
        <f t="shared" ca="1" si="6"/>
        <v>1</v>
      </c>
      <c r="C25" s="3">
        <f t="shared" ca="1" si="6"/>
        <v>1</v>
      </c>
      <c r="D25" s="3">
        <f t="shared" ca="1" si="6"/>
        <v>0</v>
      </c>
      <c r="E25" s="3">
        <f t="shared" ca="1" si="6"/>
        <v>0</v>
      </c>
      <c r="F25" s="3">
        <f t="shared" ca="1" si="6"/>
        <v>0</v>
      </c>
      <c r="G25" s="3">
        <f t="shared" ca="1" si="6"/>
        <v>0</v>
      </c>
      <c r="H25" s="3">
        <f t="shared" ca="1" si="6"/>
        <v>1</v>
      </c>
      <c r="I25" s="3">
        <f t="shared" ca="1" si="6"/>
        <v>1</v>
      </c>
      <c r="J25" s="3">
        <f t="shared" ca="1" si="6"/>
        <v>1</v>
      </c>
      <c r="K25" s="3">
        <f t="shared" ca="1" si="6"/>
        <v>1</v>
      </c>
      <c r="L25" s="3">
        <f t="shared" ca="1" si="6"/>
        <v>0</v>
      </c>
      <c r="M25" s="3">
        <f t="shared" ca="1" si="6"/>
        <v>0</v>
      </c>
      <c r="N25" s="3">
        <f t="shared" ca="1" si="6"/>
        <v>0</v>
      </c>
      <c r="O25" s="3">
        <f t="shared" ca="1" si="6"/>
        <v>0</v>
      </c>
      <c r="P25" s="3">
        <f t="shared" ca="1" si="6"/>
        <v>0</v>
      </c>
      <c r="Q25" s="3">
        <f t="shared" ca="1" si="6"/>
        <v>0</v>
      </c>
      <c r="R25" s="3">
        <f t="shared" ca="1" si="6"/>
        <v>0</v>
      </c>
      <c r="S25" s="3">
        <f t="shared" ca="1" si="6"/>
        <v>0</v>
      </c>
      <c r="T25" s="3">
        <f t="shared" ca="1" si="6"/>
        <v>1</v>
      </c>
      <c r="U25" s="3">
        <f t="shared" ca="1" si="6"/>
        <v>1</v>
      </c>
      <c r="V25" s="3">
        <f t="shared" ca="1" si="6"/>
        <v>0</v>
      </c>
      <c r="W25" s="3">
        <f t="shared" ca="1" si="6"/>
        <v>0</v>
      </c>
      <c r="X25" s="3">
        <f t="shared" ca="1" si="6"/>
        <v>1</v>
      </c>
      <c r="Y25" s="3">
        <f t="shared" ca="1" si="6"/>
        <v>1</v>
      </c>
      <c r="Z25" s="3">
        <f t="shared" ca="1" si="6"/>
        <v>0</v>
      </c>
      <c r="AA25" s="3">
        <f t="shared" ca="1" si="6"/>
        <v>0</v>
      </c>
      <c r="AB25" s="3">
        <f t="shared" ca="1" si="6"/>
        <v>0</v>
      </c>
      <c r="AC25" s="3">
        <f t="shared" ca="1" si="6"/>
        <v>1</v>
      </c>
      <c r="AD25" s="3">
        <f t="shared" ca="1" si="6"/>
        <v>1</v>
      </c>
      <c r="AE25" s="3">
        <f t="shared" ca="1" si="6"/>
        <v>0</v>
      </c>
      <c r="AF25" s="3">
        <f t="shared" ca="1" si="6"/>
        <v>0</v>
      </c>
      <c r="AG25" s="3">
        <f t="shared" ca="1" si="6"/>
        <v>1</v>
      </c>
      <c r="AH25" s="3">
        <f t="shared" ca="1" si="6"/>
        <v>0</v>
      </c>
      <c r="AI25" s="3">
        <f t="shared" ca="1" si="6"/>
        <v>0</v>
      </c>
      <c r="AJ25" s="3">
        <f t="shared" ca="1" si="6"/>
        <v>0</v>
      </c>
      <c r="AK25" s="3">
        <f t="shared" ca="1" si="6"/>
        <v>1</v>
      </c>
      <c r="AL25" s="3">
        <f t="shared" ca="1" si="6"/>
        <v>0</v>
      </c>
      <c r="AM25" s="3">
        <f t="shared" ca="1" si="6"/>
        <v>0</v>
      </c>
      <c r="AN25" s="3">
        <f t="shared" ca="1" si="6"/>
        <v>1</v>
      </c>
      <c r="AO25" s="3">
        <f t="shared" ca="1" si="6"/>
        <v>1</v>
      </c>
      <c r="AP25" s="3">
        <f t="shared" ca="1" si="6"/>
        <v>0</v>
      </c>
      <c r="AQ25" s="3">
        <f t="shared" ca="1" si="6"/>
        <v>1</v>
      </c>
      <c r="AR25" s="3">
        <f t="shared" ca="1" si="6"/>
        <v>1</v>
      </c>
      <c r="AS25" s="3">
        <f t="shared" ca="1" si="6"/>
        <v>0</v>
      </c>
      <c r="AT25" s="3">
        <f t="shared" ca="1" si="6"/>
        <v>0</v>
      </c>
      <c r="AU25" s="3">
        <f t="shared" ca="1" si="6"/>
        <v>1</v>
      </c>
      <c r="AV25" s="3">
        <f t="shared" ca="1" si="6"/>
        <v>0</v>
      </c>
      <c r="AW25" s="3">
        <f t="shared" ca="1" si="6"/>
        <v>0</v>
      </c>
      <c r="AX25" s="3">
        <f t="shared" ca="1" si="2"/>
        <v>0</v>
      </c>
    </row>
    <row r="26" spans="1:50" x14ac:dyDescent="0.2">
      <c r="A26" s="3">
        <f t="shared" ca="1" si="1"/>
        <v>0</v>
      </c>
      <c r="B26" s="3">
        <f t="shared" ca="1" si="6"/>
        <v>0</v>
      </c>
      <c r="C26" s="3">
        <f t="shared" ca="1" si="6"/>
        <v>0</v>
      </c>
      <c r="D26" s="3">
        <f t="shared" ca="1" si="6"/>
        <v>0</v>
      </c>
      <c r="E26" s="3">
        <f t="shared" ca="1" si="6"/>
        <v>1</v>
      </c>
      <c r="F26" s="3">
        <f t="shared" ca="1" si="6"/>
        <v>1</v>
      </c>
      <c r="G26" s="3">
        <f t="shared" ca="1" si="6"/>
        <v>0</v>
      </c>
      <c r="H26" s="3">
        <f t="shared" ca="1" si="6"/>
        <v>0</v>
      </c>
      <c r="I26" s="3">
        <f t="shared" ca="1" si="6"/>
        <v>0</v>
      </c>
      <c r="J26" s="3">
        <f t="shared" ca="1" si="6"/>
        <v>1</v>
      </c>
      <c r="K26" s="3">
        <f t="shared" ca="1" si="6"/>
        <v>1</v>
      </c>
      <c r="L26" s="3">
        <f t="shared" ca="1" si="6"/>
        <v>1</v>
      </c>
      <c r="M26" s="3">
        <f t="shared" ca="1" si="6"/>
        <v>1</v>
      </c>
      <c r="N26" s="3">
        <f t="shared" ca="1" si="6"/>
        <v>1</v>
      </c>
      <c r="O26" s="3">
        <f t="shared" ca="1" si="6"/>
        <v>0</v>
      </c>
      <c r="P26" s="3">
        <f t="shared" ca="1" si="6"/>
        <v>0</v>
      </c>
      <c r="Q26" s="3">
        <f t="shared" ca="1" si="6"/>
        <v>0</v>
      </c>
      <c r="R26" s="3">
        <f t="shared" ca="1" si="6"/>
        <v>1</v>
      </c>
      <c r="S26" s="3">
        <f t="shared" ca="1" si="6"/>
        <v>0</v>
      </c>
      <c r="T26" s="3">
        <f t="shared" ca="1" si="6"/>
        <v>0</v>
      </c>
      <c r="U26" s="3">
        <f t="shared" ca="1" si="6"/>
        <v>0</v>
      </c>
      <c r="V26" s="3">
        <f t="shared" ca="1" si="6"/>
        <v>0</v>
      </c>
      <c r="W26" s="3">
        <f t="shared" ca="1" si="6"/>
        <v>1</v>
      </c>
      <c r="X26" s="3">
        <f t="shared" ca="1" si="6"/>
        <v>0</v>
      </c>
      <c r="Y26" s="3">
        <f t="shared" ca="1" si="6"/>
        <v>1</v>
      </c>
      <c r="Z26" s="3">
        <f t="shared" ca="1" si="6"/>
        <v>1</v>
      </c>
      <c r="AA26" s="3">
        <f t="shared" ca="1" si="6"/>
        <v>1</v>
      </c>
      <c r="AB26" s="3">
        <f t="shared" ca="1" si="6"/>
        <v>1</v>
      </c>
      <c r="AC26" s="3">
        <f t="shared" ca="1" si="6"/>
        <v>1</v>
      </c>
      <c r="AD26" s="3">
        <f t="shared" ca="1" si="6"/>
        <v>0</v>
      </c>
      <c r="AE26" s="3">
        <f t="shared" ca="1" si="6"/>
        <v>0</v>
      </c>
      <c r="AF26" s="3">
        <f t="shared" ca="1" si="6"/>
        <v>1</v>
      </c>
      <c r="AG26" s="3">
        <f t="shared" ca="1" si="6"/>
        <v>0</v>
      </c>
      <c r="AH26" s="3">
        <f t="shared" ca="1" si="6"/>
        <v>1</v>
      </c>
      <c r="AI26" s="3">
        <f t="shared" ca="1" si="6"/>
        <v>1</v>
      </c>
      <c r="AJ26" s="3">
        <f t="shared" ca="1" si="6"/>
        <v>0</v>
      </c>
      <c r="AK26" s="3">
        <f t="shared" ca="1" si="6"/>
        <v>0</v>
      </c>
      <c r="AL26" s="3">
        <f t="shared" ca="1" si="6"/>
        <v>0</v>
      </c>
      <c r="AM26" s="3">
        <f t="shared" ca="1" si="6"/>
        <v>1</v>
      </c>
      <c r="AN26" s="3">
        <f t="shared" ca="1" si="6"/>
        <v>1</v>
      </c>
      <c r="AO26" s="3">
        <f t="shared" ca="1" si="6"/>
        <v>0</v>
      </c>
      <c r="AP26" s="3">
        <f t="shared" ca="1" si="6"/>
        <v>0</v>
      </c>
      <c r="AQ26" s="3">
        <f t="shared" ca="1" si="6"/>
        <v>0</v>
      </c>
      <c r="AR26" s="3">
        <f t="shared" ca="1" si="6"/>
        <v>1</v>
      </c>
      <c r="AS26" s="3">
        <f t="shared" ca="1" si="6"/>
        <v>1</v>
      </c>
      <c r="AT26" s="3">
        <f t="shared" ca="1" si="6"/>
        <v>0</v>
      </c>
      <c r="AU26" s="3">
        <f t="shared" ca="1" si="6"/>
        <v>1</v>
      </c>
      <c r="AV26" s="3">
        <f t="shared" ca="1" si="6"/>
        <v>0</v>
      </c>
      <c r="AW26" s="3">
        <f t="shared" ca="1" si="6"/>
        <v>1</v>
      </c>
      <c r="AX26" s="3">
        <f t="shared" ca="1" si="2"/>
        <v>0</v>
      </c>
    </row>
    <row r="27" spans="1:50" x14ac:dyDescent="0.2">
      <c r="A27" s="3">
        <f t="shared" ca="1" si="1"/>
        <v>0</v>
      </c>
      <c r="B27" s="3">
        <f t="shared" ca="1" si="6"/>
        <v>0</v>
      </c>
      <c r="C27" s="3">
        <f t="shared" ca="1" si="6"/>
        <v>1</v>
      </c>
      <c r="D27" s="3">
        <f t="shared" ca="1" si="6"/>
        <v>1</v>
      </c>
      <c r="E27" s="3">
        <f t="shared" ca="1" si="6"/>
        <v>0</v>
      </c>
      <c r="F27" s="3">
        <f t="shared" ca="1" si="6"/>
        <v>0</v>
      </c>
      <c r="G27" s="3">
        <f t="shared" ca="1" si="6"/>
        <v>0</v>
      </c>
      <c r="H27" s="3">
        <f t="shared" ca="1" si="6"/>
        <v>0</v>
      </c>
      <c r="I27" s="3">
        <f t="shared" ca="1" si="6"/>
        <v>1</v>
      </c>
      <c r="J27" s="3">
        <f t="shared" ca="1" si="6"/>
        <v>1</v>
      </c>
      <c r="K27" s="3">
        <f t="shared" ca="1" si="6"/>
        <v>1</v>
      </c>
      <c r="L27" s="3">
        <f t="shared" ca="1" si="6"/>
        <v>0</v>
      </c>
      <c r="M27" s="3">
        <f t="shared" ca="1" si="6"/>
        <v>0</v>
      </c>
      <c r="N27" s="3">
        <f t="shared" ca="1" si="6"/>
        <v>1</v>
      </c>
      <c r="O27" s="3">
        <f t="shared" ca="1" si="6"/>
        <v>1</v>
      </c>
      <c r="P27" s="3">
        <f t="shared" ca="1" si="6"/>
        <v>0</v>
      </c>
      <c r="Q27" s="3">
        <f t="shared" ca="1" si="6"/>
        <v>1</v>
      </c>
      <c r="R27" s="3">
        <f t="shared" ca="1" si="6"/>
        <v>1</v>
      </c>
      <c r="S27" s="3">
        <f t="shared" ca="1" si="6"/>
        <v>1</v>
      </c>
      <c r="T27" s="3">
        <f t="shared" ca="1" si="6"/>
        <v>1</v>
      </c>
      <c r="U27" s="3">
        <f t="shared" ca="1" si="6"/>
        <v>1</v>
      </c>
      <c r="V27" s="3">
        <f t="shared" ca="1" si="6"/>
        <v>1</v>
      </c>
      <c r="W27" s="3">
        <f t="shared" ca="1" si="6"/>
        <v>0</v>
      </c>
      <c r="X27" s="3">
        <f t="shared" ca="1" si="6"/>
        <v>1</v>
      </c>
      <c r="Y27" s="3">
        <f t="shared" ca="1" si="6"/>
        <v>0</v>
      </c>
      <c r="Z27" s="3">
        <f t="shared" ca="1" si="6"/>
        <v>0</v>
      </c>
      <c r="AA27" s="3">
        <f t="shared" ca="1" si="6"/>
        <v>0</v>
      </c>
      <c r="AB27" s="3">
        <f t="shared" ca="1" si="6"/>
        <v>1</v>
      </c>
      <c r="AC27" s="3">
        <f t="shared" ca="1" si="6"/>
        <v>0</v>
      </c>
      <c r="AD27" s="3">
        <f t="shared" ca="1" si="6"/>
        <v>1</v>
      </c>
      <c r="AE27" s="3">
        <f t="shared" ca="1" si="6"/>
        <v>1</v>
      </c>
      <c r="AF27" s="3">
        <f t="shared" ca="1" si="6"/>
        <v>1</v>
      </c>
      <c r="AG27" s="3">
        <f t="shared" ca="1" si="6"/>
        <v>1</v>
      </c>
      <c r="AH27" s="3">
        <f t="shared" ca="1" si="6"/>
        <v>1</v>
      </c>
      <c r="AI27" s="3">
        <f t="shared" ca="1" si="6"/>
        <v>0</v>
      </c>
      <c r="AJ27" s="3">
        <f t="shared" ca="1" si="6"/>
        <v>1</v>
      </c>
      <c r="AK27" s="3">
        <f t="shared" ca="1" si="6"/>
        <v>0</v>
      </c>
      <c r="AL27" s="3">
        <f t="shared" ca="1" si="6"/>
        <v>0</v>
      </c>
      <c r="AM27" s="3">
        <f t="shared" ca="1" si="6"/>
        <v>1</v>
      </c>
      <c r="AN27" s="3">
        <f t="shared" ca="1" si="6"/>
        <v>1</v>
      </c>
      <c r="AO27" s="3">
        <f t="shared" ca="1" si="6"/>
        <v>0</v>
      </c>
      <c r="AP27" s="3">
        <f t="shared" ca="1" si="6"/>
        <v>0</v>
      </c>
      <c r="AQ27" s="3">
        <f t="shared" ca="1" si="6"/>
        <v>0</v>
      </c>
      <c r="AR27" s="3">
        <f t="shared" ca="1" si="6"/>
        <v>0</v>
      </c>
      <c r="AS27" s="3">
        <f t="shared" ca="1" si="6"/>
        <v>0</v>
      </c>
      <c r="AT27" s="3">
        <f t="shared" ca="1" si="6"/>
        <v>0</v>
      </c>
      <c r="AU27" s="3">
        <f t="shared" ca="1" si="6"/>
        <v>1</v>
      </c>
      <c r="AV27" s="3">
        <f t="shared" ca="1" si="6"/>
        <v>1</v>
      </c>
      <c r="AW27" s="3">
        <f t="shared" ca="1" si="6"/>
        <v>0</v>
      </c>
      <c r="AX27" s="3">
        <f t="shared" ca="1" si="2"/>
        <v>1</v>
      </c>
    </row>
    <row r="28" spans="1:50" x14ac:dyDescent="0.2">
      <c r="A28" s="3">
        <f t="shared" ca="1" si="1"/>
        <v>0</v>
      </c>
      <c r="B28" s="3">
        <f t="shared" ca="1" si="6"/>
        <v>0</v>
      </c>
      <c r="C28" s="3">
        <f t="shared" ca="1" si="6"/>
        <v>0</v>
      </c>
      <c r="D28" s="3">
        <f t="shared" ca="1" si="6"/>
        <v>0</v>
      </c>
      <c r="E28" s="3">
        <f t="shared" ca="1" si="6"/>
        <v>0</v>
      </c>
      <c r="F28" s="3">
        <f t="shared" ca="1" si="6"/>
        <v>1</v>
      </c>
      <c r="G28" s="3">
        <f t="shared" ca="1" si="6"/>
        <v>1</v>
      </c>
      <c r="H28" s="3">
        <f t="shared" ca="1" si="6"/>
        <v>0</v>
      </c>
      <c r="I28" s="3">
        <f t="shared" ca="1" si="6"/>
        <v>1</v>
      </c>
      <c r="J28" s="3">
        <f t="shared" ca="1" si="6"/>
        <v>1</v>
      </c>
      <c r="K28" s="3">
        <f t="shared" ca="1" si="6"/>
        <v>1</v>
      </c>
      <c r="L28" s="3">
        <f t="shared" ca="1" si="6"/>
        <v>1</v>
      </c>
      <c r="M28" s="3">
        <f t="shared" ca="1" si="6"/>
        <v>1</v>
      </c>
      <c r="N28" s="3">
        <f t="shared" ca="1" si="6"/>
        <v>1</v>
      </c>
      <c r="O28" s="3">
        <f t="shared" ca="1" si="6"/>
        <v>1</v>
      </c>
      <c r="P28" s="3">
        <f t="shared" ref="P28:AE44" ca="1" si="7">RANDBETWEEN(0,1)</f>
        <v>0</v>
      </c>
      <c r="Q28" s="3">
        <f t="shared" ca="1" si="7"/>
        <v>1</v>
      </c>
      <c r="R28" s="3">
        <f t="shared" ca="1" si="7"/>
        <v>1</v>
      </c>
      <c r="S28" s="3">
        <f t="shared" ca="1" si="7"/>
        <v>0</v>
      </c>
      <c r="T28" s="3">
        <f t="shared" ca="1" si="7"/>
        <v>1</v>
      </c>
      <c r="U28" s="3">
        <f t="shared" ca="1" si="7"/>
        <v>1</v>
      </c>
      <c r="V28" s="3">
        <f t="shared" ca="1" si="7"/>
        <v>0</v>
      </c>
      <c r="W28" s="3">
        <f t="shared" ca="1" si="7"/>
        <v>0</v>
      </c>
      <c r="X28" s="3">
        <f t="shared" ca="1" si="7"/>
        <v>1</v>
      </c>
      <c r="Y28" s="3">
        <f t="shared" ca="1" si="7"/>
        <v>0</v>
      </c>
      <c r="Z28" s="3">
        <f t="shared" ca="1" si="7"/>
        <v>0</v>
      </c>
      <c r="AA28" s="3">
        <f t="shared" ca="1" si="7"/>
        <v>0</v>
      </c>
      <c r="AB28" s="3">
        <f t="shared" ca="1" si="7"/>
        <v>0</v>
      </c>
      <c r="AC28" s="3">
        <f t="shared" ca="1" si="7"/>
        <v>1</v>
      </c>
      <c r="AD28" s="3">
        <f t="shared" ca="1" si="7"/>
        <v>0</v>
      </c>
      <c r="AE28" s="3">
        <f t="shared" ca="1" si="7"/>
        <v>0</v>
      </c>
      <c r="AF28" s="3">
        <f t="shared" ref="AF28:AU43" ca="1" si="8">RANDBETWEEN(0,1)</f>
        <v>0</v>
      </c>
      <c r="AG28" s="3">
        <f t="shared" ca="1" si="8"/>
        <v>0</v>
      </c>
      <c r="AH28" s="3">
        <f t="shared" ca="1" si="8"/>
        <v>0</v>
      </c>
      <c r="AI28" s="3">
        <f t="shared" ca="1" si="8"/>
        <v>1</v>
      </c>
      <c r="AJ28" s="3">
        <f t="shared" ca="1" si="8"/>
        <v>0</v>
      </c>
      <c r="AK28" s="3">
        <f t="shared" ca="1" si="8"/>
        <v>1</v>
      </c>
      <c r="AL28" s="3">
        <f t="shared" ca="1" si="8"/>
        <v>0</v>
      </c>
      <c r="AM28" s="3">
        <f t="shared" ca="1" si="8"/>
        <v>1</v>
      </c>
      <c r="AN28" s="3">
        <f t="shared" ca="1" si="8"/>
        <v>0</v>
      </c>
      <c r="AO28" s="3">
        <f t="shared" ca="1" si="8"/>
        <v>1</v>
      </c>
      <c r="AP28" s="3">
        <f t="shared" ca="1" si="8"/>
        <v>1</v>
      </c>
      <c r="AQ28" s="3">
        <f t="shared" ca="1" si="8"/>
        <v>1</v>
      </c>
      <c r="AR28" s="3">
        <f t="shared" ca="1" si="8"/>
        <v>0</v>
      </c>
      <c r="AS28" s="3">
        <f t="shared" ca="1" si="8"/>
        <v>0</v>
      </c>
      <c r="AT28" s="3">
        <f t="shared" ca="1" si="8"/>
        <v>0</v>
      </c>
      <c r="AU28" s="3">
        <f t="shared" ca="1" si="8"/>
        <v>0</v>
      </c>
      <c r="AV28" s="3">
        <f t="shared" ref="AV28:AW42" ca="1" si="9">RANDBETWEEN(0,1)</f>
        <v>0</v>
      </c>
      <c r="AW28" s="3">
        <f t="shared" ca="1" si="9"/>
        <v>0</v>
      </c>
      <c r="AX28" s="3">
        <f t="shared" ca="1" si="2"/>
        <v>1</v>
      </c>
    </row>
    <row r="29" spans="1:50" x14ac:dyDescent="0.2">
      <c r="A29" s="3">
        <f t="shared" ca="1" si="1"/>
        <v>0</v>
      </c>
      <c r="B29" s="3">
        <f t="shared" ca="1" si="1"/>
        <v>1</v>
      </c>
      <c r="C29" s="3">
        <f t="shared" ca="1" si="1"/>
        <v>0</v>
      </c>
      <c r="D29" s="3">
        <f t="shared" ca="1" si="1"/>
        <v>1</v>
      </c>
      <c r="E29" s="3">
        <f t="shared" ref="E29:T44" ca="1" si="10">RANDBETWEEN(0,1)</f>
        <v>1</v>
      </c>
      <c r="F29" s="3">
        <f t="shared" ca="1" si="10"/>
        <v>1</v>
      </c>
      <c r="G29" s="3">
        <f t="shared" ca="1" si="10"/>
        <v>0</v>
      </c>
      <c r="H29" s="3">
        <f t="shared" ca="1" si="10"/>
        <v>0</v>
      </c>
      <c r="I29" s="3">
        <f t="shared" ca="1" si="10"/>
        <v>0</v>
      </c>
      <c r="J29" s="3">
        <f t="shared" ca="1" si="10"/>
        <v>1</v>
      </c>
      <c r="K29" s="3">
        <f t="shared" ca="1" si="10"/>
        <v>0</v>
      </c>
      <c r="L29" s="3">
        <f t="shared" ca="1" si="10"/>
        <v>1</v>
      </c>
      <c r="M29" s="3">
        <f t="shared" ca="1" si="10"/>
        <v>1</v>
      </c>
      <c r="N29" s="3">
        <f t="shared" ca="1" si="10"/>
        <v>1</v>
      </c>
      <c r="O29" s="3">
        <f t="shared" ca="1" si="10"/>
        <v>0</v>
      </c>
      <c r="P29" s="3">
        <f t="shared" ca="1" si="10"/>
        <v>1</v>
      </c>
      <c r="Q29" s="3">
        <f t="shared" ca="1" si="10"/>
        <v>1</v>
      </c>
      <c r="R29" s="3">
        <f t="shared" ca="1" si="10"/>
        <v>0</v>
      </c>
      <c r="S29" s="3">
        <f t="shared" ca="1" si="10"/>
        <v>1</v>
      </c>
      <c r="T29" s="3">
        <f t="shared" ca="1" si="10"/>
        <v>1</v>
      </c>
      <c r="U29" s="3">
        <f t="shared" ca="1" si="7"/>
        <v>0</v>
      </c>
      <c r="V29" s="3">
        <f t="shared" ca="1" si="7"/>
        <v>1</v>
      </c>
      <c r="W29" s="3">
        <f t="shared" ca="1" si="7"/>
        <v>1</v>
      </c>
      <c r="X29" s="3">
        <f t="shared" ca="1" si="7"/>
        <v>1</v>
      </c>
      <c r="Y29" s="3">
        <f t="shared" ca="1" si="7"/>
        <v>1</v>
      </c>
      <c r="Z29" s="3">
        <f t="shared" ca="1" si="7"/>
        <v>0</v>
      </c>
      <c r="AA29" s="3">
        <f t="shared" ca="1" si="7"/>
        <v>0</v>
      </c>
      <c r="AB29" s="3">
        <f t="shared" ca="1" si="7"/>
        <v>1</v>
      </c>
      <c r="AC29" s="3">
        <f t="shared" ca="1" si="7"/>
        <v>1</v>
      </c>
      <c r="AD29" s="3">
        <f t="shared" ca="1" si="7"/>
        <v>0</v>
      </c>
      <c r="AE29" s="3">
        <f t="shared" ca="1" si="7"/>
        <v>0</v>
      </c>
      <c r="AF29" s="3">
        <f t="shared" ca="1" si="8"/>
        <v>0</v>
      </c>
      <c r="AG29" s="3">
        <f t="shared" ca="1" si="8"/>
        <v>0</v>
      </c>
      <c r="AH29" s="3">
        <f t="shared" ca="1" si="8"/>
        <v>1</v>
      </c>
      <c r="AI29" s="3">
        <f t="shared" ca="1" si="8"/>
        <v>1</v>
      </c>
      <c r="AJ29" s="3">
        <f t="shared" ca="1" si="8"/>
        <v>0</v>
      </c>
      <c r="AK29" s="3">
        <f t="shared" ca="1" si="8"/>
        <v>1</v>
      </c>
      <c r="AL29" s="3">
        <f t="shared" ca="1" si="8"/>
        <v>1</v>
      </c>
      <c r="AM29" s="3">
        <f t="shared" ca="1" si="8"/>
        <v>1</v>
      </c>
      <c r="AN29" s="3">
        <f t="shared" ca="1" si="8"/>
        <v>1</v>
      </c>
      <c r="AO29" s="3">
        <f t="shared" ca="1" si="8"/>
        <v>1</v>
      </c>
      <c r="AP29" s="3">
        <f t="shared" ca="1" si="8"/>
        <v>1</v>
      </c>
      <c r="AQ29" s="3">
        <f t="shared" ca="1" si="8"/>
        <v>1</v>
      </c>
      <c r="AR29" s="3">
        <f t="shared" ca="1" si="8"/>
        <v>0</v>
      </c>
      <c r="AS29" s="3">
        <f t="shared" ca="1" si="8"/>
        <v>0</v>
      </c>
      <c r="AT29" s="3">
        <f t="shared" ca="1" si="8"/>
        <v>0</v>
      </c>
      <c r="AU29" s="3">
        <f t="shared" ca="1" si="8"/>
        <v>0</v>
      </c>
      <c r="AV29" s="3">
        <f t="shared" ca="1" si="9"/>
        <v>0</v>
      </c>
      <c r="AW29" s="3">
        <f t="shared" ca="1" si="9"/>
        <v>0</v>
      </c>
      <c r="AX29" s="3">
        <f t="shared" ca="1" si="2"/>
        <v>1</v>
      </c>
    </row>
    <row r="30" spans="1:50" x14ac:dyDescent="0.2">
      <c r="A30" s="3">
        <f t="shared" ref="A30:P45" ca="1" si="11">RANDBETWEEN(0,1)</f>
        <v>0</v>
      </c>
      <c r="B30" s="3">
        <f t="shared" ca="1" si="11"/>
        <v>1</v>
      </c>
      <c r="C30" s="3">
        <f t="shared" ca="1" si="11"/>
        <v>1</v>
      </c>
      <c r="D30" s="3">
        <f t="shared" ca="1" si="11"/>
        <v>1</v>
      </c>
      <c r="E30" s="3">
        <f t="shared" ca="1" si="11"/>
        <v>0</v>
      </c>
      <c r="F30" s="3">
        <f t="shared" ca="1" si="11"/>
        <v>0</v>
      </c>
      <c r="G30" s="3">
        <f t="shared" ca="1" si="11"/>
        <v>0</v>
      </c>
      <c r="H30" s="3">
        <f t="shared" ca="1" si="11"/>
        <v>0</v>
      </c>
      <c r="I30" s="3">
        <f t="shared" ca="1" si="11"/>
        <v>0</v>
      </c>
      <c r="J30" s="3">
        <f t="shared" ca="1" si="11"/>
        <v>1</v>
      </c>
      <c r="K30" s="3">
        <f t="shared" ca="1" si="11"/>
        <v>1</v>
      </c>
      <c r="L30" s="3">
        <f t="shared" ca="1" si="11"/>
        <v>0</v>
      </c>
      <c r="M30" s="3">
        <f t="shared" ca="1" si="11"/>
        <v>0</v>
      </c>
      <c r="N30" s="3">
        <f t="shared" ca="1" si="11"/>
        <v>1</v>
      </c>
      <c r="O30" s="3">
        <f t="shared" ca="1" si="11"/>
        <v>1</v>
      </c>
      <c r="P30" s="3">
        <f t="shared" ca="1" si="11"/>
        <v>1</v>
      </c>
      <c r="Q30" s="3">
        <f t="shared" ca="1" si="10"/>
        <v>1</v>
      </c>
      <c r="R30" s="3">
        <f t="shared" ca="1" si="10"/>
        <v>0</v>
      </c>
      <c r="S30" s="3">
        <f t="shared" ca="1" si="10"/>
        <v>1</v>
      </c>
      <c r="T30" s="3">
        <f t="shared" ca="1" si="10"/>
        <v>1</v>
      </c>
      <c r="U30" s="3">
        <f t="shared" ca="1" si="7"/>
        <v>0</v>
      </c>
      <c r="V30" s="3">
        <f t="shared" ca="1" si="7"/>
        <v>0</v>
      </c>
      <c r="W30" s="3">
        <f t="shared" ca="1" si="7"/>
        <v>0</v>
      </c>
      <c r="X30" s="3">
        <f t="shared" ca="1" si="7"/>
        <v>1</v>
      </c>
      <c r="Y30" s="3">
        <f t="shared" ca="1" si="7"/>
        <v>1</v>
      </c>
      <c r="Z30" s="3">
        <f t="shared" ca="1" si="7"/>
        <v>1</v>
      </c>
      <c r="AA30" s="3">
        <f t="shared" ca="1" si="7"/>
        <v>0</v>
      </c>
      <c r="AB30" s="3">
        <f t="shared" ca="1" si="7"/>
        <v>1</v>
      </c>
      <c r="AC30" s="3">
        <f t="shared" ca="1" si="7"/>
        <v>1</v>
      </c>
      <c r="AD30" s="3">
        <f t="shared" ca="1" si="7"/>
        <v>1</v>
      </c>
      <c r="AE30" s="3">
        <f t="shared" ca="1" si="7"/>
        <v>1</v>
      </c>
      <c r="AF30" s="3">
        <f t="shared" ca="1" si="8"/>
        <v>1</v>
      </c>
      <c r="AG30" s="3">
        <f t="shared" ca="1" si="8"/>
        <v>0</v>
      </c>
      <c r="AH30" s="3">
        <f t="shared" ca="1" si="8"/>
        <v>0</v>
      </c>
      <c r="AI30" s="3">
        <f t="shared" ca="1" si="8"/>
        <v>0</v>
      </c>
      <c r="AJ30" s="3">
        <f t="shared" ca="1" si="8"/>
        <v>0</v>
      </c>
      <c r="AK30" s="3">
        <f t="shared" ca="1" si="8"/>
        <v>0</v>
      </c>
      <c r="AL30" s="3">
        <f t="shared" ca="1" si="8"/>
        <v>0</v>
      </c>
      <c r="AM30" s="3">
        <f t="shared" ca="1" si="8"/>
        <v>1</v>
      </c>
      <c r="AN30" s="3">
        <f t="shared" ca="1" si="8"/>
        <v>0</v>
      </c>
      <c r="AO30" s="3">
        <f t="shared" ca="1" si="8"/>
        <v>0</v>
      </c>
      <c r="AP30" s="3">
        <f t="shared" ca="1" si="8"/>
        <v>0</v>
      </c>
      <c r="AQ30" s="3">
        <f t="shared" ca="1" si="8"/>
        <v>0</v>
      </c>
      <c r="AR30" s="3">
        <f t="shared" ca="1" si="8"/>
        <v>1</v>
      </c>
      <c r="AS30" s="3">
        <f t="shared" ca="1" si="8"/>
        <v>1</v>
      </c>
      <c r="AT30" s="3">
        <f t="shared" ca="1" si="8"/>
        <v>0</v>
      </c>
      <c r="AU30" s="3">
        <f t="shared" ca="1" si="8"/>
        <v>0</v>
      </c>
      <c r="AV30" s="3">
        <f t="shared" ca="1" si="9"/>
        <v>0</v>
      </c>
      <c r="AW30" s="3">
        <f t="shared" ca="1" si="9"/>
        <v>0</v>
      </c>
      <c r="AX30" s="3">
        <f t="shared" ca="1" si="2"/>
        <v>0</v>
      </c>
    </row>
    <row r="31" spans="1:50" x14ac:dyDescent="0.2">
      <c r="A31" s="3">
        <f t="shared" ca="1" si="11"/>
        <v>1</v>
      </c>
      <c r="B31" s="3">
        <f t="shared" ca="1" si="11"/>
        <v>0</v>
      </c>
      <c r="C31" s="3">
        <f t="shared" ca="1" si="11"/>
        <v>1</v>
      </c>
      <c r="D31" s="3">
        <f t="shared" ca="1" si="11"/>
        <v>1</v>
      </c>
      <c r="E31" s="3">
        <f t="shared" ca="1" si="11"/>
        <v>0</v>
      </c>
      <c r="F31" s="3">
        <f t="shared" ca="1" si="11"/>
        <v>0</v>
      </c>
      <c r="G31" s="3">
        <f t="shared" ca="1" si="11"/>
        <v>0</v>
      </c>
      <c r="H31" s="3">
        <f t="shared" ca="1" si="11"/>
        <v>0</v>
      </c>
      <c r="I31" s="3">
        <f t="shared" ca="1" si="11"/>
        <v>1</v>
      </c>
      <c r="J31" s="3">
        <f t="shared" ca="1" si="11"/>
        <v>0</v>
      </c>
      <c r="K31" s="3">
        <f t="shared" ca="1" si="11"/>
        <v>1</v>
      </c>
      <c r="L31" s="3">
        <f t="shared" ca="1" si="11"/>
        <v>0</v>
      </c>
      <c r="M31" s="3">
        <f t="shared" ca="1" si="11"/>
        <v>1</v>
      </c>
      <c r="N31" s="3">
        <f t="shared" ca="1" si="11"/>
        <v>1</v>
      </c>
      <c r="O31" s="3">
        <f t="shared" ca="1" si="11"/>
        <v>1</v>
      </c>
      <c r="P31" s="3">
        <f t="shared" ca="1" si="11"/>
        <v>1</v>
      </c>
      <c r="Q31" s="3">
        <f t="shared" ca="1" si="10"/>
        <v>0</v>
      </c>
      <c r="R31" s="3">
        <f t="shared" ca="1" si="10"/>
        <v>1</v>
      </c>
      <c r="S31" s="3">
        <f t="shared" ca="1" si="10"/>
        <v>1</v>
      </c>
      <c r="T31" s="3">
        <f t="shared" ca="1" si="10"/>
        <v>0</v>
      </c>
      <c r="U31" s="3">
        <f t="shared" ca="1" si="7"/>
        <v>1</v>
      </c>
      <c r="V31" s="3">
        <f t="shared" ca="1" si="7"/>
        <v>0</v>
      </c>
      <c r="W31" s="3">
        <f t="shared" ca="1" si="7"/>
        <v>0</v>
      </c>
      <c r="X31" s="3">
        <f t="shared" ca="1" si="7"/>
        <v>0</v>
      </c>
      <c r="Y31" s="3">
        <f t="shared" ca="1" si="7"/>
        <v>0</v>
      </c>
      <c r="Z31" s="3">
        <f t="shared" ca="1" si="7"/>
        <v>0</v>
      </c>
      <c r="AA31" s="3">
        <f t="shared" ca="1" si="7"/>
        <v>0</v>
      </c>
      <c r="AB31" s="3">
        <f t="shared" ca="1" si="7"/>
        <v>1</v>
      </c>
      <c r="AC31" s="3">
        <f t="shared" ca="1" si="7"/>
        <v>0</v>
      </c>
      <c r="AD31" s="3">
        <f t="shared" ca="1" si="7"/>
        <v>1</v>
      </c>
      <c r="AE31" s="3">
        <f t="shared" ca="1" si="7"/>
        <v>1</v>
      </c>
      <c r="AF31" s="3">
        <f t="shared" ca="1" si="8"/>
        <v>0</v>
      </c>
      <c r="AG31" s="3">
        <f t="shared" ca="1" si="8"/>
        <v>0</v>
      </c>
      <c r="AH31" s="3">
        <f t="shared" ca="1" si="8"/>
        <v>0</v>
      </c>
      <c r="AI31" s="3">
        <f t="shared" ca="1" si="8"/>
        <v>0</v>
      </c>
      <c r="AJ31" s="3">
        <f t="shared" ca="1" si="8"/>
        <v>0</v>
      </c>
      <c r="AK31" s="3">
        <f t="shared" ca="1" si="8"/>
        <v>1</v>
      </c>
      <c r="AL31" s="3">
        <f t="shared" ca="1" si="8"/>
        <v>1</v>
      </c>
      <c r="AM31" s="3">
        <f t="shared" ca="1" si="8"/>
        <v>1</v>
      </c>
      <c r="AN31" s="3">
        <f t="shared" ca="1" si="8"/>
        <v>1</v>
      </c>
      <c r="AO31" s="3">
        <f t="shared" ca="1" si="8"/>
        <v>0</v>
      </c>
      <c r="AP31" s="3">
        <f t="shared" ca="1" si="8"/>
        <v>0</v>
      </c>
      <c r="AQ31" s="3">
        <f t="shared" ca="1" si="8"/>
        <v>1</v>
      </c>
      <c r="AR31" s="3">
        <f t="shared" ca="1" si="8"/>
        <v>1</v>
      </c>
      <c r="AS31" s="3">
        <f t="shared" ca="1" si="8"/>
        <v>0</v>
      </c>
      <c r="AT31" s="3">
        <f t="shared" ca="1" si="8"/>
        <v>0</v>
      </c>
      <c r="AU31" s="3">
        <f t="shared" ca="1" si="8"/>
        <v>1</v>
      </c>
      <c r="AV31" s="3">
        <f t="shared" ca="1" si="9"/>
        <v>1</v>
      </c>
      <c r="AW31" s="3">
        <f t="shared" ca="1" si="9"/>
        <v>1</v>
      </c>
      <c r="AX31" s="3">
        <f t="shared" ca="1" si="2"/>
        <v>0</v>
      </c>
    </row>
    <row r="32" spans="1:50" x14ac:dyDescent="0.2">
      <c r="A32" s="3">
        <f t="shared" ca="1" si="11"/>
        <v>1</v>
      </c>
      <c r="B32" s="3">
        <f t="shared" ca="1" si="11"/>
        <v>1</v>
      </c>
      <c r="C32" s="3">
        <f t="shared" ca="1" si="11"/>
        <v>1</v>
      </c>
      <c r="D32" s="3">
        <f t="shared" ca="1" si="11"/>
        <v>0</v>
      </c>
      <c r="E32" s="3">
        <f t="shared" ca="1" si="11"/>
        <v>1</v>
      </c>
      <c r="F32" s="3">
        <f t="shared" ca="1" si="11"/>
        <v>1</v>
      </c>
      <c r="G32" s="3">
        <f t="shared" ca="1" si="11"/>
        <v>1</v>
      </c>
      <c r="H32" s="3">
        <f t="shared" ca="1" si="11"/>
        <v>0</v>
      </c>
      <c r="I32" s="3">
        <f t="shared" ca="1" si="11"/>
        <v>0</v>
      </c>
      <c r="J32" s="3">
        <f t="shared" ca="1" si="11"/>
        <v>0</v>
      </c>
      <c r="K32" s="3">
        <f t="shared" ca="1" si="11"/>
        <v>1</v>
      </c>
      <c r="L32" s="3">
        <f t="shared" ca="1" si="11"/>
        <v>1</v>
      </c>
      <c r="M32" s="3">
        <f t="shared" ca="1" si="11"/>
        <v>0</v>
      </c>
      <c r="N32" s="3">
        <f t="shared" ca="1" si="11"/>
        <v>1</v>
      </c>
      <c r="O32" s="3">
        <f t="shared" ca="1" si="11"/>
        <v>1</v>
      </c>
      <c r="P32" s="3">
        <f t="shared" ca="1" si="11"/>
        <v>1</v>
      </c>
      <c r="Q32" s="3">
        <f t="shared" ca="1" si="10"/>
        <v>0</v>
      </c>
      <c r="R32" s="3">
        <f t="shared" ca="1" si="10"/>
        <v>0</v>
      </c>
      <c r="S32" s="3">
        <f t="shared" ca="1" si="10"/>
        <v>1</v>
      </c>
      <c r="T32" s="3">
        <f t="shared" ca="1" si="10"/>
        <v>0</v>
      </c>
      <c r="U32" s="3">
        <f t="shared" ca="1" si="7"/>
        <v>1</v>
      </c>
      <c r="V32" s="3">
        <f t="shared" ca="1" si="7"/>
        <v>0</v>
      </c>
      <c r="W32" s="3">
        <f t="shared" ca="1" si="7"/>
        <v>1</v>
      </c>
      <c r="X32" s="3">
        <f t="shared" ca="1" si="7"/>
        <v>1</v>
      </c>
      <c r="Y32" s="3">
        <f t="shared" ca="1" si="7"/>
        <v>0</v>
      </c>
      <c r="Z32" s="3">
        <f t="shared" ca="1" si="7"/>
        <v>1</v>
      </c>
      <c r="AA32" s="3">
        <f t="shared" ca="1" si="7"/>
        <v>1</v>
      </c>
      <c r="AB32" s="3">
        <f t="shared" ca="1" si="7"/>
        <v>0</v>
      </c>
      <c r="AC32" s="3">
        <f t="shared" ca="1" si="7"/>
        <v>0</v>
      </c>
      <c r="AD32" s="3">
        <f t="shared" ca="1" si="7"/>
        <v>0</v>
      </c>
      <c r="AE32" s="3">
        <f t="shared" ca="1" si="7"/>
        <v>1</v>
      </c>
      <c r="AF32" s="3">
        <f t="shared" ca="1" si="8"/>
        <v>1</v>
      </c>
      <c r="AG32" s="3">
        <f t="shared" ca="1" si="8"/>
        <v>0</v>
      </c>
      <c r="AH32" s="3">
        <f t="shared" ca="1" si="8"/>
        <v>0</v>
      </c>
      <c r="AI32" s="3">
        <f t="shared" ca="1" si="8"/>
        <v>1</v>
      </c>
      <c r="AJ32" s="3">
        <f t="shared" ca="1" si="8"/>
        <v>1</v>
      </c>
      <c r="AK32" s="3">
        <f t="shared" ca="1" si="8"/>
        <v>0</v>
      </c>
      <c r="AL32" s="3">
        <f t="shared" ca="1" si="8"/>
        <v>0</v>
      </c>
      <c r="AM32" s="3">
        <f t="shared" ca="1" si="8"/>
        <v>0</v>
      </c>
      <c r="AN32" s="3">
        <f t="shared" ca="1" si="8"/>
        <v>0</v>
      </c>
      <c r="AO32" s="3">
        <f t="shared" ca="1" si="8"/>
        <v>1</v>
      </c>
      <c r="AP32" s="3">
        <f t="shared" ca="1" si="8"/>
        <v>0</v>
      </c>
      <c r="AQ32" s="3">
        <f t="shared" ca="1" si="8"/>
        <v>1</v>
      </c>
      <c r="AR32" s="3">
        <f t="shared" ca="1" si="8"/>
        <v>1</v>
      </c>
      <c r="AS32" s="3">
        <f t="shared" ca="1" si="8"/>
        <v>0</v>
      </c>
      <c r="AT32" s="3">
        <f t="shared" ca="1" si="8"/>
        <v>1</v>
      </c>
      <c r="AU32" s="3">
        <f t="shared" ca="1" si="8"/>
        <v>0</v>
      </c>
      <c r="AV32" s="3">
        <f t="shared" ca="1" si="9"/>
        <v>0</v>
      </c>
      <c r="AW32" s="3">
        <f t="shared" ca="1" si="9"/>
        <v>0</v>
      </c>
      <c r="AX32" s="3">
        <f t="shared" ca="1" si="2"/>
        <v>0</v>
      </c>
    </row>
    <row r="33" spans="1:50" x14ac:dyDescent="0.2">
      <c r="A33" s="3">
        <f t="shared" ca="1" si="11"/>
        <v>0</v>
      </c>
      <c r="B33" s="3">
        <f t="shared" ca="1" si="11"/>
        <v>1</v>
      </c>
      <c r="C33" s="3">
        <f t="shared" ca="1" si="11"/>
        <v>1</v>
      </c>
      <c r="D33" s="3">
        <f t="shared" ca="1" si="11"/>
        <v>0</v>
      </c>
      <c r="E33" s="3">
        <f t="shared" ca="1" si="11"/>
        <v>1</v>
      </c>
      <c r="F33" s="3">
        <f t="shared" ca="1" si="11"/>
        <v>0</v>
      </c>
      <c r="G33" s="3">
        <f t="shared" ca="1" si="11"/>
        <v>1</v>
      </c>
      <c r="H33" s="3">
        <f t="shared" ca="1" si="11"/>
        <v>0</v>
      </c>
      <c r="I33" s="3">
        <f t="shared" ca="1" si="11"/>
        <v>0</v>
      </c>
      <c r="J33" s="3">
        <f t="shared" ca="1" si="11"/>
        <v>0</v>
      </c>
      <c r="K33" s="3">
        <f t="shared" ca="1" si="11"/>
        <v>1</v>
      </c>
      <c r="L33" s="3">
        <f t="shared" ca="1" si="11"/>
        <v>1</v>
      </c>
      <c r="M33" s="3">
        <f t="shared" ca="1" si="11"/>
        <v>1</v>
      </c>
      <c r="N33" s="3">
        <f t="shared" ca="1" si="11"/>
        <v>1</v>
      </c>
      <c r="O33" s="3">
        <f t="shared" ca="1" si="11"/>
        <v>0</v>
      </c>
      <c r="P33" s="3">
        <f t="shared" ca="1" si="11"/>
        <v>0</v>
      </c>
      <c r="Q33" s="3">
        <f t="shared" ca="1" si="10"/>
        <v>1</v>
      </c>
      <c r="R33" s="3">
        <f t="shared" ca="1" si="10"/>
        <v>1</v>
      </c>
      <c r="S33" s="3">
        <f t="shared" ca="1" si="10"/>
        <v>1</v>
      </c>
      <c r="T33" s="3">
        <f t="shared" ca="1" si="10"/>
        <v>1</v>
      </c>
      <c r="U33" s="3">
        <f t="shared" ca="1" si="7"/>
        <v>0</v>
      </c>
      <c r="V33" s="3">
        <f t="shared" ca="1" si="7"/>
        <v>1</v>
      </c>
      <c r="W33" s="3">
        <f t="shared" ca="1" si="7"/>
        <v>0</v>
      </c>
      <c r="X33" s="3">
        <f t="shared" ca="1" si="7"/>
        <v>1</v>
      </c>
      <c r="Y33" s="3">
        <f t="shared" ca="1" si="7"/>
        <v>0</v>
      </c>
      <c r="Z33" s="3">
        <f t="shared" ca="1" si="7"/>
        <v>1</v>
      </c>
      <c r="AA33" s="3">
        <f t="shared" ca="1" si="7"/>
        <v>1</v>
      </c>
      <c r="AB33" s="3">
        <f t="shared" ca="1" si="7"/>
        <v>0</v>
      </c>
      <c r="AC33" s="3">
        <f t="shared" ca="1" si="7"/>
        <v>1</v>
      </c>
      <c r="AD33" s="3">
        <f t="shared" ca="1" si="7"/>
        <v>1</v>
      </c>
      <c r="AE33" s="3">
        <f t="shared" ca="1" si="7"/>
        <v>0</v>
      </c>
      <c r="AF33" s="3">
        <f t="shared" ca="1" si="8"/>
        <v>0</v>
      </c>
      <c r="AG33" s="3">
        <f t="shared" ca="1" si="8"/>
        <v>1</v>
      </c>
      <c r="AH33" s="3">
        <f t="shared" ca="1" si="8"/>
        <v>1</v>
      </c>
      <c r="AI33" s="3">
        <f t="shared" ca="1" si="8"/>
        <v>1</v>
      </c>
      <c r="AJ33" s="3">
        <f t="shared" ca="1" si="8"/>
        <v>1</v>
      </c>
      <c r="AK33" s="3">
        <f t="shared" ca="1" si="8"/>
        <v>0</v>
      </c>
      <c r="AL33" s="3">
        <f t="shared" ca="1" si="8"/>
        <v>0</v>
      </c>
      <c r="AM33" s="3">
        <f t="shared" ca="1" si="8"/>
        <v>1</v>
      </c>
      <c r="AN33" s="3">
        <f t="shared" ca="1" si="8"/>
        <v>0</v>
      </c>
      <c r="AO33" s="3">
        <f t="shared" ca="1" si="8"/>
        <v>0</v>
      </c>
      <c r="AP33" s="3">
        <f t="shared" ca="1" si="8"/>
        <v>0</v>
      </c>
      <c r="AQ33" s="3">
        <f t="shared" ca="1" si="8"/>
        <v>1</v>
      </c>
      <c r="AR33" s="3">
        <f t="shared" ca="1" si="8"/>
        <v>1</v>
      </c>
      <c r="AS33" s="3">
        <f t="shared" ca="1" si="8"/>
        <v>0</v>
      </c>
      <c r="AT33" s="3">
        <f t="shared" ca="1" si="8"/>
        <v>0</v>
      </c>
      <c r="AU33" s="3">
        <f t="shared" ca="1" si="8"/>
        <v>1</v>
      </c>
      <c r="AV33" s="3">
        <f t="shared" ca="1" si="9"/>
        <v>1</v>
      </c>
      <c r="AW33" s="3">
        <f t="shared" ca="1" si="9"/>
        <v>1</v>
      </c>
      <c r="AX33" s="3">
        <f t="shared" ca="1" si="2"/>
        <v>0</v>
      </c>
    </row>
    <row r="34" spans="1:50" x14ac:dyDescent="0.2">
      <c r="A34" s="3">
        <f t="shared" ca="1" si="11"/>
        <v>1</v>
      </c>
      <c r="B34" s="3">
        <f t="shared" ca="1" si="11"/>
        <v>0</v>
      </c>
      <c r="C34" s="3">
        <f t="shared" ca="1" si="11"/>
        <v>0</v>
      </c>
      <c r="D34" s="3">
        <f t="shared" ca="1" si="11"/>
        <v>1</v>
      </c>
      <c r="E34" s="3">
        <f t="shared" ca="1" si="11"/>
        <v>0</v>
      </c>
      <c r="F34" s="3">
        <f t="shared" ca="1" si="11"/>
        <v>1</v>
      </c>
      <c r="G34" s="3">
        <f t="shared" ca="1" si="11"/>
        <v>0</v>
      </c>
      <c r="H34" s="3">
        <f t="shared" ca="1" si="11"/>
        <v>1</v>
      </c>
      <c r="I34" s="3">
        <f t="shared" ca="1" si="11"/>
        <v>0</v>
      </c>
      <c r="J34" s="3">
        <f t="shared" ca="1" si="11"/>
        <v>0</v>
      </c>
      <c r="K34" s="3">
        <f t="shared" ca="1" si="11"/>
        <v>0</v>
      </c>
      <c r="L34" s="3">
        <f t="shared" ca="1" si="11"/>
        <v>0</v>
      </c>
      <c r="M34" s="3">
        <f t="shared" ca="1" si="11"/>
        <v>0</v>
      </c>
      <c r="N34" s="3">
        <f t="shared" ca="1" si="11"/>
        <v>0</v>
      </c>
      <c r="O34" s="3">
        <f t="shared" ca="1" si="11"/>
        <v>1</v>
      </c>
      <c r="P34" s="3">
        <f t="shared" ca="1" si="11"/>
        <v>1</v>
      </c>
      <c r="Q34" s="3">
        <f t="shared" ca="1" si="10"/>
        <v>0</v>
      </c>
      <c r="R34" s="3">
        <f t="shared" ca="1" si="10"/>
        <v>0</v>
      </c>
      <c r="S34" s="3">
        <f t="shared" ca="1" si="10"/>
        <v>0</v>
      </c>
      <c r="T34" s="3">
        <f t="shared" ca="1" si="10"/>
        <v>0</v>
      </c>
      <c r="U34" s="3">
        <f t="shared" ca="1" si="7"/>
        <v>0</v>
      </c>
      <c r="V34" s="3">
        <f t="shared" ca="1" si="7"/>
        <v>0</v>
      </c>
      <c r="W34" s="3">
        <f t="shared" ca="1" si="7"/>
        <v>1</v>
      </c>
      <c r="X34" s="3">
        <f t="shared" ca="1" si="7"/>
        <v>1</v>
      </c>
      <c r="Y34" s="3">
        <f t="shared" ca="1" si="7"/>
        <v>0</v>
      </c>
      <c r="Z34" s="3">
        <f t="shared" ca="1" si="7"/>
        <v>1</v>
      </c>
      <c r="AA34" s="3">
        <f t="shared" ca="1" si="7"/>
        <v>0</v>
      </c>
      <c r="AB34" s="3">
        <f t="shared" ca="1" si="7"/>
        <v>1</v>
      </c>
      <c r="AC34" s="3">
        <f t="shared" ca="1" si="7"/>
        <v>1</v>
      </c>
      <c r="AD34" s="3">
        <f t="shared" ca="1" si="7"/>
        <v>1</v>
      </c>
      <c r="AE34" s="3">
        <f t="shared" ca="1" si="7"/>
        <v>0</v>
      </c>
      <c r="AF34" s="3">
        <f t="shared" ca="1" si="8"/>
        <v>1</v>
      </c>
      <c r="AG34" s="3">
        <f t="shared" ca="1" si="8"/>
        <v>1</v>
      </c>
      <c r="AH34" s="3">
        <f t="shared" ca="1" si="8"/>
        <v>1</v>
      </c>
      <c r="AI34" s="3">
        <f t="shared" ca="1" si="8"/>
        <v>1</v>
      </c>
      <c r="AJ34" s="3">
        <f t="shared" ca="1" si="8"/>
        <v>0</v>
      </c>
      <c r="AK34" s="3">
        <f t="shared" ca="1" si="8"/>
        <v>1</v>
      </c>
      <c r="AL34" s="3">
        <f t="shared" ca="1" si="8"/>
        <v>0</v>
      </c>
      <c r="AM34" s="3">
        <f t="shared" ca="1" si="8"/>
        <v>0</v>
      </c>
      <c r="AN34" s="3">
        <f t="shared" ca="1" si="8"/>
        <v>1</v>
      </c>
      <c r="AO34" s="3">
        <f t="shared" ca="1" si="8"/>
        <v>1</v>
      </c>
      <c r="AP34" s="3">
        <f t="shared" ca="1" si="8"/>
        <v>0</v>
      </c>
      <c r="AQ34" s="3">
        <f t="shared" ca="1" si="8"/>
        <v>0</v>
      </c>
      <c r="AR34" s="3">
        <f t="shared" ca="1" si="8"/>
        <v>0</v>
      </c>
      <c r="AS34" s="3">
        <f t="shared" ca="1" si="8"/>
        <v>0</v>
      </c>
      <c r="AT34" s="3">
        <f t="shared" ca="1" si="8"/>
        <v>1</v>
      </c>
      <c r="AU34" s="3">
        <f t="shared" ca="1" si="8"/>
        <v>1</v>
      </c>
      <c r="AV34" s="3">
        <f t="shared" ca="1" si="9"/>
        <v>0</v>
      </c>
      <c r="AW34" s="3">
        <f t="shared" ca="1" si="9"/>
        <v>0</v>
      </c>
      <c r="AX34" s="3">
        <f t="shared" ca="1" si="2"/>
        <v>0</v>
      </c>
    </row>
    <row r="35" spans="1:50" x14ac:dyDescent="0.2">
      <c r="A35" s="3">
        <f t="shared" ca="1" si="11"/>
        <v>1</v>
      </c>
      <c r="B35" s="3">
        <f t="shared" ca="1" si="11"/>
        <v>1</v>
      </c>
      <c r="C35" s="3">
        <f t="shared" ca="1" si="11"/>
        <v>0</v>
      </c>
      <c r="D35" s="3">
        <f t="shared" ca="1" si="11"/>
        <v>1</v>
      </c>
      <c r="E35" s="3">
        <f t="shared" ca="1" si="11"/>
        <v>1</v>
      </c>
      <c r="F35" s="3">
        <f t="shared" ca="1" si="11"/>
        <v>1</v>
      </c>
      <c r="G35" s="3">
        <f t="shared" ca="1" si="11"/>
        <v>1</v>
      </c>
      <c r="H35" s="3">
        <f t="shared" ca="1" si="11"/>
        <v>1</v>
      </c>
      <c r="I35" s="3">
        <f t="shared" ca="1" si="11"/>
        <v>1</v>
      </c>
      <c r="J35" s="3">
        <f t="shared" ca="1" si="11"/>
        <v>1</v>
      </c>
      <c r="K35" s="3">
        <f t="shared" ca="1" si="11"/>
        <v>0</v>
      </c>
      <c r="L35" s="3">
        <f t="shared" ca="1" si="11"/>
        <v>1</v>
      </c>
      <c r="M35" s="3">
        <f t="shared" ca="1" si="11"/>
        <v>1</v>
      </c>
      <c r="N35" s="3">
        <f t="shared" ca="1" si="11"/>
        <v>1</v>
      </c>
      <c r="O35" s="3">
        <f t="shared" ca="1" si="11"/>
        <v>0</v>
      </c>
      <c r="P35" s="3">
        <f t="shared" ca="1" si="11"/>
        <v>1</v>
      </c>
      <c r="Q35" s="3">
        <f t="shared" ca="1" si="10"/>
        <v>1</v>
      </c>
      <c r="R35" s="3">
        <f t="shared" ca="1" si="10"/>
        <v>0</v>
      </c>
      <c r="S35" s="3">
        <f t="shared" ca="1" si="10"/>
        <v>1</v>
      </c>
      <c r="T35" s="3">
        <f t="shared" ca="1" si="10"/>
        <v>1</v>
      </c>
      <c r="U35" s="3">
        <f t="shared" ca="1" si="7"/>
        <v>0</v>
      </c>
      <c r="V35" s="3">
        <f t="shared" ca="1" si="7"/>
        <v>0</v>
      </c>
      <c r="W35" s="3">
        <f t="shared" ca="1" si="7"/>
        <v>0</v>
      </c>
      <c r="X35" s="3">
        <f t="shared" ca="1" si="7"/>
        <v>1</v>
      </c>
      <c r="Y35" s="3">
        <f t="shared" ca="1" si="7"/>
        <v>1</v>
      </c>
      <c r="Z35" s="3">
        <f t="shared" ca="1" si="7"/>
        <v>1</v>
      </c>
      <c r="AA35" s="3">
        <f t="shared" ca="1" si="7"/>
        <v>0</v>
      </c>
      <c r="AB35" s="3">
        <f t="shared" ca="1" si="7"/>
        <v>1</v>
      </c>
      <c r="AC35" s="3">
        <f t="shared" ca="1" si="7"/>
        <v>1</v>
      </c>
      <c r="AD35" s="3">
        <f t="shared" ca="1" si="7"/>
        <v>0</v>
      </c>
      <c r="AE35" s="3">
        <f t="shared" ca="1" si="7"/>
        <v>0</v>
      </c>
      <c r="AF35" s="3">
        <f t="shared" ca="1" si="8"/>
        <v>0</v>
      </c>
      <c r="AG35" s="3">
        <f t="shared" ca="1" si="8"/>
        <v>0</v>
      </c>
      <c r="AH35" s="3">
        <f t="shared" ca="1" si="8"/>
        <v>0</v>
      </c>
      <c r="AI35" s="3">
        <f t="shared" ca="1" si="8"/>
        <v>0</v>
      </c>
      <c r="AJ35" s="3">
        <f t="shared" ca="1" si="8"/>
        <v>1</v>
      </c>
      <c r="AK35" s="3">
        <f t="shared" ca="1" si="8"/>
        <v>0</v>
      </c>
      <c r="AL35" s="3">
        <f t="shared" ca="1" si="8"/>
        <v>0</v>
      </c>
      <c r="AM35" s="3">
        <f t="shared" ca="1" si="8"/>
        <v>0</v>
      </c>
      <c r="AN35" s="3">
        <f t="shared" ca="1" si="8"/>
        <v>1</v>
      </c>
      <c r="AO35" s="3">
        <f t="shared" ca="1" si="8"/>
        <v>0</v>
      </c>
      <c r="AP35" s="3">
        <f t="shared" ca="1" si="8"/>
        <v>0</v>
      </c>
      <c r="AQ35" s="3">
        <f t="shared" ca="1" si="8"/>
        <v>1</v>
      </c>
      <c r="AR35" s="3">
        <f t="shared" ca="1" si="8"/>
        <v>0</v>
      </c>
      <c r="AS35" s="3">
        <f t="shared" ca="1" si="8"/>
        <v>0</v>
      </c>
      <c r="AT35" s="3">
        <f t="shared" ca="1" si="8"/>
        <v>1</v>
      </c>
      <c r="AU35" s="3">
        <f t="shared" ca="1" si="8"/>
        <v>0</v>
      </c>
      <c r="AV35" s="3">
        <f t="shared" ca="1" si="9"/>
        <v>1</v>
      </c>
      <c r="AW35" s="3">
        <f t="shared" ca="1" si="9"/>
        <v>1</v>
      </c>
      <c r="AX35" s="3">
        <f t="shared" ca="1" si="2"/>
        <v>0</v>
      </c>
    </row>
    <row r="36" spans="1:50" x14ac:dyDescent="0.2">
      <c r="A36" s="3">
        <f t="shared" ca="1" si="11"/>
        <v>1</v>
      </c>
      <c r="B36" s="3">
        <f t="shared" ca="1" si="11"/>
        <v>0</v>
      </c>
      <c r="C36" s="3">
        <f t="shared" ca="1" si="11"/>
        <v>1</v>
      </c>
      <c r="D36" s="3">
        <f t="shared" ca="1" si="11"/>
        <v>0</v>
      </c>
      <c r="E36" s="3">
        <f t="shared" ca="1" si="11"/>
        <v>1</v>
      </c>
      <c r="F36" s="3">
        <f t="shared" ca="1" si="11"/>
        <v>0</v>
      </c>
      <c r="G36" s="3">
        <f t="shared" ca="1" si="11"/>
        <v>1</v>
      </c>
      <c r="H36" s="3">
        <f t="shared" ca="1" si="11"/>
        <v>1</v>
      </c>
      <c r="I36" s="3">
        <f t="shared" ca="1" si="11"/>
        <v>1</v>
      </c>
      <c r="J36" s="3">
        <f t="shared" ca="1" si="11"/>
        <v>0</v>
      </c>
      <c r="K36" s="3">
        <f t="shared" ca="1" si="11"/>
        <v>0</v>
      </c>
      <c r="L36" s="3">
        <f t="shared" ca="1" si="11"/>
        <v>1</v>
      </c>
      <c r="M36" s="3">
        <f t="shared" ca="1" si="11"/>
        <v>0</v>
      </c>
      <c r="N36" s="3">
        <f t="shared" ca="1" si="11"/>
        <v>1</v>
      </c>
      <c r="O36" s="3">
        <f t="shared" ca="1" si="11"/>
        <v>0</v>
      </c>
      <c r="P36" s="3">
        <f t="shared" ca="1" si="11"/>
        <v>0</v>
      </c>
      <c r="Q36" s="3">
        <f t="shared" ca="1" si="10"/>
        <v>0</v>
      </c>
      <c r="R36" s="3">
        <f t="shared" ca="1" si="10"/>
        <v>0</v>
      </c>
      <c r="S36" s="3">
        <f t="shared" ca="1" si="10"/>
        <v>1</v>
      </c>
      <c r="T36" s="3">
        <f t="shared" ca="1" si="10"/>
        <v>1</v>
      </c>
      <c r="U36" s="3">
        <f t="shared" ca="1" si="7"/>
        <v>1</v>
      </c>
      <c r="V36" s="3">
        <f t="shared" ca="1" si="7"/>
        <v>1</v>
      </c>
      <c r="W36" s="3">
        <f t="shared" ca="1" si="7"/>
        <v>0</v>
      </c>
      <c r="X36" s="3">
        <f t="shared" ca="1" si="7"/>
        <v>1</v>
      </c>
      <c r="Y36" s="3">
        <f t="shared" ca="1" si="7"/>
        <v>0</v>
      </c>
      <c r="Z36" s="3">
        <f t="shared" ca="1" si="7"/>
        <v>1</v>
      </c>
      <c r="AA36" s="3">
        <f t="shared" ca="1" si="7"/>
        <v>1</v>
      </c>
      <c r="AB36" s="3">
        <f t="shared" ca="1" si="7"/>
        <v>1</v>
      </c>
      <c r="AC36" s="3">
        <f t="shared" ca="1" si="7"/>
        <v>1</v>
      </c>
      <c r="AD36" s="3">
        <f t="shared" ca="1" si="7"/>
        <v>1</v>
      </c>
      <c r="AE36" s="3">
        <f t="shared" ca="1" si="7"/>
        <v>1</v>
      </c>
      <c r="AF36" s="3">
        <f t="shared" ca="1" si="8"/>
        <v>1</v>
      </c>
      <c r="AG36" s="3">
        <f t="shared" ca="1" si="8"/>
        <v>0</v>
      </c>
      <c r="AH36" s="3">
        <f t="shared" ca="1" si="8"/>
        <v>0</v>
      </c>
      <c r="AI36" s="3">
        <f t="shared" ca="1" si="8"/>
        <v>1</v>
      </c>
      <c r="AJ36" s="3">
        <f t="shared" ca="1" si="8"/>
        <v>1</v>
      </c>
      <c r="AK36" s="3">
        <f t="shared" ca="1" si="8"/>
        <v>1</v>
      </c>
      <c r="AL36" s="3">
        <f t="shared" ca="1" si="8"/>
        <v>0</v>
      </c>
      <c r="AM36" s="3">
        <f t="shared" ca="1" si="8"/>
        <v>1</v>
      </c>
      <c r="AN36" s="3">
        <f t="shared" ca="1" si="8"/>
        <v>0</v>
      </c>
      <c r="AO36" s="3">
        <f t="shared" ca="1" si="8"/>
        <v>0</v>
      </c>
      <c r="AP36" s="3">
        <f t="shared" ca="1" si="8"/>
        <v>0</v>
      </c>
      <c r="AQ36" s="3">
        <f t="shared" ca="1" si="8"/>
        <v>0</v>
      </c>
      <c r="AR36" s="3">
        <f t="shared" ca="1" si="8"/>
        <v>1</v>
      </c>
      <c r="AS36" s="3">
        <f t="shared" ca="1" si="8"/>
        <v>0</v>
      </c>
      <c r="AT36" s="3">
        <f t="shared" ca="1" si="8"/>
        <v>0</v>
      </c>
      <c r="AU36" s="3">
        <f t="shared" ca="1" si="8"/>
        <v>1</v>
      </c>
      <c r="AV36" s="3">
        <f t="shared" ca="1" si="9"/>
        <v>0</v>
      </c>
      <c r="AW36" s="3">
        <f t="shared" ca="1" si="9"/>
        <v>0</v>
      </c>
      <c r="AX36" s="3">
        <f t="shared" ca="1" si="2"/>
        <v>0</v>
      </c>
    </row>
    <row r="37" spans="1:50" x14ac:dyDescent="0.2">
      <c r="A37" s="3">
        <f t="shared" ca="1" si="11"/>
        <v>1</v>
      </c>
      <c r="B37" s="3">
        <f t="shared" ca="1" si="11"/>
        <v>1</v>
      </c>
      <c r="C37" s="3">
        <f t="shared" ca="1" si="11"/>
        <v>0</v>
      </c>
      <c r="D37" s="3">
        <f t="shared" ca="1" si="11"/>
        <v>1</v>
      </c>
      <c r="E37" s="3">
        <f t="shared" ca="1" si="11"/>
        <v>0</v>
      </c>
      <c r="F37" s="3">
        <f t="shared" ca="1" si="11"/>
        <v>0</v>
      </c>
      <c r="G37" s="3">
        <f t="shared" ca="1" si="11"/>
        <v>1</v>
      </c>
      <c r="H37" s="3">
        <f t="shared" ca="1" si="11"/>
        <v>1</v>
      </c>
      <c r="I37" s="3">
        <f t="shared" ca="1" si="11"/>
        <v>1</v>
      </c>
      <c r="J37" s="3">
        <f t="shared" ca="1" si="11"/>
        <v>0</v>
      </c>
      <c r="K37" s="3">
        <f t="shared" ca="1" si="11"/>
        <v>0</v>
      </c>
      <c r="L37" s="3">
        <f t="shared" ca="1" si="11"/>
        <v>1</v>
      </c>
      <c r="M37" s="3">
        <f t="shared" ca="1" si="11"/>
        <v>1</v>
      </c>
      <c r="N37" s="3">
        <f t="shared" ca="1" si="11"/>
        <v>0</v>
      </c>
      <c r="O37" s="3">
        <f t="shared" ca="1" si="11"/>
        <v>1</v>
      </c>
      <c r="P37" s="3">
        <f t="shared" ca="1" si="11"/>
        <v>0</v>
      </c>
      <c r="Q37" s="3">
        <f t="shared" ca="1" si="10"/>
        <v>1</v>
      </c>
      <c r="R37" s="3">
        <f t="shared" ca="1" si="10"/>
        <v>0</v>
      </c>
      <c r="S37" s="3">
        <f t="shared" ca="1" si="10"/>
        <v>1</v>
      </c>
      <c r="T37" s="3">
        <f t="shared" ca="1" si="10"/>
        <v>0</v>
      </c>
      <c r="U37" s="3">
        <f t="shared" ca="1" si="7"/>
        <v>0</v>
      </c>
      <c r="V37" s="3">
        <f t="shared" ca="1" si="7"/>
        <v>1</v>
      </c>
      <c r="W37" s="3">
        <f t="shared" ca="1" si="7"/>
        <v>1</v>
      </c>
      <c r="X37" s="3">
        <f t="shared" ca="1" si="7"/>
        <v>0</v>
      </c>
      <c r="Y37" s="3">
        <f t="shared" ca="1" si="7"/>
        <v>0</v>
      </c>
      <c r="Z37" s="3">
        <f t="shared" ca="1" si="7"/>
        <v>0</v>
      </c>
      <c r="AA37" s="3">
        <f t="shared" ca="1" si="7"/>
        <v>0</v>
      </c>
      <c r="AB37" s="3">
        <f t="shared" ca="1" si="7"/>
        <v>1</v>
      </c>
      <c r="AC37" s="3">
        <f t="shared" ca="1" si="7"/>
        <v>1</v>
      </c>
      <c r="AD37" s="3">
        <f t="shared" ca="1" si="7"/>
        <v>0</v>
      </c>
      <c r="AE37" s="3">
        <f t="shared" ca="1" si="7"/>
        <v>0</v>
      </c>
      <c r="AF37" s="3">
        <f t="shared" ca="1" si="8"/>
        <v>1</v>
      </c>
      <c r="AG37" s="3">
        <f t="shared" ca="1" si="8"/>
        <v>0</v>
      </c>
      <c r="AH37" s="3">
        <f t="shared" ca="1" si="8"/>
        <v>0</v>
      </c>
      <c r="AI37" s="3">
        <f t="shared" ca="1" si="8"/>
        <v>1</v>
      </c>
      <c r="AJ37" s="3">
        <f t="shared" ca="1" si="8"/>
        <v>1</v>
      </c>
      <c r="AK37" s="3">
        <f t="shared" ca="1" si="8"/>
        <v>1</v>
      </c>
      <c r="AL37" s="3">
        <f t="shared" ca="1" si="8"/>
        <v>1</v>
      </c>
      <c r="AM37" s="3">
        <f t="shared" ca="1" si="8"/>
        <v>1</v>
      </c>
      <c r="AN37" s="3">
        <f t="shared" ca="1" si="8"/>
        <v>0</v>
      </c>
      <c r="AO37" s="3">
        <f t="shared" ca="1" si="8"/>
        <v>1</v>
      </c>
      <c r="AP37" s="3">
        <f t="shared" ca="1" si="8"/>
        <v>1</v>
      </c>
      <c r="AQ37" s="3">
        <f t="shared" ca="1" si="8"/>
        <v>1</v>
      </c>
      <c r="AR37" s="3">
        <f t="shared" ca="1" si="8"/>
        <v>0</v>
      </c>
      <c r="AS37" s="3">
        <f t="shared" ca="1" si="8"/>
        <v>0</v>
      </c>
      <c r="AT37" s="3">
        <f t="shared" ca="1" si="8"/>
        <v>1</v>
      </c>
      <c r="AU37" s="3">
        <f t="shared" ca="1" si="8"/>
        <v>0</v>
      </c>
      <c r="AV37" s="3">
        <f t="shared" ca="1" si="9"/>
        <v>1</v>
      </c>
      <c r="AW37" s="3">
        <f t="shared" ca="1" si="9"/>
        <v>0</v>
      </c>
      <c r="AX37" s="3">
        <f t="shared" ca="1" si="2"/>
        <v>0</v>
      </c>
    </row>
    <row r="38" spans="1:50" x14ac:dyDescent="0.2">
      <c r="A38" s="3">
        <f t="shared" ca="1" si="11"/>
        <v>0</v>
      </c>
      <c r="B38" s="3">
        <f t="shared" ca="1" si="11"/>
        <v>0</v>
      </c>
      <c r="C38" s="3">
        <f t="shared" ca="1" si="11"/>
        <v>1</v>
      </c>
      <c r="D38" s="3">
        <f t="shared" ca="1" si="11"/>
        <v>0</v>
      </c>
      <c r="E38" s="3">
        <f t="shared" ca="1" si="11"/>
        <v>0</v>
      </c>
      <c r="F38" s="3">
        <f t="shared" ca="1" si="11"/>
        <v>0</v>
      </c>
      <c r="G38" s="3">
        <f t="shared" ca="1" si="11"/>
        <v>1</v>
      </c>
      <c r="H38" s="3">
        <f t="shared" ca="1" si="11"/>
        <v>0</v>
      </c>
      <c r="I38" s="3">
        <f t="shared" ca="1" si="11"/>
        <v>1</v>
      </c>
      <c r="J38" s="3">
        <f t="shared" ca="1" si="11"/>
        <v>0</v>
      </c>
      <c r="K38" s="3">
        <f t="shared" ca="1" si="11"/>
        <v>0</v>
      </c>
      <c r="L38" s="3">
        <f t="shared" ca="1" si="11"/>
        <v>1</v>
      </c>
      <c r="M38" s="3">
        <f t="shared" ca="1" si="11"/>
        <v>1</v>
      </c>
      <c r="N38" s="3">
        <f t="shared" ca="1" si="11"/>
        <v>0</v>
      </c>
      <c r="O38" s="3">
        <f t="shared" ca="1" si="11"/>
        <v>0</v>
      </c>
      <c r="P38" s="3">
        <f t="shared" ca="1" si="11"/>
        <v>0</v>
      </c>
      <c r="Q38" s="3">
        <f t="shared" ca="1" si="10"/>
        <v>0</v>
      </c>
      <c r="R38" s="3">
        <f t="shared" ca="1" si="10"/>
        <v>1</v>
      </c>
      <c r="S38" s="3">
        <f t="shared" ca="1" si="10"/>
        <v>1</v>
      </c>
      <c r="T38" s="3">
        <f t="shared" ca="1" si="10"/>
        <v>0</v>
      </c>
      <c r="U38" s="3">
        <f t="shared" ca="1" si="7"/>
        <v>0</v>
      </c>
      <c r="V38" s="3">
        <f t="shared" ca="1" si="7"/>
        <v>0</v>
      </c>
      <c r="W38" s="3">
        <f t="shared" ca="1" si="7"/>
        <v>0</v>
      </c>
      <c r="X38" s="3">
        <f t="shared" ca="1" si="7"/>
        <v>1</v>
      </c>
      <c r="Y38" s="3">
        <f t="shared" ca="1" si="7"/>
        <v>0</v>
      </c>
      <c r="Z38" s="3">
        <f t="shared" ca="1" si="7"/>
        <v>0</v>
      </c>
      <c r="AA38" s="3">
        <f t="shared" ca="1" si="7"/>
        <v>1</v>
      </c>
      <c r="AB38" s="3">
        <f t="shared" ca="1" si="7"/>
        <v>1</v>
      </c>
      <c r="AC38" s="3">
        <f t="shared" ca="1" si="7"/>
        <v>1</v>
      </c>
      <c r="AD38" s="3">
        <f t="shared" ca="1" si="7"/>
        <v>1</v>
      </c>
      <c r="AE38" s="3">
        <f t="shared" ca="1" si="7"/>
        <v>0</v>
      </c>
      <c r="AF38" s="3">
        <f t="shared" ca="1" si="8"/>
        <v>0</v>
      </c>
      <c r="AG38" s="3">
        <f t="shared" ca="1" si="8"/>
        <v>1</v>
      </c>
      <c r="AH38" s="3">
        <f t="shared" ca="1" si="8"/>
        <v>1</v>
      </c>
      <c r="AI38" s="3">
        <f t="shared" ca="1" si="8"/>
        <v>0</v>
      </c>
      <c r="AJ38" s="3">
        <f t="shared" ca="1" si="8"/>
        <v>1</v>
      </c>
      <c r="AK38" s="3">
        <f t="shared" ca="1" si="8"/>
        <v>0</v>
      </c>
      <c r="AL38" s="3">
        <f t="shared" ca="1" si="8"/>
        <v>0</v>
      </c>
      <c r="AM38" s="3">
        <f t="shared" ca="1" si="8"/>
        <v>0</v>
      </c>
      <c r="AN38" s="3">
        <f t="shared" ca="1" si="8"/>
        <v>0</v>
      </c>
      <c r="AO38" s="3">
        <f t="shared" ca="1" si="8"/>
        <v>1</v>
      </c>
      <c r="AP38" s="3">
        <f t="shared" ca="1" si="8"/>
        <v>0</v>
      </c>
      <c r="AQ38" s="3">
        <f t="shared" ca="1" si="8"/>
        <v>1</v>
      </c>
      <c r="AR38" s="3">
        <f t="shared" ca="1" si="8"/>
        <v>1</v>
      </c>
      <c r="AS38" s="3">
        <f t="shared" ca="1" si="8"/>
        <v>0</v>
      </c>
      <c r="AT38" s="3">
        <f t="shared" ca="1" si="8"/>
        <v>0</v>
      </c>
      <c r="AU38" s="3">
        <f t="shared" ca="1" si="8"/>
        <v>1</v>
      </c>
      <c r="AV38" s="3">
        <f t="shared" ca="1" si="9"/>
        <v>1</v>
      </c>
      <c r="AW38" s="3">
        <f t="shared" ca="1" si="9"/>
        <v>1</v>
      </c>
      <c r="AX38" s="3">
        <f t="shared" ca="1" si="2"/>
        <v>0</v>
      </c>
    </row>
    <row r="39" spans="1:50" x14ac:dyDescent="0.2">
      <c r="A39" s="3">
        <f t="shared" ca="1" si="11"/>
        <v>1</v>
      </c>
      <c r="B39" s="3">
        <f t="shared" ca="1" si="11"/>
        <v>1</v>
      </c>
      <c r="C39" s="3">
        <f t="shared" ca="1" si="11"/>
        <v>1</v>
      </c>
      <c r="D39" s="3">
        <f t="shared" ca="1" si="11"/>
        <v>1</v>
      </c>
      <c r="E39" s="3">
        <f t="shared" ca="1" si="11"/>
        <v>0</v>
      </c>
      <c r="F39" s="3">
        <f t="shared" ca="1" si="11"/>
        <v>0</v>
      </c>
      <c r="G39" s="3">
        <f t="shared" ca="1" si="11"/>
        <v>0</v>
      </c>
      <c r="H39" s="3">
        <f t="shared" ca="1" si="11"/>
        <v>0</v>
      </c>
      <c r="I39" s="3">
        <f t="shared" ca="1" si="11"/>
        <v>0</v>
      </c>
      <c r="J39" s="3">
        <f t="shared" ca="1" si="11"/>
        <v>0</v>
      </c>
      <c r="K39" s="3">
        <f t="shared" ca="1" si="11"/>
        <v>1</v>
      </c>
      <c r="L39" s="3">
        <f t="shared" ca="1" si="11"/>
        <v>1</v>
      </c>
      <c r="M39" s="3">
        <f t="shared" ca="1" si="11"/>
        <v>0</v>
      </c>
      <c r="N39" s="3">
        <f t="shared" ca="1" si="11"/>
        <v>1</v>
      </c>
      <c r="O39" s="3">
        <f t="shared" ca="1" si="11"/>
        <v>1</v>
      </c>
      <c r="P39" s="3">
        <f t="shared" ca="1" si="11"/>
        <v>0</v>
      </c>
      <c r="Q39" s="3">
        <f t="shared" ca="1" si="10"/>
        <v>1</v>
      </c>
      <c r="R39" s="3">
        <f t="shared" ca="1" si="10"/>
        <v>1</v>
      </c>
      <c r="S39" s="3">
        <f t="shared" ca="1" si="10"/>
        <v>1</v>
      </c>
      <c r="T39" s="3">
        <f t="shared" ca="1" si="10"/>
        <v>0</v>
      </c>
      <c r="U39" s="3">
        <f t="shared" ca="1" si="7"/>
        <v>1</v>
      </c>
      <c r="V39" s="3">
        <f t="shared" ca="1" si="7"/>
        <v>1</v>
      </c>
      <c r="W39" s="3">
        <f t="shared" ca="1" si="7"/>
        <v>1</v>
      </c>
      <c r="X39" s="3">
        <f t="shared" ca="1" si="7"/>
        <v>0</v>
      </c>
      <c r="Y39" s="3">
        <f t="shared" ca="1" si="7"/>
        <v>1</v>
      </c>
      <c r="Z39" s="3">
        <f t="shared" ca="1" si="7"/>
        <v>0</v>
      </c>
      <c r="AA39" s="3">
        <f t="shared" ca="1" si="7"/>
        <v>1</v>
      </c>
      <c r="AB39" s="3">
        <f t="shared" ca="1" si="7"/>
        <v>0</v>
      </c>
      <c r="AC39" s="3">
        <f t="shared" ca="1" si="7"/>
        <v>0</v>
      </c>
      <c r="AD39" s="3">
        <f t="shared" ca="1" si="7"/>
        <v>0</v>
      </c>
      <c r="AE39" s="3">
        <f t="shared" ca="1" si="7"/>
        <v>0</v>
      </c>
      <c r="AF39" s="3">
        <f t="shared" ca="1" si="8"/>
        <v>0</v>
      </c>
      <c r="AG39" s="3">
        <f t="shared" ca="1" si="8"/>
        <v>0</v>
      </c>
      <c r="AH39" s="3">
        <f t="shared" ca="1" si="8"/>
        <v>1</v>
      </c>
      <c r="AI39" s="3">
        <f t="shared" ca="1" si="8"/>
        <v>0</v>
      </c>
      <c r="AJ39" s="3">
        <f t="shared" ca="1" si="8"/>
        <v>0</v>
      </c>
      <c r="AK39" s="3">
        <f t="shared" ca="1" si="8"/>
        <v>0</v>
      </c>
      <c r="AL39" s="3">
        <f t="shared" ca="1" si="8"/>
        <v>0</v>
      </c>
      <c r="AM39" s="3">
        <f t="shared" ca="1" si="8"/>
        <v>0</v>
      </c>
      <c r="AN39" s="3">
        <f t="shared" ca="1" si="8"/>
        <v>1</v>
      </c>
      <c r="AO39" s="3">
        <f t="shared" ca="1" si="8"/>
        <v>0</v>
      </c>
      <c r="AP39" s="3">
        <f t="shared" ca="1" si="8"/>
        <v>1</v>
      </c>
      <c r="AQ39" s="3">
        <f t="shared" ca="1" si="8"/>
        <v>0</v>
      </c>
      <c r="AR39" s="3">
        <f t="shared" ca="1" si="8"/>
        <v>0</v>
      </c>
      <c r="AS39" s="3">
        <f t="shared" ca="1" si="8"/>
        <v>0</v>
      </c>
      <c r="AT39" s="3">
        <f t="shared" ca="1" si="8"/>
        <v>0</v>
      </c>
      <c r="AU39" s="3">
        <f t="shared" ca="1" si="8"/>
        <v>0</v>
      </c>
      <c r="AV39" s="3">
        <f t="shared" ca="1" si="9"/>
        <v>0</v>
      </c>
      <c r="AW39" s="3">
        <f t="shared" ca="1" si="9"/>
        <v>0</v>
      </c>
      <c r="AX39" s="3">
        <f t="shared" ca="1" si="2"/>
        <v>1</v>
      </c>
    </row>
    <row r="40" spans="1:50" x14ac:dyDescent="0.2">
      <c r="A40" s="3">
        <f t="shared" ca="1" si="11"/>
        <v>1</v>
      </c>
      <c r="B40" s="3">
        <f t="shared" ca="1" si="11"/>
        <v>1</v>
      </c>
      <c r="C40" s="3">
        <f t="shared" ca="1" si="11"/>
        <v>0</v>
      </c>
      <c r="D40" s="3">
        <f t="shared" ca="1" si="11"/>
        <v>1</v>
      </c>
      <c r="E40" s="3">
        <f t="shared" ca="1" si="11"/>
        <v>0</v>
      </c>
      <c r="F40" s="3">
        <f t="shared" ca="1" si="11"/>
        <v>1</v>
      </c>
      <c r="G40" s="3">
        <f t="shared" ca="1" si="11"/>
        <v>0</v>
      </c>
      <c r="H40" s="3">
        <f t="shared" ca="1" si="11"/>
        <v>0</v>
      </c>
      <c r="I40" s="3">
        <f t="shared" ca="1" si="11"/>
        <v>0</v>
      </c>
      <c r="J40" s="3">
        <f t="shared" ca="1" si="11"/>
        <v>1</v>
      </c>
      <c r="K40" s="3">
        <f t="shared" ca="1" si="11"/>
        <v>1</v>
      </c>
      <c r="L40" s="3">
        <f t="shared" ca="1" si="11"/>
        <v>1</v>
      </c>
      <c r="M40" s="3">
        <f t="shared" ca="1" si="11"/>
        <v>1</v>
      </c>
      <c r="N40" s="3">
        <f t="shared" ca="1" si="11"/>
        <v>0</v>
      </c>
      <c r="O40" s="3">
        <f t="shared" ca="1" si="11"/>
        <v>0</v>
      </c>
      <c r="P40" s="3">
        <f t="shared" ca="1" si="11"/>
        <v>1</v>
      </c>
      <c r="Q40" s="3">
        <f t="shared" ca="1" si="10"/>
        <v>1</v>
      </c>
      <c r="R40" s="3">
        <f t="shared" ca="1" si="10"/>
        <v>0</v>
      </c>
      <c r="S40" s="3">
        <f t="shared" ca="1" si="10"/>
        <v>0</v>
      </c>
      <c r="T40" s="3">
        <f t="shared" ca="1" si="10"/>
        <v>0</v>
      </c>
      <c r="U40" s="3">
        <f t="shared" ca="1" si="7"/>
        <v>0</v>
      </c>
      <c r="V40" s="3">
        <f t="shared" ca="1" si="7"/>
        <v>1</v>
      </c>
      <c r="W40" s="3">
        <f t="shared" ca="1" si="7"/>
        <v>1</v>
      </c>
      <c r="X40" s="3">
        <f t="shared" ca="1" si="7"/>
        <v>0</v>
      </c>
      <c r="Y40" s="3">
        <f t="shared" ca="1" si="7"/>
        <v>0</v>
      </c>
      <c r="Z40" s="3">
        <f t="shared" ca="1" si="7"/>
        <v>1</v>
      </c>
      <c r="AA40" s="3">
        <f t="shared" ca="1" si="7"/>
        <v>1</v>
      </c>
      <c r="AB40" s="3">
        <f t="shared" ca="1" si="7"/>
        <v>1</v>
      </c>
      <c r="AC40" s="3">
        <f t="shared" ca="1" si="7"/>
        <v>1</v>
      </c>
      <c r="AD40" s="3">
        <f t="shared" ca="1" si="7"/>
        <v>0</v>
      </c>
      <c r="AE40" s="3">
        <f t="shared" ca="1" si="7"/>
        <v>0</v>
      </c>
      <c r="AF40" s="3">
        <f t="shared" ca="1" si="8"/>
        <v>0</v>
      </c>
      <c r="AG40" s="3">
        <f t="shared" ca="1" si="8"/>
        <v>1</v>
      </c>
      <c r="AH40" s="3">
        <f t="shared" ca="1" si="8"/>
        <v>1</v>
      </c>
      <c r="AI40" s="3">
        <f t="shared" ca="1" si="8"/>
        <v>0</v>
      </c>
      <c r="AJ40" s="3">
        <f t="shared" ca="1" si="8"/>
        <v>0</v>
      </c>
      <c r="AK40" s="3">
        <f t="shared" ca="1" si="8"/>
        <v>1</v>
      </c>
      <c r="AL40" s="3">
        <f t="shared" ca="1" si="8"/>
        <v>1</v>
      </c>
      <c r="AM40" s="3">
        <f t="shared" ca="1" si="8"/>
        <v>1</v>
      </c>
      <c r="AN40" s="3">
        <f t="shared" ca="1" si="8"/>
        <v>0</v>
      </c>
      <c r="AO40" s="3">
        <f t="shared" ca="1" si="8"/>
        <v>1</v>
      </c>
      <c r="AP40" s="3">
        <f t="shared" ca="1" si="8"/>
        <v>0</v>
      </c>
      <c r="AQ40" s="3">
        <f t="shared" ca="1" si="8"/>
        <v>0</v>
      </c>
      <c r="AR40" s="3">
        <f t="shared" ca="1" si="8"/>
        <v>0</v>
      </c>
      <c r="AS40" s="3">
        <f t="shared" ca="1" si="8"/>
        <v>1</v>
      </c>
      <c r="AT40" s="3">
        <f t="shared" ca="1" si="8"/>
        <v>1</v>
      </c>
      <c r="AU40" s="3">
        <f t="shared" ca="1" si="8"/>
        <v>1</v>
      </c>
      <c r="AV40" s="3">
        <f t="shared" ca="1" si="9"/>
        <v>1</v>
      </c>
      <c r="AW40" s="3">
        <f t="shared" ca="1" si="9"/>
        <v>0</v>
      </c>
      <c r="AX40" s="3">
        <f t="shared" ca="1" si="2"/>
        <v>0</v>
      </c>
    </row>
    <row r="41" spans="1:50" x14ac:dyDescent="0.2">
      <c r="A41" s="3">
        <f t="shared" ca="1" si="11"/>
        <v>1</v>
      </c>
      <c r="B41" s="3">
        <f t="shared" ca="1" si="11"/>
        <v>1</v>
      </c>
      <c r="C41" s="3">
        <f t="shared" ca="1" si="11"/>
        <v>0</v>
      </c>
      <c r="D41" s="3">
        <f t="shared" ca="1" si="11"/>
        <v>0</v>
      </c>
      <c r="E41" s="3">
        <f t="shared" ca="1" si="11"/>
        <v>0</v>
      </c>
      <c r="F41" s="3">
        <f t="shared" ca="1" si="11"/>
        <v>1</v>
      </c>
      <c r="G41" s="3">
        <f t="shared" ca="1" si="11"/>
        <v>1</v>
      </c>
      <c r="H41" s="3">
        <f t="shared" ca="1" si="11"/>
        <v>1</v>
      </c>
      <c r="I41" s="3">
        <f t="shared" ca="1" si="11"/>
        <v>0</v>
      </c>
      <c r="J41" s="3">
        <f t="shared" ca="1" si="11"/>
        <v>1</v>
      </c>
      <c r="K41" s="3">
        <f t="shared" ca="1" si="11"/>
        <v>0</v>
      </c>
      <c r="L41" s="3">
        <f t="shared" ca="1" si="11"/>
        <v>1</v>
      </c>
      <c r="M41" s="3">
        <f t="shared" ca="1" si="11"/>
        <v>1</v>
      </c>
      <c r="N41" s="3">
        <f t="shared" ca="1" si="11"/>
        <v>1</v>
      </c>
      <c r="O41" s="3">
        <f t="shared" ca="1" si="11"/>
        <v>1</v>
      </c>
      <c r="P41" s="3">
        <f t="shared" ca="1" si="11"/>
        <v>1</v>
      </c>
      <c r="Q41" s="3">
        <f t="shared" ca="1" si="10"/>
        <v>0</v>
      </c>
      <c r="R41" s="3">
        <f t="shared" ca="1" si="10"/>
        <v>0</v>
      </c>
      <c r="S41" s="3">
        <f t="shared" ca="1" si="10"/>
        <v>1</v>
      </c>
      <c r="T41" s="3">
        <f t="shared" ca="1" si="10"/>
        <v>0</v>
      </c>
      <c r="U41" s="3">
        <f t="shared" ca="1" si="7"/>
        <v>1</v>
      </c>
      <c r="V41" s="3">
        <f t="shared" ca="1" si="7"/>
        <v>1</v>
      </c>
      <c r="W41" s="3">
        <f t="shared" ca="1" si="7"/>
        <v>1</v>
      </c>
      <c r="X41" s="3">
        <f t="shared" ca="1" si="7"/>
        <v>1</v>
      </c>
      <c r="Y41" s="3">
        <f t="shared" ca="1" si="7"/>
        <v>0</v>
      </c>
      <c r="Z41" s="3">
        <f t="shared" ca="1" si="7"/>
        <v>1</v>
      </c>
      <c r="AA41" s="3">
        <f t="shared" ca="1" si="7"/>
        <v>0</v>
      </c>
      <c r="AB41" s="3">
        <f t="shared" ca="1" si="7"/>
        <v>0</v>
      </c>
      <c r="AC41" s="3">
        <f t="shared" ca="1" si="7"/>
        <v>1</v>
      </c>
      <c r="AD41" s="3">
        <f t="shared" ca="1" si="7"/>
        <v>1</v>
      </c>
      <c r="AE41" s="3">
        <f t="shared" ca="1" si="7"/>
        <v>1</v>
      </c>
      <c r="AF41" s="3">
        <f t="shared" ca="1" si="8"/>
        <v>1</v>
      </c>
      <c r="AG41" s="3">
        <f t="shared" ca="1" si="8"/>
        <v>1</v>
      </c>
      <c r="AH41" s="3">
        <f t="shared" ca="1" si="8"/>
        <v>1</v>
      </c>
      <c r="AI41" s="3">
        <f t="shared" ca="1" si="8"/>
        <v>1</v>
      </c>
      <c r="AJ41" s="3">
        <f t="shared" ca="1" si="8"/>
        <v>1</v>
      </c>
      <c r="AK41" s="3">
        <f t="shared" ca="1" si="8"/>
        <v>0</v>
      </c>
      <c r="AL41" s="3">
        <f t="shared" ca="1" si="8"/>
        <v>1</v>
      </c>
      <c r="AM41" s="3">
        <f t="shared" ca="1" si="8"/>
        <v>1</v>
      </c>
      <c r="AN41" s="3">
        <f t="shared" ca="1" si="8"/>
        <v>0</v>
      </c>
      <c r="AO41" s="3">
        <f t="shared" ca="1" si="8"/>
        <v>1</v>
      </c>
      <c r="AP41" s="3">
        <f t="shared" ca="1" si="8"/>
        <v>1</v>
      </c>
      <c r="AQ41" s="3">
        <f t="shared" ca="1" si="8"/>
        <v>1</v>
      </c>
      <c r="AR41" s="3">
        <f t="shared" ca="1" si="8"/>
        <v>1</v>
      </c>
      <c r="AS41" s="3">
        <f t="shared" ca="1" si="8"/>
        <v>0</v>
      </c>
      <c r="AT41" s="3">
        <f t="shared" ca="1" si="8"/>
        <v>0</v>
      </c>
      <c r="AU41" s="3">
        <f t="shared" ca="1" si="8"/>
        <v>1</v>
      </c>
      <c r="AV41" s="3">
        <f t="shared" ca="1" si="9"/>
        <v>0</v>
      </c>
      <c r="AW41" s="3">
        <f t="shared" ca="1" si="9"/>
        <v>1</v>
      </c>
      <c r="AX41" s="3">
        <f t="shared" ca="1" si="2"/>
        <v>0</v>
      </c>
    </row>
    <row r="42" spans="1:50" x14ac:dyDescent="0.2">
      <c r="A42" s="3">
        <f t="shared" ca="1" si="11"/>
        <v>1</v>
      </c>
      <c r="B42" s="3">
        <f t="shared" ca="1" si="11"/>
        <v>0</v>
      </c>
      <c r="C42" s="3">
        <f t="shared" ca="1" si="11"/>
        <v>1</v>
      </c>
      <c r="D42" s="3">
        <f t="shared" ca="1" si="11"/>
        <v>0</v>
      </c>
      <c r="E42" s="3">
        <f t="shared" ca="1" si="11"/>
        <v>1</v>
      </c>
      <c r="F42" s="3">
        <f t="shared" ca="1" si="11"/>
        <v>1</v>
      </c>
      <c r="G42" s="3">
        <f t="shared" ca="1" si="11"/>
        <v>0</v>
      </c>
      <c r="H42" s="3">
        <f t="shared" ca="1" si="11"/>
        <v>1</v>
      </c>
      <c r="I42" s="3">
        <f t="shared" ca="1" si="11"/>
        <v>1</v>
      </c>
      <c r="J42" s="3">
        <f t="shared" ca="1" si="11"/>
        <v>1</v>
      </c>
      <c r="K42" s="3">
        <f t="shared" ca="1" si="11"/>
        <v>1</v>
      </c>
      <c r="L42" s="3">
        <f t="shared" ca="1" si="11"/>
        <v>1</v>
      </c>
      <c r="M42" s="3">
        <f t="shared" ca="1" si="11"/>
        <v>0</v>
      </c>
      <c r="N42" s="3">
        <f t="shared" ca="1" si="11"/>
        <v>0</v>
      </c>
      <c r="O42" s="3">
        <f t="shared" ca="1" si="11"/>
        <v>1</v>
      </c>
      <c r="P42" s="3">
        <f t="shared" ca="1" si="11"/>
        <v>0</v>
      </c>
      <c r="Q42" s="3">
        <f t="shared" ca="1" si="10"/>
        <v>0</v>
      </c>
      <c r="R42" s="3">
        <f t="shared" ca="1" si="10"/>
        <v>0</v>
      </c>
      <c r="S42" s="3">
        <f t="shared" ca="1" si="10"/>
        <v>1</v>
      </c>
      <c r="T42" s="3">
        <f t="shared" ca="1" si="10"/>
        <v>0</v>
      </c>
      <c r="U42" s="3">
        <f t="shared" ca="1" si="7"/>
        <v>0</v>
      </c>
      <c r="V42" s="3">
        <f t="shared" ca="1" si="7"/>
        <v>1</v>
      </c>
      <c r="W42" s="3">
        <f t="shared" ca="1" si="7"/>
        <v>1</v>
      </c>
      <c r="X42" s="3">
        <f t="shared" ca="1" si="7"/>
        <v>1</v>
      </c>
      <c r="Y42" s="3">
        <f t="shared" ca="1" si="7"/>
        <v>1</v>
      </c>
      <c r="Z42" s="3">
        <f t="shared" ca="1" si="7"/>
        <v>0</v>
      </c>
      <c r="AA42" s="3">
        <f t="shared" ca="1" si="7"/>
        <v>1</v>
      </c>
      <c r="AB42" s="3">
        <f t="shared" ca="1" si="7"/>
        <v>0</v>
      </c>
      <c r="AC42" s="3">
        <f t="shared" ca="1" si="7"/>
        <v>0</v>
      </c>
      <c r="AD42" s="3">
        <f t="shared" ca="1" si="7"/>
        <v>1</v>
      </c>
      <c r="AE42" s="3">
        <f t="shared" ca="1" si="7"/>
        <v>0</v>
      </c>
      <c r="AF42" s="3">
        <f t="shared" ca="1" si="8"/>
        <v>1</v>
      </c>
      <c r="AG42" s="3">
        <f t="shared" ca="1" si="8"/>
        <v>0</v>
      </c>
      <c r="AH42" s="3">
        <f t="shared" ca="1" si="8"/>
        <v>0</v>
      </c>
      <c r="AI42" s="3">
        <f t="shared" ca="1" si="8"/>
        <v>0</v>
      </c>
      <c r="AJ42" s="3">
        <f t="shared" ca="1" si="8"/>
        <v>0</v>
      </c>
      <c r="AK42" s="3">
        <f t="shared" ca="1" si="8"/>
        <v>0</v>
      </c>
      <c r="AL42" s="3">
        <f t="shared" ca="1" si="8"/>
        <v>0</v>
      </c>
      <c r="AM42" s="3">
        <f t="shared" ca="1" si="8"/>
        <v>0</v>
      </c>
      <c r="AN42" s="3">
        <f t="shared" ca="1" si="8"/>
        <v>1</v>
      </c>
      <c r="AO42" s="3">
        <f t="shared" ca="1" si="8"/>
        <v>0</v>
      </c>
      <c r="AP42" s="3">
        <f t="shared" ca="1" si="8"/>
        <v>0</v>
      </c>
      <c r="AQ42" s="3">
        <f t="shared" ca="1" si="8"/>
        <v>1</v>
      </c>
      <c r="AR42" s="3">
        <f t="shared" ca="1" si="8"/>
        <v>0</v>
      </c>
      <c r="AS42" s="3">
        <f t="shared" ca="1" si="8"/>
        <v>0</v>
      </c>
      <c r="AT42" s="3">
        <f t="shared" ca="1" si="8"/>
        <v>1</v>
      </c>
      <c r="AU42" s="3">
        <f t="shared" ca="1" si="8"/>
        <v>0</v>
      </c>
      <c r="AV42" s="3">
        <f t="shared" ca="1" si="9"/>
        <v>0</v>
      </c>
      <c r="AW42" s="3">
        <f t="shared" ca="1" si="9"/>
        <v>1</v>
      </c>
      <c r="AX42" s="3">
        <f t="shared" ca="1" si="2"/>
        <v>1</v>
      </c>
    </row>
    <row r="43" spans="1:50" x14ac:dyDescent="0.2">
      <c r="A43" s="3">
        <f t="shared" ca="1" si="11"/>
        <v>0</v>
      </c>
      <c r="B43" s="3">
        <f t="shared" ca="1" si="11"/>
        <v>0</v>
      </c>
      <c r="C43" s="3">
        <f t="shared" ca="1" si="11"/>
        <v>0</v>
      </c>
      <c r="D43" s="3">
        <f t="shared" ca="1" si="11"/>
        <v>0</v>
      </c>
      <c r="E43" s="3">
        <f t="shared" ca="1" si="11"/>
        <v>1</v>
      </c>
      <c r="F43" s="3">
        <f t="shared" ca="1" si="11"/>
        <v>0</v>
      </c>
      <c r="G43" s="3">
        <f t="shared" ca="1" si="11"/>
        <v>1</v>
      </c>
      <c r="H43" s="3">
        <f t="shared" ca="1" si="11"/>
        <v>0</v>
      </c>
      <c r="I43" s="3">
        <f t="shared" ca="1" si="11"/>
        <v>0</v>
      </c>
      <c r="J43" s="3">
        <f t="shared" ca="1" si="11"/>
        <v>1</v>
      </c>
      <c r="K43" s="3">
        <f t="shared" ca="1" si="11"/>
        <v>0</v>
      </c>
      <c r="L43" s="3">
        <f t="shared" ca="1" si="11"/>
        <v>0</v>
      </c>
      <c r="M43" s="3">
        <f t="shared" ca="1" si="11"/>
        <v>1</v>
      </c>
      <c r="N43" s="3">
        <f t="shared" ca="1" si="11"/>
        <v>1</v>
      </c>
      <c r="O43" s="3">
        <f t="shared" ca="1" si="11"/>
        <v>0</v>
      </c>
      <c r="P43" s="3">
        <f t="shared" ca="1" si="11"/>
        <v>0</v>
      </c>
      <c r="Q43" s="3">
        <f t="shared" ca="1" si="10"/>
        <v>0</v>
      </c>
      <c r="R43" s="3">
        <f t="shared" ca="1" si="10"/>
        <v>1</v>
      </c>
      <c r="S43" s="3">
        <f t="shared" ca="1" si="10"/>
        <v>1</v>
      </c>
      <c r="T43" s="3">
        <f t="shared" ca="1" si="10"/>
        <v>1</v>
      </c>
      <c r="U43" s="3">
        <f t="shared" ca="1" si="7"/>
        <v>0</v>
      </c>
      <c r="V43" s="3">
        <f t="shared" ca="1" si="7"/>
        <v>1</v>
      </c>
      <c r="W43" s="3">
        <f t="shared" ca="1" si="7"/>
        <v>1</v>
      </c>
      <c r="X43" s="3">
        <f t="shared" ca="1" si="7"/>
        <v>1</v>
      </c>
      <c r="Y43" s="3">
        <f t="shared" ca="1" si="7"/>
        <v>1</v>
      </c>
      <c r="Z43" s="3">
        <f t="shared" ca="1" si="7"/>
        <v>1</v>
      </c>
      <c r="AA43" s="3">
        <f t="shared" ca="1" si="7"/>
        <v>1</v>
      </c>
      <c r="AB43" s="3">
        <f t="shared" ca="1" si="7"/>
        <v>1</v>
      </c>
      <c r="AC43" s="3">
        <f t="shared" ca="1" si="7"/>
        <v>1</v>
      </c>
      <c r="AD43" s="3">
        <f t="shared" ca="1" si="7"/>
        <v>1</v>
      </c>
      <c r="AE43" s="3">
        <f t="shared" ca="1" si="7"/>
        <v>0</v>
      </c>
      <c r="AF43" s="3">
        <f t="shared" ca="1" si="8"/>
        <v>0</v>
      </c>
      <c r="AG43" s="3">
        <f t="shared" ca="1" si="8"/>
        <v>1</v>
      </c>
      <c r="AH43" s="3">
        <f t="shared" ca="1" si="8"/>
        <v>0</v>
      </c>
      <c r="AI43" s="3">
        <f t="shared" ca="1" si="8"/>
        <v>1</v>
      </c>
      <c r="AJ43" s="3">
        <f t="shared" ca="1" si="8"/>
        <v>1</v>
      </c>
      <c r="AK43" s="3">
        <f t="shared" ca="1" si="8"/>
        <v>1</v>
      </c>
      <c r="AL43" s="3">
        <f t="shared" ca="1" si="8"/>
        <v>0</v>
      </c>
      <c r="AM43" s="3">
        <f t="shared" ca="1" si="8"/>
        <v>0</v>
      </c>
      <c r="AN43" s="3">
        <f t="shared" ca="1" si="8"/>
        <v>0</v>
      </c>
      <c r="AO43" s="3">
        <f t="shared" ca="1" si="8"/>
        <v>1</v>
      </c>
      <c r="AP43" s="3">
        <f t="shared" ca="1" si="8"/>
        <v>0</v>
      </c>
      <c r="AQ43" s="3">
        <f t="shared" ca="1" si="8"/>
        <v>1</v>
      </c>
      <c r="AR43" s="3">
        <f t="shared" ca="1" si="8"/>
        <v>0</v>
      </c>
      <c r="AS43" s="3">
        <f t="shared" ca="1" si="8"/>
        <v>0</v>
      </c>
      <c r="AT43" s="3">
        <f t="shared" ca="1" si="8"/>
        <v>0</v>
      </c>
      <c r="AU43" s="3">
        <f t="shared" ref="AU43:AW58" ca="1" si="12">RANDBETWEEN(0,1)</f>
        <v>0</v>
      </c>
      <c r="AV43" s="3">
        <f t="shared" ca="1" si="12"/>
        <v>0</v>
      </c>
      <c r="AW43" s="3">
        <f t="shared" ca="1" si="12"/>
        <v>0</v>
      </c>
      <c r="AX43" s="3">
        <f t="shared" ca="1" si="2"/>
        <v>1</v>
      </c>
    </row>
    <row r="44" spans="1:50" x14ac:dyDescent="0.2">
      <c r="A44" s="3">
        <f t="shared" ca="1" si="11"/>
        <v>1</v>
      </c>
      <c r="B44" s="3">
        <f t="shared" ca="1" si="11"/>
        <v>0</v>
      </c>
      <c r="C44" s="3">
        <f t="shared" ca="1" si="11"/>
        <v>0</v>
      </c>
      <c r="D44" s="3">
        <f t="shared" ca="1" si="11"/>
        <v>1</v>
      </c>
      <c r="E44" s="3">
        <f t="shared" ca="1" si="11"/>
        <v>0</v>
      </c>
      <c r="F44" s="3">
        <f t="shared" ca="1" si="11"/>
        <v>0</v>
      </c>
      <c r="G44" s="3">
        <f t="shared" ca="1" si="11"/>
        <v>0</v>
      </c>
      <c r="H44" s="3">
        <f t="shared" ca="1" si="11"/>
        <v>0</v>
      </c>
      <c r="I44" s="3">
        <f t="shared" ca="1" si="11"/>
        <v>1</v>
      </c>
      <c r="J44" s="3">
        <f t="shared" ca="1" si="11"/>
        <v>0</v>
      </c>
      <c r="K44" s="3">
        <f t="shared" ca="1" si="11"/>
        <v>0</v>
      </c>
      <c r="L44" s="3">
        <f t="shared" ca="1" si="11"/>
        <v>1</v>
      </c>
      <c r="M44" s="3">
        <f t="shared" ca="1" si="11"/>
        <v>1</v>
      </c>
      <c r="N44" s="3">
        <f t="shared" ca="1" si="11"/>
        <v>0</v>
      </c>
      <c r="O44" s="3">
        <f t="shared" ca="1" si="11"/>
        <v>1</v>
      </c>
      <c r="P44" s="3">
        <f t="shared" ca="1" si="11"/>
        <v>0</v>
      </c>
      <c r="Q44" s="3">
        <f t="shared" ca="1" si="10"/>
        <v>0</v>
      </c>
      <c r="R44" s="3">
        <f t="shared" ca="1" si="10"/>
        <v>0</v>
      </c>
      <c r="S44" s="3">
        <f t="shared" ca="1" si="10"/>
        <v>0</v>
      </c>
      <c r="T44" s="3">
        <f t="shared" ca="1" si="10"/>
        <v>1</v>
      </c>
      <c r="U44" s="3">
        <f t="shared" ca="1" si="7"/>
        <v>0</v>
      </c>
      <c r="V44" s="3">
        <f t="shared" ca="1" si="7"/>
        <v>0</v>
      </c>
      <c r="W44" s="3">
        <f t="shared" ca="1" si="7"/>
        <v>0</v>
      </c>
      <c r="X44" s="3">
        <f t="shared" ca="1" si="7"/>
        <v>0</v>
      </c>
      <c r="Y44" s="3">
        <f t="shared" ca="1" si="7"/>
        <v>0</v>
      </c>
      <c r="Z44" s="3">
        <f t="shared" ca="1" si="7"/>
        <v>0</v>
      </c>
      <c r="AA44" s="3">
        <f t="shared" ca="1" si="7"/>
        <v>0</v>
      </c>
      <c r="AB44" s="3">
        <f t="shared" ca="1" si="7"/>
        <v>0</v>
      </c>
      <c r="AC44" s="3">
        <f t="shared" ca="1" si="7"/>
        <v>1</v>
      </c>
      <c r="AD44" s="3">
        <f t="shared" ca="1" si="7"/>
        <v>1</v>
      </c>
      <c r="AE44" s="3">
        <f t="shared" ca="1" si="7"/>
        <v>0</v>
      </c>
      <c r="AF44" s="3">
        <f t="shared" ref="AF44:AU59" ca="1" si="13">RANDBETWEEN(0,1)</f>
        <v>0</v>
      </c>
      <c r="AG44" s="3">
        <f t="shared" ca="1" si="13"/>
        <v>1</v>
      </c>
      <c r="AH44" s="3">
        <f t="shared" ca="1" si="13"/>
        <v>1</v>
      </c>
      <c r="AI44" s="3">
        <f t="shared" ca="1" si="13"/>
        <v>1</v>
      </c>
      <c r="AJ44" s="3">
        <f t="shared" ca="1" si="13"/>
        <v>1</v>
      </c>
      <c r="AK44" s="3">
        <f t="shared" ca="1" si="13"/>
        <v>1</v>
      </c>
      <c r="AL44" s="3">
        <f t="shared" ca="1" si="13"/>
        <v>1</v>
      </c>
      <c r="AM44" s="3">
        <f t="shared" ca="1" si="13"/>
        <v>0</v>
      </c>
      <c r="AN44" s="3">
        <f t="shared" ca="1" si="13"/>
        <v>0</v>
      </c>
      <c r="AO44" s="3">
        <f t="shared" ca="1" si="13"/>
        <v>0</v>
      </c>
      <c r="AP44" s="3">
        <f t="shared" ca="1" si="13"/>
        <v>0</v>
      </c>
      <c r="AQ44" s="3">
        <f t="shared" ca="1" si="13"/>
        <v>0</v>
      </c>
      <c r="AR44" s="3">
        <f t="shared" ca="1" si="13"/>
        <v>1</v>
      </c>
      <c r="AS44" s="3">
        <f t="shared" ca="1" si="13"/>
        <v>1</v>
      </c>
      <c r="AT44" s="3">
        <f t="shared" ca="1" si="13"/>
        <v>1</v>
      </c>
      <c r="AU44" s="3">
        <f t="shared" ca="1" si="13"/>
        <v>1</v>
      </c>
      <c r="AV44" s="3">
        <f t="shared" ca="1" si="12"/>
        <v>0</v>
      </c>
      <c r="AW44" s="3">
        <f t="shared" ca="1" si="12"/>
        <v>0</v>
      </c>
      <c r="AX44" s="3">
        <f t="shared" ca="1" si="2"/>
        <v>1</v>
      </c>
    </row>
    <row r="45" spans="1:50" x14ac:dyDescent="0.2">
      <c r="A45" s="3">
        <f t="shared" ca="1" si="11"/>
        <v>0</v>
      </c>
      <c r="B45" s="3">
        <f t="shared" ca="1" si="11"/>
        <v>1</v>
      </c>
      <c r="C45" s="3">
        <f t="shared" ca="1" si="11"/>
        <v>0</v>
      </c>
      <c r="D45" s="3">
        <f t="shared" ca="1" si="11"/>
        <v>1</v>
      </c>
      <c r="E45" s="3">
        <f t="shared" ca="1" si="11"/>
        <v>1</v>
      </c>
      <c r="F45" s="3">
        <f t="shared" ca="1" si="11"/>
        <v>0</v>
      </c>
      <c r="G45" s="3">
        <f t="shared" ca="1" si="11"/>
        <v>0</v>
      </c>
      <c r="H45" s="3">
        <f t="shared" ca="1" si="11"/>
        <v>1</v>
      </c>
      <c r="I45" s="3">
        <f t="shared" ca="1" si="11"/>
        <v>0</v>
      </c>
      <c r="J45" s="3">
        <f t="shared" ca="1" si="11"/>
        <v>1</v>
      </c>
      <c r="K45" s="3">
        <f t="shared" ca="1" si="11"/>
        <v>1</v>
      </c>
      <c r="L45" s="3">
        <f t="shared" ca="1" si="11"/>
        <v>0</v>
      </c>
      <c r="M45" s="3">
        <f t="shared" ca="1" si="11"/>
        <v>1</v>
      </c>
      <c r="N45" s="3">
        <f t="shared" ca="1" si="11"/>
        <v>1</v>
      </c>
      <c r="O45" s="3">
        <f t="shared" ca="1" si="11"/>
        <v>0</v>
      </c>
      <c r="P45" s="3">
        <f t="shared" ref="P45:AE60" ca="1" si="14">RANDBETWEEN(0,1)</f>
        <v>1</v>
      </c>
      <c r="Q45" s="3">
        <f t="shared" ca="1" si="14"/>
        <v>0</v>
      </c>
      <c r="R45" s="3">
        <f t="shared" ca="1" si="14"/>
        <v>1</v>
      </c>
      <c r="S45" s="3">
        <f t="shared" ca="1" si="14"/>
        <v>0</v>
      </c>
      <c r="T45" s="3">
        <f t="shared" ca="1" si="14"/>
        <v>0</v>
      </c>
      <c r="U45" s="3">
        <f t="shared" ca="1" si="14"/>
        <v>0</v>
      </c>
      <c r="V45" s="3">
        <f t="shared" ca="1" si="14"/>
        <v>1</v>
      </c>
      <c r="W45" s="3">
        <f t="shared" ca="1" si="14"/>
        <v>0</v>
      </c>
      <c r="X45" s="3">
        <f t="shared" ca="1" si="14"/>
        <v>1</v>
      </c>
      <c r="Y45" s="3">
        <f t="shared" ca="1" si="14"/>
        <v>1</v>
      </c>
      <c r="Z45" s="3">
        <f t="shared" ca="1" si="14"/>
        <v>1</v>
      </c>
      <c r="AA45" s="3">
        <f t="shared" ca="1" si="14"/>
        <v>0</v>
      </c>
      <c r="AB45" s="3">
        <f t="shared" ca="1" si="14"/>
        <v>1</v>
      </c>
      <c r="AC45" s="3">
        <f t="shared" ca="1" si="14"/>
        <v>1</v>
      </c>
      <c r="AD45" s="3">
        <f t="shared" ca="1" si="14"/>
        <v>1</v>
      </c>
      <c r="AE45" s="3">
        <f t="shared" ca="1" si="14"/>
        <v>0</v>
      </c>
      <c r="AF45" s="3">
        <f t="shared" ca="1" si="13"/>
        <v>0</v>
      </c>
      <c r="AG45" s="3">
        <f t="shared" ca="1" si="13"/>
        <v>0</v>
      </c>
      <c r="AH45" s="3">
        <f t="shared" ca="1" si="13"/>
        <v>0</v>
      </c>
      <c r="AI45" s="3">
        <f t="shared" ca="1" si="13"/>
        <v>1</v>
      </c>
      <c r="AJ45" s="3">
        <f t="shared" ca="1" si="13"/>
        <v>0</v>
      </c>
      <c r="AK45" s="3">
        <f t="shared" ca="1" si="13"/>
        <v>1</v>
      </c>
      <c r="AL45" s="3">
        <f t="shared" ca="1" si="13"/>
        <v>1</v>
      </c>
      <c r="AM45" s="3">
        <f t="shared" ca="1" si="13"/>
        <v>0</v>
      </c>
      <c r="AN45" s="3">
        <f t="shared" ca="1" si="13"/>
        <v>1</v>
      </c>
      <c r="AO45" s="3">
        <f t="shared" ca="1" si="13"/>
        <v>0</v>
      </c>
      <c r="AP45" s="3">
        <f t="shared" ca="1" si="13"/>
        <v>1</v>
      </c>
      <c r="AQ45" s="3">
        <f t="shared" ca="1" si="13"/>
        <v>1</v>
      </c>
      <c r="AR45" s="3">
        <f t="shared" ca="1" si="13"/>
        <v>1</v>
      </c>
      <c r="AS45" s="3">
        <f t="shared" ca="1" si="13"/>
        <v>1</v>
      </c>
      <c r="AT45" s="3">
        <f t="shared" ca="1" si="13"/>
        <v>0</v>
      </c>
      <c r="AU45" s="3">
        <f t="shared" ca="1" si="13"/>
        <v>1</v>
      </c>
      <c r="AV45" s="3">
        <f t="shared" ca="1" si="12"/>
        <v>1</v>
      </c>
      <c r="AW45" s="3">
        <f t="shared" ca="1" si="12"/>
        <v>0</v>
      </c>
      <c r="AX45" s="3">
        <f t="shared" ca="1" si="2"/>
        <v>1</v>
      </c>
    </row>
    <row r="46" spans="1:50" x14ac:dyDescent="0.2">
      <c r="A46" s="3">
        <f t="shared" ref="A46:P61" ca="1" si="15">RANDBETWEEN(0,1)</f>
        <v>1</v>
      </c>
      <c r="B46" s="3">
        <f t="shared" ca="1" si="15"/>
        <v>0</v>
      </c>
      <c r="C46" s="3">
        <f t="shared" ca="1" si="15"/>
        <v>0</v>
      </c>
      <c r="D46" s="3">
        <f t="shared" ca="1" si="15"/>
        <v>1</v>
      </c>
      <c r="E46" s="3">
        <f t="shared" ca="1" si="15"/>
        <v>0</v>
      </c>
      <c r="F46" s="3">
        <f t="shared" ca="1" si="15"/>
        <v>0</v>
      </c>
      <c r="G46" s="3">
        <f t="shared" ca="1" si="15"/>
        <v>0</v>
      </c>
      <c r="H46" s="3">
        <f t="shared" ca="1" si="15"/>
        <v>0</v>
      </c>
      <c r="I46" s="3">
        <f t="shared" ca="1" si="15"/>
        <v>1</v>
      </c>
      <c r="J46" s="3">
        <f t="shared" ca="1" si="15"/>
        <v>1</v>
      </c>
      <c r="K46" s="3">
        <f t="shared" ca="1" si="15"/>
        <v>0</v>
      </c>
      <c r="L46" s="3">
        <f t="shared" ca="1" si="15"/>
        <v>0</v>
      </c>
      <c r="M46" s="3">
        <f t="shared" ca="1" si="15"/>
        <v>1</v>
      </c>
      <c r="N46" s="3">
        <f t="shared" ca="1" si="15"/>
        <v>0</v>
      </c>
      <c r="O46" s="3">
        <f t="shared" ca="1" si="15"/>
        <v>0</v>
      </c>
      <c r="P46" s="3">
        <f t="shared" ca="1" si="15"/>
        <v>0</v>
      </c>
      <c r="Q46" s="3">
        <f t="shared" ca="1" si="14"/>
        <v>1</v>
      </c>
      <c r="R46" s="3">
        <f t="shared" ca="1" si="14"/>
        <v>1</v>
      </c>
      <c r="S46" s="3">
        <f t="shared" ca="1" si="14"/>
        <v>1</v>
      </c>
      <c r="T46" s="3">
        <f t="shared" ca="1" si="14"/>
        <v>1</v>
      </c>
      <c r="U46" s="3">
        <f t="shared" ca="1" si="14"/>
        <v>0</v>
      </c>
      <c r="V46" s="3">
        <f t="shared" ca="1" si="14"/>
        <v>0</v>
      </c>
      <c r="W46" s="3">
        <f t="shared" ca="1" si="14"/>
        <v>1</v>
      </c>
      <c r="X46" s="3">
        <f t="shared" ca="1" si="14"/>
        <v>1</v>
      </c>
      <c r="Y46" s="3">
        <f t="shared" ca="1" si="14"/>
        <v>1</v>
      </c>
      <c r="Z46" s="3">
        <f t="shared" ca="1" si="14"/>
        <v>1</v>
      </c>
      <c r="AA46" s="3">
        <f t="shared" ca="1" si="14"/>
        <v>1</v>
      </c>
      <c r="AB46" s="3">
        <f t="shared" ca="1" si="14"/>
        <v>0</v>
      </c>
      <c r="AC46" s="3">
        <f t="shared" ca="1" si="14"/>
        <v>0</v>
      </c>
      <c r="AD46" s="3">
        <f t="shared" ca="1" si="14"/>
        <v>1</v>
      </c>
      <c r="AE46" s="3">
        <f t="shared" ca="1" si="14"/>
        <v>1</v>
      </c>
      <c r="AF46" s="3">
        <f t="shared" ca="1" si="13"/>
        <v>1</v>
      </c>
      <c r="AG46" s="3">
        <f t="shared" ca="1" si="13"/>
        <v>1</v>
      </c>
      <c r="AH46" s="3">
        <f t="shared" ca="1" si="13"/>
        <v>0</v>
      </c>
      <c r="AI46" s="3">
        <f t="shared" ca="1" si="13"/>
        <v>0</v>
      </c>
      <c r="AJ46" s="3">
        <f t="shared" ca="1" si="13"/>
        <v>0</v>
      </c>
      <c r="AK46" s="3">
        <f t="shared" ca="1" si="13"/>
        <v>0</v>
      </c>
      <c r="AL46" s="3">
        <f t="shared" ca="1" si="13"/>
        <v>0</v>
      </c>
      <c r="AM46" s="3">
        <f t="shared" ca="1" si="13"/>
        <v>1</v>
      </c>
      <c r="AN46" s="3">
        <f t="shared" ca="1" si="13"/>
        <v>1</v>
      </c>
      <c r="AO46" s="3">
        <f t="shared" ca="1" si="13"/>
        <v>1</v>
      </c>
      <c r="AP46" s="3">
        <f t="shared" ca="1" si="13"/>
        <v>1</v>
      </c>
      <c r="AQ46" s="3">
        <f t="shared" ca="1" si="13"/>
        <v>1</v>
      </c>
      <c r="AR46" s="3">
        <f t="shared" ca="1" si="13"/>
        <v>1</v>
      </c>
      <c r="AS46" s="3">
        <f t="shared" ca="1" si="13"/>
        <v>1</v>
      </c>
      <c r="AT46" s="3">
        <f t="shared" ca="1" si="13"/>
        <v>0</v>
      </c>
      <c r="AU46" s="3">
        <f t="shared" ca="1" si="13"/>
        <v>0</v>
      </c>
      <c r="AV46" s="3">
        <f t="shared" ca="1" si="12"/>
        <v>0</v>
      </c>
      <c r="AW46" s="3">
        <f t="shared" ca="1" si="12"/>
        <v>1</v>
      </c>
      <c r="AX46" s="3">
        <f t="shared" ca="1" si="2"/>
        <v>0</v>
      </c>
    </row>
    <row r="47" spans="1:50" x14ac:dyDescent="0.2">
      <c r="A47" s="3">
        <f t="shared" ca="1" si="15"/>
        <v>1</v>
      </c>
      <c r="B47" s="3">
        <f t="shared" ca="1" si="15"/>
        <v>1</v>
      </c>
      <c r="C47" s="3">
        <f t="shared" ca="1" si="15"/>
        <v>0</v>
      </c>
      <c r="D47" s="3">
        <f t="shared" ca="1" si="15"/>
        <v>1</v>
      </c>
      <c r="E47" s="3">
        <f t="shared" ca="1" si="15"/>
        <v>1</v>
      </c>
      <c r="F47" s="3">
        <f t="shared" ca="1" si="15"/>
        <v>0</v>
      </c>
      <c r="G47" s="3">
        <f t="shared" ca="1" si="15"/>
        <v>1</v>
      </c>
      <c r="H47" s="3">
        <f t="shared" ca="1" si="15"/>
        <v>1</v>
      </c>
      <c r="I47" s="3">
        <f t="shared" ca="1" si="15"/>
        <v>1</v>
      </c>
      <c r="J47" s="3">
        <f t="shared" ca="1" si="15"/>
        <v>0</v>
      </c>
      <c r="K47" s="3">
        <f t="shared" ca="1" si="15"/>
        <v>0</v>
      </c>
      <c r="L47" s="3">
        <f t="shared" ca="1" si="15"/>
        <v>1</v>
      </c>
      <c r="M47" s="3">
        <f t="shared" ca="1" si="15"/>
        <v>0</v>
      </c>
      <c r="N47" s="3">
        <f t="shared" ca="1" si="15"/>
        <v>1</v>
      </c>
      <c r="O47" s="3">
        <f t="shared" ca="1" si="15"/>
        <v>0</v>
      </c>
      <c r="P47" s="3">
        <f t="shared" ca="1" si="15"/>
        <v>0</v>
      </c>
      <c r="Q47" s="3">
        <f t="shared" ca="1" si="14"/>
        <v>0</v>
      </c>
      <c r="R47" s="3">
        <f t="shared" ca="1" si="14"/>
        <v>1</v>
      </c>
      <c r="S47" s="3">
        <f t="shared" ca="1" si="14"/>
        <v>1</v>
      </c>
      <c r="T47" s="3">
        <f t="shared" ca="1" si="14"/>
        <v>0</v>
      </c>
      <c r="U47" s="3">
        <f t="shared" ca="1" si="14"/>
        <v>0</v>
      </c>
      <c r="V47" s="3">
        <f t="shared" ca="1" si="14"/>
        <v>1</v>
      </c>
      <c r="W47" s="3">
        <f t="shared" ca="1" si="14"/>
        <v>0</v>
      </c>
      <c r="X47" s="3">
        <f t="shared" ca="1" si="14"/>
        <v>1</v>
      </c>
      <c r="Y47" s="3">
        <f t="shared" ca="1" si="14"/>
        <v>1</v>
      </c>
      <c r="Z47" s="3">
        <f t="shared" ca="1" si="14"/>
        <v>0</v>
      </c>
      <c r="AA47" s="3">
        <f t="shared" ca="1" si="14"/>
        <v>0</v>
      </c>
      <c r="AB47" s="3">
        <f t="shared" ca="1" si="14"/>
        <v>1</v>
      </c>
      <c r="AC47" s="3">
        <f t="shared" ca="1" si="14"/>
        <v>1</v>
      </c>
      <c r="AD47" s="3">
        <f t="shared" ca="1" si="14"/>
        <v>0</v>
      </c>
      <c r="AE47" s="3">
        <f t="shared" ca="1" si="14"/>
        <v>0</v>
      </c>
      <c r="AF47" s="3">
        <f t="shared" ca="1" si="13"/>
        <v>1</v>
      </c>
      <c r="AG47" s="3">
        <f t="shared" ca="1" si="13"/>
        <v>1</v>
      </c>
      <c r="AH47" s="3">
        <f t="shared" ca="1" si="13"/>
        <v>1</v>
      </c>
      <c r="AI47" s="3">
        <f t="shared" ca="1" si="13"/>
        <v>1</v>
      </c>
      <c r="AJ47" s="3">
        <f t="shared" ca="1" si="13"/>
        <v>1</v>
      </c>
      <c r="AK47" s="3">
        <f t="shared" ca="1" si="13"/>
        <v>0</v>
      </c>
      <c r="AL47" s="3">
        <f t="shared" ca="1" si="13"/>
        <v>1</v>
      </c>
      <c r="AM47" s="3">
        <f t="shared" ca="1" si="13"/>
        <v>0</v>
      </c>
      <c r="AN47" s="3">
        <f t="shared" ca="1" si="13"/>
        <v>1</v>
      </c>
      <c r="AO47" s="3">
        <f t="shared" ca="1" si="13"/>
        <v>0</v>
      </c>
      <c r="AP47" s="3">
        <f t="shared" ca="1" si="13"/>
        <v>0</v>
      </c>
      <c r="AQ47" s="3">
        <f t="shared" ca="1" si="13"/>
        <v>0</v>
      </c>
      <c r="AR47" s="3">
        <f t="shared" ca="1" si="13"/>
        <v>1</v>
      </c>
      <c r="AS47" s="3">
        <f t="shared" ca="1" si="13"/>
        <v>1</v>
      </c>
      <c r="AT47" s="3">
        <f t="shared" ca="1" si="13"/>
        <v>1</v>
      </c>
      <c r="AU47" s="3">
        <f t="shared" ca="1" si="13"/>
        <v>1</v>
      </c>
      <c r="AV47" s="3">
        <f t="shared" ca="1" si="12"/>
        <v>0</v>
      </c>
      <c r="AW47" s="3">
        <f t="shared" ca="1" si="12"/>
        <v>1</v>
      </c>
      <c r="AX47" s="3">
        <f t="shared" ca="1" si="2"/>
        <v>1</v>
      </c>
    </row>
    <row r="48" spans="1:50" x14ac:dyDescent="0.2">
      <c r="A48" s="3">
        <f t="shared" ca="1" si="15"/>
        <v>1</v>
      </c>
      <c r="B48" s="3">
        <f t="shared" ca="1" si="15"/>
        <v>0</v>
      </c>
      <c r="C48" s="3">
        <f t="shared" ca="1" si="15"/>
        <v>1</v>
      </c>
      <c r="D48" s="3">
        <f t="shared" ca="1" si="15"/>
        <v>1</v>
      </c>
      <c r="E48" s="3">
        <f t="shared" ca="1" si="15"/>
        <v>0</v>
      </c>
      <c r="F48" s="3">
        <f t="shared" ca="1" si="15"/>
        <v>1</v>
      </c>
      <c r="G48" s="3">
        <f t="shared" ca="1" si="15"/>
        <v>1</v>
      </c>
      <c r="H48" s="3">
        <f t="shared" ca="1" si="15"/>
        <v>1</v>
      </c>
      <c r="I48" s="3">
        <f t="shared" ca="1" si="15"/>
        <v>0</v>
      </c>
      <c r="J48" s="3">
        <f t="shared" ca="1" si="15"/>
        <v>0</v>
      </c>
      <c r="K48" s="3">
        <f t="shared" ca="1" si="15"/>
        <v>1</v>
      </c>
      <c r="L48" s="3">
        <f t="shared" ca="1" si="15"/>
        <v>1</v>
      </c>
      <c r="M48" s="3">
        <f t="shared" ca="1" si="15"/>
        <v>1</v>
      </c>
      <c r="N48" s="3">
        <f t="shared" ca="1" si="15"/>
        <v>0</v>
      </c>
      <c r="O48" s="3">
        <f t="shared" ca="1" si="15"/>
        <v>1</v>
      </c>
      <c r="P48" s="3">
        <f t="shared" ca="1" si="15"/>
        <v>1</v>
      </c>
      <c r="Q48" s="3">
        <f t="shared" ca="1" si="14"/>
        <v>0</v>
      </c>
      <c r="R48" s="3">
        <f t="shared" ca="1" si="14"/>
        <v>0</v>
      </c>
      <c r="S48" s="3">
        <f t="shared" ca="1" si="14"/>
        <v>1</v>
      </c>
      <c r="T48" s="3">
        <f t="shared" ca="1" si="14"/>
        <v>0</v>
      </c>
      <c r="U48" s="3">
        <f t="shared" ca="1" si="14"/>
        <v>0</v>
      </c>
      <c r="V48" s="3">
        <f t="shared" ca="1" si="14"/>
        <v>0</v>
      </c>
      <c r="W48" s="3">
        <f t="shared" ca="1" si="14"/>
        <v>1</v>
      </c>
      <c r="X48" s="3">
        <f t="shared" ca="1" si="14"/>
        <v>0</v>
      </c>
      <c r="Y48" s="3">
        <f t="shared" ca="1" si="14"/>
        <v>0</v>
      </c>
      <c r="Z48" s="3">
        <f t="shared" ca="1" si="14"/>
        <v>1</v>
      </c>
      <c r="AA48" s="3">
        <f t="shared" ca="1" si="14"/>
        <v>1</v>
      </c>
      <c r="AB48" s="3">
        <f t="shared" ca="1" si="14"/>
        <v>1</v>
      </c>
      <c r="AC48" s="3">
        <f t="shared" ca="1" si="14"/>
        <v>1</v>
      </c>
      <c r="AD48" s="3">
        <f t="shared" ca="1" si="14"/>
        <v>0</v>
      </c>
      <c r="AE48" s="3">
        <f t="shared" ca="1" si="14"/>
        <v>0</v>
      </c>
      <c r="AF48" s="3">
        <f t="shared" ca="1" si="13"/>
        <v>1</v>
      </c>
      <c r="AG48" s="3">
        <f t="shared" ca="1" si="13"/>
        <v>1</v>
      </c>
      <c r="AH48" s="3">
        <f t="shared" ca="1" si="13"/>
        <v>1</v>
      </c>
      <c r="AI48" s="3">
        <f t="shared" ca="1" si="13"/>
        <v>1</v>
      </c>
      <c r="AJ48" s="3">
        <f t="shared" ca="1" si="13"/>
        <v>0</v>
      </c>
      <c r="AK48" s="3">
        <f t="shared" ca="1" si="13"/>
        <v>0</v>
      </c>
      <c r="AL48" s="3">
        <f t="shared" ca="1" si="13"/>
        <v>1</v>
      </c>
      <c r="AM48" s="3">
        <f t="shared" ca="1" si="13"/>
        <v>1</v>
      </c>
      <c r="AN48" s="3">
        <f t="shared" ca="1" si="13"/>
        <v>0</v>
      </c>
      <c r="AO48" s="3">
        <f t="shared" ca="1" si="13"/>
        <v>1</v>
      </c>
      <c r="AP48" s="3">
        <f t="shared" ca="1" si="13"/>
        <v>0</v>
      </c>
      <c r="AQ48" s="3">
        <f t="shared" ca="1" si="13"/>
        <v>1</v>
      </c>
      <c r="AR48" s="3">
        <f t="shared" ca="1" si="13"/>
        <v>1</v>
      </c>
      <c r="AS48" s="3">
        <f t="shared" ca="1" si="13"/>
        <v>1</v>
      </c>
      <c r="AT48" s="3">
        <f t="shared" ca="1" si="13"/>
        <v>0</v>
      </c>
      <c r="AU48" s="3">
        <f t="shared" ca="1" si="13"/>
        <v>0</v>
      </c>
      <c r="AV48" s="3">
        <f t="shared" ca="1" si="12"/>
        <v>0</v>
      </c>
      <c r="AW48" s="3">
        <f t="shared" ca="1" si="12"/>
        <v>1</v>
      </c>
      <c r="AX48" s="3">
        <f t="shared" ca="1" si="2"/>
        <v>1</v>
      </c>
    </row>
    <row r="49" spans="1:50" x14ac:dyDescent="0.2">
      <c r="A49" s="3">
        <f t="shared" ca="1" si="15"/>
        <v>0</v>
      </c>
      <c r="B49" s="3">
        <f t="shared" ca="1" si="15"/>
        <v>1</v>
      </c>
      <c r="C49" s="3">
        <f t="shared" ca="1" si="15"/>
        <v>1</v>
      </c>
      <c r="D49" s="3">
        <f t="shared" ca="1" si="15"/>
        <v>0</v>
      </c>
      <c r="E49" s="3">
        <f t="shared" ca="1" si="15"/>
        <v>0</v>
      </c>
      <c r="F49" s="3">
        <f t="shared" ca="1" si="15"/>
        <v>1</v>
      </c>
      <c r="G49" s="3">
        <f t="shared" ca="1" si="15"/>
        <v>0</v>
      </c>
      <c r="H49" s="3">
        <f t="shared" ca="1" si="15"/>
        <v>0</v>
      </c>
      <c r="I49" s="3">
        <f t="shared" ca="1" si="15"/>
        <v>1</v>
      </c>
      <c r="J49" s="3">
        <f t="shared" ca="1" si="15"/>
        <v>1</v>
      </c>
      <c r="K49" s="3">
        <f t="shared" ca="1" si="15"/>
        <v>1</v>
      </c>
      <c r="L49" s="3">
        <f t="shared" ca="1" si="15"/>
        <v>0</v>
      </c>
      <c r="M49" s="3">
        <f t="shared" ca="1" si="15"/>
        <v>0</v>
      </c>
      <c r="N49" s="3">
        <f t="shared" ca="1" si="15"/>
        <v>1</v>
      </c>
      <c r="O49" s="3">
        <f t="shared" ca="1" si="15"/>
        <v>1</v>
      </c>
      <c r="P49" s="3">
        <f t="shared" ca="1" si="15"/>
        <v>1</v>
      </c>
      <c r="Q49" s="3">
        <f t="shared" ca="1" si="14"/>
        <v>1</v>
      </c>
      <c r="R49" s="3">
        <f t="shared" ca="1" si="14"/>
        <v>1</v>
      </c>
      <c r="S49" s="3">
        <f t="shared" ca="1" si="14"/>
        <v>1</v>
      </c>
      <c r="T49" s="3">
        <f t="shared" ca="1" si="14"/>
        <v>0</v>
      </c>
      <c r="U49" s="3">
        <f t="shared" ca="1" si="14"/>
        <v>1</v>
      </c>
      <c r="V49" s="3">
        <f t="shared" ca="1" si="14"/>
        <v>0</v>
      </c>
      <c r="W49" s="3">
        <f t="shared" ca="1" si="14"/>
        <v>0</v>
      </c>
      <c r="X49" s="3">
        <f t="shared" ca="1" si="14"/>
        <v>0</v>
      </c>
      <c r="Y49" s="3">
        <f t="shared" ca="1" si="14"/>
        <v>0</v>
      </c>
      <c r="Z49" s="3">
        <f t="shared" ca="1" si="14"/>
        <v>1</v>
      </c>
      <c r="AA49" s="3">
        <f t="shared" ca="1" si="14"/>
        <v>1</v>
      </c>
      <c r="AB49" s="3">
        <f t="shared" ca="1" si="14"/>
        <v>0</v>
      </c>
      <c r="AC49" s="3">
        <f t="shared" ca="1" si="14"/>
        <v>1</v>
      </c>
      <c r="AD49" s="3">
        <f t="shared" ca="1" si="14"/>
        <v>1</v>
      </c>
      <c r="AE49" s="3">
        <f t="shared" ca="1" si="14"/>
        <v>1</v>
      </c>
      <c r="AF49" s="3">
        <f t="shared" ca="1" si="13"/>
        <v>0</v>
      </c>
      <c r="AG49" s="3">
        <f t="shared" ca="1" si="13"/>
        <v>1</v>
      </c>
      <c r="AH49" s="3">
        <f t="shared" ca="1" si="13"/>
        <v>0</v>
      </c>
      <c r="AI49" s="3">
        <f t="shared" ca="1" si="13"/>
        <v>1</v>
      </c>
      <c r="AJ49" s="3">
        <f t="shared" ca="1" si="13"/>
        <v>0</v>
      </c>
      <c r="AK49" s="3">
        <f t="shared" ca="1" si="13"/>
        <v>0</v>
      </c>
      <c r="AL49" s="3">
        <f t="shared" ca="1" si="13"/>
        <v>1</v>
      </c>
      <c r="AM49" s="3">
        <f t="shared" ca="1" si="13"/>
        <v>1</v>
      </c>
      <c r="AN49" s="3">
        <f t="shared" ca="1" si="13"/>
        <v>0</v>
      </c>
      <c r="AO49" s="3">
        <f t="shared" ca="1" si="13"/>
        <v>1</v>
      </c>
      <c r="AP49" s="3">
        <f t="shared" ca="1" si="13"/>
        <v>0</v>
      </c>
      <c r="AQ49" s="3">
        <f t="shared" ca="1" si="13"/>
        <v>0</v>
      </c>
      <c r="AR49" s="3">
        <f t="shared" ca="1" si="13"/>
        <v>1</v>
      </c>
      <c r="AS49" s="3">
        <f t="shared" ca="1" si="13"/>
        <v>0</v>
      </c>
      <c r="AT49" s="3">
        <f t="shared" ca="1" si="13"/>
        <v>1</v>
      </c>
      <c r="AU49" s="3">
        <f t="shared" ca="1" si="13"/>
        <v>1</v>
      </c>
      <c r="AV49" s="3">
        <f t="shared" ca="1" si="12"/>
        <v>1</v>
      </c>
      <c r="AW49" s="3">
        <f t="shared" ca="1" si="12"/>
        <v>0</v>
      </c>
      <c r="AX49" s="3">
        <f t="shared" ca="1" si="2"/>
        <v>0</v>
      </c>
    </row>
    <row r="50" spans="1:50" x14ac:dyDescent="0.2">
      <c r="A50" s="3">
        <f t="shared" ca="1" si="15"/>
        <v>0</v>
      </c>
      <c r="B50" s="3">
        <f t="shared" ca="1" si="15"/>
        <v>1</v>
      </c>
      <c r="C50" s="3">
        <f t="shared" ca="1" si="15"/>
        <v>1</v>
      </c>
      <c r="D50" s="3">
        <f t="shared" ca="1" si="15"/>
        <v>0</v>
      </c>
      <c r="E50" s="3">
        <f t="shared" ca="1" si="15"/>
        <v>1</v>
      </c>
      <c r="F50" s="3">
        <f t="shared" ca="1" si="15"/>
        <v>1</v>
      </c>
      <c r="G50" s="3">
        <f t="shared" ca="1" si="15"/>
        <v>0</v>
      </c>
      <c r="H50" s="3">
        <f t="shared" ca="1" si="15"/>
        <v>1</v>
      </c>
      <c r="I50" s="3">
        <f t="shared" ca="1" si="15"/>
        <v>1</v>
      </c>
      <c r="J50" s="3">
        <f t="shared" ca="1" si="15"/>
        <v>1</v>
      </c>
      <c r="K50" s="3">
        <f t="shared" ca="1" si="15"/>
        <v>1</v>
      </c>
      <c r="L50" s="3">
        <f t="shared" ca="1" si="15"/>
        <v>0</v>
      </c>
      <c r="M50" s="3">
        <f t="shared" ca="1" si="15"/>
        <v>0</v>
      </c>
      <c r="N50" s="3">
        <f t="shared" ca="1" si="15"/>
        <v>0</v>
      </c>
      <c r="O50" s="3">
        <f t="shared" ca="1" si="15"/>
        <v>1</v>
      </c>
      <c r="P50" s="3">
        <f t="shared" ca="1" si="15"/>
        <v>1</v>
      </c>
      <c r="Q50" s="3">
        <f t="shared" ca="1" si="14"/>
        <v>1</v>
      </c>
      <c r="R50" s="3">
        <f t="shared" ca="1" si="14"/>
        <v>1</v>
      </c>
      <c r="S50" s="3">
        <f t="shared" ca="1" si="14"/>
        <v>1</v>
      </c>
      <c r="T50" s="3">
        <f t="shared" ca="1" si="14"/>
        <v>0</v>
      </c>
      <c r="U50" s="3">
        <f t="shared" ca="1" si="14"/>
        <v>0</v>
      </c>
      <c r="V50" s="3">
        <f t="shared" ca="1" si="14"/>
        <v>0</v>
      </c>
      <c r="W50" s="3">
        <f t="shared" ca="1" si="14"/>
        <v>1</v>
      </c>
      <c r="X50" s="3">
        <f t="shared" ca="1" si="14"/>
        <v>0</v>
      </c>
      <c r="Y50" s="3">
        <f t="shared" ca="1" si="14"/>
        <v>1</v>
      </c>
      <c r="Z50" s="3">
        <f t="shared" ca="1" si="14"/>
        <v>1</v>
      </c>
      <c r="AA50" s="3">
        <f t="shared" ca="1" si="14"/>
        <v>1</v>
      </c>
      <c r="AB50" s="3">
        <f t="shared" ca="1" si="14"/>
        <v>1</v>
      </c>
      <c r="AC50" s="3">
        <f t="shared" ca="1" si="14"/>
        <v>1</v>
      </c>
      <c r="AD50" s="3">
        <f t="shared" ca="1" si="14"/>
        <v>1</v>
      </c>
      <c r="AE50" s="3">
        <f t="shared" ca="1" si="14"/>
        <v>1</v>
      </c>
      <c r="AF50" s="3">
        <f t="shared" ca="1" si="13"/>
        <v>0</v>
      </c>
      <c r="AG50" s="3">
        <f t="shared" ca="1" si="13"/>
        <v>0</v>
      </c>
      <c r="AH50" s="3">
        <f t="shared" ca="1" si="13"/>
        <v>0</v>
      </c>
      <c r="AI50" s="3">
        <f t="shared" ca="1" si="13"/>
        <v>1</v>
      </c>
      <c r="AJ50" s="3">
        <f t="shared" ca="1" si="13"/>
        <v>0</v>
      </c>
      <c r="AK50" s="3">
        <f t="shared" ca="1" si="13"/>
        <v>1</v>
      </c>
      <c r="AL50" s="3">
        <f t="shared" ca="1" si="13"/>
        <v>1</v>
      </c>
      <c r="AM50" s="3">
        <f t="shared" ca="1" si="13"/>
        <v>1</v>
      </c>
      <c r="AN50" s="3">
        <f t="shared" ca="1" si="13"/>
        <v>1</v>
      </c>
      <c r="AO50" s="3">
        <f t="shared" ca="1" si="13"/>
        <v>1</v>
      </c>
      <c r="AP50" s="3">
        <f t="shared" ca="1" si="13"/>
        <v>0</v>
      </c>
      <c r="AQ50" s="3">
        <f t="shared" ca="1" si="13"/>
        <v>0</v>
      </c>
      <c r="AR50" s="3">
        <f t="shared" ca="1" si="13"/>
        <v>0</v>
      </c>
      <c r="AS50" s="3">
        <f t="shared" ca="1" si="13"/>
        <v>0</v>
      </c>
      <c r="AT50" s="3">
        <f t="shared" ca="1" si="13"/>
        <v>0</v>
      </c>
      <c r="AU50" s="3">
        <f t="shared" ca="1" si="13"/>
        <v>1</v>
      </c>
      <c r="AV50" s="3">
        <f t="shared" ca="1" si="12"/>
        <v>1</v>
      </c>
      <c r="AW50" s="3">
        <f t="shared" ca="1" si="12"/>
        <v>1</v>
      </c>
      <c r="AX50" s="3">
        <f t="shared" ca="1" si="2"/>
        <v>0</v>
      </c>
    </row>
    <row r="51" spans="1:50" x14ac:dyDescent="0.2">
      <c r="A51" s="3">
        <f t="shared" ca="1" si="15"/>
        <v>0</v>
      </c>
      <c r="B51" s="3">
        <f t="shared" ca="1" si="15"/>
        <v>1</v>
      </c>
      <c r="C51" s="3">
        <f t="shared" ca="1" si="15"/>
        <v>1</v>
      </c>
      <c r="D51" s="3">
        <f t="shared" ca="1" si="15"/>
        <v>0</v>
      </c>
      <c r="E51" s="3">
        <f t="shared" ca="1" si="15"/>
        <v>0</v>
      </c>
      <c r="F51" s="3">
        <f t="shared" ca="1" si="15"/>
        <v>0</v>
      </c>
      <c r="G51" s="3">
        <f t="shared" ca="1" si="15"/>
        <v>1</v>
      </c>
      <c r="H51" s="3">
        <f t="shared" ca="1" si="15"/>
        <v>1</v>
      </c>
      <c r="I51" s="3">
        <f t="shared" ca="1" si="15"/>
        <v>0</v>
      </c>
      <c r="J51" s="3">
        <f t="shared" ca="1" si="15"/>
        <v>0</v>
      </c>
      <c r="K51" s="3">
        <f t="shared" ca="1" si="15"/>
        <v>1</v>
      </c>
      <c r="L51" s="3">
        <f t="shared" ca="1" si="15"/>
        <v>0</v>
      </c>
      <c r="M51" s="3">
        <f t="shared" ca="1" si="15"/>
        <v>1</v>
      </c>
      <c r="N51" s="3">
        <f t="shared" ca="1" si="15"/>
        <v>0</v>
      </c>
      <c r="O51" s="3">
        <f t="shared" ca="1" si="15"/>
        <v>0</v>
      </c>
      <c r="P51" s="3">
        <f t="shared" ca="1" si="15"/>
        <v>1</v>
      </c>
      <c r="Q51" s="3">
        <f t="shared" ca="1" si="14"/>
        <v>0</v>
      </c>
      <c r="R51" s="3">
        <f t="shared" ca="1" si="14"/>
        <v>0</v>
      </c>
      <c r="S51" s="3">
        <f t="shared" ca="1" si="14"/>
        <v>0</v>
      </c>
      <c r="T51" s="3">
        <f t="shared" ca="1" si="14"/>
        <v>1</v>
      </c>
      <c r="U51" s="3">
        <f t="shared" ca="1" si="14"/>
        <v>1</v>
      </c>
      <c r="V51" s="3">
        <f t="shared" ca="1" si="14"/>
        <v>1</v>
      </c>
      <c r="W51" s="3">
        <f t="shared" ca="1" si="14"/>
        <v>0</v>
      </c>
      <c r="X51" s="3">
        <f t="shared" ca="1" si="14"/>
        <v>0</v>
      </c>
      <c r="Y51" s="3">
        <f t="shared" ca="1" si="14"/>
        <v>0</v>
      </c>
      <c r="Z51" s="3">
        <f t="shared" ca="1" si="14"/>
        <v>0</v>
      </c>
      <c r="AA51" s="3">
        <f t="shared" ca="1" si="14"/>
        <v>0</v>
      </c>
      <c r="AB51" s="3">
        <f t="shared" ca="1" si="14"/>
        <v>0</v>
      </c>
      <c r="AC51" s="3">
        <f t="shared" ca="1" si="14"/>
        <v>0</v>
      </c>
      <c r="AD51" s="3">
        <f t="shared" ca="1" si="14"/>
        <v>0</v>
      </c>
      <c r="AE51" s="3">
        <f t="shared" ca="1" si="14"/>
        <v>0</v>
      </c>
      <c r="AF51" s="3">
        <f t="shared" ca="1" si="13"/>
        <v>0</v>
      </c>
      <c r="AG51" s="3">
        <f t="shared" ca="1" si="13"/>
        <v>0</v>
      </c>
      <c r="AH51" s="3">
        <f t="shared" ca="1" si="13"/>
        <v>0</v>
      </c>
      <c r="AI51" s="3">
        <f t="shared" ca="1" si="13"/>
        <v>1</v>
      </c>
      <c r="AJ51" s="3">
        <f t="shared" ca="1" si="13"/>
        <v>1</v>
      </c>
      <c r="AK51" s="3">
        <f t="shared" ca="1" si="13"/>
        <v>1</v>
      </c>
      <c r="AL51" s="3">
        <f t="shared" ca="1" si="13"/>
        <v>1</v>
      </c>
      <c r="AM51" s="3">
        <f t="shared" ca="1" si="13"/>
        <v>1</v>
      </c>
      <c r="AN51" s="3">
        <f t="shared" ca="1" si="13"/>
        <v>1</v>
      </c>
      <c r="AO51" s="3">
        <f t="shared" ca="1" si="13"/>
        <v>0</v>
      </c>
      <c r="AP51" s="3">
        <f t="shared" ca="1" si="13"/>
        <v>1</v>
      </c>
      <c r="AQ51" s="3">
        <f t="shared" ca="1" si="13"/>
        <v>0</v>
      </c>
      <c r="AR51" s="3">
        <f t="shared" ca="1" si="13"/>
        <v>1</v>
      </c>
      <c r="AS51" s="3">
        <f t="shared" ca="1" si="13"/>
        <v>0</v>
      </c>
      <c r="AT51" s="3">
        <f t="shared" ca="1" si="13"/>
        <v>0</v>
      </c>
      <c r="AU51" s="3">
        <f t="shared" ca="1" si="13"/>
        <v>0</v>
      </c>
      <c r="AV51" s="3">
        <f t="shared" ca="1" si="12"/>
        <v>1</v>
      </c>
      <c r="AW51" s="3">
        <f t="shared" ca="1" si="12"/>
        <v>0</v>
      </c>
      <c r="AX51" s="3">
        <f t="shared" ca="1" si="2"/>
        <v>1</v>
      </c>
    </row>
    <row r="52" spans="1:50" x14ac:dyDescent="0.2">
      <c r="A52" s="3">
        <f t="shared" ca="1" si="15"/>
        <v>1</v>
      </c>
      <c r="B52" s="3">
        <f t="shared" ca="1" si="15"/>
        <v>0</v>
      </c>
      <c r="C52" s="3">
        <f t="shared" ca="1" si="15"/>
        <v>0</v>
      </c>
      <c r="D52" s="3">
        <f t="shared" ca="1" si="15"/>
        <v>1</v>
      </c>
      <c r="E52" s="3">
        <f t="shared" ca="1" si="15"/>
        <v>1</v>
      </c>
      <c r="F52" s="3">
        <f t="shared" ca="1" si="15"/>
        <v>1</v>
      </c>
      <c r="G52" s="3">
        <f t="shared" ca="1" si="15"/>
        <v>0</v>
      </c>
      <c r="H52" s="3">
        <f t="shared" ca="1" si="15"/>
        <v>1</v>
      </c>
      <c r="I52" s="3">
        <f t="shared" ca="1" si="15"/>
        <v>1</v>
      </c>
      <c r="J52" s="3">
        <f t="shared" ca="1" si="15"/>
        <v>1</v>
      </c>
      <c r="K52" s="3">
        <f t="shared" ca="1" si="15"/>
        <v>1</v>
      </c>
      <c r="L52" s="3">
        <f t="shared" ca="1" si="15"/>
        <v>0</v>
      </c>
      <c r="M52" s="3">
        <f t="shared" ca="1" si="15"/>
        <v>1</v>
      </c>
      <c r="N52" s="3">
        <f t="shared" ca="1" si="15"/>
        <v>0</v>
      </c>
      <c r="O52" s="3">
        <f t="shared" ca="1" si="15"/>
        <v>1</v>
      </c>
      <c r="P52" s="3">
        <f t="shared" ca="1" si="15"/>
        <v>0</v>
      </c>
      <c r="Q52" s="3">
        <f t="shared" ca="1" si="14"/>
        <v>1</v>
      </c>
      <c r="R52" s="3">
        <f t="shared" ca="1" si="14"/>
        <v>1</v>
      </c>
      <c r="S52" s="3">
        <f t="shared" ca="1" si="14"/>
        <v>0</v>
      </c>
      <c r="T52" s="3">
        <f t="shared" ca="1" si="14"/>
        <v>1</v>
      </c>
      <c r="U52" s="3">
        <f t="shared" ca="1" si="14"/>
        <v>0</v>
      </c>
      <c r="V52" s="3">
        <f t="shared" ca="1" si="14"/>
        <v>1</v>
      </c>
      <c r="W52" s="3">
        <f t="shared" ca="1" si="14"/>
        <v>0</v>
      </c>
      <c r="X52" s="3">
        <f t="shared" ca="1" si="14"/>
        <v>0</v>
      </c>
      <c r="Y52" s="3">
        <f t="shared" ca="1" si="14"/>
        <v>0</v>
      </c>
      <c r="Z52" s="3">
        <f t="shared" ca="1" si="14"/>
        <v>1</v>
      </c>
      <c r="AA52" s="3">
        <f t="shared" ca="1" si="14"/>
        <v>1</v>
      </c>
      <c r="AB52" s="3">
        <f t="shared" ca="1" si="14"/>
        <v>1</v>
      </c>
      <c r="AC52" s="3">
        <f t="shared" ca="1" si="14"/>
        <v>1</v>
      </c>
      <c r="AD52" s="3">
        <f t="shared" ca="1" si="14"/>
        <v>1</v>
      </c>
      <c r="AE52" s="3">
        <f t="shared" ca="1" si="14"/>
        <v>1</v>
      </c>
      <c r="AF52" s="3">
        <f t="shared" ca="1" si="13"/>
        <v>1</v>
      </c>
      <c r="AG52" s="3">
        <f t="shared" ca="1" si="13"/>
        <v>0</v>
      </c>
      <c r="AH52" s="3">
        <f t="shared" ca="1" si="13"/>
        <v>0</v>
      </c>
      <c r="AI52" s="3">
        <f t="shared" ca="1" si="13"/>
        <v>1</v>
      </c>
      <c r="AJ52" s="3">
        <f t="shared" ca="1" si="13"/>
        <v>0</v>
      </c>
      <c r="AK52" s="3">
        <f t="shared" ca="1" si="13"/>
        <v>0</v>
      </c>
      <c r="AL52" s="3">
        <f t="shared" ca="1" si="13"/>
        <v>0</v>
      </c>
      <c r="AM52" s="3">
        <f t="shared" ca="1" si="13"/>
        <v>0</v>
      </c>
      <c r="AN52" s="3">
        <f t="shared" ca="1" si="13"/>
        <v>0</v>
      </c>
      <c r="AO52" s="3">
        <f t="shared" ca="1" si="13"/>
        <v>1</v>
      </c>
      <c r="AP52" s="3">
        <f t="shared" ca="1" si="13"/>
        <v>1</v>
      </c>
      <c r="AQ52" s="3">
        <f t="shared" ca="1" si="13"/>
        <v>1</v>
      </c>
      <c r="AR52" s="3">
        <f t="shared" ca="1" si="13"/>
        <v>1</v>
      </c>
      <c r="AS52" s="3">
        <f t="shared" ca="1" si="13"/>
        <v>0</v>
      </c>
      <c r="AT52" s="3">
        <f t="shared" ca="1" si="13"/>
        <v>1</v>
      </c>
      <c r="AU52" s="3">
        <f t="shared" ca="1" si="13"/>
        <v>1</v>
      </c>
      <c r="AV52" s="3">
        <f t="shared" ca="1" si="12"/>
        <v>0</v>
      </c>
      <c r="AW52" s="3">
        <f t="shared" ca="1" si="12"/>
        <v>0</v>
      </c>
      <c r="AX52" s="3">
        <f t="shared" ca="1" si="2"/>
        <v>0</v>
      </c>
    </row>
    <row r="53" spans="1:50" x14ac:dyDescent="0.2">
      <c r="A53" s="3">
        <f t="shared" ca="1" si="15"/>
        <v>0</v>
      </c>
      <c r="B53" s="3">
        <f t="shared" ca="1" si="15"/>
        <v>1</v>
      </c>
      <c r="C53" s="3">
        <f t="shared" ca="1" si="15"/>
        <v>0</v>
      </c>
      <c r="D53" s="3">
        <f t="shared" ca="1" si="15"/>
        <v>1</v>
      </c>
      <c r="E53" s="3">
        <f t="shared" ca="1" si="15"/>
        <v>0</v>
      </c>
      <c r="F53" s="3">
        <f t="shared" ca="1" si="15"/>
        <v>0</v>
      </c>
      <c r="G53" s="3">
        <f t="shared" ca="1" si="15"/>
        <v>1</v>
      </c>
      <c r="H53" s="3">
        <f t="shared" ca="1" si="15"/>
        <v>1</v>
      </c>
      <c r="I53" s="3">
        <f t="shared" ca="1" si="15"/>
        <v>1</v>
      </c>
      <c r="J53" s="3">
        <f t="shared" ca="1" si="15"/>
        <v>1</v>
      </c>
      <c r="K53" s="3">
        <f t="shared" ca="1" si="15"/>
        <v>1</v>
      </c>
      <c r="L53" s="3">
        <f t="shared" ca="1" si="15"/>
        <v>1</v>
      </c>
      <c r="M53" s="3">
        <f t="shared" ca="1" si="15"/>
        <v>0</v>
      </c>
      <c r="N53" s="3">
        <f t="shared" ca="1" si="15"/>
        <v>1</v>
      </c>
      <c r="O53" s="3">
        <f t="shared" ca="1" si="15"/>
        <v>1</v>
      </c>
      <c r="P53" s="3">
        <f t="shared" ca="1" si="15"/>
        <v>0</v>
      </c>
      <c r="Q53" s="3">
        <f t="shared" ca="1" si="14"/>
        <v>1</v>
      </c>
      <c r="R53" s="3">
        <f t="shared" ca="1" si="14"/>
        <v>0</v>
      </c>
      <c r="S53" s="3">
        <f t="shared" ca="1" si="14"/>
        <v>0</v>
      </c>
      <c r="T53" s="3">
        <f t="shared" ca="1" si="14"/>
        <v>1</v>
      </c>
      <c r="U53" s="3">
        <f t="shared" ca="1" si="14"/>
        <v>0</v>
      </c>
      <c r="V53" s="3">
        <f t="shared" ca="1" si="14"/>
        <v>1</v>
      </c>
      <c r="W53" s="3">
        <f t="shared" ca="1" si="14"/>
        <v>0</v>
      </c>
      <c r="X53" s="3">
        <f t="shared" ca="1" si="14"/>
        <v>0</v>
      </c>
      <c r="Y53" s="3">
        <f t="shared" ca="1" si="14"/>
        <v>0</v>
      </c>
      <c r="Z53" s="3">
        <f t="shared" ca="1" si="14"/>
        <v>0</v>
      </c>
      <c r="AA53" s="3">
        <f t="shared" ca="1" si="14"/>
        <v>1</v>
      </c>
      <c r="AB53" s="3">
        <f t="shared" ca="1" si="14"/>
        <v>1</v>
      </c>
      <c r="AC53" s="3">
        <f t="shared" ca="1" si="14"/>
        <v>1</v>
      </c>
      <c r="AD53" s="3">
        <f t="shared" ca="1" si="14"/>
        <v>0</v>
      </c>
      <c r="AE53" s="3">
        <f t="shared" ca="1" si="14"/>
        <v>1</v>
      </c>
      <c r="AF53" s="3">
        <f t="shared" ca="1" si="13"/>
        <v>0</v>
      </c>
      <c r="AG53" s="3">
        <f t="shared" ca="1" si="13"/>
        <v>0</v>
      </c>
      <c r="AH53" s="3">
        <f t="shared" ca="1" si="13"/>
        <v>0</v>
      </c>
      <c r="AI53" s="3">
        <f t="shared" ca="1" si="13"/>
        <v>1</v>
      </c>
      <c r="AJ53" s="3">
        <f t="shared" ca="1" si="13"/>
        <v>1</v>
      </c>
      <c r="AK53" s="3">
        <f t="shared" ca="1" si="13"/>
        <v>1</v>
      </c>
      <c r="AL53" s="3">
        <f t="shared" ca="1" si="13"/>
        <v>0</v>
      </c>
      <c r="AM53" s="3">
        <f t="shared" ca="1" si="13"/>
        <v>1</v>
      </c>
      <c r="AN53" s="3">
        <f t="shared" ca="1" si="13"/>
        <v>1</v>
      </c>
      <c r="AO53" s="3">
        <f t="shared" ca="1" si="13"/>
        <v>0</v>
      </c>
      <c r="AP53" s="3">
        <f t="shared" ca="1" si="13"/>
        <v>0</v>
      </c>
      <c r="AQ53" s="3">
        <f t="shared" ca="1" si="13"/>
        <v>1</v>
      </c>
      <c r="AR53" s="3">
        <f t="shared" ca="1" si="13"/>
        <v>1</v>
      </c>
      <c r="AS53" s="3">
        <f t="shared" ca="1" si="13"/>
        <v>1</v>
      </c>
      <c r="AT53" s="3">
        <f t="shared" ca="1" si="13"/>
        <v>1</v>
      </c>
      <c r="AU53" s="3">
        <f t="shared" ca="1" si="13"/>
        <v>1</v>
      </c>
      <c r="AV53" s="3">
        <f t="shared" ca="1" si="12"/>
        <v>1</v>
      </c>
      <c r="AW53" s="3">
        <f t="shared" ca="1" si="12"/>
        <v>1</v>
      </c>
      <c r="AX53" s="3">
        <f t="shared" ca="1" si="2"/>
        <v>0</v>
      </c>
    </row>
    <row r="54" spans="1:50" x14ac:dyDescent="0.2">
      <c r="A54" s="3">
        <f t="shared" ca="1" si="15"/>
        <v>1</v>
      </c>
      <c r="B54" s="3">
        <f t="shared" ca="1" si="15"/>
        <v>0</v>
      </c>
      <c r="C54" s="3">
        <f t="shared" ca="1" si="15"/>
        <v>1</v>
      </c>
      <c r="D54" s="3">
        <f t="shared" ca="1" si="15"/>
        <v>1</v>
      </c>
      <c r="E54" s="3">
        <f t="shared" ca="1" si="15"/>
        <v>1</v>
      </c>
      <c r="F54" s="3">
        <f t="shared" ca="1" si="15"/>
        <v>1</v>
      </c>
      <c r="G54" s="3">
        <f t="shared" ca="1" si="15"/>
        <v>1</v>
      </c>
      <c r="H54" s="3">
        <f t="shared" ca="1" si="15"/>
        <v>0</v>
      </c>
      <c r="I54" s="3">
        <f t="shared" ca="1" si="15"/>
        <v>0</v>
      </c>
      <c r="J54" s="3">
        <f t="shared" ca="1" si="15"/>
        <v>1</v>
      </c>
      <c r="K54" s="3">
        <f t="shared" ca="1" si="15"/>
        <v>1</v>
      </c>
      <c r="L54" s="3">
        <f t="shared" ca="1" si="15"/>
        <v>0</v>
      </c>
      <c r="M54" s="3">
        <f t="shared" ca="1" si="15"/>
        <v>1</v>
      </c>
      <c r="N54" s="3">
        <f t="shared" ca="1" si="15"/>
        <v>0</v>
      </c>
      <c r="O54" s="3">
        <f t="shared" ca="1" si="15"/>
        <v>0</v>
      </c>
      <c r="P54" s="3">
        <f t="shared" ca="1" si="15"/>
        <v>0</v>
      </c>
      <c r="Q54" s="3">
        <f t="shared" ca="1" si="14"/>
        <v>1</v>
      </c>
      <c r="R54" s="3">
        <f t="shared" ca="1" si="14"/>
        <v>1</v>
      </c>
      <c r="S54" s="3">
        <f t="shared" ca="1" si="14"/>
        <v>1</v>
      </c>
      <c r="T54" s="3">
        <f t="shared" ca="1" si="14"/>
        <v>0</v>
      </c>
      <c r="U54" s="3">
        <f t="shared" ca="1" si="14"/>
        <v>0</v>
      </c>
      <c r="V54" s="3">
        <f t="shared" ca="1" si="14"/>
        <v>1</v>
      </c>
      <c r="W54" s="3">
        <f t="shared" ca="1" si="14"/>
        <v>0</v>
      </c>
      <c r="X54" s="3">
        <f t="shared" ca="1" si="14"/>
        <v>1</v>
      </c>
      <c r="Y54" s="3">
        <f t="shared" ca="1" si="14"/>
        <v>1</v>
      </c>
      <c r="Z54" s="3">
        <f t="shared" ca="1" si="14"/>
        <v>1</v>
      </c>
      <c r="AA54" s="3">
        <f t="shared" ca="1" si="14"/>
        <v>0</v>
      </c>
      <c r="AB54" s="3">
        <f t="shared" ca="1" si="14"/>
        <v>0</v>
      </c>
      <c r="AC54" s="3">
        <f t="shared" ca="1" si="14"/>
        <v>0</v>
      </c>
      <c r="AD54" s="3">
        <f t="shared" ca="1" si="14"/>
        <v>1</v>
      </c>
      <c r="AE54" s="3">
        <f t="shared" ca="1" si="14"/>
        <v>1</v>
      </c>
      <c r="AF54" s="3">
        <f t="shared" ca="1" si="13"/>
        <v>0</v>
      </c>
      <c r="AG54" s="3">
        <f t="shared" ca="1" si="13"/>
        <v>1</v>
      </c>
      <c r="AH54" s="3">
        <f t="shared" ca="1" si="13"/>
        <v>0</v>
      </c>
      <c r="AI54" s="3">
        <f t="shared" ca="1" si="13"/>
        <v>1</v>
      </c>
      <c r="AJ54" s="3">
        <f t="shared" ca="1" si="13"/>
        <v>0</v>
      </c>
      <c r="AK54" s="3">
        <f t="shared" ca="1" si="13"/>
        <v>0</v>
      </c>
      <c r="AL54" s="3">
        <f t="shared" ca="1" si="13"/>
        <v>0</v>
      </c>
      <c r="AM54" s="3">
        <f t="shared" ca="1" si="13"/>
        <v>0</v>
      </c>
      <c r="AN54" s="3">
        <f t="shared" ca="1" si="13"/>
        <v>0</v>
      </c>
      <c r="AO54" s="3">
        <f t="shared" ca="1" si="13"/>
        <v>1</v>
      </c>
      <c r="AP54" s="3">
        <f t="shared" ca="1" si="13"/>
        <v>1</v>
      </c>
      <c r="AQ54" s="3">
        <f t="shared" ca="1" si="13"/>
        <v>0</v>
      </c>
      <c r="AR54" s="3">
        <f t="shared" ca="1" si="13"/>
        <v>1</v>
      </c>
      <c r="AS54" s="3">
        <f t="shared" ca="1" si="13"/>
        <v>1</v>
      </c>
      <c r="AT54" s="3">
        <f t="shared" ca="1" si="13"/>
        <v>1</v>
      </c>
      <c r="AU54" s="3">
        <f t="shared" ca="1" si="13"/>
        <v>1</v>
      </c>
      <c r="AV54" s="3">
        <f t="shared" ca="1" si="12"/>
        <v>0</v>
      </c>
      <c r="AW54" s="3">
        <f t="shared" ca="1" si="12"/>
        <v>1</v>
      </c>
      <c r="AX54" s="3">
        <f t="shared" ca="1" si="2"/>
        <v>1</v>
      </c>
    </row>
    <row r="55" spans="1:50" x14ac:dyDescent="0.2">
      <c r="A55" s="3">
        <f t="shared" ca="1" si="15"/>
        <v>1</v>
      </c>
      <c r="B55" s="3">
        <f t="shared" ca="1" si="15"/>
        <v>1</v>
      </c>
      <c r="C55" s="3">
        <f t="shared" ca="1" si="15"/>
        <v>1</v>
      </c>
      <c r="D55" s="3">
        <f t="shared" ca="1" si="15"/>
        <v>0</v>
      </c>
      <c r="E55" s="3">
        <f t="shared" ca="1" si="15"/>
        <v>0</v>
      </c>
      <c r="F55" s="3">
        <f t="shared" ca="1" si="15"/>
        <v>1</v>
      </c>
      <c r="G55" s="3">
        <f t="shared" ca="1" si="15"/>
        <v>1</v>
      </c>
      <c r="H55" s="3">
        <f t="shared" ca="1" si="15"/>
        <v>1</v>
      </c>
      <c r="I55" s="3">
        <f t="shared" ca="1" si="15"/>
        <v>1</v>
      </c>
      <c r="J55" s="3">
        <f t="shared" ca="1" si="15"/>
        <v>0</v>
      </c>
      <c r="K55" s="3">
        <f t="shared" ca="1" si="15"/>
        <v>1</v>
      </c>
      <c r="L55" s="3">
        <f t="shared" ca="1" si="15"/>
        <v>0</v>
      </c>
      <c r="M55" s="3">
        <f t="shared" ca="1" si="15"/>
        <v>0</v>
      </c>
      <c r="N55" s="3">
        <f t="shared" ca="1" si="15"/>
        <v>0</v>
      </c>
      <c r="O55" s="3">
        <f t="shared" ca="1" si="15"/>
        <v>1</v>
      </c>
      <c r="P55" s="3">
        <f t="shared" ca="1" si="15"/>
        <v>1</v>
      </c>
      <c r="Q55" s="3">
        <f t="shared" ca="1" si="14"/>
        <v>0</v>
      </c>
      <c r="R55" s="3">
        <f t="shared" ca="1" si="14"/>
        <v>0</v>
      </c>
      <c r="S55" s="3">
        <f t="shared" ca="1" si="14"/>
        <v>1</v>
      </c>
      <c r="T55" s="3">
        <f t="shared" ca="1" si="14"/>
        <v>0</v>
      </c>
      <c r="U55" s="3">
        <f t="shared" ca="1" si="14"/>
        <v>1</v>
      </c>
      <c r="V55" s="3">
        <f t="shared" ca="1" si="14"/>
        <v>0</v>
      </c>
      <c r="W55" s="3">
        <f t="shared" ca="1" si="14"/>
        <v>0</v>
      </c>
      <c r="X55" s="3">
        <f t="shared" ca="1" si="14"/>
        <v>1</v>
      </c>
      <c r="Y55" s="3">
        <f t="shared" ca="1" si="14"/>
        <v>0</v>
      </c>
      <c r="Z55" s="3">
        <f t="shared" ca="1" si="14"/>
        <v>1</v>
      </c>
      <c r="AA55" s="3">
        <f t="shared" ca="1" si="14"/>
        <v>1</v>
      </c>
      <c r="AB55" s="3">
        <f t="shared" ca="1" si="14"/>
        <v>0</v>
      </c>
      <c r="AC55" s="3">
        <f t="shared" ca="1" si="14"/>
        <v>0</v>
      </c>
      <c r="AD55" s="3">
        <f t="shared" ca="1" si="14"/>
        <v>0</v>
      </c>
      <c r="AE55" s="3">
        <f t="shared" ca="1" si="14"/>
        <v>1</v>
      </c>
      <c r="AF55" s="3">
        <f t="shared" ca="1" si="13"/>
        <v>1</v>
      </c>
      <c r="AG55" s="3">
        <f t="shared" ca="1" si="13"/>
        <v>1</v>
      </c>
      <c r="AH55" s="3">
        <f t="shared" ca="1" si="13"/>
        <v>1</v>
      </c>
      <c r="AI55" s="3">
        <f t="shared" ca="1" si="13"/>
        <v>0</v>
      </c>
      <c r="AJ55" s="3">
        <f t="shared" ca="1" si="13"/>
        <v>0</v>
      </c>
      <c r="AK55" s="3">
        <f t="shared" ca="1" si="13"/>
        <v>1</v>
      </c>
      <c r="AL55" s="3">
        <f t="shared" ca="1" si="13"/>
        <v>0</v>
      </c>
      <c r="AM55" s="3">
        <f t="shared" ca="1" si="13"/>
        <v>0</v>
      </c>
      <c r="AN55" s="3">
        <f t="shared" ca="1" si="13"/>
        <v>1</v>
      </c>
      <c r="AO55" s="3">
        <f t="shared" ca="1" si="13"/>
        <v>1</v>
      </c>
      <c r="AP55" s="3">
        <f t="shared" ca="1" si="13"/>
        <v>0</v>
      </c>
      <c r="AQ55" s="3">
        <f t="shared" ca="1" si="13"/>
        <v>0</v>
      </c>
      <c r="AR55" s="3">
        <f t="shared" ca="1" si="13"/>
        <v>0</v>
      </c>
      <c r="AS55" s="3">
        <f t="shared" ca="1" si="13"/>
        <v>0</v>
      </c>
      <c r="AT55" s="3">
        <f t="shared" ca="1" si="13"/>
        <v>1</v>
      </c>
      <c r="AU55" s="3">
        <f t="shared" ca="1" si="13"/>
        <v>0</v>
      </c>
      <c r="AV55" s="3">
        <f t="shared" ca="1" si="12"/>
        <v>0</v>
      </c>
      <c r="AW55" s="3">
        <f t="shared" ca="1" si="12"/>
        <v>1</v>
      </c>
      <c r="AX55" s="3">
        <f t="shared" ca="1" si="2"/>
        <v>0</v>
      </c>
    </row>
    <row r="56" spans="1:50" x14ac:dyDescent="0.2">
      <c r="A56" s="3">
        <f t="shared" ca="1" si="15"/>
        <v>0</v>
      </c>
      <c r="B56" s="3">
        <f t="shared" ca="1" si="15"/>
        <v>0</v>
      </c>
      <c r="C56" s="3">
        <f t="shared" ca="1" si="15"/>
        <v>1</v>
      </c>
      <c r="D56" s="3">
        <f t="shared" ca="1" si="15"/>
        <v>0</v>
      </c>
      <c r="E56" s="3">
        <f t="shared" ca="1" si="15"/>
        <v>0</v>
      </c>
      <c r="F56" s="3">
        <f t="shared" ca="1" si="15"/>
        <v>1</v>
      </c>
      <c r="G56" s="3">
        <f t="shared" ca="1" si="15"/>
        <v>0</v>
      </c>
      <c r="H56" s="3">
        <f t="shared" ca="1" si="15"/>
        <v>1</v>
      </c>
      <c r="I56" s="3">
        <f t="shared" ca="1" si="15"/>
        <v>1</v>
      </c>
      <c r="J56" s="3">
        <f t="shared" ca="1" si="15"/>
        <v>0</v>
      </c>
      <c r="K56" s="3">
        <f t="shared" ca="1" si="15"/>
        <v>1</v>
      </c>
      <c r="L56" s="3">
        <f t="shared" ca="1" si="15"/>
        <v>1</v>
      </c>
      <c r="M56" s="3">
        <f t="shared" ca="1" si="15"/>
        <v>1</v>
      </c>
      <c r="N56" s="3">
        <f t="shared" ca="1" si="15"/>
        <v>1</v>
      </c>
      <c r="O56" s="3">
        <f t="shared" ca="1" si="15"/>
        <v>1</v>
      </c>
      <c r="P56" s="3">
        <f t="shared" ca="1" si="15"/>
        <v>0</v>
      </c>
      <c r="Q56" s="3">
        <f t="shared" ca="1" si="14"/>
        <v>0</v>
      </c>
      <c r="R56" s="3">
        <f t="shared" ca="1" si="14"/>
        <v>1</v>
      </c>
      <c r="S56" s="3">
        <f t="shared" ca="1" si="14"/>
        <v>1</v>
      </c>
      <c r="T56" s="3">
        <f t="shared" ca="1" si="14"/>
        <v>1</v>
      </c>
      <c r="U56" s="3">
        <f t="shared" ca="1" si="14"/>
        <v>0</v>
      </c>
      <c r="V56" s="3">
        <f t="shared" ca="1" si="14"/>
        <v>0</v>
      </c>
      <c r="W56" s="3">
        <f t="shared" ca="1" si="14"/>
        <v>1</v>
      </c>
      <c r="X56" s="3">
        <f t="shared" ca="1" si="14"/>
        <v>1</v>
      </c>
      <c r="Y56" s="3">
        <f t="shared" ca="1" si="14"/>
        <v>1</v>
      </c>
      <c r="Z56" s="3">
        <f t="shared" ca="1" si="14"/>
        <v>0</v>
      </c>
      <c r="AA56" s="3">
        <f t="shared" ca="1" si="14"/>
        <v>0</v>
      </c>
      <c r="AB56" s="3">
        <f t="shared" ca="1" si="14"/>
        <v>1</v>
      </c>
      <c r="AC56" s="3">
        <f t="shared" ca="1" si="14"/>
        <v>1</v>
      </c>
      <c r="AD56" s="3">
        <f t="shared" ca="1" si="14"/>
        <v>0</v>
      </c>
      <c r="AE56" s="3">
        <f t="shared" ca="1" si="14"/>
        <v>1</v>
      </c>
      <c r="AF56" s="3">
        <f t="shared" ca="1" si="13"/>
        <v>0</v>
      </c>
      <c r="AG56" s="3">
        <f t="shared" ca="1" si="13"/>
        <v>0</v>
      </c>
      <c r="AH56" s="3">
        <f t="shared" ca="1" si="13"/>
        <v>1</v>
      </c>
      <c r="AI56" s="3">
        <f t="shared" ca="1" si="13"/>
        <v>0</v>
      </c>
      <c r="AJ56" s="3">
        <f t="shared" ca="1" si="13"/>
        <v>1</v>
      </c>
      <c r="AK56" s="3">
        <f t="shared" ca="1" si="13"/>
        <v>1</v>
      </c>
      <c r="AL56" s="3">
        <f t="shared" ca="1" si="13"/>
        <v>0</v>
      </c>
      <c r="AM56" s="3">
        <f t="shared" ca="1" si="13"/>
        <v>1</v>
      </c>
      <c r="AN56" s="3">
        <f t="shared" ca="1" si="13"/>
        <v>0</v>
      </c>
      <c r="AO56" s="3">
        <f t="shared" ca="1" si="13"/>
        <v>1</v>
      </c>
      <c r="AP56" s="3">
        <f t="shared" ca="1" si="13"/>
        <v>0</v>
      </c>
      <c r="AQ56" s="3">
        <f t="shared" ca="1" si="13"/>
        <v>0</v>
      </c>
      <c r="AR56" s="3">
        <f t="shared" ca="1" si="13"/>
        <v>1</v>
      </c>
      <c r="AS56" s="3">
        <f t="shared" ca="1" si="13"/>
        <v>1</v>
      </c>
      <c r="AT56" s="3">
        <f t="shared" ca="1" si="13"/>
        <v>0</v>
      </c>
      <c r="AU56" s="3">
        <f t="shared" ca="1" si="13"/>
        <v>0</v>
      </c>
      <c r="AV56" s="3">
        <f t="shared" ca="1" si="12"/>
        <v>1</v>
      </c>
      <c r="AW56" s="3">
        <f t="shared" ca="1" si="12"/>
        <v>0</v>
      </c>
      <c r="AX56" s="3">
        <f t="shared" ca="1" si="2"/>
        <v>1</v>
      </c>
    </row>
    <row r="57" spans="1:50" x14ac:dyDescent="0.2">
      <c r="A57" s="3">
        <f t="shared" ca="1" si="15"/>
        <v>0</v>
      </c>
      <c r="B57" s="3">
        <f t="shared" ca="1" si="15"/>
        <v>0</v>
      </c>
      <c r="C57" s="3">
        <f t="shared" ca="1" si="15"/>
        <v>1</v>
      </c>
      <c r="D57" s="3">
        <f t="shared" ca="1" si="15"/>
        <v>1</v>
      </c>
      <c r="E57" s="3">
        <f t="shared" ca="1" si="15"/>
        <v>0</v>
      </c>
      <c r="F57" s="3">
        <f t="shared" ca="1" si="15"/>
        <v>1</v>
      </c>
      <c r="G57" s="3">
        <f t="shared" ca="1" si="15"/>
        <v>1</v>
      </c>
      <c r="H57" s="3">
        <f t="shared" ca="1" si="15"/>
        <v>1</v>
      </c>
      <c r="I57" s="3">
        <f t="shared" ca="1" si="15"/>
        <v>1</v>
      </c>
      <c r="J57" s="3">
        <f t="shared" ca="1" si="15"/>
        <v>1</v>
      </c>
      <c r="K57" s="3">
        <f t="shared" ca="1" si="15"/>
        <v>1</v>
      </c>
      <c r="L57" s="3">
        <f t="shared" ca="1" si="15"/>
        <v>1</v>
      </c>
      <c r="M57" s="3">
        <f t="shared" ca="1" si="15"/>
        <v>0</v>
      </c>
      <c r="N57" s="3">
        <f t="shared" ca="1" si="15"/>
        <v>1</v>
      </c>
      <c r="O57" s="3">
        <f t="shared" ca="1" si="15"/>
        <v>1</v>
      </c>
      <c r="P57" s="3">
        <f t="shared" ca="1" si="15"/>
        <v>1</v>
      </c>
      <c r="Q57" s="3">
        <f t="shared" ca="1" si="14"/>
        <v>0</v>
      </c>
      <c r="R57" s="3">
        <f t="shared" ca="1" si="14"/>
        <v>1</v>
      </c>
      <c r="S57" s="3">
        <f t="shared" ca="1" si="14"/>
        <v>1</v>
      </c>
      <c r="T57" s="3">
        <f t="shared" ca="1" si="14"/>
        <v>1</v>
      </c>
      <c r="U57" s="3">
        <f t="shared" ca="1" si="14"/>
        <v>0</v>
      </c>
      <c r="V57" s="3">
        <f t="shared" ca="1" si="14"/>
        <v>1</v>
      </c>
      <c r="W57" s="3">
        <f t="shared" ca="1" si="14"/>
        <v>0</v>
      </c>
      <c r="X57" s="3">
        <f t="shared" ca="1" si="14"/>
        <v>0</v>
      </c>
      <c r="Y57" s="3">
        <f t="shared" ca="1" si="14"/>
        <v>0</v>
      </c>
      <c r="Z57" s="3">
        <f t="shared" ca="1" si="14"/>
        <v>1</v>
      </c>
      <c r="AA57" s="3">
        <f t="shared" ca="1" si="14"/>
        <v>1</v>
      </c>
      <c r="AB57" s="3">
        <f t="shared" ca="1" si="14"/>
        <v>0</v>
      </c>
      <c r="AC57" s="3">
        <f t="shared" ca="1" si="14"/>
        <v>1</v>
      </c>
      <c r="AD57" s="3">
        <f t="shared" ca="1" si="14"/>
        <v>1</v>
      </c>
      <c r="AE57" s="3">
        <f t="shared" ca="1" si="14"/>
        <v>1</v>
      </c>
      <c r="AF57" s="3">
        <f t="shared" ca="1" si="13"/>
        <v>1</v>
      </c>
      <c r="AG57" s="3">
        <f t="shared" ca="1" si="13"/>
        <v>1</v>
      </c>
      <c r="AH57" s="3">
        <f t="shared" ca="1" si="13"/>
        <v>1</v>
      </c>
      <c r="AI57" s="3">
        <f t="shared" ca="1" si="13"/>
        <v>1</v>
      </c>
      <c r="AJ57" s="3">
        <f t="shared" ca="1" si="13"/>
        <v>0</v>
      </c>
      <c r="AK57" s="3">
        <f t="shared" ca="1" si="13"/>
        <v>0</v>
      </c>
      <c r="AL57" s="3">
        <f t="shared" ca="1" si="13"/>
        <v>1</v>
      </c>
      <c r="AM57" s="3">
        <f t="shared" ca="1" si="13"/>
        <v>0</v>
      </c>
      <c r="AN57" s="3">
        <f t="shared" ca="1" si="13"/>
        <v>0</v>
      </c>
      <c r="AO57" s="3">
        <f t="shared" ca="1" si="13"/>
        <v>1</v>
      </c>
      <c r="AP57" s="3">
        <f t="shared" ca="1" si="13"/>
        <v>1</v>
      </c>
      <c r="AQ57" s="3">
        <f t="shared" ca="1" si="13"/>
        <v>1</v>
      </c>
      <c r="AR57" s="3">
        <f t="shared" ca="1" si="13"/>
        <v>1</v>
      </c>
      <c r="AS57" s="3">
        <f t="shared" ca="1" si="13"/>
        <v>0</v>
      </c>
      <c r="AT57" s="3">
        <f t="shared" ca="1" si="13"/>
        <v>0</v>
      </c>
      <c r="AU57" s="3">
        <f t="shared" ca="1" si="13"/>
        <v>0</v>
      </c>
      <c r="AV57" s="3">
        <f t="shared" ca="1" si="12"/>
        <v>0</v>
      </c>
      <c r="AW57" s="3">
        <f t="shared" ca="1" si="12"/>
        <v>1</v>
      </c>
      <c r="AX57" s="3">
        <f t="shared" ca="1" si="2"/>
        <v>1</v>
      </c>
    </row>
    <row r="58" spans="1:50" x14ac:dyDescent="0.2">
      <c r="A58" s="3">
        <f t="shared" ca="1" si="15"/>
        <v>0</v>
      </c>
      <c r="B58" s="3">
        <f t="shared" ca="1" si="15"/>
        <v>1</v>
      </c>
      <c r="C58" s="3">
        <f t="shared" ca="1" si="15"/>
        <v>0</v>
      </c>
      <c r="D58" s="3">
        <f t="shared" ca="1" si="15"/>
        <v>1</v>
      </c>
      <c r="E58" s="3">
        <f t="shared" ca="1" si="15"/>
        <v>1</v>
      </c>
      <c r="F58" s="3">
        <f t="shared" ca="1" si="15"/>
        <v>0</v>
      </c>
      <c r="G58" s="3">
        <f t="shared" ca="1" si="15"/>
        <v>0</v>
      </c>
      <c r="H58" s="3">
        <f t="shared" ca="1" si="15"/>
        <v>0</v>
      </c>
      <c r="I58" s="3">
        <f t="shared" ca="1" si="15"/>
        <v>0</v>
      </c>
      <c r="J58" s="3">
        <f t="shared" ca="1" si="15"/>
        <v>0</v>
      </c>
      <c r="K58" s="3">
        <f t="shared" ca="1" si="15"/>
        <v>0</v>
      </c>
      <c r="L58" s="3">
        <f t="shared" ca="1" si="15"/>
        <v>1</v>
      </c>
      <c r="M58" s="3">
        <f t="shared" ca="1" si="15"/>
        <v>1</v>
      </c>
      <c r="N58" s="3">
        <f t="shared" ca="1" si="15"/>
        <v>0</v>
      </c>
      <c r="O58" s="3">
        <f t="shared" ca="1" si="15"/>
        <v>1</v>
      </c>
      <c r="P58" s="3">
        <f t="shared" ca="1" si="15"/>
        <v>1</v>
      </c>
      <c r="Q58" s="3">
        <f t="shared" ca="1" si="14"/>
        <v>1</v>
      </c>
      <c r="R58" s="3">
        <f t="shared" ca="1" si="14"/>
        <v>0</v>
      </c>
      <c r="S58" s="3">
        <f t="shared" ca="1" si="14"/>
        <v>1</v>
      </c>
      <c r="T58" s="3">
        <f t="shared" ca="1" si="14"/>
        <v>0</v>
      </c>
      <c r="U58" s="3">
        <f t="shared" ca="1" si="14"/>
        <v>0</v>
      </c>
      <c r="V58" s="3">
        <f t="shared" ca="1" si="14"/>
        <v>1</v>
      </c>
      <c r="W58" s="3">
        <f t="shared" ca="1" si="14"/>
        <v>0</v>
      </c>
      <c r="X58" s="3">
        <f t="shared" ca="1" si="14"/>
        <v>1</v>
      </c>
      <c r="Y58" s="3">
        <f t="shared" ca="1" si="14"/>
        <v>0</v>
      </c>
      <c r="Z58" s="3">
        <f t="shared" ca="1" si="14"/>
        <v>1</v>
      </c>
      <c r="AA58" s="3">
        <f t="shared" ca="1" si="14"/>
        <v>1</v>
      </c>
      <c r="AB58" s="3">
        <f t="shared" ca="1" si="14"/>
        <v>0</v>
      </c>
      <c r="AC58" s="3">
        <f t="shared" ca="1" si="14"/>
        <v>1</v>
      </c>
      <c r="AD58" s="3">
        <f t="shared" ca="1" si="14"/>
        <v>0</v>
      </c>
      <c r="AE58" s="3">
        <f t="shared" ca="1" si="14"/>
        <v>0</v>
      </c>
      <c r="AF58" s="3">
        <f t="shared" ca="1" si="13"/>
        <v>0</v>
      </c>
      <c r="AG58" s="3">
        <f t="shared" ca="1" si="13"/>
        <v>1</v>
      </c>
      <c r="AH58" s="3">
        <f t="shared" ca="1" si="13"/>
        <v>0</v>
      </c>
      <c r="AI58" s="3">
        <f t="shared" ca="1" si="13"/>
        <v>1</v>
      </c>
      <c r="AJ58" s="3">
        <f t="shared" ca="1" si="13"/>
        <v>1</v>
      </c>
      <c r="AK58" s="3">
        <f t="shared" ca="1" si="13"/>
        <v>1</v>
      </c>
      <c r="AL58" s="3">
        <f t="shared" ca="1" si="13"/>
        <v>0</v>
      </c>
      <c r="AM58" s="3">
        <f t="shared" ca="1" si="13"/>
        <v>0</v>
      </c>
      <c r="AN58" s="3">
        <f t="shared" ca="1" si="13"/>
        <v>0</v>
      </c>
      <c r="AO58" s="3">
        <f t="shared" ca="1" si="13"/>
        <v>1</v>
      </c>
      <c r="AP58" s="3">
        <f t="shared" ca="1" si="13"/>
        <v>1</v>
      </c>
      <c r="AQ58" s="3">
        <f t="shared" ca="1" si="13"/>
        <v>1</v>
      </c>
      <c r="AR58" s="3">
        <f t="shared" ca="1" si="13"/>
        <v>0</v>
      </c>
      <c r="AS58" s="3">
        <f t="shared" ca="1" si="13"/>
        <v>1</v>
      </c>
      <c r="AT58" s="3">
        <f t="shared" ca="1" si="13"/>
        <v>0</v>
      </c>
      <c r="AU58" s="3">
        <f t="shared" ca="1" si="13"/>
        <v>1</v>
      </c>
      <c r="AV58" s="3">
        <f t="shared" ca="1" si="12"/>
        <v>1</v>
      </c>
      <c r="AW58" s="3">
        <f t="shared" ca="1" si="12"/>
        <v>0</v>
      </c>
      <c r="AX58" s="3">
        <f t="shared" ca="1" si="2"/>
        <v>0</v>
      </c>
    </row>
    <row r="59" spans="1:50" x14ac:dyDescent="0.2">
      <c r="A59" s="3">
        <f t="shared" ca="1" si="15"/>
        <v>0</v>
      </c>
      <c r="B59" s="3">
        <f t="shared" ca="1" si="15"/>
        <v>0</v>
      </c>
      <c r="C59" s="3">
        <f t="shared" ca="1" si="15"/>
        <v>0</v>
      </c>
      <c r="D59" s="3">
        <f t="shared" ca="1" si="15"/>
        <v>1</v>
      </c>
      <c r="E59" s="3">
        <f t="shared" ca="1" si="15"/>
        <v>0</v>
      </c>
      <c r="F59" s="3">
        <f t="shared" ca="1" si="15"/>
        <v>0</v>
      </c>
      <c r="G59" s="3">
        <f t="shared" ca="1" si="15"/>
        <v>0</v>
      </c>
      <c r="H59" s="3">
        <f t="shared" ca="1" si="15"/>
        <v>0</v>
      </c>
      <c r="I59" s="3">
        <f t="shared" ca="1" si="15"/>
        <v>0</v>
      </c>
      <c r="J59" s="3">
        <f t="shared" ca="1" si="15"/>
        <v>0</v>
      </c>
      <c r="K59" s="3">
        <f t="shared" ca="1" si="15"/>
        <v>1</v>
      </c>
      <c r="L59" s="3">
        <f t="shared" ca="1" si="15"/>
        <v>1</v>
      </c>
      <c r="M59" s="3">
        <f t="shared" ca="1" si="15"/>
        <v>0</v>
      </c>
      <c r="N59" s="3">
        <f t="shared" ca="1" si="15"/>
        <v>1</v>
      </c>
      <c r="O59" s="3">
        <f t="shared" ca="1" si="15"/>
        <v>1</v>
      </c>
      <c r="P59" s="3">
        <f t="shared" ca="1" si="15"/>
        <v>1</v>
      </c>
      <c r="Q59" s="3">
        <f t="shared" ca="1" si="14"/>
        <v>0</v>
      </c>
      <c r="R59" s="3">
        <f t="shared" ca="1" si="14"/>
        <v>0</v>
      </c>
      <c r="S59" s="3">
        <f t="shared" ca="1" si="14"/>
        <v>0</v>
      </c>
      <c r="T59" s="3">
        <f t="shared" ca="1" si="14"/>
        <v>1</v>
      </c>
      <c r="U59" s="3">
        <f t="shared" ca="1" si="14"/>
        <v>1</v>
      </c>
      <c r="V59" s="3">
        <f t="shared" ca="1" si="14"/>
        <v>0</v>
      </c>
      <c r="W59" s="3">
        <f t="shared" ca="1" si="14"/>
        <v>0</v>
      </c>
      <c r="X59" s="3">
        <f t="shared" ca="1" si="14"/>
        <v>1</v>
      </c>
      <c r="Y59" s="3">
        <f t="shared" ca="1" si="14"/>
        <v>0</v>
      </c>
      <c r="Z59" s="3">
        <f t="shared" ca="1" si="14"/>
        <v>0</v>
      </c>
      <c r="AA59" s="3">
        <f t="shared" ca="1" si="14"/>
        <v>1</v>
      </c>
      <c r="AB59" s="3">
        <f t="shared" ca="1" si="14"/>
        <v>0</v>
      </c>
      <c r="AC59" s="3">
        <f t="shared" ca="1" si="14"/>
        <v>1</v>
      </c>
      <c r="AD59" s="3">
        <f t="shared" ca="1" si="14"/>
        <v>0</v>
      </c>
      <c r="AE59" s="3">
        <f t="shared" ca="1" si="14"/>
        <v>0</v>
      </c>
      <c r="AF59" s="3">
        <f t="shared" ca="1" si="13"/>
        <v>1</v>
      </c>
      <c r="AG59" s="3">
        <f t="shared" ca="1" si="13"/>
        <v>1</v>
      </c>
      <c r="AH59" s="3">
        <f t="shared" ca="1" si="13"/>
        <v>0</v>
      </c>
      <c r="AI59" s="3">
        <f t="shared" ca="1" si="13"/>
        <v>1</v>
      </c>
      <c r="AJ59" s="3">
        <f t="shared" ca="1" si="13"/>
        <v>0</v>
      </c>
      <c r="AK59" s="3">
        <f t="shared" ca="1" si="13"/>
        <v>1</v>
      </c>
      <c r="AL59" s="3">
        <f t="shared" ca="1" si="13"/>
        <v>1</v>
      </c>
      <c r="AM59" s="3">
        <f t="shared" ca="1" si="13"/>
        <v>1</v>
      </c>
      <c r="AN59" s="3">
        <f t="shared" ca="1" si="13"/>
        <v>0</v>
      </c>
      <c r="AO59" s="3">
        <f t="shared" ca="1" si="13"/>
        <v>1</v>
      </c>
      <c r="AP59" s="3">
        <f t="shared" ca="1" si="13"/>
        <v>1</v>
      </c>
      <c r="AQ59" s="3">
        <f t="shared" ca="1" si="13"/>
        <v>1</v>
      </c>
      <c r="AR59" s="3">
        <f t="shared" ca="1" si="13"/>
        <v>1</v>
      </c>
      <c r="AS59" s="3">
        <f t="shared" ca="1" si="13"/>
        <v>1</v>
      </c>
      <c r="AT59" s="3">
        <f t="shared" ca="1" si="13"/>
        <v>1</v>
      </c>
      <c r="AU59" s="3">
        <f t="shared" ref="AU59:AX100" ca="1" si="16">RANDBETWEEN(0,1)</f>
        <v>1</v>
      </c>
      <c r="AV59" s="3">
        <f t="shared" ca="1" si="16"/>
        <v>1</v>
      </c>
      <c r="AW59" s="3">
        <f t="shared" ca="1" si="16"/>
        <v>1</v>
      </c>
      <c r="AX59" s="3">
        <f t="shared" ca="1" si="2"/>
        <v>1</v>
      </c>
    </row>
    <row r="60" spans="1:50" x14ac:dyDescent="0.2">
      <c r="A60" s="3">
        <f t="shared" ca="1" si="15"/>
        <v>1</v>
      </c>
      <c r="B60" s="3">
        <f t="shared" ca="1" si="15"/>
        <v>0</v>
      </c>
      <c r="C60" s="3">
        <f t="shared" ca="1" si="15"/>
        <v>1</v>
      </c>
      <c r="D60" s="3">
        <f t="shared" ca="1" si="15"/>
        <v>0</v>
      </c>
      <c r="E60" s="3">
        <f t="shared" ca="1" si="15"/>
        <v>1</v>
      </c>
      <c r="F60" s="3">
        <f t="shared" ca="1" si="15"/>
        <v>0</v>
      </c>
      <c r="G60" s="3">
        <f t="shared" ca="1" si="15"/>
        <v>1</v>
      </c>
      <c r="H60" s="3">
        <f t="shared" ca="1" si="15"/>
        <v>0</v>
      </c>
      <c r="I60" s="3">
        <f t="shared" ca="1" si="15"/>
        <v>0</v>
      </c>
      <c r="J60" s="3">
        <f t="shared" ca="1" si="15"/>
        <v>0</v>
      </c>
      <c r="K60" s="3">
        <f t="shared" ca="1" si="15"/>
        <v>0</v>
      </c>
      <c r="L60" s="3">
        <f t="shared" ca="1" si="15"/>
        <v>0</v>
      </c>
      <c r="M60" s="3">
        <f t="shared" ca="1" si="15"/>
        <v>0</v>
      </c>
      <c r="N60" s="3">
        <f t="shared" ca="1" si="15"/>
        <v>0</v>
      </c>
      <c r="O60" s="3">
        <f t="shared" ca="1" si="15"/>
        <v>0</v>
      </c>
      <c r="P60" s="3">
        <f t="shared" ca="1" si="15"/>
        <v>0</v>
      </c>
      <c r="Q60" s="3">
        <f t="shared" ca="1" si="14"/>
        <v>1</v>
      </c>
      <c r="R60" s="3">
        <f t="shared" ca="1" si="14"/>
        <v>1</v>
      </c>
      <c r="S60" s="3">
        <f t="shared" ca="1" si="14"/>
        <v>0</v>
      </c>
      <c r="T60" s="3">
        <f t="shared" ca="1" si="14"/>
        <v>0</v>
      </c>
      <c r="U60" s="3">
        <f t="shared" ca="1" si="14"/>
        <v>0</v>
      </c>
      <c r="V60" s="3">
        <f t="shared" ca="1" si="14"/>
        <v>1</v>
      </c>
      <c r="W60" s="3">
        <f t="shared" ca="1" si="14"/>
        <v>1</v>
      </c>
      <c r="X60" s="3">
        <f t="shared" ca="1" si="14"/>
        <v>1</v>
      </c>
      <c r="Y60" s="3">
        <f t="shared" ca="1" si="14"/>
        <v>0</v>
      </c>
      <c r="Z60" s="3">
        <f t="shared" ca="1" si="14"/>
        <v>0</v>
      </c>
      <c r="AA60" s="3">
        <f t="shared" ca="1" si="14"/>
        <v>1</v>
      </c>
      <c r="AB60" s="3">
        <f t="shared" ca="1" si="14"/>
        <v>1</v>
      </c>
      <c r="AC60" s="3">
        <f t="shared" ca="1" si="14"/>
        <v>1</v>
      </c>
      <c r="AD60" s="3">
        <f t="shared" ca="1" si="14"/>
        <v>0</v>
      </c>
      <c r="AE60" s="3">
        <f t="shared" ca="1" si="14"/>
        <v>1</v>
      </c>
      <c r="AF60" s="3">
        <f t="shared" ref="AF60:AU75" ca="1" si="17">RANDBETWEEN(0,1)</f>
        <v>0</v>
      </c>
      <c r="AG60" s="3">
        <f t="shared" ca="1" si="17"/>
        <v>1</v>
      </c>
      <c r="AH60" s="3">
        <f t="shared" ca="1" si="17"/>
        <v>0</v>
      </c>
      <c r="AI60" s="3">
        <f t="shared" ca="1" si="17"/>
        <v>1</v>
      </c>
      <c r="AJ60" s="3">
        <f t="shared" ca="1" si="17"/>
        <v>0</v>
      </c>
      <c r="AK60" s="3">
        <f t="shared" ca="1" si="17"/>
        <v>1</v>
      </c>
      <c r="AL60" s="3">
        <f t="shared" ca="1" si="17"/>
        <v>0</v>
      </c>
      <c r="AM60" s="3">
        <f t="shared" ca="1" si="17"/>
        <v>1</v>
      </c>
      <c r="AN60" s="3">
        <f t="shared" ca="1" si="17"/>
        <v>0</v>
      </c>
      <c r="AO60" s="3">
        <f t="shared" ca="1" si="17"/>
        <v>1</v>
      </c>
      <c r="AP60" s="3">
        <f t="shared" ca="1" si="17"/>
        <v>1</v>
      </c>
      <c r="AQ60" s="3">
        <f t="shared" ca="1" si="17"/>
        <v>1</v>
      </c>
      <c r="AR60" s="3">
        <f t="shared" ca="1" si="17"/>
        <v>0</v>
      </c>
      <c r="AS60" s="3">
        <f t="shared" ca="1" si="17"/>
        <v>1</v>
      </c>
      <c r="AT60" s="3">
        <f t="shared" ca="1" si="17"/>
        <v>1</v>
      </c>
      <c r="AU60" s="3">
        <f t="shared" ca="1" si="17"/>
        <v>1</v>
      </c>
      <c r="AV60" s="3">
        <f t="shared" ca="1" si="16"/>
        <v>1</v>
      </c>
      <c r="AW60" s="3">
        <f t="shared" ca="1" si="16"/>
        <v>1</v>
      </c>
      <c r="AX60" s="3">
        <f t="shared" ca="1" si="2"/>
        <v>1</v>
      </c>
    </row>
    <row r="61" spans="1:50" x14ac:dyDescent="0.2">
      <c r="A61" s="3">
        <f t="shared" ca="1" si="15"/>
        <v>1</v>
      </c>
      <c r="B61" s="3">
        <f t="shared" ca="1" si="15"/>
        <v>1</v>
      </c>
      <c r="C61" s="3">
        <f t="shared" ca="1" si="15"/>
        <v>0</v>
      </c>
      <c r="D61" s="3">
        <f t="shared" ca="1" si="15"/>
        <v>0</v>
      </c>
      <c r="E61" s="3">
        <f t="shared" ca="1" si="15"/>
        <v>0</v>
      </c>
      <c r="F61" s="3">
        <f t="shared" ca="1" si="15"/>
        <v>1</v>
      </c>
      <c r="G61" s="3">
        <f t="shared" ca="1" si="15"/>
        <v>0</v>
      </c>
      <c r="H61" s="3">
        <f t="shared" ca="1" si="15"/>
        <v>1</v>
      </c>
      <c r="I61" s="3">
        <f t="shared" ca="1" si="15"/>
        <v>1</v>
      </c>
      <c r="J61" s="3">
        <f t="shared" ca="1" si="15"/>
        <v>1</v>
      </c>
      <c r="K61" s="3">
        <f t="shared" ca="1" si="15"/>
        <v>1</v>
      </c>
      <c r="L61" s="3">
        <f t="shared" ca="1" si="15"/>
        <v>0</v>
      </c>
      <c r="M61" s="3">
        <f t="shared" ca="1" si="15"/>
        <v>0</v>
      </c>
      <c r="N61" s="3">
        <f t="shared" ca="1" si="15"/>
        <v>1</v>
      </c>
      <c r="O61" s="3">
        <f t="shared" ca="1" si="15"/>
        <v>0</v>
      </c>
      <c r="P61" s="3">
        <f t="shared" ref="P61:AE76" ca="1" si="18">RANDBETWEEN(0,1)</f>
        <v>0</v>
      </c>
      <c r="Q61" s="3">
        <f t="shared" ca="1" si="18"/>
        <v>0</v>
      </c>
      <c r="R61" s="3">
        <f t="shared" ca="1" si="18"/>
        <v>1</v>
      </c>
      <c r="S61" s="3">
        <f t="shared" ca="1" si="18"/>
        <v>1</v>
      </c>
      <c r="T61" s="3">
        <f t="shared" ca="1" si="18"/>
        <v>0</v>
      </c>
      <c r="U61" s="3">
        <f t="shared" ca="1" si="18"/>
        <v>1</v>
      </c>
      <c r="V61" s="3">
        <f t="shared" ca="1" si="18"/>
        <v>1</v>
      </c>
      <c r="W61" s="3">
        <f t="shared" ca="1" si="18"/>
        <v>1</v>
      </c>
      <c r="X61" s="3">
        <f t="shared" ca="1" si="18"/>
        <v>1</v>
      </c>
      <c r="Y61" s="3">
        <f t="shared" ca="1" si="18"/>
        <v>0</v>
      </c>
      <c r="Z61" s="3">
        <f t="shared" ca="1" si="18"/>
        <v>0</v>
      </c>
      <c r="AA61" s="3">
        <f t="shared" ca="1" si="18"/>
        <v>1</v>
      </c>
      <c r="AB61" s="3">
        <f t="shared" ca="1" si="18"/>
        <v>0</v>
      </c>
      <c r="AC61" s="3">
        <f t="shared" ca="1" si="18"/>
        <v>1</v>
      </c>
      <c r="AD61" s="3">
        <f t="shared" ca="1" si="18"/>
        <v>1</v>
      </c>
      <c r="AE61" s="3">
        <f t="shared" ca="1" si="18"/>
        <v>0</v>
      </c>
      <c r="AF61" s="3">
        <f t="shared" ca="1" si="17"/>
        <v>0</v>
      </c>
      <c r="AG61" s="3">
        <f t="shared" ca="1" si="17"/>
        <v>1</v>
      </c>
      <c r="AH61" s="3">
        <f t="shared" ca="1" si="17"/>
        <v>1</v>
      </c>
      <c r="AI61" s="3">
        <f t="shared" ca="1" si="17"/>
        <v>0</v>
      </c>
      <c r="AJ61" s="3">
        <f t="shared" ca="1" si="17"/>
        <v>0</v>
      </c>
      <c r="AK61" s="3">
        <f t="shared" ca="1" si="17"/>
        <v>1</v>
      </c>
      <c r="AL61" s="3">
        <f t="shared" ca="1" si="17"/>
        <v>1</v>
      </c>
      <c r="AM61" s="3">
        <f t="shared" ca="1" si="17"/>
        <v>0</v>
      </c>
      <c r="AN61" s="3">
        <f t="shared" ca="1" si="17"/>
        <v>0</v>
      </c>
      <c r="AO61" s="3">
        <f t="shared" ca="1" si="17"/>
        <v>0</v>
      </c>
      <c r="AP61" s="3">
        <f t="shared" ca="1" si="17"/>
        <v>1</v>
      </c>
      <c r="AQ61" s="3">
        <f t="shared" ca="1" si="17"/>
        <v>0</v>
      </c>
      <c r="AR61" s="3">
        <f t="shared" ca="1" si="17"/>
        <v>1</v>
      </c>
      <c r="AS61" s="3">
        <f t="shared" ca="1" si="17"/>
        <v>1</v>
      </c>
      <c r="AT61" s="3">
        <f t="shared" ca="1" si="17"/>
        <v>1</v>
      </c>
      <c r="AU61" s="3">
        <f t="shared" ca="1" si="17"/>
        <v>0</v>
      </c>
      <c r="AV61" s="3">
        <f t="shared" ca="1" si="16"/>
        <v>0</v>
      </c>
      <c r="AW61" s="3">
        <f t="shared" ca="1" si="16"/>
        <v>0</v>
      </c>
      <c r="AX61" s="3">
        <f t="shared" ca="1" si="2"/>
        <v>0</v>
      </c>
    </row>
    <row r="62" spans="1:50" x14ac:dyDescent="0.2">
      <c r="A62" s="3">
        <f t="shared" ref="A62:P77" ca="1" si="19">RANDBETWEEN(0,1)</f>
        <v>0</v>
      </c>
      <c r="B62" s="3">
        <f t="shared" ca="1" si="19"/>
        <v>1</v>
      </c>
      <c r="C62" s="3">
        <f t="shared" ca="1" si="19"/>
        <v>1</v>
      </c>
      <c r="D62" s="3">
        <f t="shared" ca="1" si="19"/>
        <v>0</v>
      </c>
      <c r="E62" s="3">
        <f t="shared" ca="1" si="19"/>
        <v>1</v>
      </c>
      <c r="F62" s="3">
        <f t="shared" ca="1" si="19"/>
        <v>0</v>
      </c>
      <c r="G62" s="3">
        <f t="shared" ca="1" si="19"/>
        <v>0</v>
      </c>
      <c r="H62" s="3">
        <f t="shared" ca="1" si="19"/>
        <v>0</v>
      </c>
      <c r="I62" s="3">
        <f t="shared" ca="1" si="19"/>
        <v>0</v>
      </c>
      <c r="J62" s="3">
        <f t="shared" ca="1" si="19"/>
        <v>0</v>
      </c>
      <c r="K62" s="3">
        <f t="shared" ca="1" si="19"/>
        <v>0</v>
      </c>
      <c r="L62" s="3">
        <f t="shared" ca="1" si="19"/>
        <v>1</v>
      </c>
      <c r="M62" s="3">
        <f t="shared" ca="1" si="19"/>
        <v>0</v>
      </c>
      <c r="N62" s="3">
        <f t="shared" ca="1" si="19"/>
        <v>1</v>
      </c>
      <c r="O62" s="3">
        <f t="shared" ca="1" si="19"/>
        <v>0</v>
      </c>
      <c r="P62" s="3">
        <f t="shared" ca="1" si="19"/>
        <v>0</v>
      </c>
      <c r="Q62" s="3">
        <f t="shared" ca="1" si="18"/>
        <v>1</v>
      </c>
      <c r="R62" s="3">
        <f t="shared" ca="1" si="18"/>
        <v>1</v>
      </c>
      <c r="S62" s="3">
        <f t="shared" ca="1" si="18"/>
        <v>1</v>
      </c>
      <c r="T62" s="3">
        <f t="shared" ca="1" si="18"/>
        <v>0</v>
      </c>
      <c r="U62" s="3">
        <f t="shared" ca="1" si="18"/>
        <v>0</v>
      </c>
      <c r="V62" s="3">
        <f t="shared" ca="1" si="18"/>
        <v>1</v>
      </c>
      <c r="W62" s="3">
        <f t="shared" ca="1" si="18"/>
        <v>0</v>
      </c>
      <c r="X62" s="3">
        <f t="shared" ca="1" si="18"/>
        <v>0</v>
      </c>
      <c r="Y62" s="3">
        <f t="shared" ca="1" si="18"/>
        <v>1</v>
      </c>
      <c r="Z62" s="3">
        <f t="shared" ca="1" si="18"/>
        <v>0</v>
      </c>
      <c r="AA62" s="3">
        <f t="shared" ca="1" si="18"/>
        <v>0</v>
      </c>
      <c r="AB62" s="3">
        <f t="shared" ca="1" si="18"/>
        <v>0</v>
      </c>
      <c r="AC62" s="3">
        <f t="shared" ca="1" si="18"/>
        <v>0</v>
      </c>
      <c r="AD62" s="3">
        <f t="shared" ca="1" si="18"/>
        <v>1</v>
      </c>
      <c r="AE62" s="3">
        <f t="shared" ca="1" si="18"/>
        <v>1</v>
      </c>
      <c r="AF62" s="3">
        <f t="shared" ca="1" si="17"/>
        <v>1</v>
      </c>
      <c r="AG62" s="3">
        <f t="shared" ca="1" si="17"/>
        <v>1</v>
      </c>
      <c r="AH62" s="3">
        <f t="shared" ca="1" si="17"/>
        <v>0</v>
      </c>
      <c r="AI62" s="3">
        <f t="shared" ca="1" si="17"/>
        <v>0</v>
      </c>
      <c r="AJ62" s="3">
        <f t="shared" ca="1" si="17"/>
        <v>0</v>
      </c>
      <c r="AK62" s="3">
        <f t="shared" ca="1" si="17"/>
        <v>1</v>
      </c>
      <c r="AL62" s="3">
        <f t="shared" ca="1" si="17"/>
        <v>0</v>
      </c>
      <c r="AM62" s="3">
        <f t="shared" ca="1" si="17"/>
        <v>0</v>
      </c>
      <c r="AN62" s="3">
        <f t="shared" ca="1" si="17"/>
        <v>1</v>
      </c>
      <c r="AO62" s="3">
        <f t="shared" ca="1" si="17"/>
        <v>1</v>
      </c>
      <c r="AP62" s="3">
        <f t="shared" ca="1" si="17"/>
        <v>0</v>
      </c>
      <c r="AQ62" s="3">
        <f t="shared" ca="1" si="17"/>
        <v>1</v>
      </c>
      <c r="AR62" s="3">
        <f t="shared" ca="1" si="17"/>
        <v>0</v>
      </c>
      <c r="AS62" s="3">
        <f t="shared" ca="1" si="17"/>
        <v>0</v>
      </c>
      <c r="AT62" s="3">
        <f t="shared" ca="1" si="17"/>
        <v>1</v>
      </c>
      <c r="AU62" s="3">
        <f t="shared" ca="1" si="17"/>
        <v>0</v>
      </c>
      <c r="AV62" s="3">
        <f t="shared" ca="1" si="16"/>
        <v>0</v>
      </c>
      <c r="AW62" s="3">
        <f t="shared" ca="1" si="16"/>
        <v>1</v>
      </c>
      <c r="AX62" s="3">
        <f t="shared" ca="1" si="2"/>
        <v>1</v>
      </c>
    </row>
    <row r="63" spans="1:50" x14ac:dyDescent="0.2">
      <c r="A63" s="3">
        <f t="shared" ca="1" si="19"/>
        <v>0</v>
      </c>
      <c r="B63" s="3">
        <f t="shared" ca="1" si="19"/>
        <v>1</v>
      </c>
      <c r="C63" s="3">
        <f t="shared" ca="1" si="19"/>
        <v>0</v>
      </c>
      <c r="D63" s="3">
        <f t="shared" ca="1" si="19"/>
        <v>0</v>
      </c>
      <c r="E63" s="3">
        <f t="shared" ca="1" si="19"/>
        <v>0</v>
      </c>
      <c r="F63" s="3">
        <f t="shared" ca="1" si="19"/>
        <v>0</v>
      </c>
      <c r="G63" s="3">
        <f t="shared" ca="1" si="19"/>
        <v>0</v>
      </c>
      <c r="H63" s="3">
        <f t="shared" ca="1" si="19"/>
        <v>0</v>
      </c>
      <c r="I63" s="3">
        <f t="shared" ca="1" si="19"/>
        <v>0</v>
      </c>
      <c r="J63" s="3">
        <f t="shared" ca="1" si="19"/>
        <v>0</v>
      </c>
      <c r="K63" s="3">
        <f t="shared" ca="1" si="19"/>
        <v>0</v>
      </c>
      <c r="L63" s="3">
        <f t="shared" ca="1" si="19"/>
        <v>0</v>
      </c>
      <c r="M63" s="3">
        <f t="shared" ca="1" si="19"/>
        <v>0</v>
      </c>
      <c r="N63" s="3">
        <f t="shared" ca="1" si="19"/>
        <v>0</v>
      </c>
      <c r="O63" s="3">
        <f t="shared" ca="1" si="19"/>
        <v>0</v>
      </c>
      <c r="P63" s="3">
        <f t="shared" ca="1" si="19"/>
        <v>0</v>
      </c>
      <c r="Q63" s="3">
        <f t="shared" ca="1" si="18"/>
        <v>1</v>
      </c>
      <c r="R63" s="3">
        <f t="shared" ca="1" si="18"/>
        <v>1</v>
      </c>
      <c r="S63" s="3">
        <f t="shared" ca="1" si="18"/>
        <v>1</v>
      </c>
      <c r="T63" s="3">
        <f t="shared" ca="1" si="18"/>
        <v>1</v>
      </c>
      <c r="U63" s="3">
        <f t="shared" ca="1" si="18"/>
        <v>1</v>
      </c>
      <c r="V63" s="3">
        <f t="shared" ca="1" si="18"/>
        <v>1</v>
      </c>
      <c r="W63" s="3">
        <f t="shared" ca="1" si="18"/>
        <v>0</v>
      </c>
      <c r="X63" s="3">
        <f t="shared" ca="1" si="18"/>
        <v>0</v>
      </c>
      <c r="Y63" s="3">
        <f t="shared" ca="1" si="18"/>
        <v>0</v>
      </c>
      <c r="Z63" s="3">
        <f t="shared" ca="1" si="18"/>
        <v>0</v>
      </c>
      <c r="AA63" s="3">
        <f t="shared" ca="1" si="18"/>
        <v>1</v>
      </c>
      <c r="AB63" s="3">
        <f t="shared" ca="1" si="18"/>
        <v>1</v>
      </c>
      <c r="AC63" s="3">
        <f t="shared" ca="1" si="18"/>
        <v>1</v>
      </c>
      <c r="AD63" s="3">
        <f t="shared" ca="1" si="18"/>
        <v>1</v>
      </c>
      <c r="AE63" s="3">
        <f t="shared" ca="1" si="18"/>
        <v>1</v>
      </c>
      <c r="AF63" s="3">
        <f t="shared" ca="1" si="17"/>
        <v>0</v>
      </c>
      <c r="AG63" s="3">
        <f t="shared" ca="1" si="17"/>
        <v>0</v>
      </c>
      <c r="AH63" s="3">
        <f t="shared" ca="1" si="17"/>
        <v>0</v>
      </c>
      <c r="AI63" s="3">
        <f t="shared" ca="1" si="17"/>
        <v>0</v>
      </c>
      <c r="AJ63" s="3">
        <f t="shared" ca="1" si="17"/>
        <v>1</v>
      </c>
      <c r="AK63" s="3">
        <f t="shared" ca="1" si="17"/>
        <v>0</v>
      </c>
      <c r="AL63" s="3">
        <f t="shared" ca="1" si="17"/>
        <v>0</v>
      </c>
      <c r="AM63" s="3">
        <f t="shared" ca="1" si="17"/>
        <v>0</v>
      </c>
      <c r="AN63" s="3">
        <f t="shared" ca="1" si="17"/>
        <v>1</v>
      </c>
      <c r="AO63" s="3">
        <f t="shared" ca="1" si="17"/>
        <v>0</v>
      </c>
      <c r="AP63" s="3">
        <f t="shared" ca="1" si="17"/>
        <v>0</v>
      </c>
      <c r="AQ63" s="3">
        <f t="shared" ca="1" si="17"/>
        <v>1</v>
      </c>
      <c r="AR63" s="3">
        <f t="shared" ca="1" si="17"/>
        <v>0</v>
      </c>
      <c r="AS63" s="3">
        <f t="shared" ca="1" si="17"/>
        <v>1</v>
      </c>
      <c r="AT63" s="3">
        <f t="shared" ca="1" si="17"/>
        <v>1</v>
      </c>
      <c r="AU63" s="3">
        <f t="shared" ca="1" si="17"/>
        <v>1</v>
      </c>
      <c r="AV63" s="3">
        <f t="shared" ca="1" si="16"/>
        <v>1</v>
      </c>
      <c r="AW63" s="3">
        <f t="shared" ca="1" si="16"/>
        <v>1</v>
      </c>
      <c r="AX63" s="3">
        <f t="shared" ca="1" si="2"/>
        <v>0</v>
      </c>
    </row>
    <row r="64" spans="1:50" x14ac:dyDescent="0.2">
      <c r="A64" s="3">
        <f t="shared" ca="1" si="19"/>
        <v>0</v>
      </c>
      <c r="B64" s="3">
        <f t="shared" ca="1" si="19"/>
        <v>1</v>
      </c>
      <c r="C64" s="3">
        <f t="shared" ca="1" si="19"/>
        <v>1</v>
      </c>
      <c r="D64" s="3">
        <f t="shared" ca="1" si="19"/>
        <v>0</v>
      </c>
      <c r="E64" s="3">
        <f t="shared" ca="1" si="19"/>
        <v>1</v>
      </c>
      <c r="F64" s="3">
        <f t="shared" ca="1" si="19"/>
        <v>0</v>
      </c>
      <c r="G64" s="3">
        <f t="shared" ca="1" si="19"/>
        <v>0</v>
      </c>
      <c r="H64" s="3">
        <f t="shared" ca="1" si="19"/>
        <v>1</v>
      </c>
      <c r="I64" s="3">
        <f t="shared" ca="1" si="19"/>
        <v>1</v>
      </c>
      <c r="J64" s="3">
        <f t="shared" ca="1" si="19"/>
        <v>1</v>
      </c>
      <c r="K64" s="3">
        <f t="shared" ca="1" si="19"/>
        <v>0</v>
      </c>
      <c r="L64" s="3">
        <f t="shared" ca="1" si="19"/>
        <v>0</v>
      </c>
      <c r="M64" s="3">
        <f t="shared" ca="1" si="19"/>
        <v>0</v>
      </c>
      <c r="N64" s="3">
        <f t="shared" ca="1" si="19"/>
        <v>1</v>
      </c>
      <c r="O64" s="3">
        <f t="shared" ca="1" si="19"/>
        <v>0</v>
      </c>
      <c r="P64" s="3">
        <f t="shared" ca="1" si="19"/>
        <v>1</v>
      </c>
      <c r="Q64" s="3">
        <f t="shared" ca="1" si="18"/>
        <v>1</v>
      </c>
      <c r="R64" s="3">
        <f t="shared" ca="1" si="18"/>
        <v>0</v>
      </c>
      <c r="S64" s="3">
        <f t="shared" ca="1" si="18"/>
        <v>0</v>
      </c>
      <c r="T64" s="3">
        <f t="shared" ca="1" si="18"/>
        <v>1</v>
      </c>
      <c r="U64" s="3">
        <f t="shared" ca="1" si="18"/>
        <v>1</v>
      </c>
      <c r="V64" s="3">
        <f t="shared" ca="1" si="18"/>
        <v>1</v>
      </c>
      <c r="W64" s="3">
        <f t="shared" ca="1" si="18"/>
        <v>0</v>
      </c>
      <c r="X64" s="3">
        <f t="shared" ca="1" si="18"/>
        <v>0</v>
      </c>
      <c r="Y64" s="3">
        <f t="shared" ca="1" si="18"/>
        <v>0</v>
      </c>
      <c r="Z64" s="3">
        <f t="shared" ca="1" si="18"/>
        <v>1</v>
      </c>
      <c r="AA64" s="3">
        <f t="shared" ca="1" si="18"/>
        <v>1</v>
      </c>
      <c r="AB64" s="3">
        <f t="shared" ca="1" si="18"/>
        <v>1</v>
      </c>
      <c r="AC64" s="3">
        <f t="shared" ca="1" si="18"/>
        <v>1</v>
      </c>
      <c r="AD64" s="3">
        <f t="shared" ca="1" si="18"/>
        <v>0</v>
      </c>
      <c r="AE64" s="3">
        <f t="shared" ca="1" si="18"/>
        <v>0</v>
      </c>
      <c r="AF64" s="3">
        <f t="shared" ca="1" si="17"/>
        <v>1</v>
      </c>
      <c r="AG64" s="3">
        <f t="shared" ca="1" si="17"/>
        <v>1</v>
      </c>
      <c r="AH64" s="3">
        <f t="shared" ca="1" si="17"/>
        <v>0</v>
      </c>
      <c r="AI64" s="3">
        <f t="shared" ca="1" si="17"/>
        <v>1</v>
      </c>
      <c r="AJ64" s="3">
        <f t="shared" ca="1" si="17"/>
        <v>1</v>
      </c>
      <c r="AK64" s="3">
        <f t="shared" ca="1" si="17"/>
        <v>0</v>
      </c>
      <c r="AL64" s="3">
        <f t="shared" ca="1" si="17"/>
        <v>1</v>
      </c>
      <c r="AM64" s="3">
        <f t="shared" ca="1" si="17"/>
        <v>0</v>
      </c>
      <c r="AN64" s="3">
        <f t="shared" ca="1" si="17"/>
        <v>0</v>
      </c>
      <c r="AO64" s="3">
        <f t="shared" ca="1" si="17"/>
        <v>1</v>
      </c>
      <c r="AP64" s="3">
        <f t="shared" ca="1" si="17"/>
        <v>0</v>
      </c>
      <c r="AQ64" s="3">
        <f t="shared" ca="1" si="17"/>
        <v>0</v>
      </c>
      <c r="AR64" s="3">
        <f t="shared" ca="1" si="17"/>
        <v>1</v>
      </c>
      <c r="AS64" s="3">
        <f t="shared" ca="1" si="17"/>
        <v>1</v>
      </c>
      <c r="AT64" s="3">
        <f t="shared" ca="1" si="17"/>
        <v>0</v>
      </c>
      <c r="AU64" s="3">
        <f t="shared" ca="1" si="17"/>
        <v>1</v>
      </c>
      <c r="AV64" s="3">
        <f t="shared" ca="1" si="16"/>
        <v>0</v>
      </c>
      <c r="AW64" s="3">
        <f t="shared" ca="1" si="16"/>
        <v>1</v>
      </c>
      <c r="AX64" s="3">
        <f t="shared" ca="1" si="2"/>
        <v>0</v>
      </c>
    </row>
    <row r="65" spans="1:50" x14ac:dyDescent="0.2">
      <c r="A65" s="3">
        <f t="shared" ca="1" si="19"/>
        <v>1</v>
      </c>
      <c r="B65" s="3">
        <f t="shared" ca="1" si="19"/>
        <v>1</v>
      </c>
      <c r="C65" s="3">
        <f t="shared" ca="1" si="19"/>
        <v>1</v>
      </c>
      <c r="D65" s="3">
        <f t="shared" ca="1" si="19"/>
        <v>0</v>
      </c>
      <c r="E65" s="3">
        <f t="shared" ca="1" si="19"/>
        <v>1</v>
      </c>
      <c r="F65" s="3">
        <f t="shared" ca="1" si="19"/>
        <v>0</v>
      </c>
      <c r="G65" s="3">
        <f t="shared" ca="1" si="19"/>
        <v>0</v>
      </c>
      <c r="H65" s="3">
        <f t="shared" ca="1" si="19"/>
        <v>0</v>
      </c>
      <c r="I65" s="3">
        <f t="shared" ca="1" si="19"/>
        <v>0</v>
      </c>
      <c r="J65" s="3">
        <f t="shared" ca="1" si="19"/>
        <v>1</v>
      </c>
      <c r="K65" s="3">
        <f t="shared" ca="1" si="19"/>
        <v>0</v>
      </c>
      <c r="L65" s="3">
        <f t="shared" ca="1" si="19"/>
        <v>0</v>
      </c>
      <c r="M65" s="3">
        <f t="shared" ca="1" si="19"/>
        <v>0</v>
      </c>
      <c r="N65" s="3">
        <f t="shared" ca="1" si="19"/>
        <v>1</v>
      </c>
      <c r="O65" s="3">
        <f t="shared" ca="1" si="19"/>
        <v>0</v>
      </c>
      <c r="P65" s="3">
        <f t="shared" ca="1" si="19"/>
        <v>1</v>
      </c>
      <c r="Q65" s="3">
        <f t="shared" ca="1" si="18"/>
        <v>1</v>
      </c>
      <c r="R65" s="3">
        <f t="shared" ca="1" si="18"/>
        <v>1</v>
      </c>
      <c r="S65" s="3">
        <f t="shared" ca="1" si="18"/>
        <v>1</v>
      </c>
      <c r="T65" s="3">
        <f t="shared" ca="1" si="18"/>
        <v>1</v>
      </c>
      <c r="U65" s="3">
        <f t="shared" ca="1" si="18"/>
        <v>0</v>
      </c>
      <c r="V65" s="3">
        <f t="shared" ca="1" si="18"/>
        <v>0</v>
      </c>
      <c r="W65" s="3">
        <f t="shared" ca="1" si="18"/>
        <v>1</v>
      </c>
      <c r="X65" s="3">
        <f t="shared" ca="1" si="18"/>
        <v>0</v>
      </c>
      <c r="Y65" s="3">
        <f t="shared" ca="1" si="18"/>
        <v>1</v>
      </c>
      <c r="Z65" s="3">
        <f t="shared" ca="1" si="18"/>
        <v>0</v>
      </c>
      <c r="AA65" s="3">
        <f t="shared" ca="1" si="18"/>
        <v>0</v>
      </c>
      <c r="AB65" s="3">
        <f t="shared" ca="1" si="18"/>
        <v>0</v>
      </c>
      <c r="AC65" s="3">
        <f t="shared" ca="1" si="18"/>
        <v>0</v>
      </c>
      <c r="AD65" s="3">
        <f t="shared" ca="1" si="18"/>
        <v>0</v>
      </c>
      <c r="AE65" s="3">
        <f t="shared" ca="1" si="18"/>
        <v>1</v>
      </c>
      <c r="AF65" s="3">
        <f t="shared" ca="1" si="17"/>
        <v>1</v>
      </c>
      <c r="AG65" s="3">
        <f t="shared" ca="1" si="17"/>
        <v>1</v>
      </c>
      <c r="AH65" s="3">
        <f t="shared" ca="1" si="17"/>
        <v>0</v>
      </c>
      <c r="AI65" s="3">
        <f t="shared" ca="1" si="17"/>
        <v>0</v>
      </c>
      <c r="AJ65" s="3">
        <f t="shared" ca="1" si="17"/>
        <v>1</v>
      </c>
      <c r="AK65" s="3">
        <f t="shared" ca="1" si="17"/>
        <v>0</v>
      </c>
      <c r="AL65" s="3">
        <f t="shared" ca="1" si="17"/>
        <v>1</v>
      </c>
      <c r="AM65" s="3">
        <f t="shared" ca="1" si="17"/>
        <v>1</v>
      </c>
      <c r="AN65" s="3">
        <f t="shared" ca="1" si="17"/>
        <v>1</v>
      </c>
      <c r="AO65" s="3">
        <f t="shared" ca="1" si="17"/>
        <v>0</v>
      </c>
      <c r="AP65" s="3">
        <f t="shared" ca="1" si="17"/>
        <v>1</v>
      </c>
      <c r="AQ65" s="3">
        <f t="shared" ca="1" si="17"/>
        <v>0</v>
      </c>
      <c r="AR65" s="3">
        <f t="shared" ca="1" si="17"/>
        <v>1</v>
      </c>
      <c r="AS65" s="3">
        <f t="shared" ca="1" si="17"/>
        <v>1</v>
      </c>
      <c r="AT65" s="3">
        <f t="shared" ca="1" si="17"/>
        <v>0</v>
      </c>
      <c r="AU65" s="3">
        <f t="shared" ca="1" si="17"/>
        <v>0</v>
      </c>
      <c r="AV65" s="3">
        <f t="shared" ca="1" si="16"/>
        <v>1</v>
      </c>
      <c r="AW65" s="3">
        <f t="shared" ca="1" si="16"/>
        <v>0</v>
      </c>
      <c r="AX65" s="3">
        <f t="shared" ca="1" si="2"/>
        <v>1</v>
      </c>
    </row>
    <row r="66" spans="1:50" x14ac:dyDescent="0.2">
      <c r="A66" s="3">
        <f t="shared" ca="1" si="19"/>
        <v>1</v>
      </c>
      <c r="B66" s="3">
        <f t="shared" ca="1" si="19"/>
        <v>0</v>
      </c>
      <c r="C66" s="3">
        <f t="shared" ca="1" si="19"/>
        <v>1</v>
      </c>
      <c r="D66" s="3">
        <f t="shared" ca="1" si="19"/>
        <v>0</v>
      </c>
      <c r="E66" s="3">
        <f t="shared" ca="1" si="19"/>
        <v>0</v>
      </c>
      <c r="F66" s="3">
        <f t="shared" ca="1" si="19"/>
        <v>1</v>
      </c>
      <c r="G66" s="3">
        <f t="shared" ca="1" si="19"/>
        <v>1</v>
      </c>
      <c r="H66" s="3">
        <f t="shared" ca="1" si="19"/>
        <v>0</v>
      </c>
      <c r="I66" s="3">
        <f t="shared" ca="1" si="19"/>
        <v>0</v>
      </c>
      <c r="J66" s="3">
        <f t="shared" ca="1" si="19"/>
        <v>1</v>
      </c>
      <c r="K66" s="3">
        <f t="shared" ca="1" si="19"/>
        <v>0</v>
      </c>
      <c r="L66" s="3">
        <f t="shared" ca="1" si="19"/>
        <v>1</v>
      </c>
      <c r="M66" s="3">
        <f t="shared" ca="1" si="19"/>
        <v>1</v>
      </c>
      <c r="N66" s="3">
        <f t="shared" ca="1" si="19"/>
        <v>0</v>
      </c>
      <c r="O66" s="3">
        <f t="shared" ca="1" si="19"/>
        <v>1</v>
      </c>
      <c r="P66" s="3">
        <f t="shared" ca="1" si="19"/>
        <v>1</v>
      </c>
      <c r="Q66" s="3">
        <f t="shared" ca="1" si="18"/>
        <v>1</v>
      </c>
      <c r="R66" s="3">
        <f t="shared" ca="1" si="18"/>
        <v>0</v>
      </c>
      <c r="S66" s="3">
        <f t="shared" ca="1" si="18"/>
        <v>0</v>
      </c>
      <c r="T66" s="3">
        <f t="shared" ca="1" si="18"/>
        <v>1</v>
      </c>
      <c r="U66" s="3">
        <f t="shared" ca="1" si="18"/>
        <v>0</v>
      </c>
      <c r="V66" s="3">
        <f t="shared" ca="1" si="18"/>
        <v>1</v>
      </c>
      <c r="W66" s="3">
        <f t="shared" ca="1" si="18"/>
        <v>1</v>
      </c>
      <c r="X66" s="3">
        <f t="shared" ca="1" si="18"/>
        <v>1</v>
      </c>
      <c r="Y66" s="3">
        <f t="shared" ca="1" si="18"/>
        <v>0</v>
      </c>
      <c r="Z66" s="3">
        <f t="shared" ca="1" si="18"/>
        <v>1</v>
      </c>
      <c r="AA66" s="3">
        <f t="shared" ca="1" si="18"/>
        <v>0</v>
      </c>
      <c r="AB66" s="3">
        <f t="shared" ca="1" si="18"/>
        <v>1</v>
      </c>
      <c r="AC66" s="3">
        <f t="shared" ca="1" si="18"/>
        <v>0</v>
      </c>
      <c r="AD66" s="3">
        <f t="shared" ca="1" si="18"/>
        <v>1</v>
      </c>
      <c r="AE66" s="3">
        <f t="shared" ca="1" si="18"/>
        <v>0</v>
      </c>
      <c r="AF66" s="3">
        <f t="shared" ca="1" si="17"/>
        <v>0</v>
      </c>
      <c r="AG66" s="3">
        <f t="shared" ca="1" si="17"/>
        <v>0</v>
      </c>
      <c r="AH66" s="3">
        <f t="shared" ca="1" si="17"/>
        <v>0</v>
      </c>
      <c r="AI66" s="3">
        <f t="shared" ca="1" si="17"/>
        <v>0</v>
      </c>
      <c r="AJ66" s="3">
        <f t="shared" ca="1" si="17"/>
        <v>0</v>
      </c>
      <c r="AK66" s="3">
        <f t="shared" ca="1" si="17"/>
        <v>1</v>
      </c>
      <c r="AL66" s="3">
        <f t="shared" ca="1" si="17"/>
        <v>1</v>
      </c>
      <c r="AM66" s="3">
        <f t="shared" ca="1" si="17"/>
        <v>1</v>
      </c>
      <c r="AN66" s="3">
        <f t="shared" ca="1" si="17"/>
        <v>1</v>
      </c>
      <c r="AO66" s="3">
        <f t="shared" ca="1" si="17"/>
        <v>1</v>
      </c>
      <c r="AP66" s="3">
        <f t="shared" ca="1" si="17"/>
        <v>0</v>
      </c>
      <c r="AQ66" s="3">
        <f t="shared" ca="1" si="17"/>
        <v>0</v>
      </c>
      <c r="AR66" s="3">
        <f t="shared" ca="1" si="17"/>
        <v>0</v>
      </c>
      <c r="AS66" s="3">
        <f t="shared" ca="1" si="17"/>
        <v>0</v>
      </c>
      <c r="AT66" s="3">
        <f t="shared" ca="1" si="17"/>
        <v>0</v>
      </c>
      <c r="AU66" s="3">
        <f t="shared" ca="1" si="17"/>
        <v>0</v>
      </c>
      <c r="AV66" s="3">
        <f t="shared" ca="1" si="16"/>
        <v>1</v>
      </c>
      <c r="AW66" s="3">
        <f t="shared" ca="1" si="16"/>
        <v>1</v>
      </c>
      <c r="AX66" s="3">
        <f t="shared" ca="1" si="2"/>
        <v>0</v>
      </c>
    </row>
    <row r="67" spans="1:50" x14ac:dyDescent="0.2">
      <c r="A67" s="3">
        <f t="shared" ca="1" si="19"/>
        <v>0</v>
      </c>
      <c r="B67" s="3">
        <f t="shared" ca="1" si="19"/>
        <v>1</v>
      </c>
      <c r="C67" s="3">
        <f t="shared" ca="1" si="19"/>
        <v>1</v>
      </c>
      <c r="D67" s="3">
        <f t="shared" ca="1" si="19"/>
        <v>1</v>
      </c>
      <c r="E67" s="3">
        <f t="shared" ca="1" si="19"/>
        <v>1</v>
      </c>
      <c r="F67" s="3">
        <f t="shared" ca="1" si="19"/>
        <v>1</v>
      </c>
      <c r="G67" s="3">
        <f t="shared" ca="1" si="19"/>
        <v>0</v>
      </c>
      <c r="H67" s="3">
        <f t="shared" ca="1" si="19"/>
        <v>0</v>
      </c>
      <c r="I67" s="3">
        <f t="shared" ca="1" si="19"/>
        <v>1</v>
      </c>
      <c r="J67" s="3">
        <f t="shared" ca="1" si="19"/>
        <v>0</v>
      </c>
      <c r="K67" s="3">
        <f t="shared" ca="1" si="19"/>
        <v>0</v>
      </c>
      <c r="L67" s="3">
        <f t="shared" ca="1" si="19"/>
        <v>0</v>
      </c>
      <c r="M67" s="3">
        <f t="shared" ca="1" si="19"/>
        <v>0</v>
      </c>
      <c r="N67" s="3">
        <f t="shared" ca="1" si="19"/>
        <v>1</v>
      </c>
      <c r="O67" s="3">
        <f t="shared" ca="1" si="19"/>
        <v>0</v>
      </c>
      <c r="P67" s="3">
        <f t="shared" ca="1" si="19"/>
        <v>1</v>
      </c>
      <c r="Q67" s="3">
        <f t="shared" ca="1" si="18"/>
        <v>0</v>
      </c>
      <c r="R67" s="3">
        <f t="shared" ca="1" si="18"/>
        <v>1</v>
      </c>
      <c r="S67" s="3">
        <f t="shared" ca="1" si="18"/>
        <v>1</v>
      </c>
      <c r="T67" s="3">
        <f t="shared" ca="1" si="18"/>
        <v>0</v>
      </c>
      <c r="U67" s="3">
        <f t="shared" ca="1" si="18"/>
        <v>1</v>
      </c>
      <c r="V67" s="3">
        <f t="shared" ca="1" si="18"/>
        <v>0</v>
      </c>
      <c r="W67" s="3">
        <f t="shared" ca="1" si="18"/>
        <v>1</v>
      </c>
      <c r="X67" s="3">
        <f t="shared" ca="1" si="18"/>
        <v>0</v>
      </c>
      <c r="Y67" s="3">
        <f t="shared" ca="1" si="18"/>
        <v>1</v>
      </c>
      <c r="Z67" s="3">
        <f t="shared" ca="1" si="18"/>
        <v>0</v>
      </c>
      <c r="AA67" s="3">
        <f t="shared" ca="1" si="18"/>
        <v>1</v>
      </c>
      <c r="AB67" s="3">
        <f t="shared" ca="1" si="18"/>
        <v>1</v>
      </c>
      <c r="AC67" s="3">
        <f t="shared" ca="1" si="18"/>
        <v>0</v>
      </c>
      <c r="AD67" s="3">
        <f t="shared" ca="1" si="18"/>
        <v>0</v>
      </c>
      <c r="AE67" s="3">
        <f t="shared" ca="1" si="18"/>
        <v>1</v>
      </c>
      <c r="AF67" s="3">
        <f t="shared" ca="1" si="17"/>
        <v>0</v>
      </c>
      <c r="AG67" s="3">
        <f t="shared" ca="1" si="17"/>
        <v>1</v>
      </c>
      <c r="AH67" s="3">
        <f t="shared" ca="1" si="17"/>
        <v>0</v>
      </c>
      <c r="AI67" s="3">
        <f t="shared" ca="1" si="17"/>
        <v>1</v>
      </c>
      <c r="AJ67" s="3">
        <f t="shared" ca="1" si="17"/>
        <v>1</v>
      </c>
      <c r="AK67" s="3">
        <f t="shared" ca="1" si="17"/>
        <v>0</v>
      </c>
      <c r="AL67" s="3">
        <f t="shared" ca="1" si="17"/>
        <v>0</v>
      </c>
      <c r="AM67" s="3">
        <f t="shared" ca="1" si="17"/>
        <v>1</v>
      </c>
      <c r="AN67" s="3">
        <f t="shared" ca="1" si="17"/>
        <v>0</v>
      </c>
      <c r="AO67" s="3">
        <f t="shared" ca="1" si="17"/>
        <v>1</v>
      </c>
      <c r="AP67" s="3">
        <f t="shared" ca="1" si="17"/>
        <v>1</v>
      </c>
      <c r="AQ67" s="3">
        <f t="shared" ca="1" si="17"/>
        <v>1</v>
      </c>
      <c r="AR67" s="3">
        <f t="shared" ca="1" si="17"/>
        <v>0</v>
      </c>
      <c r="AS67" s="3">
        <f t="shared" ca="1" si="17"/>
        <v>1</v>
      </c>
      <c r="AT67" s="3">
        <f t="shared" ca="1" si="17"/>
        <v>0</v>
      </c>
      <c r="AU67" s="3">
        <f t="shared" ca="1" si="17"/>
        <v>0</v>
      </c>
      <c r="AV67" s="3">
        <f t="shared" ca="1" si="16"/>
        <v>0</v>
      </c>
      <c r="AW67" s="3">
        <f t="shared" ca="1" si="16"/>
        <v>1</v>
      </c>
      <c r="AX67" s="3">
        <f t="shared" ca="1" si="16"/>
        <v>1</v>
      </c>
    </row>
    <row r="68" spans="1:50" x14ac:dyDescent="0.2">
      <c r="A68" s="3">
        <f t="shared" ca="1" si="19"/>
        <v>1</v>
      </c>
      <c r="B68" s="3">
        <f t="shared" ca="1" si="19"/>
        <v>1</v>
      </c>
      <c r="C68" s="3">
        <f t="shared" ca="1" si="19"/>
        <v>1</v>
      </c>
      <c r="D68" s="3">
        <f t="shared" ca="1" si="19"/>
        <v>1</v>
      </c>
      <c r="E68" s="3">
        <f t="shared" ca="1" si="19"/>
        <v>1</v>
      </c>
      <c r="F68" s="3">
        <f t="shared" ca="1" si="19"/>
        <v>0</v>
      </c>
      <c r="G68" s="3">
        <f t="shared" ca="1" si="19"/>
        <v>0</v>
      </c>
      <c r="H68" s="3">
        <f t="shared" ca="1" si="19"/>
        <v>0</v>
      </c>
      <c r="I68" s="3">
        <f t="shared" ca="1" si="19"/>
        <v>0</v>
      </c>
      <c r="J68" s="3">
        <f t="shared" ca="1" si="19"/>
        <v>1</v>
      </c>
      <c r="K68" s="3">
        <f t="shared" ca="1" si="19"/>
        <v>0</v>
      </c>
      <c r="L68" s="3">
        <f t="shared" ca="1" si="19"/>
        <v>1</v>
      </c>
      <c r="M68" s="3">
        <f t="shared" ca="1" si="19"/>
        <v>1</v>
      </c>
      <c r="N68" s="3">
        <f t="shared" ca="1" si="19"/>
        <v>1</v>
      </c>
      <c r="O68" s="3">
        <f t="shared" ca="1" si="19"/>
        <v>1</v>
      </c>
      <c r="P68" s="3">
        <f t="shared" ca="1" si="19"/>
        <v>0</v>
      </c>
      <c r="Q68" s="3">
        <f t="shared" ca="1" si="18"/>
        <v>0</v>
      </c>
      <c r="R68" s="3">
        <f t="shared" ca="1" si="18"/>
        <v>0</v>
      </c>
      <c r="S68" s="3">
        <f t="shared" ca="1" si="18"/>
        <v>1</v>
      </c>
      <c r="T68" s="3">
        <f t="shared" ca="1" si="18"/>
        <v>0</v>
      </c>
      <c r="U68" s="3">
        <f t="shared" ca="1" si="18"/>
        <v>1</v>
      </c>
      <c r="V68" s="3">
        <f t="shared" ca="1" si="18"/>
        <v>0</v>
      </c>
      <c r="W68" s="3">
        <f t="shared" ca="1" si="18"/>
        <v>1</v>
      </c>
      <c r="X68" s="3">
        <f t="shared" ca="1" si="18"/>
        <v>1</v>
      </c>
      <c r="Y68" s="3">
        <f t="shared" ca="1" si="18"/>
        <v>0</v>
      </c>
      <c r="Z68" s="3">
        <f t="shared" ca="1" si="18"/>
        <v>1</v>
      </c>
      <c r="AA68" s="3">
        <f t="shared" ca="1" si="18"/>
        <v>0</v>
      </c>
      <c r="AB68" s="3">
        <f t="shared" ca="1" si="18"/>
        <v>0</v>
      </c>
      <c r="AC68" s="3">
        <f t="shared" ca="1" si="18"/>
        <v>1</v>
      </c>
      <c r="AD68" s="3">
        <f t="shared" ca="1" si="18"/>
        <v>0</v>
      </c>
      <c r="AE68" s="3">
        <f t="shared" ca="1" si="18"/>
        <v>1</v>
      </c>
      <c r="AF68" s="3">
        <f t="shared" ca="1" si="17"/>
        <v>1</v>
      </c>
      <c r="AG68" s="3">
        <f t="shared" ca="1" si="17"/>
        <v>0</v>
      </c>
      <c r="AH68" s="3">
        <f t="shared" ca="1" si="17"/>
        <v>0</v>
      </c>
      <c r="AI68" s="3">
        <f t="shared" ca="1" si="17"/>
        <v>0</v>
      </c>
      <c r="AJ68" s="3">
        <f t="shared" ca="1" si="17"/>
        <v>0</v>
      </c>
      <c r="AK68" s="3">
        <f t="shared" ca="1" si="17"/>
        <v>0</v>
      </c>
      <c r="AL68" s="3">
        <f t="shared" ca="1" si="17"/>
        <v>0</v>
      </c>
      <c r="AM68" s="3">
        <f t="shared" ca="1" si="17"/>
        <v>1</v>
      </c>
      <c r="AN68" s="3">
        <f t="shared" ca="1" si="17"/>
        <v>1</v>
      </c>
      <c r="AO68" s="3">
        <f t="shared" ca="1" si="17"/>
        <v>0</v>
      </c>
      <c r="AP68" s="3">
        <f t="shared" ca="1" si="17"/>
        <v>1</v>
      </c>
      <c r="AQ68" s="3">
        <f t="shared" ca="1" si="17"/>
        <v>1</v>
      </c>
      <c r="AR68" s="3">
        <f t="shared" ca="1" si="17"/>
        <v>0</v>
      </c>
      <c r="AS68" s="3">
        <f t="shared" ca="1" si="17"/>
        <v>0</v>
      </c>
      <c r="AT68" s="3">
        <f t="shared" ca="1" si="17"/>
        <v>1</v>
      </c>
      <c r="AU68" s="3">
        <f t="shared" ca="1" si="17"/>
        <v>1</v>
      </c>
      <c r="AV68" s="3">
        <f t="shared" ca="1" si="16"/>
        <v>1</v>
      </c>
      <c r="AW68" s="3">
        <f t="shared" ca="1" si="16"/>
        <v>1</v>
      </c>
      <c r="AX68" s="3">
        <f t="shared" ca="1" si="16"/>
        <v>0</v>
      </c>
    </row>
    <row r="69" spans="1:50" x14ac:dyDescent="0.2">
      <c r="A69" s="3">
        <f t="shared" ca="1" si="19"/>
        <v>1</v>
      </c>
      <c r="B69" s="3">
        <f t="shared" ca="1" si="19"/>
        <v>1</v>
      </c>
      <c r="C69" s="3">
        <f t="shared" ca="1" si="19"/>
        <v>1</v>
      </c>
      <c r="D69" s="3">
        <f t="shared" ca="1" si="19"/>
        <v>0</v>
      </c>
      <c r="E69" s="3">
        <f t="shared" ca="1" si="19"/>
        <v>0</v>
      </c>
      <c r="F69" s="3">
        <f t="shared" ca="1" si="19"/>
        <v>1</v>
      </c>
      <c r="G69" s="3">
        <f t="shared" ca="1" si="19"/>
        <v>0</v>
      </c>
      <c r="H69" s="3">
        <f t="shared" ca="1" si="19"/>
        <v>0</v>
      </c>
      <c r="I69" s="3">
        <f t="shared" ca="1" si="19"/>
        <v>1</v>
      </c>
      <c r="J69" s="3">
        <f t="shared" ca="1" si="19"/>
        <v>0</v>
      </c>
      <c r="K69" s="3">
        <f t="shared" ca="1" si="19"/>
        <v>1</v>
      </c>
      <c r="L69" s="3">
        <f t="shared" ca="1" si="19"/>
        <v>0</v>
      </c>
      <c r="M69" s="3">
        <f t="shared" ca="1" si="19"/>
        <v>0</v>
      </c>
      <c r="N69" s="3">
        <f t="shared" ca="1" si="19"/>
        <v>0</v>
      </c>
      <c r="O69" s="3">
        <f t="shared" ca="1" si="19"/>
        <v>1</v>
      </c>
      <c r="P69" s="3">
        <f t="shared" ca="1" si="19"/>
        <v>1</v>
      </c>
      <c r="Q69" s="3">
        <f t="shared" ca="1" si="18"/>
        <v>0</v>
      </c>
      <c r="R69" s="3">
        <f t="shared" ca="1" si="18"/>
        <v>0</v>
      </c>
      <c r="S69" s="3">
        <f t="shared" ca="1" si="18"/>
        <v>1</v>
      </c>
      <c r="T69" s="3">
        <f t="shared" ca="1" si="18"/>
        <v>1</v>
      </c>
      <c r="U69" s="3">
        <f t="shared" ca="1" si="18"/>
        <v>0</v>
      </c>
      <c r="V69" s="3">
        <f t="shared" ca="1" si="18"/>
        <v>1</v>
      </c>
      <c r="W69" s="3">
        <f t="shared" ca="1" si="18"/>
        <v>0</v>
      </c>
      <c r="X69" s="3">
        <f t="shared" ca="1" si="18"/>
        <v>1</v>
      </c>
      <c r="Y69" s="3">
        <f t="shared" ca="1" si="18"/>
        <v>0</v>
      </c>
      <c r="Z69" s="3">
        <f t="shared" ca="1" si="18"/>
        <v>0</v>
      </c>
      <c r="AA69" s="3">
        <f t="shared" ca="1" si="18"/>
        <v>1</v>
      </c>
      <c r="AB69" s="3">
        <f t="shared" ca="1" si="18"/>
        <v>1</v>
      </c>
      <c r="AC69" s="3">
        <f t="shared" ca="1" si="18"/>
        <v>0</v>
      </c>
      <c r="AD69" s="3">
        <f t="shared" ca="1" si="18"/>
        <v>1</v>
      </c>
      <c r="AE69" s="3">
        <f t="shared" ca="1" si="18"/>
        <v>1</v>
      </c>
      <c r="AF69" s="3">
        <f t="shared" ca="1" si="17"/>
        <v>1</v>
      </c>
      <c r="AG69" s="3">
        <f t="shared" ca="1" si="17"/>
        <v>1</v>
      </c>
      <c r="AH69" s="3">
        <f t="shared" ca="1" si="17"/>
        <v>0</v>
      </c>
      <c r="AI69" s="3">
        <f t="shared" ca="1" si="17"/>
        <v>0</v>
      </c>
      <c r="AJ69" s="3">
        <f t="shared" ca="1" si="17"/>
        <v>0</v>
      </c>
      <c r="AK69" s="3">
        <f t="shared" ca="1" si="17"/>
        <v>1</v>
      </c>
      <c r="AL69" s="3">
        <f t="shared" ca="1" si="17"/>
        <v>0</v>
      </c>
      <c r="AM69" s="3">
        <f t="shared" ca="1" si="17"/>
        <v>0</v>
      </c>
      <c r="AN69" s="3">
        <f t="shared" ca="1" si="17"/>
        <v>1</v>
      </c>
      <c r="AO69" s="3">
        <f t="shared" ca="1" si="17"/>
        <v>0</v>
      </c>
      <c r="AP69" s="3">
        <f t="shared" ca="1" si="17"/>
        <v>1</v>
      </c>
      <c r="AQ69" s="3">
        <f t="shared" ca="1" si="17"/>
        <v>0</v>
      </c>
      <c r="AR69" s="3">
        <f t="shared" ca="1" si="17"/>
        <v>0</v>
      </c>
      <c r="AS69" s="3">
        <f t="shared" ca="1" si="17"/>
        <v>1</v>
      </c>
      <c r="AT69" s="3">
        <f t="shared" ca="1" si="17"/>
        <v>1</v>
      </c>
      <c r="AU69" s="3">
        <f t="shared" ca="1" si="17"/>
        <v>1</v>
      </c>
      <c r="AV69" s="3">
        <f t="shared" ca="1" si="16"/>
        <v>0</v>
      </c>
      <c r="AW69" s="3">
        <f t="shared" ca="1" si="16"/>
        <v>1</v>
      </c>
      <c r="AX69" s="3">
        <f t="shared" ca="1" si="16"/>
        <v>1</v>
      </c>
    </row>
    <row r="70" spans="1:50" x14ac:dyDescent="0.2">
      <c r="A70" s="3">
        <f t="shared" ca="1" si="19"/>
        <v>1</v>
      </c>
      <c r="B70" s="3">
        <f t="shared" ca="1" si="19"/>
        <v>1</v>
      </c>
      <c r="C70" s="3">
        <f t="shared" ca="1" si="19"/>
        <v>0</v>
      </c>
      <c r="D70" s="3">
        <f t="shared" ca="1" si="19"/>
        <v>0</v>
      </c>
      <c r="E70" s="3">
        <f t="shared" ca="1" si="19"/>
        <v>1</v>
      </c>
      <c r="F70" s="3">
        <f t="shared" ca="1" si="19"/>
        <v>0</v>
      </c>
      <c r="G70" s="3">
        <f t="shared" ca="1" si="19"/>
        <v>0</v>
      </c>
      <c r="H70" s="3">
        <f t="shared" ca="1" si="19"/>
        <v>0</v>
      </c>
      <c r="I70" s="3">
        <f t="shared" ca="1" si="19"/>
        <v>1</v>
      </c>
      <c r="J70" s="3">
        <f t="shared" ca="1" si="19"/>
        <v>1</v>
      </c>
      <c r="K70" s="3">
        <f t="shared" ca="1" si="19"/>
        <v>0</v>
      </c>
      <c r="L70" s="3">
        <f t="shared" ca="1" si="19"/>
        <v>1</v>
      </c>
      <c r="M70" s="3">
        <f t="shared" ca="1" si="19"/>
        <v>1</v>
      </c>
      <c r="N70" s="3">
        <f t="shared" ca="1" si="19"/>
        <v>0</v>
      </c>
      <c r="O70" s="3">
        <f t="shared" ca="1" si="19"/>
        <v>1</v>
      </c>
      <c r="P70" s="3">
        <f t="shared" ca="1" si="19"/>
        <v>0</v>
      </c>
      <c r="Q70" s="3">
        <f t="shared" ca="1" si="18"/>
        <v>1</v>
      </c>
      <c r="R70" s="3">
        <f t="shared" ca="1" si="18"/>
        <v>0</v>
      </c>
      <c r="S70" s="3">
        <f t="shared" ca="1" si="18"/>
        <v>1</v>
      </c>
      <c r="T70" s="3">
        <f t="shared" ca="1" si="18"/>
        <v>0</v>
      </c>
      <c r="U70" s="3">
        <f t="shared" ca="1" si="18"/>
        <v>0</v>
      </c>
      <c r="V70" s="3">
        <f t="shared" ca="1" si="18"/>
        <v>0</v>
      </c>
      <c r="W70" s="3">
        <f t="shared" ca="1" si="18"/>
        <v>0</v>
      </c>
      <c r="X70" s="3">
        <f t="shared" ca="1" si="18"/>
        <v>1</v>
      </c>
      <c r="Y70" s="3">
        <f t="shared" ca="1" si="18"/>
        <v>0</v>
      </c>
      <c r="Z70" s="3">
        <f t="shared" ca="1" si="18"/>
        <v>0</v>
      </c>
      <c r="AA70" s="3">
        <f t="shared" ca="1" si="18"/>
        <v>1</v>
      </c>
      <c r="AB70" s="3">
        <f t="shared" ca="1" si="18"/>
        <v>0</v>
      </c>
      <c r="AC70" s="3">
        <f t="shared" ca="1" si="18"/>
        <v>1</v>
      </c>
      <c r="AD70" s="3">
        <f t="shared" ca="1" si="18"/>
        <v>0</v>
      </c>
      <c r="AE70" s="3">
        <f t="shared" ca="1" si="18"/>
        <v>1</v>
      </c>
      <c r="AF70" s="3">
        <f t="shared" ca="1" si="17"/>
        <v>1</v>
      </c>
      <c r="AG70" s="3">
        <f t="shared" ca="1" si="17"/>
        <v>0</v>
      </c>
      <c r="AH70" s="3">
        <f t="shared" ca="1" si="17"/>
        <v>0</v>
      </c>
      <c r="AI70" s="3">
        <f t="shared" ca="1" si="17"/>
        <v>0</v>
      </c>
      <c r="AJ70" s="3">
        <f t="shared" ca="1" si="17"/>
        <v>0</v>
      </c>
      <c r="AK70" s="3">
        <f t="shared" ca="1" si="17"/>
        <v>0</v>
      </c>
      <c r="AL70" s="3">
        <f t="shared" ca="1" si="17"/>
        <v>1</v>
      </c>
      <c r="AM70" s="3">
        <f t="shared" ca="1" si="17"/>
        <v>1</v>
      </c>
      <c r="AN70" s="3">
        <f t="shared" ca="1" si="17"/>
        <v>0</v>
      </c>
      <c r="AO70" s="3">
        <f t="shared" ca="1" si="17"/>
        <v>0</v>
      </c>
      <c r="AP70" s="3">
        <f t="shared" ca="1" si="17"/>
        <v>1</v>
      </c>
      <c r="AQ70" s="3">
        <f t="shared" ca="1" si="17"/>
        <v>1</v>
      </c>
      <c r="AR70" s="3">
        <f t="shared" ca="1" si="17"/>
        <v>1</v>
      </c>
      <c r="AS70" s="3">
        <f t="shared" ca="1" si="17"/>
        <v>0</v>
      </c>
      <c r="AT70" s="3">
        <f t="shared" ca="1" si="17"/>
        <v>0</v>
      </c>
      <c r="AU70" s="3">
        <f t="shared" ca="1" si="17"/>
        <v>0</v>
      </c>
      <c r="AV70" s="3">
        <f t="shared" ca="1" si="16"/>
        <v>0</v>
      </c>
      <c r="AW70" s="3">
        <f t="shared" ca="1" si="16"/>
        <v>0</v>
      </c>
      <c r="AX70" s="3">
        <f t="shared" ca="1" si="16"/>
        <v>1</v>
      </c>
    </row>
    <row r="71" spans="1:50" x14ac:dyDescent="0.2">
      <c r="A71" s="3">
        <f t="shared" ca="1" si="19"/>
        <v>1</v>
      </c>
      <c r="B71" s="3">
        <f t="shared" ca="1" si="19"/>
        <v>1</v>
      </c>
      <c r="C71" s="3">
        <f t="shared" ca="1" si="19"/>
        <v>0</v>
      </c>
      <c r="D71" s="3">
        <f t="shared" ca="1" si="19"/>
        <v>0</v>
      </c>
      <c r="E71" s="3">
        <f t="shared" ca="1" si="19"/>
        <v>1</v>
      </c>
      <c r="F71" s="3">
        <f t="shared" ca="1" si="19"/>
        <v>0</v>
      </c>
      <c r="G71" s="3">
        <f t="shared" ca="1" si="19"/>
        <v>0</v>
      </c>
      <c r="H71" s="3">
        <f t="shared" ca="1" si="19"/>
        <v>1</v>
      </c>
      <c r="I71" s="3">
        <f t="shared" ca="1" si="19"/>
        <v>1</v>
      </c>
      <c r="J71" s="3">
        <f t="shared" ca="1" si="19"/>
        <v>0</v>
      </c>
      <c r="K71" s="3">
        <f t="shared" ca="1" si="19"/>
        <v>1</v>
      </c>
      <c r="L71" s="3">
        <f t="shared" ca="1" si="19"/>
        <v>1</v>
      </c>
      <c r="M71" s="3">
        <f t="shared" ca="1" si="19"/>
        <v>1</v>
      </c>
      <c r="N71" s="3">
        <f t="shared" ca="1" si="19"/>
        <v>1</v>
      </c>
      <c r="O71" s="3">
        <f t="shared" ca="1" si="19"/>
        <v>1</v>
      </c>
      <c r="P71" s="3">
        <f t="shared" ca="1" si="19"/>
        <v>1</v>
      </c>
      <c r="Q71" s="3">
        <f t="shared" ca="1" si="18"/>
        <v>1</v>
      </c>
      <c r="R71" s="3">
        <f t="shared" ca="1" si="18"/>
        <v>0</v>
      </c>
      <c r="S71" s="3">
        <f t="shared" ca="1" si="18"/>
        <v>0</v>
      </c>
      <c r="T71" s="3">
        <f t="shared" ca="1" si="18"/>
        <v>1</v>
      </c>
      <c r="U71" s="3">
        <f t="shared" ca="1" si="18"/>
        <v>1</v>
      </c>
      <c r="V71" s="3">
        <f t="shared" ca="1" si="18"/>
        <v>1</v>
      </c>
      <c r="W71" s="3">
        <f t="shared" ca="1" si="18"/>
        <v>1</v>
      </c>
      <c r="X71" s="3">
        <f t="shared" ca="1" si="18"/>
        <v>1</v>
      </c>
      <c r="Y71" s="3">
        <f t="shared" ca="1" si="18"/>
        <v>0</v>
      </c>
      <c r="Z71" s="3">
        <f t="shared" ca="1" si="18"/>
        <v>1</v>
      </c>
      <c r="AA71" s="3">
        <f t="shared" ca="1" si="18"/>
        <v>0</v>
      </c>
      <c r="AB71" s="3">
        <f t="shared" ca="1" si="18"/>
        <v>0</v>
      </c>
      <c r="AC71" s="3">
        <f t="shared" ca="1" si="18"/>
        <v>0</v>
      </c>
      <c r="AD71" s="3">
        <f t="shared" ca="1" si="18"/>
        <v>0</v>
      </c>
      <c r="AE71" s="3">
        <f t="shared" ca="1" si="18"/>
        <v>0</v>
      </c>
      <c r="AF71" s="3">
        <f t="shared" ca="1" si="17"/>
        <v>1</v>
      </c>
      <c r="AG71" s="3">
        <f t="shared" ca="1" si="17"/>
        <v>0</v>
      </c>
      <c r="AH71" s="3">
        <f t="shared" ca="1" si="17"/>
        <v>1</v>
      </c>
      <c r="AI71" s="3">
        <f t="shared" ca="1" si="17"/>
        <v>1</v>
      </c>
      <c r="AJ71" s="3">
        <f t="shared" ca="1" si="17"/>
        <v>0</v>
      </c>
      <c r="AK71" s="3">
        <f t="shared" ca="1" si="17"/>
        <v>1</v>
      </c>
      <c r="AL71" s="3">
        <f t="shared" ca="1" si="17"/>
        <v>1</v>
      </c>
      <c r="AM71" s="3">
        <f t="shared" ca="1" si="17"/>
        <v>0</v>
      </c>
      <c r="AN71" s="3">
        <f t="shared" ca="1" si="17"/>
        <v>1</v>
      </c>
      <c r="AO71" s="3">
        <f t="shared" ca="1" si="17"/>
        <v>1</v>
      </c>
      <c r="AP71" s="3">
        <f t="shared" ca="1" si="17"/>
        <v>1</v>
      </c>
      <c r="AQ71" s="3">
        <f t="shared" ca="1" si="17"/>
        <v>1</v>
      </c>
      <c r="AR71" s="3">
        <f t="shared" ca="1" si="17"/>
        <v>1</v>
      </c>
      <c r="AS71" s="3">
        <f t="shared" ca="1" si="17"/>
        <v>1</v>
      </c>
      <c r="AT71" s="3">
        <f t="shared" ca="1" si="17"/>
        <v>0</v>
      </c>
      <c r="AU71" s="3">
        <f t="shared" ca="1" si="17"/>
        <v>1</v>
      </c>
      <c r="AV71" s="3">
        <f t="shared" ca="1" si="16"/>
        <v>1</v>
      </c>
      <c r="AW71" s="3">
        <f t="shared" ca="1" si="16"/>
        <v>1</v>
      </c>
      <c r="AX71" s="3">
        <f t="shared" ca="1" si="16"/>
        <v>0</v>
      </c>
    </row>
    <row r="72" spans="1:50" x14ac:dyDescent="0.2">
      <c r="A72" s="3">
        <f t="shared" ca="1" si="19"/>
        <v>0</v>
      </c>
      <c r="B72" s="3">
        <f t="shared" ca="1" si="19"/>
        <v>1</v>
      </c>
      <c r="C72" s="3">
        <f t="shared" ca="1" si="19"/>
        <v>1</v>
      </c>
      <c r="D72" s="3">
        <f t="shared" ca="1" si="19"/>
        <v>1</v>
      </c>
      <c r="E72" s="3">
        <f t="shared" ca="1" si="19"/>
        <v>1</v>
      </c>
      <c r="F72" s="3">
        <f t="shared" ca="1" si="19"/>
        <v>0</v>
      </c>
      <c r="G72" s="3">
        <f t="shared" ca="1" si="19"/>
        <v>1</v>
      </c>
      <c r="H72" s="3">
        <f t="shared" ca="1" si="19"/>
        <v>1</v>
      </c>
      <c r="I72" s="3">
        <f t="shared" ca="1" si="19"/>
        <v>0</v>
      </c>
      <c r="J72" s="3">
        <f t="shared" ca="1" si="19"/>
        <v>0</v>
      </c>
      <c r="K72" s="3">
        <f t="shared" ca="1" si="19"/>
        <v>0</v>
      </c>
      <c r="L72" s="3">
        <f t="shared" ca="1" si="19"/>
        <v>1</v>
      </c>
      <c r="M72" s="3">
        <f t="shared" ca="1" si="19"/>
        <v>1</v>
      </c>
      <c r="N72" s="3">
        <f t="shared" ca="1" si="19"/>
        <v>1</v>
      </c>
      <c r="O72" s="3">
        <f t="shared" ca="1" si="19"/>
        <v>0</v>
      </c>
      <c r="P72" s="3">
        <f t="shared" ca="1" si="19"/>
        <v>1</v>
      </c>
      <c r="Q72" s="3">
        <f t="shared" ca="1" si="18"/>
        <v>1</v>
      </c>
      <c r="R72" s="3">
        <f t="shared" ca="1" si="18"/>
        <v>0</v>
      </c>
      <c r="S72" s="3">
        <f t="shared" ca="1" si="18"/>
        <v>1</v>
      </c>
      <c r="T72" s="3">
        <f t="shared" ca="1" si="18"/>
        <v>0</v>
      </c>
      <c r="U72" s="3">
        <f t="shared" ca="1" si="18"/>
        <v>0</v>
      </c>
      <c r="V72" s="3">
        <f t="shared" ca="1" si="18"/>
        <v>1</v>
      </c>
      <c r="W72" s="3">
        <f t="shared" ca="1" si="18"/>
        <v>0</v>
      </c>
      <c r="X72" s="3">
        <f t="shared" ca="1" si="18"/>
        <v>1</v>
      </c>
      <c r="Y72" s="3">
        <f t="shared" ca="1" si="18"/>
        <v>0</v>
      </c>
      <c r="Z72" s="3">
        <f t="shared" ca="1" si="18"/>
        <v>0</v>
      </c>
      <c r="AA72" s="3">
        <f t="shared" ca="1" si="18"/>
        <v>1</v>
      </c>
      <c r="AB72" s="3">
        <f t="shared" ca="1" si="18"/>
        <v>0</v>
      </c>
      <c r="AC72" s="3">
        <f t="shared" ca="1" si="18"/>
        <v>0</v>
      </c>
      <c r="AD72" s="3">
        <f t="shared" ca="1" si="18"/>
        <v>0</v>
      </c>
      <c r="AE72" s="3">
        <f t="shared" ca="1" si="18"/>
        <v>0</v>
      </c>
      <c r="AF72" s="3">
        <f t="shared" ca="1" si="17"/>
        <v>1</v>
      </c>
      <c r="AG72" s="3">
        <f t="shared" ca="1" si="17"/>
        <v>0</v>
      </c>
      <c r="AH72" s="3">
        <f t="shared" ca="1" si="17"/>
        <v>0</v>
      </c>
      <c r="AI72" s="3">
        <f t="shared" ca="1" si="17"/>
        <v>0</v>
      </c>
      <c r="AJ72" s="3">
        <f t="shared" ca="1" si="17"/>
        <v>0</v>
      </c>
      <c r="AK72" s="3">
        <f t="shared" ca="1" si="17"/>
        <v>0</v>
      </c>
      <c r="AL72" s="3">
        <f t="shared" ca="1" si="17"/>
        <v>1</v>
      </c>
      <c r="AM72" s="3">
        <f t="shared" ca="1" si="17"/>
        <v>0</v>
      </c>
      <c r="AN72" s="3">
        <f t="shared" ca="1" si="17"/>
        <v>0</v>
      </c>
      <c r="AO72" s="3">
        <f t="shared" ca="1" si="17"/>
        <v>1</v>
      </c>
      <c r="AP72" s="3">
        <f t="shared" ca="1" si="17"/>
        <v>0</v>
      </c>
      <c r="AQ72" s="3">
        <f t="shared" ca="1" si="17"/>
        <v>1</v>
      </c>
      <c r="AR72" s="3">
        <f t="shared" ca="1" si="17"/>
        <v>0</v>
      </c>
      <c r="AS72" s="3">
        <f t="shared" ca="1" si="17"/>
        <v>1</v>
      </c>
      <c r="AT72" s="3">
        <f t="shared" ca="1" si="17"/>
        <v>0</v>
      </c>
      <c r="AU72" s="3">
        <f t="shared" ca="1" si="17"/>
        <v>1</v>
      </c>
      <c r="AV72" s="3">
        <f t="shared" ca="1" si="16"/>
        <v>0</v>
      </c>
      <c r="AW72" s="3">
        <f t="shared" ca="1" si="16"/>
        <v>1</v>
      </c>
      <c r="AX72" s="3">
        <f t="shared" ca="1" si="16"/>
        <v>0</v>
      </c>
    </row>
    <row r="73" spans="1:50" x14ac:dyDescent="0.2">
      <c r="A73" s="3">
        <f t="shared" ca="1" si="19"/>
        <v>0</v>
      </c>
      <c r="B73" s="3">
        <f t="shared" ca="1" si="19"/>
        <v>1</v>
      </c>
      <c r="C73" s="3">
        <f t="shared" ca="1" si="19"/>
        <v>1</v>
      </c>
      <c r="D73" s="3">
        <f t="shared" ca="1" si="19"/>
        <v>0</v>
      </c>
      <c r="E73" s="3">
        <f t="shared" ca="1" si="19"/>
        <v>1</v>
      </c>
      <c r="F73" s="3">
        <f t="shared" ca="1" si="19"/>
        <v>1</v>
      </c>
      <c r="G73" s="3">
        <f t="shared" ca="1" si="19"/>
        <v>1</v>
      </c>
      <c r="H73" s="3">
        <f t="shared" ca="1" si="19"/>
        <v>1</v>
      </c>
      <c r="I73" s="3">
        <f t="shared" ca="1" si="19"/>
        <v>0</v>
      </c>
      <c r="J73" s="3">
        <f t="shared" ca="1" si="19"/>
        <v>1</v>
      </c>
      <c r="K73" s="3">
        <f t="shared" ca="1" si="19"/>
        <v>0</v>
      </c>
      <c r="L73" s="3">
        <f t="shared" ca="1" si="19"/>
        <v>0</v>
      </c>
      <c r="M73" s="3">
        <f t="shared" ca="1" si="19"/>
        <v>1</v>
      </c>
      <c r="N73" s="3">
        <f t="shared" ca="1" si="19"/>
        <v>1</v>
      </c>
      <c r="O73" s="3">
        <f t="shared" ca="1" si="19"/>
        <v>1</v>
      </c>
      <c r="P73" s="3">
        <f t="shared" ca="1" si="19"/>
        <v>0</v>
      </c>
      <c r="Q73" s="3">
        <f t="shared" ca="1" si="18"/>
        <v>1</v>
      </c>
      <c r="R73" s="3">
        <f t="shared" ca="1" si="18"/>
        <v>1</v>
      </c>
      <c r="S73" s="3">
        <f t="shared" ca="1" si="18"/>
        <v>1</v>
      </c>
      <c r="T73" s="3">
        <f t="shared" ca="1" si="18"/>
        <v>0</v>
      </c>
      <c r="U73" s="3">
        <f t="shared" ca="1" si="18"/>
        <v>1</v>
      </c>
      <c r="V73" s="3">
        <f t="shared" ca="1" si="18"/>
        <v>1</v>
      </c>
      <c r="W73" s="3">
        <f t="shared" ca="1" si="18"/>
        <v>0</v>
      </c>
      <c r="X73" s="3">
        <f t="shared" ca="1" si="18"/>
        <v>1</v>
      </c>
      <c r="Y73" s="3">
        <f t="shared" ca="1" si="18"/>
        <v>1</v>
      </c>
      <c r="Z73" s="3">
        <f t="shared" ca="1" si="18"/>
        <v>1</v>
      </c>
      <c r="AA73" s="3">
        <f t="shared" ca="1" si="18"/>
        <v>1</v>
      </c>
      <c r="AB73" s="3">
        <f t="shared" ca="1" si="18"/>
        <v>0</v>
      </c>
      <c r="AC73" s="3">
        <f t="shared" ca="1" si="18"/>
        <v>0</v>
      </c>
      <c r="AD73" s="3">
        <f t="shared" ca="1" si="18"/>
        <v>1</v>
      </c>
      <c r="AE73" s="3">
        <f t="shared" ca="1" si="18"/>
        <v>1</v>
      </c>
      <c r="AF73" s="3">
        <f t="shared" ca="1" si="17"/>
        <v>1</v>
      </c>
      <c r="AG73" s="3">
        <f t="shared" ca="1" si="17"/>
        <v>1</v>
      </c>
      <c r="AH73" s="3">
        <f t="shared" ca="1" si="17"/>
        <v>1</v>
      </c>
      <c r="AI73" s="3">
        <f t="shared" ca="1" si="17"/>
        <v>0</v>
      </c>
      <c r="AJ73" s="3">
        <f t="shared" ca="1" si="17"/>
        <v>0</v>
      </c>
      <c r="AK73" s="3">
        <f t="shared" ca="1" si="17"/>
        <v>1</v>
      </c>
      <c r="AL73" s="3">
        <f t="shared" ca="1" si="17"/>
        <v>0</v>
      </c>
      <c r="AM73" s="3">
        <f t="shared" ca="1" si="17"/>
        <v>0</v>
      </c>
      <c r="AN73" s="3">
        <f t="shared" ca="1" si="17"/>
        <v>1</v>
      </c>
      <c r="AO73" s="3">
        <f t="shared" ca="1" si="17"/>
        <v>0</v>
      </c>
      <c r="AP73" s="3">
        <f t="shared" ca="1" si="17"/>
        <v>1</v>
      </c>
      <c r="AQ73" s="3">
        <f t="shared" ca="1" si="17"/>
        <v>0</v>
      </c>
      <c r="AR73" s="3">
        <f t="shared" ca="1" si="17"/>
        <v>1</v>
      </c>
      <c r="AS73" s="3">
        <f t="shared" ca="1" si="17"/>
        <v>1</v>
      </c>
      <c r="AT73" s="3">
        <f t="shared" ca="1" si="17"/>
        <v>1</v>
      </c>
      <c r="AU73" s="3">
        <f t="shared" ca="1" si="17"/>
        <v>0</v>
      </c>
      <c r="AV73" s="3">
        <f t="shared" ca="1" si="16"/>
        <v>1</v>
      </c>
      <c r="AW73" s="3">
        <f t="shared" ca="1" si="16"/>
        <v>0</v>
      </c>
      <c r="AX73" s="3">
        <f t="shared" ca="1" si="16"/>
        <v>0</v>
      </c>
    </row>
    <row r="74" spans="1:50" x14ac:dyDescent="0.2">
      <c r="A74" s="3">
        <f t="shared" ca="1" si="19"/>
        <v>1</v>
      </c>
      <c r="B74" s="3">
        <f t="shared" ca="1" si="19"/>
        <v>1</v>
      </c>
      <c r="C74" s="3">
        <f t="shared" ca="1" si="19"/>
        <v>0</v>
      </c>
      <c r="D74" s="3">
        <f t="shared" ca="1" si="19"/>
        <v>0</v>
      </c>
      <c r="E74" s="3">
        <f t="shared" ca="1" si="19"/>
        <v>0</v>
      </c>
      <c r="F74" s="3">
        <f t="shared" ca="1" si="19"/>
        <v>0</v>
      </c>
      <c r="G74" s="3">
        <f t="shared" ca="1" si="19"/>
        <v>1</v>
      </c>
      <c r="H74" s="3">
        <f t="shared" ca="1" si="19"/>
        <v>1</v>
      </c>
      <c r="I74" s="3">
        <f t="shared" ca="1" si="19"/>
        <v>1</v>
      </c>
      <c r="J74" s="3">
        <f t="shared" ca="1" si="19"/>
        <v>0</v>
      </c>
      <c r="K74" s="3">
        <f t="shared" ca="1" si="19"/>
        <v>1</v>
      </c>
      <c r="L74" s="3">
        <f t="shared" ca="1" si="19"/>
        <v>0</v>
      </c>
      <c r="M74" s="3">
        <f t="shared" ca="1" si="19"/>
        <v>1</v>
      </c>
      <c r="N74" s="3">
        <f t="shared" ca="1" si="19"/>
        <v>1</v>
      </c>
      <c r="O74" s="3">
        <f t="shared" ca="1" si="19"/>
        <v>0</v>
      </c>
      <c r="P74" s="3">
        <f t="shared" ca="1" si="19"/>
        <v>0</v>
      </c>
      <c r="Q74" s="3">
        <f t="shared" ca="1" si="18"/>
        <v>0</v>
      </c>
      <c r="R74" s="3">
        <f t="shared" ca="1" si="18"/>
        <v>1</v>
      </c>
      <c r="S74" s="3">
        <f t="shared" ca="1" si="18"/>
        <v>0</v>
      </c>
      <c r="T74" s="3">
        <f t="shared" ca="1" si="18"/>
        <v>1</v>
      </c>
      <c r="U74" s="3">
        <f t="shared" ca="1" si="18"/>
        <v>1</v>
      </c>
      <c r="V74" s="3">
        <f t="shared" ca="1" si="18"/>
        <v>0</v>
      </c>
      <c r="W74" s="3">
        <f t="shared" ca="1" si="18"/>
        <v>1</v>
      </c>
      <c r="X74" s="3">
        <f t="shared" ca="1" si="18"/>
        <v>0</v>
      </c>
      <c r="Y74" s="3">
        <f t="shared" ca="1" si="18"/>
        <v>1</v>
      </c>
      <c r="Z74" s="3">
        <f t="shared" ca="1" si="18"/>
        <v>1</v>
      </c>
      <c r="AA74" s="3">
        <f t="shared" ca="1" si="18"/>
        <v>1</v>
      </c>
      <c r="AB74" s="3">
        <f t="shared" ca="1" si="18"/>
        <v>0</v>
      </c>
      <c r="AC74" s="3">
        <f t="shared" ca="1" si="18"/>
        <v>1</v>
      </c>
      <c r="AD74" s="3">
        <f t="shared" ca="1" si="18"/>
        <v>0</v>
      </c>
      <c r="AE74" s="3">
        <f t="shared" ca="1" si="18"/>
        <v>0</v>
      </c>
      <c r="AF74" s="3">
        <f t="shared" ca="1" si="17"/>
        <v>1</v>
      </c>
      <c r="AG74" s="3">
        <f t="shared" ca="1" si="17"/>
        <v>0</v>
      </c>
      <c r="AH74" s="3">
        <f t="shared" ca="1" si="17"/>
        <v>0</v>
      </c>
      <c r="AI74" s="3">
        <f t="shared" ca="1" si="17"/>
        <v>0</v>
      </c>
      <c r="AJ74" s="3">
        <f t="shared" ca="1" si="17"/>
        <v>1</v>
      </c>
      <c r="AK74" s="3">
        <f t="shared" ca="1" si="17"/>
        <v>1</v>
      </c>
      <c r="AL74" s="3">
        <f t="shared" ca="1" si="17"/>
        <v>1</v>
      </c>
      <c r="AM74" s="3">
        <f t="shared" ca="1" si="17"/>
        <v>1</v>
      </c>
      <c r="AN74" s="3">
        <f t="shared" ca="1" si="17"/>
        <v>1</v>
      </c>
      <c r="AO74" s="3">
        <f t="shared" ca="1" si="17"/>
        <v>1</v>
      </c>
      <c r="AP74" s="3">
        <f t="shared" ca="1" si="17"/>
        <v>0</v>
      </c>
      <c r="AQ74" s="3">
        <f t="shared" ca="1" si="17"/>
        <v>0</v>
      </c>
      <c r="AR74" s="3">
        <f t="shared" ca="1" si="17"/>
        <v>1</v>
      </c>
      <c r="AS74" s="3">
        <f t="shared" ca="1" si="17"/>
        <v>0</v>
      </c>
      <c r="AT74" s="3">
        <f t="shared" ca="1" si="17"/>
        <v>1</v>
      </c>
      <c r="AU74" s="3">
        <f t="shared" ca="1" si="17"/>
        <v>0</v>
      </c>
      <c r="AV74" s="3">
        <f t="shared" ca="1" si="16"/>
        <v>1</v>
      </c>
      <c r="AW74" s="3">
        <f t="shared" ca="1" si="16"/>
        <v>1</v>
      </c>
      <c r="AX74" s="3">
        <f t="shared" ca="1" si="16"/>
        <v>1</v>
      </c>
    </row>
    <row r="75" spans="1:50" x14ac:dyDescent="0.2">
      <c r="A75" s="3">
        <f t="shared" ca="1" si="19"/>
        <v>0</v>
      </c>
      <c r="B75" s="3">
        <f t="shared" ca="1" si="19"/>
        <v>1</v>
      </c>
      <c r="C75" s="3">
        <f t="shared" ca="1" si="19"/>
        <v>1</v>
      </c>
      <c r="D75" s="3">
        <f t="shared" ca="1" si="19"/>
        <v>0</v>
      </c>
      <c r="E75" s="3">
        <f t="shared" ca="1" si="19"/>
        <v>0</v>
      </c>
      <c r="F75" s="3">
        <f t="shared" ca="1" si="19"/>
        <v>1</v>
      </c>
      <c r="G75" s="3">
        <f t="shared" ca="1" si="19"/>
        <v>0</v>
      </c>
      <c r="H75" s="3">
        <f t="shared" ca="1" si="19"/>
        <v>1</v>
      </c>
      <c r="I75" s="3">
        <f t="shared" ca="1" si="19"/>
        <v>1</v>
      </c>
      <c r="J75" s="3">
        <f t="shared" ca="1" si="19"/>
        <v>0</v>
      </c>
      <c r="K75" s="3">
        <f t="shared" ca="1" si="19"/>
        <v>0</v>
      </c>
      <c r="L75" s="3">
        <f t="shared" ca="1" si="19"/>
        <v>1</v>
      </c>
      <c r="M75" s="3">
        <f t="shared" ca="1" si="19"/>
        <v>1</v>
      </c>
      <c r="N75" s="3">
        <f t="shared" ca="1" si="19"/>
        <v>1</v>
      </c>
      <c r="O75" s="3">
        <f t="shared" ca="1" si="19"/>
        <v>1</v>
      </c>
      <c r="P75" s="3">
        <f t="shared" ca="1" si="19"/>
        <v>1</v>
      </c>
      <c r="Q75" s="3">
        <f t="shared" ca="1" si="18"/>
        <v>0</v>
      </c>
      <c r="R75" s="3">
        <f t="shared" ca="1" si="18"/>
        <v>1</v>
      </c>
      <c r="S75" s="3">
        <f t="shared" ca="1" si="18"/>
        <v>1</v>
      </c>
      <c r="T75" s="3">
        <f t="shared" ca="1" si="18"/>
        <v>0</v>
      </c>
      <c r="U75" s="3">
        <f t="shared" ca="1" si="18"/>
        <v>0</v>
      </c>
      <c r="V75" s="3">
        <f t="shared" ca="1" si="18"/>
        <v>1</v>
      </c>
      <c r="W75" s="3">
        <f t="shared" ca="1" si="18"/>
        <v>0</v>
      </c>
      <c r="X75" s="3">
        <f t="shared" ca="1" si="18"/>
        <v>0</v>
      </c>
      <c r="Y75" s="3">
        <f t="shared" ca="1" si="18"/>
        <v>0</v>
      </c>
      <c r="Z75" s="3">
        <f t="shared" ca="1" si="18"/>
        <v>1</v>
      </c>
      <c r="AA75" s="3">
        <f t="shared" ca="1" si="18"/>
        <v>1</v>
      </c>
      <c r="AB75" s="3">
        <f t="shared" ca="1" si="18"/>
        <v>1</v>
      </c>
      <c r="AC75" s="3">
        <f t="shared" ca="1" si="18"/>
        <v>0</v>
      </c>
      <c r="AD75" s="3">
        <f t="shared" ca="1" si="18"/>
        <v>0</v>
      </c>
      <c r="AE75" s="3">
        <f t="shared" ca="1" si="18"/>
        <v>0</v>
      </c>
      <c r="AF75" s="3">
        <f t="shared" ca="1" si="17"/>
        <v>0</v>
      </c>
      <c r="AG75" s="3">
        <f t="shared" ca="1" si="17"/>
        <v>1</v>
      </c>
      <c r="AH75" s="3">
        <f t="shared" ca="1" si="17"/>
        <v>1</v>
      </c>
      <c r="AI75" s="3">
        <f t="shared" ca="1" si="17"/>
        <v>1</v>
      </c>
      <c r="AJ75" s="3">
        <f t="shared" ca="1" si="17"/>
        <v>1</v>
      </c>
      <c r="AK75" s="3">
        <f t="shared" ca="1" si="17"/>
        <v>1</v>
      </c>
      <c r="AL75" s="3">
        <f t="shared" ca="1" si="17"/>
        <v>1</v>
      </c>
      <c r="AM75" s="3">
        <f t="shared" ca="1" si="17"/>
        <v>1</v>
      </c>
      <c r="AN75" s="3">
        <f t="shared" ca="1" si="17"/>
        <v>0</v>
      </c>
      <c r="AO75" s="3">
        <f t="shared" ca="1" si="17"/>
        <v>1</v>
      </c>
      <c r="AP75" s="3">
        <f t="shared" ca="1" si="17"/>
        <v>1</v>
      </c>
      <c r="AQ75" s="3">
        <f t="shared" ca="1" si="17"/>
        <v>0</v>
      </c>
      <c r="AR75" s="3">
        <f t="shared" ca="1" si="17"/>
        <v>1</v>
      </c>
      <c r="AS75" s="3">
        <f t="shared" ca="1" si="17"/>
        <v>0</v>
      </c>
      <c r="AT75" s="3">
        <f t="shared" ca="1" si="17"/>
        <v>1</v>
      </c>
      <c r="AU75" s="3">
        <f t="shared" ref="AU75:AW90" ca="1" si="20">RANDBETWEEN(0,1)</f>
        <v>1</v>
      </c>
      <c r="AV75" s="3">
        <f t="shared" ca="1" si="20"/>
        <v>0</v>
      </c>
      <c r="AW75" s="3">
        <f t="shared" ca="1" si="20"/>
        <v>1</v>
      </c>
      <c r="AX75" s="3">
        <f t="shared" ca="1" si="16"/>
        <v>1</v>
      </c>
    </row>
    <row r="76" spans="1:50" x14ac:dyDescent="0.2">
      <c r="A76" s="3">
        <f t="shared" ca="1" si="19"/>
        <v>1</v>
      </c>
      <c r="B76" s="3">
        <f t="shared" ca="1" si="19"/>
        <v>1</v>
      </c>
      <c r="C76" s="3">
        <f t="shared" ca="1" si="19"/>
        <v>0</v>
      </c>
      <c r="D76" s="3">
        <f t="shared" ca="1" si="19"/>
        <v>1</v>
      </c>
      <c r="E76" s="3">
        <f t="shared" ca="1" si="19"/>
        <v>1</v>
      </c>
      <c r="F76" s="3">
        <f t="shared" ca="1" si="19"/>
        <v>1</v>
      </c>
      <c r="G76" s="3">
        <f t="shared" ca="1" si="19"/>
        <v>1</v>
      </c>
      <c r="H76" s="3">
        <f t="shared" ca="1" si="19"/>
        <v>1</v>
      </c>
      <c r="I76" s="3">
        <f t="shared" ca="1" si="19"/>
        <v>1</v>
      </c>
      <c r="J76" s="3">
        <f t="shared" ca="1" si="19"/>
        <v>1</v>
      </c>
      <c r="K76" s="3">
        <f t="shared" ca="1" si="19"/>
        <v>0</v>
      </c>
      <c r="L76" s="3">
        <f t="shared" ca="1" si="19"/>
        <v>1</v>
      </c>
      <c r="M76" s="3">
        <f t="shared" ca="1" si="19"/>
        <v>0</v>
      </c>
      <c r="N76" s="3">
        <f t="shared" ca="1" si="19"/>
        <v>0</v>
      </c>
      <c r="O76" s="3">
        <f t="shared" ca="1" si="19"/>
        <v>0</v>
      </c>
      <c r="P76" s="3">
        <f t="shared" ca="1" si="19"/>
        <v>1</v>
      </c>
      <c r="Q76" s="3">
        <f t="shared" ca="1" si="18"/>
        <v>1</v>
      </c>
      <c r="R76" s="3">
        <f t="shared" ca="1" si="18"/>
        <v>0</v>
      </c>
      <c r="S76" s="3">
        <f t="shared" ca="1" si="18"/>
        <v>1</v>
      </c>
      <c r="T76" s="3">
        <f t="shared" ca="1" si="18"/>
        <v>1</v>
      </c>
      <c r="U76" s="3">
        <f t="shared" ca="1" si="18"/>
        <v>0</v>
      </c>
      <c r="V76" s="3">
        <f t="shared" ca="1" si="18"/>
        <v>0</v>
      </c>
      <c r="W76" s="3">
        <f t="shared" ca="1" si="18"/>
        <v>1</v>
      </c>
      <c r="X76" s="3">
        <f t="shared" ca="1" si="18"/>
        <v>1</v>
      </c>
      <c r="Y76" s="3">
        <f t="shared" ca="1" si="18"/>
        <v>0</v>
      </c>
      <c r="Z76" s="3">
        <f t="shared" ca="1" si="18"/>
        <v>1</v>
      </c>
      <c r="AA76" s="3">
        <f t="shared" ca="1" si="18"/>
        <v>1</v>
      </c>
      <c r="AB76" s="3">
        <f t="shared" ca="1" si="18"/>
        <v>1</v>
      </c>
      <c r="AC76" s="3">
        <f t="shared" ca="1" si="18"/>
        <v>0</v>
      </c>
      <c r="AD76" s="3">
        <f t="shared" ca="1" si="18"/>
        <v>1</v>
      </c>
      <c r="AE76" s="3">
        <f t="shared" ca="1" si="18"/>
        <v>1</v>
      </c>
      <c r="AF76" s="3">
        <f t="shared" ref="AF76:AU91" ca="1" si="21">RANDBETWEEN(0,1)</f>
        <v>1</v>
      </c>
      <c r="AG76" s="3">
        <f t="shared" ca="1" si="21"/>
        <v>1</v>
      </c>
      <c r="AH76" s="3">
        <f t="shared" ca="1" si="21"/>
        <v>1</v>
      </c>
      <c r="AI76" s="3">
        <f t="shared" ca="1" si="21"/>
        <v>0</v>
      </c>
      <c r="AJ76" s="3">
        <f t="shared" ca="1" si="21"/>
        <v>0</v>
      </c>
      <c r="AK76" s="3">
        <f t="shared" ca="1" si="21"/>
        <v>1</v>
      </c>
      <c r="AL76" s="3">
        <f t="shared" ca="1" si="21"/>
        <v>1</v>
      </c>
      <c r="AM76" s="3">
        <f t="shared" ca="1" si="21"/>
        <v>1</v>
      </c>
      <c r="AN76" s="3">
        <f t="shared" ca="1" si="21"/>
        <v>0</v>
      </c>
      <c r="AO76" s="3">
        <f t="shared" ca="1" si="21"/>
        <v>0</v>
      </c>
      <c r="AP76" s="3">
        <f t="shared" ca="1" si="21"/>
        <v>0</v>
      </c>
      <c r="AQ76" s="3">
        <f t="shared" ca="1" si="21"/>
        <v>0</v>
      </c>
      <c r="AR76" s="3">
        <f t="shared" ca="1" si="21"/>
        <v>1</v>
      </c>
      <c r="AS76" s="3">
        <f t="shared" ca="1" si="21"/>
        <v>0</v>
      </c>
      <c r="AT76" s="3">
        <f t="shared" ca="1" si="21"/>
        <v>1</v>
      </c>
      <c r="AU76" s="3">
        <f t="shared" ca="1" si="21"/>
        <v>1</v>
      </c>
      <c r="AV76" s="3">
        <f t="shared" ca="1" si="20"/>
        <v>0</v>
      </c>
      <c r="AW76" s="3">
        <f t="shared" ca="1" si="20"/>
        <v>0</v>
      </c>
      <c r="AX76" s="3">
        <f t="shared" ca="1" si="16"/>
        <v>0</v>
      </c>
    </row>
    <row r="77" spans="1:50" x14ac:dyDescent="0.2">
      <c r="A77" s="3">
        <f t="shared" ca="1" si="19"/>
        <v>0</v>
      </c>
      <c r="B77" s="3">
        <f t="shared" ca="1" si="19"/>
        <v>0</v>
      </c>
      <c r="C77" s="3">
        <f t="shared" ca="1" si="19"/>
        <v>1</v>
      </c>
      <c r="D77" s="3">
        <f t="shared" ca="1" si="19"/>
        <v>0</v>
      </c>
      <c r="E77" s="3">
        <f t="shared" ca="1" si="19"/>
        <v>1</v>
      </c>
      <c r="F77" s="3">
        <f t="shared" ca="1" si="19"/>
        <v>1</v>
      </c>
      <c r="G77" s="3">
        <f t="shared" ca="1" si="19"/>
        <v>0</v>
      </c>
      <c r="H77" s="3">
        <f t="shared" ca="1" si="19"/>
        <v>1</v>
      </c>
      <c r="I77" s="3">
        <f t="shared" ca="1" si="19"/>
        <v>1</v>
      </c>
      <c r="J77" s="3">
        <f t="shared" ca="1" si="19"/>
        <v>0</v>
      </c>
      <c r="K77" s="3">
        <f t="shared" ca="1" si="19"/>
        <v>0</v>
      </c>
      <c r="L77" s="3">
        <f t="shared" ca="1" si="19"/>
        <v>1</v>
      </c>
      <c r="M77" s="3">
        <f t="shared" ca="1" si="19"/>
        <v>0</v>
      </c>
      <c r="N77" s="3">
        <f t="shared" ca="1" si="19"/>
        <v>1</v>
      </c>
      <c r="O77" s="3">
        <f t="shared" ca="1" si="19"/>
        <v>1</v>
      </c>
      <c r="P77" s="3">
        <f t="shared" ref="P77:AE92" ca="1" si="22">RANDBETWEEN(0,1)</f>
        <v>0</v>
      </c>
      <c r="Q77" s="3">
        <f t="shared" ca="1" si="22"/>
        <v>1</v>
      </c>
      <c r="R77" s="3">
        <f t="shared" ca="1" si="22"/>
        <v>1</v>
      </c>
      <c r="S77" s="3">
        <f t="shared" ca="1" si="22"/>
        <v>0</v>
      </c>
      <c r="T77" s="3">
        <f t="shared" ca="1" si="22"/>
        <v>1</v>
      </c>
      <c r="U77" s="3">
        <f t="shared" ca="1" si="22"/>
        <v>0</v>
      </c>
      <c r="V77" s="3">
        <f t="shared" ca="1" si="22"/>
        <v>0</v>
      </c>
      <c r="W77" s="3">
        <f t="shared" ca="1" si="22"/>
        <v>0</v>
      </c>
      <c r="X77" s="3">
        <f t="shared" ca="1" si="22"/>
        <v>0</v>
      </c>
      <c r="Y77" s="3">
        <f t="shared" ca="1" si="22"/>
        <v>0</v>
      </c>
      <c r="Z77" s="3">
        <f t="shared" ca="1" si="22"/>
        <v>0</v>
      </c>
      <c r="AA77" s="3">
        <f t="shared" ca="1" si="22"/>
        <v>1</v>
      </c>
      <c r="AB77" s="3">
        <f t="shared" ca="1" si="22"/>
        <v>1</v>
      </c>
      <c r="AC77" s="3">
        <f t="shared" ca="1" si="22"/>
        <v>1</v>
      </c>
      <c r="AD77" s="3">
        <f t="shared" ca="1" si="22"/>
        <v>1</v>
      </c>
      <c r="AE77" s="3">
        <f t="shared" ca="1" si="22"/>
        <v>0</v>
      </c>
      <c r="AF77" s="3">
        <f t="shared" ca="1" si="21"/>
        <v>1</v>
      </c>
      <c r="AG77" s="3">
        <f t="shared" ca="1" si="21"/>
        <v>1</v>
      </c>
      <c r="AH77" s="3">
        <f t="shared" ca="1" si="21"/>
        <v>1</v>
      </c>
      <c r="AI77" s="3">
        <f t="shared" ca="1" si="21"/>
        <v>1</v>
      </c>
      <c r="AJ77" s="3">
        <f t="shared" ca="1" si="21"/>
        <v>0</v>
      </c>
      <c r="AK77" s="3">
        <f t="shared" ca="1" si="21"/>
        <v>1</v>
      </c>
      <c r="AL77" s="3">
        <f t="shared" ca="1" si="21"/>
        <v>0</v>
      </c>
      <c r="AM77" s="3">
        <f t="shared" ca="1" si="21"/>
        <v>1</v>
      </c>
      <c r="AN77" s="3">
        <f t="shared" ca="1" si="21"/>
        <v>1</v>
      </c>
      <c r="AO77" s="3">
        <f t="shared" ca="1" si="21"/>
        <v>1</v>
      </c>
      <c r="AP77" s="3">
        <f t="shared" ca="1" si="21"/>
        <v>1</v>
      </c>
      <c r="AQ77" s="3">
        <f t="shared" ca="1" si="21"/>
        <v>1</v>
      </c>
      <c r="AR77" s="3">
        <f t="shared" ca="1" si="21"/>
        <v>1</v>
      </c>
      <c r="AS77" s="3">
        <f t="shared" ca="1" si="21"/>
        <v>1</v>
      </c>
      <c r="AT77" s="3">
        <f t="shared" ca="1" si="21"/>
        <v>0</v>
      </c>
      <c r="AU77" s="3">
        <f t="shared" ca="1" si="21"/>
        <v>1</v>
      </c>
      <c r="AV77" s="3">
        <f t="shared" ca="1" si="20"/>
        <v>1</v>
      </c>
      <c r="AW77" s="3">
        <f t="shared" ca="1" si="20"/>
        <v>0</v>
      </c>
      <c r="AX77" s="3">
        <f t="shared" ca="1" si="16"/>
        <v>1</v>
      </c>
    </row>
    <row r="78" spans="1:50" x14ac:dyDescent="0.2">
      <c r="A78" s="3">
        <f t="shared" ref="A78:P93" ca="1" si="23">RANDBETWEEN(0,1)</f>
        <v>0</v>
      </c>
      <c r="B78" s="3">
        <f t="shared" ca="1" si="23"/>
        <v>1</v>
      </c>
      <c r="C78" s="3">
        <f t="shared" ca="1" si="23"/>
        <v>0</v>
      </c>
      <c r="D78" s="3">
        <f t="shared" ca="1" si="23"/>
        <v>1</v>
      </c>
      <c r="E78" s="3">
        <f t="shared" ca="1" si="23"/>
        <v>1</v>
      </c>
      <c r="F78" s="3">
        <f t="shared" ca="1" si="23"/>
        <v>1</v>
      </c>
      <c r="G78" s="3">
        <f t="shared" ca="1" si="23"/>
        <v>1</v>
      </c>
      <c r="H78" s="3">
        <f t="shared" ca="1" si="23"/>
        <v>0</v>
      </c>
      <c r="I78" s="3">
        <f t="shared" ca="1" si="23"/>
        <v>0</v>
      </c>
      <c r="J78" s="3">
        <f t="shared" ca="1" si="23"/>
        <v>0</v>
      </c>
      <c r="K78" s="3">
        <f t="shared" ca="1" si="23"/>
        <v>1</v>
      </c>
      <c r="L78" s="3">
        <f t="shared" ca="1" si="23"/>
        <v>0</v>
      </c>
      <c r="M78" s="3">
        <f t="shared" ca="1" si="23"/>
        <v>0</v>
      </c>
      <c r="N78" s="3">
        <f t="shared" ca="1" si="23"/>
        <v>0</v>
      </c>
      <c r="O78" s="3">
        <f t="shared" ca="1" si="23"/>
        <v>1</v>
      </c>
      <c r="P78" s="3">
        <f t="shared" ca="1" si="23"/>
        <v>0</v>
      </c>
      <c r="Q78" s="3">
        <f t="shared" ca="1" si="22"/>
        <v>0</v>
      </c>
      <c r="R78" s="3">
        <f t="shared" ca="1" si="22"/>
        <v>1</v>
      </c>
      <c r="S78" s="3">
        <f t="shared" ca="1" si="22"/>
        <v>1</v>
      </c>
      <c r="T78" s="3">
        <f t="shared" ca="1" si="22"/>
        <v>1</v>
      </c>
      <c r="U78" s="3">
        <f t="shared" ca="1" si="22"/>
        <v>1</v>
      </c>
      <c r="V78" s="3">
        <f t="shared" ca="1" si="22"/>
        <v>0</v>
      </c>
      <c r="W78" s="3">
        <f t="shared" ca="1" si="22"/>
        <v>1</v>
      </c>
      <c r="X78" s="3">
        <f t="shared" ca="1" si="22"/>
        <v>0</v>
      </c>
      <c r="Y78" s="3">
        <f t="shared" ca="1" si="22"/>
        <v>1</v>
      </c>
      <c r="Z78" s="3">
        <f t="shared" ca="1" si="22"/>
        <v>0</v>
      </c>
      <c r="AA78" s="3">
        <f t="shared" ca="1" si="22"/>
        <v>1</v>
      </c>
      <c r="AB78" s="3">
        <f t="shared" ca="1" si="22"/>
        <v>1</v>
      </c>
      <c r="AC78" s="3">
        <f t="shared" ca="1" si="22"/>
        <v>1</v>
      </c>
      <c r="AD78" s="3">
        <f t="shared" ca="1" si="22"/>
        <v>0</v>
      </c>
      <c r="AE78" s="3">
        <f t="shared" ca="1" si="22"/>
        <v>0</v>
      </c>
      <c r="AF78" s="3">
        <f t="shared" ca="1" si="21"/>
        <v>0</v>
      </c>
      <c r="AG78" s="3">
        <f t="shared" ca="1" si="21"/>
        <v>0</v>
      </c>
      <c r="AH78" s="3">
        <f t="shared" ca="1" si="21"/>
        <v>0</v>
      </c>
      <c r="AI78" s="3">
        <f t="shared" ca="1" si="21"/>
        <v>0</v>
      </c>
      <c r="AJ78" s="3">
        <f t="shared" ca="1" si="21"/>
        <v>1</v>
      </c>
      <c r="AK78" s="3">
        <f t="shared" ca="1" si="21"/>
        <v>0</v>
      </c>
      <c r="AL78" s="3">
        <f t="shared" ca="1" si="21"/>
        <v>0</v>
      </c>
      <c r="AM78" s="3">
        <f t="shared" ca="1" si="21"/>
        <v>0</v>
      </c>
      <c r="AN78" s="3">
        <f t="shared" ca="1" si="21"/>
        <v>0</v>
      </c>
      <c r="AO78" s="3">
        <f t="shared" ca="1" si="21"/>
        <v>0</v>
      </c>
      <c r="AP78" s="3">
        <f t="shared" ca="1" si="21"/>
        <v>1</v>
      </c>
      <c r="AQ78" s="3">
        <f t="shared" ca="1" si="21"/>
        <v>0</v>
      </c>
      <c r="AR78" s="3">
        <f t="shared" ca="1" si="21"/>
        <v>0</v>
      </c>
      <c r="AS78" s="3">
        <f t="shared" ca="1" si="21"/>
        <v>0</v>
      </c>
      <c r="AT78" s="3">
        <f t="shared" ca="1" si="21"/>
        <v>0</v>
      </c>
      <c r="AU78" s="3">
        <f t="shared" ca="1" si="21"/>
        <v>0</v>
      </c>
      <c r="AV78" s="3">
        <f t="shared" ca="1" si="20"/>
        <v>1</v>
      </c>
      <c r="AW78" s="3">
        <f t="shared" ca="1" si="20"/>
        <v>1</v>
      </c>
      <c r="AX78" s="3">
        <f t="shared" ca="1" si="16"/>
        <v>1</v>
      </c>
    </row>
    <row r="79" spans="1:50" x14ac:dyDescent="0.2">
      <c r="A79" s="3">
        <f t="shared" ca="1" si="23"/>
        <v>0</v>
      </c>
      <c r="B79" s="3">
        <f t="shared" ca="1" si="23"/>
        <v>0</v>
      </c>
      <c r="C79" s="3">
        <f t="shared" ca="1" si="23"/>
        <v>1</v>
      </c>
      <c r="D79" s="3">
        <f t="shared" ca="1" si="23"/>
        <v>0</v>
      </c>
      <c r="E79" s="3">
        <f t="shared" ca="1" si="23"/>
        <v>1</v>
      </c>
      <c r="F79" s="3">
        <f t="shared" ca="1" si="23"/>
        <v>1</v>
      </c>
      <c r="G79" s="3">
        <f t="shared" ca="1" si="23"/>
        <v>0</v>
      </c>
      <c r="H79" s="3">
        <f t="shared" ca="1" si="23"/>
        <v>1</v>
      </c>
      <c r="I79" s="3">
        <f t="shared" ca="1" si="23"/>
        <v>1</v>
      </c>
      <c r="J79" s="3">
        <f t="shared" ca="1" si="23"/>
        <v>1</v>
      </c>
      <c r="K79" s="3">
        <f t="shared" ca="1" si="23"/>
        <v>1</v>
      </c>
      <c r="L79" s="3">
        <f t="shared" ca="1" si="23"/>
        <v>0</v>
      </c>
      <c r="M79" s="3">
        <f t="shared" ca="1" si="23"/>
        <v>0</v>
      </c>
      <c r="N79" s="3">
        <f t="shared" ca="1" si="23"/>
        <v>0</v>
      </c>
      <c r="O79" s="3">
        <f t="shared" ca="1" si="23"/>
        <v>0</v>
      </c>
      <c r="P79" s="3">
        <f t="shared" ca="1" si="23"/>
        <v>0</v>
      </c>
      <c r="Q79" s="3">
        <f t="shared" ca="1" si="22"/>
        <v>1</v>
      </c>
      <c r="R79" s="3">
        <f t="shared" ca="1" si="22"/>
        <v>0</v>
      </c>
      <c r="S79" s="3">
        <f t="shared" ca="1" si="22"/>
        <v>0</v>
      </c>
      <c r="T79" s="3">
        <f t="shared" ca="1" si="22"/>
        <v>0</v>
      </c>
      <c r="U79" s="3">
        <f t="shared" ca="1" si="22"/>
        <v>1</v>
      </c>
      <c r="V79" s="3">
        <f t="shared" ca="1" si="22"/>
        <v>1</v>
      </c>
      <c r="W79" s="3">
        <f t="shared" ca="1" si="22"/>
        <v>0</v>
      </c>
      <c r="X79" s="3">
        <f t="shared" ca="1" si="22"/>
        <v>0</v>
      </c>
      <c r="Y79" s="3">
        <f t="shared" ca="1" si="22"/>
        <v>0</v>
      </c>
      <c r="Z79" s="3">
        <f t="shared" ca="1" si="22"/>
        <v>1</v>
      </c>
      <c r="AA79" s="3">
        <f t="shared" ca="1" si="22"/>
        <v>1</v>
      </c>
      <c r="AB79" s="3">
        <f t="shared" ca="1" si="22"/>
        <v>1</v>
      </c>
      <c r="AC79" s="3">
        <f t="shared" ca="1" si="22"/>
        <v>0</v>
      </c>
      <c r="AD79" s="3">
        <f t="shared" ca="1" si="22"/>
        <v>0</v>
      </c>
      <c r="AE79" s="3">
        <f t="shared" ca="1" si="22"/>
        <v>1</v>
      </c>
      <c r="AF79" s="3">
        <f t="shared" ca="1" si="21"/>
        <v>1</v>
      </c>
      <c r="AG79" s="3">
        <f t="shared" ca="1" si="21"/>
        <v>0</v>
      </c>
      <c r="AH79" s="3">
        <f t="shared" ca="1" si="21"/>
        <v>0</v>
      </c>
      <c r="AI79" s="3">
        <f t="shared" ca="1" si="21"/>
        <v>0</v>
      </c>
      <c r="AJ79" s="3">
        <f t="shared" ca="1" si="21"/>
        <v>1</v>
      </c>
      <c r="AK79" s="3">
        <f t="shared" ca="1" si="21"/>
        <v>1</v>
      </c>
      <c r="AL79" s="3">
        <f t="shared" ca="1" si="21"/>
        <v>1</v>
      </c>
      <c r="AM79" s="3">
        <f t="shared" ca="1" si="21"/>
        <v>1</v>
      </c>
      <c r="AN79" s="3">
        <f t="shared" ca="1" si="21"/>
        <v>0</v>
      </c>
      <c r="AO79" s="3">
        <f t="shared" ca="1" si="21"/>
        <v>1</v>
      </c>
      <c r="AP79" s="3">
        <f t="shared" ca="1" si="21"/>
        <v>0</v>
      </c>
      <c r="AQ79" s="3">
        <f t="shared" ca="1" si="21"/>
        <v>0</v>
      </c>
      <c r="AR79" s="3">
        <f t="shared" ca="1" si="21"/>
        <v>1</v>
      </c>
      <c r="AS79" s="3">
        <f t="shared" ca="1" si="21"/>
        <v>1</v>
      </c>
      <c r="AT79" s="3">
        <f t="shared" ca="1" si="21"/>
        <v>0</v>
      </c>
      <c r="AU79" s="3">
        <f t="shared" ca="1" si="21"/>
        <v>1</v>
      </c>
      <c r="AV79" s="3">
        <f t="shared" ca="1" si="20"/>
        <v>1</v>
      </c>
      <c r="AW79" s="3">
        <f t="shared" ca="1" si="20"/>
        <v>0</v>
      </c>
      <c r="AX79" s="3">
        <f t="shared" ca="1" si="16"/>
        <v>1</v>
      </c>
    </row>
    <row r="80" spans="1:50" x14ac:dyDescent="0.2">
      <c r="A80" s="3">
        <f t="shared" ca="1" si="23"/>
        <v>0</v>
      </c>
      <c r="B80" s="3">
        <f t="shared" ca="1" si="23"/>
        <v>1</v>
      </c>
      <c r="C80" s="3">
        <f t="shared" ca="1" si="23"/>
        <v>0</v>
      </c>
      <c r="D80" s="3">
        <f t="shared" ca="1" si="23"/>
        <v>0</v>
      </c>
      <c r="E80" s="3">
        <f t="shared" ca="1" si="23"/>
        <v>1</v>
      </c>
      <c r="F80" s="3">
        <f t="shared" ca="1" si="23"/>
        <v>1</v>
      </c>
      <c r="G80" s="3">
        <f t="shared" ca="1" si="23"/>
        <v>1</v>
      </c>
      <c r="H80" s="3">
        <f t="shared" ca="1" si="23"/>
        <v>0</v>
      </c>
      <c r="I80" s="3">
        <f t="shared" ca="1" si="23"/>
        <v>0</v>
      </c>
      <c r="J80" s="3">
        <f t="shared" ca="1" si="23"/>
        <v>0</v>
      </c>
      <c r="K80" s="3">
        <f t="shared" ca="1" si="23"/>
        <v>1</v>
      </c>
      <c r="L80" s="3">
        <f t="shared" ca="1" si="23"/>
        <v>1</v>
      </c>
      <c r="M80" s="3">
        <f t="shared" ca="1" si="23"/>
        <v>0</v>
      </c>
      <c r="N80" s="3">
        <f t="shared" ca="1" si="23"/>
        <v>0</v>
      </c>
      <c r="O80" s="3">
        <f t="shared" ca="1" si="23"/>
        <v>1</v>
      </c>
      <c r="P80" s="3">
        <f t="shared" ca="1" si="23"/>
        <v>1</v>
      </c>
      <c r="Q80" s="3">
        <f t="shared" ca="1" si="22"/>
        <v>0</v>
      </c>
      <c r="R80" s="3">
        <f t="shared" ca="1" si="22"/>
        <v>1</v>
      </c>
      <c r="S80" s="3">
        <f t="shared" ca="1" si="22"/>
        <v>1</v>
      </c>
      <c r="T80" s="3">
        <f t="shared" ca="1" si="22"/>
        <v>0</v>
      </c>
      <c r="U80" s="3">
        <f t="shared" ca="1" si="22"/>
        <v>1</v>
      </c>
      <c r="V80" s="3">
        <f t="shared" ca="1" si="22"/>
        <v>1</v>
      </c>
      <c r="W80" s="3">
        <f t="shared" ca="1" si="22"/>
        <v>1</v>
      </c>
      <c r="X80" s="3">
        <f t="shared" ca="1" si="22"/>
        <v>0</v>
      </c>
      <c r="Y80" s="3">
        <f t="shared" ca="1" si="22"/>
        <v>1</v>
      </c>
      <c r="Z80" s="3">
        <f t="shared" ca="1" si="22"/>
        <v>1</v>
      </c>
      <c r="AA80" s="3">
        <f t="shared" ca="1" si="22"/>
        <v>0</v>
      </c>
      <c r="AB80" s="3">
        <f t="shared" ca="1" si="22"/>
        <v>0</v>
      </c>
      <c r="AC80" s="3">
        <f t="shared" ca="1" si="22"/>
        <v>0</v>
      </c>
      <c r="AD80" s="3">
        <f t="shared" ca="1" si="22"/>
        <v>0</v>
      </c>
      <c r="AE80" s="3">
        <f t="shared" ca="1" si="22"/>
        <v>0</v>
      </c>
      <c r="AF80" s="3">
        <f t="shared" ca="1" si="21"/>
        <v>0</v>
      </c>
      <c r="AG80" s="3">
        <f t="shared" ca="1" si="21"/>
        <v>1</v>
      </c>
      <c r="AH80" s="3">
        <f t="shared" ca="1" si="21"/>
        <v>1</v>
      </c>
      <c r="AI80" s="3">
        <f t="shared" ca="1" si="21"/>
        <v>0</v>
      </c>
      <c r="AJ80" s="3">
        <f t="shared" ca="1" si="21"/>
        <v>0</v>
      </c>
      <c r="AK80" s="3">
        <f t="shared" ca="1" si="21"/>
        <v>0</v>
      </c>
      <c r="AL80" s="3">
        <f t="shared" ca="1" si="21"/>
        <v>0</v>
      </c>
      <c r="AM80" s="3">
        <f t="shared" ca="1" si="21"/>
        <v>1</v>
      </c>
      <c r="AN80" s="3">
        <f t="shared" ca="1" si="21"/>
        <v>0</v>
      </c>
      <c r="AO80" s="3">
        <f t="shared" ca="1" si="21"/>
        <v>0</v>
      </c>
      <c r="AP80" s="3">
        <f t="shared" ca="1" si="21"/>
        <v>1</v>
      </c>
      <c r="AQ80" s="3">
        <f t="shared" ca="1" si="21"/>
        <v>1</v>
      </c>
      <c r="AR80" s="3">
        <f t="shared" ca="1" si="21"/>
        <v>0</v>
      </c>
      <c r="AS80" s="3">
        <f t="shared" ca="1" si="21"/>
        <v>0</v>
      </c>
      <c r="AT80" s="3">
        <f t="shared" ca="1" si="21"/>
        <v>1</v>
      </c>
      <c r="AU80" s="3">
        <f t="shared" ca="1" si="21"/>
        <v>0</v>
      </c>
      <c r="AV80" s="3">
        <f t="shared" ca="1" si="20"/>
        <v>0</v>
      </c>
      <c r="AW80" s="3">
        <f t="shared" ca="1" si="20"/>
        <v>1</v>
      </c>
      <c r="AX80" s="3">
        <f t="shared" ca="1" si="16"/>
        <v>0</v>
      </c>
    </row>
    <row r="81" spans="1:50" x14ac:dyDescent="0.2">
      <c r="A81" s="3">
        <f t="shared" ca="1" si="23"/>
        <v>0</v>
      </c>
      <c r="B81" s="3">
        <f t="shared" ca="1" si="23"/>
        <v>0</v>
      </c>
      <c r="C81" s="3">
        <f t="shared" ca="1" si="23"/>
        <v>0</v>
      </c>
      <c r="D81" s="3">
        <f t="shared" ca="1" si="23"/>
        <v>0</v>
      </c>
      <c r="E81" s="3">
        <f t="shared" ca="1" si="23"/>
        <v>1</v>
      </c>
      <c r="F81" s="3">
        <f t="shared" ca="1" si="23"/>
        <v>1</v>
      </c>
      <c r="G81" s="3">
        <f t="shared" ca="1" si="23"/>
        <v>0</v>
      </c>
      <c r="H81" s="3">
        <f t="shared" ca="1" si="23"/>
        <v>1</v>
      </c>
      <c r="I81" s="3">
        <f t="shared" ca="1" si="23"/>
        <v>0</v>
      </c>
      <c r="J81" s="3">
        <f t="shared" ca="1" si="23"/>
        <v>0</v>
      </c>
      <c r="K81" s="3">
        <f t="shared" ca="1" si="23"/>
        <v>0</v>
      </c>
      <c r="L81" s="3">
        <f t="shared" ca="1" si="23"/>
        <v>0</v>
      </c>
      <c r="M81" s="3">
        <f t="shared" ca="1" si="23"/>
        <v>1</v>
      </c>
      <c r="N81" s="3">
        <f t="shared" ca="1" si="23"/>
        <v>1</v>
      </c>
      <c r="O81" s="3">
        <f t="shared" ca="1" si="23"/>
        <v>1</v>
      </c>
      <c r="P81" s="3">
        <f t="shared" ca="1" si="23"/>
        <v>1</v>
      </c>
      <c r="Q81" s="3">
        <f t="shared" ca="1" si="22"/>
        <v>1</v>
      </c>
      <c r="R81" s="3">
        <f t="shared" ca="1" si="22"/>
        <v>0</v>
      </c>
      <c r="S81" s="3">
        <f t="shared" ca="1" si="22"/>
        <v>1</v>
      </c>
      <c r="T81" s="3">
        <f t="shared" ca="1" si="22"/>
        <v>1</v>
      </c>
      <c r="U81" s="3">
        <f t="shared" ca="1" si="22"/>
        <v>0</v>
      </c>
      <c r="V81" s="3">
        <f t="shared" ca="1" si="22"/>
        <v>0</v>
      </c>
      <c r="W81" s="3">
        <f t="shared" ca="1" si="22"/>
        <v>1</v>
      </c>
      <c r="X81" s="3">
        <f t="shared" ca="1" si="22"/>
        <v>0</v>
      </c>
      <c r="Y81" s="3">
        <f t="shared" ca="1" si="22"/>
        <v>0</v>
      </c>
      <c r="Z81" s="3">
        <f t="shared" ca="1" si="22"/>
        <v>0</v>
      </c>
      <c r="AA81" s="3">
        <f t="shared" ca="1" si="22"/>
        <v>1</v>
      </c>
      <c r="AB81" s="3">
        <f t="shared" ca="1" si="22"/>
        <v>1</v>
      </c>
      <c r="AC81" s="3">
        <f t="shared" ca="1" si="22"/>
        <v>1</v>
      </c>
      <c r="AD81" s="3">
        <f t="shared" ca="1" si="22"/>
        <v>0</v>
      </c>
      <c r="AE81" s="3">
        <f t="shared" ca="1" si="22"/>
        <v>1</v>
      </c>
      <c r="AF81" s="3">
        <f t="shared" ca="1" si="21"/>
        <v>1</v>
      </c>
      <c r="AG81" s="3">
        <f t="shared" ca="1" si="21"/>
        <v>0</v>
      </c>
      <c r="AH81" s="3">
        <f t="shared" ca="1" si="21"/>
        <v>0</v>
      </c>
      <c r="AI81" s="3">
        <f t="shared" ca="1" si="21"/>
        <v>1</v>
      </c>
      <c r="AJ81" s="3">
        <f t="shared" ca="1" si="21"/>
        <v>0</v>
      </c>
      <c r="AK81" s="3">
        <f t="shared" ca="1" si="21"/>
        <v>1</v>
      </c>
      <c r="AL81" s="3">
        <f t="shared" ca="1" si="21"/>
        <v>1</v>
      </c>
      <c r="AM81" s="3">
        <f t="shared" ca="1" si="21"/>
        <v>0</v>
      </c>
      <c r="AN81" s="3">
        <f t="shared" ca="1" si="21"/>
        <v>0</v>
      </c>
      <c r="AO81" s="3">
        <f t="shared" ca="1" si="21"/>
        <v>1</v>
      </c>
      <c r="AP81" s="3">
        <f t="shared" ca="1" si="21"/>
        <v>1</v>
      </c>
      <c r="AQ81" s="3">
        <f t="shared" ca="1" si="21"/>
        <v>1</v>
      </c>
      <c r="AR81" s="3">
        <f t="shared" ca="1" si="21"/>
        <v>0</v>
      </c>
      <c r="AS81" s="3">
        <f t="shared" ca="1" si="21"/>
        <v>0</v>
      </c>
      <c r="AT81" s="3">
        <f t="shared" ca="1" si="21"/>
        <v>1</v>
      </c>
      <c r="AU81" s="3">
        <f t="shared" ca="1" si="21"/>
        <v>1</v>
      </c>
      <c r="AV81" s="3">
        <f t="shared" ca="1" si="20"/>
        <v>1</v>
      </c>
      <c r="AW81" s="3">
        <f t="shared" ca="1" si="20"/>
        <v>1</v>
      </c>
      <c r="AX81" s="3">
        <f t="shared" ca="1" si="16"/>
        <v>0</v>
      </c>
    </row>
    <row r="82" spans="1:50" x14ac:dyDescent="0.2">
      <c r="A82" s="3">
        <f t="shared" ca="1" si="23"/>
        <v>1</v>
      </c>
      <c r="B82" s="3">
        <f t="shared" ca="1" si="23"/>
        <v>0</v>
      </c>
      <c r="C82" s="3">
        <f t="shared" ca="1" si="23"/>
        <v>1</v>
      </c>
      <c r="D82" s="3">
        <f t="shared" ca="1" si="23"/>
        <v>1</v>
      </c>
      <c r="E82" s="3">
        <f t="shared" ca="1" si="23"/>
        <v>1</v>
      </c>
      <c r="F82" s="3">
        <f t="shared" ca="1" si="23"/>
        <v>0</v>
      </c>
      <c r="G82" s="3">
        <f t="shared" ca="1" si="23"/>
        <v>0</v>
      </c>
      <c r="H82" s="3">
        <f t="shared" ca="1" si="23"/>
        <v>1</v>
      </c>
      <c r="I82" s="3">
        <f t="shared" ca="1" si="23"/>
        <v>0</v>
      </c>
      <c r="J82" s="3">
        <f t="shared" ca="1" si="23"/>
        <v>0</v>
      </c>
      <c r="K82" s="3">
        <f t="shared" ca="1" si="23"/>
        <v>1</v>
      </c>
      <c r="L82" s="3">
        <f t="shared" ca="1" si="23"/>
        <v>0</v>
      </c>
      <c r="M82" s="3">
        <f t="shared" ca="1" si="23"/>
        <v>0</v>
      </c>
      <c r="N82" s="3">
        <f t="shared" ca="1" si="23"/>
        <v>1</v>
      </c>
      <c r="O82" s="3">
        <f t="shared" ca="1" si="23"/>
        <v>0</v>
      </c>
      <c r="P82" s="3">
        <f t="shared" ca="1" si="23"/>
        <v>1</v>
      </c>
      <c r="Q82" s="3">
        <f t="shared" ca="1" si="22"/>
        <v>0</v>
      </c>
      <c r="R82" s="3">
        <f t="shared" ca="1" si="22"/>
        <v>0</v>
      </c>
      <c r="S82" s="3">
        <f t="shared" ca="1" si="22"/>
        <v>0</v>
      </c>
      <c r="T82" s="3">
        <f t="shared" ca="1" si="22"/>
        <v>0</v>
      </c>
      <c r="U82" s="3">
        <f t="shared" ca="1" si="22"/>
        <v>0</v>
      </c>
      <c r="V82" s="3">
        <f t="shared" ca="1" si="22"/>
        <v>1</v>
      </c>
      <c r="W82" s="3">
        <f t="shared" ca="1" si="22"/>
        <v>1</v>
      </c>
      <c r="X82" s="3">
        <f t="shared" ca="1" si="22"/>
        <v>0</v>
      </c>
      <c r="Y82" s="3">
        <f t="shared" ca="1" si="22"/>
        <v>0</v>
      </c>
      <c r="Z82" s="3">
        <f t="shared" ca="1" si="22"/>
        <v>0</v>
      </c>
      <c r="AA82" s="3">
        <f t="shared" ca="1" si="22"/>
        <v>1</v>
      </c>
      <c r="AB82" s="3">
        <f t="shared" ca="1" si="22"/>
        <v>0</v>
      </c>
      <c r="AC82" s="3">
        <f t="shared" ca="1" si="22"/>
        <v>1</v>
      </c>
      <c r="AD82" s="3">
        <f t="shared" ca="1" si="22"/>
        <v>1</v>
      </c>
      <c r="AE82" s="3">
        <f t="shared" ca="1" si="22"/>
        <v>1</v>
      </c>
      <c r="AF82" s="3">
        <f t="shared" ca="1" si="21"/>
        <v>1</v>
      </c>
      <c r="AG82" s="3">
        <f t="shared" ca="1" si="21"/>
        <v>1</v>
      </c>
      <c r="AH82" s="3">
        <f t="shared" ca="1" si="21"/>
        <v>0</v>
      </c>
      <c r="AI82" s="3">
        <f t="shared" ca="1" si="21"/>
        <v>0</v>
      </c>
      <c r="AJ82" s="3">
        <f t="shared" ca="1" si="21"/>
        <v>1</v>
      </c>
      <c r="AK82" s="3">
        <f t="shared" ca="1" si="21"/>
        <v>1</v>
      </c>
      <c r="AL82" s="3">
        <f t="shared" ca="1" si="21"/>
        <v>0</v>
      </c>
      <c r="AM82" s="3">
        <f t="shared" ca="1" si="21"/>
        <v>1</v>
      </c>
      <c r="AN82" s="3">
        <f t="shared" ca="1" si="21"/>
        <v>1</v>
      </c>
      <c r="AO82" s="3">
        <f t="shared" ca="1" si="21"/>
        <v>1</v>
      </c>
      <c r="AP82" s="3">
        <f t="shared" ca="1" si="21"/>
        <v>0</v>
      </c>
      <c r="AQ82" s="3">
        <f t="shared" ca="1" si="21"/>
        <v>1</v>
      </c>
      <c r="AR82" s="3">
        <f t="shared" ca="1" si="21"/>
        <v>0</v>
      </c>
      <c r="AS82" s="3">
        <f t="shared" ca="1" si="21"/>
        <v>0</v>
      </c>
      <c r="AT82" s="3">
        <f t="shared" ca="1" si="21"/>
        <v>1</v>
      </c>
      <c r="AU82" s="3">
        <f t="shared" ca="1" si="21"/>
        <v>0</v>
      </c>
      <c r="AV82" s="3">
        <f t="shared" ca="1" si="20"/>
        <v>1</v>
      </c>
      <c r="AW82" s="3">
        <f t="shared" ca="1" si="20"/>
        <v>1</v>
      </c>
      <c r="AX82" s="3">
        <f t="shared" ca="1" si="16"/>
        <v>0</v>
      </c>
    </row>
    <row r="83" spans="1:50" x14ac:dyDescent="0.2">
      <c r="A83" s="3">
        <f t="shared" ca="1" si="23"/>
        <v>0</v>
      </c>
      <c r="B83" s="3">
        <f t="shared" ca="1" si="23"/>
        <v>1</v>
      </c>
      <c r="C83" s="3">
        <f t="shared" ca="1" si="23"/>
        <v>0</v>
      </c>
      <c r="D83" s="3">
        <f t="shared" ca="1" si="23"/>
        <v>1</v>
      </c>
      <c r="E83" s="3">
        <f t="shared" ca="1" si="23"/>
        <v>1</v>
      </c>
      <c r="F83" s="3">
        <f t="shared" ca="1" si="23"/>
        <v>1</v>
      </c>
      <c r="G83" s="3">
        <f t="shared" ca="1" si="23"/>
        <v>1</v>
      </c>
      <c r="H83" s="3">
        <f t="shared" ca="1" si="23"/>
        <v>0</v>
      </c>
      <c r="I83" s="3">
        <f t="shared" ca="1" si="23"/>
        <v>0</v>
      </c>
      <c r="J83" s="3">
        <f t="shared" ca="1" si="23"/>
        <v>1</v>
      </c>
      <c r="K83" s="3">
        <f t="shared" ca="1" si="23"/>
        <v>1</v>
      </c>
      <c r="L83" s="3">
        <f t="shared" ca="1" si="23"/>
        <v>0</v>
      </c>
      <c r="M83" s="3">
        <f t="shared" ca="1" si="23"/>
        <v>0</v>
      </c>
      <c r="N83" s="3">
        <f t="shared" ca="1" si="23"/>
        <v>0</v>
      </c>
      <c r="O83" s="3">
        <f t="shared" ca="1" si="23"/>
        <v>0</v>
      </c>
      <c r="P83" s="3">
        <f t="shared" ca="1" si="23"/>
        <v>1</v>
      </c>
      <c r="Q83" s="3">
        <f t="shared" ca="1" si="22"/>
        <v>0</v>
      </c>
      <c r="R83" s="3">
        <f t="shared" ca="1" si="22"/>
        <v>0</v>
      </c>
      <c r="S83" s="3">
        <f t="shared" ca="1" si="22"/>
        <v>0</v>
      </c>
      <c r="T83" s="3">
        <f t="shared" ca="1" si="22"/>
        <v>0</v>
      </c>
      <c r="U83" s="3">
        <f t="shared" ca="1" si="22"/>
        <v>0</v>
      </c>
      <c r="V83" s="3">
        <f t="shared" ca="1" si="22"/>
        <v>1</v>
      </c>
      <c r="W83" s="3">
        <f t="shared" ca="1" si="22"/>
        <v>1</v>
      </c>
      <c r="X83" s="3">
        <f t="shared" ca="1" si="22"/>
        <v>1</v>
      </c>
      <c r="Y83" s="3">
        <f t="shared" ca="1" si="22"/>
        <v>1</v>
      </c>
      <c r="Z83" s="3">
        <f t="shared" ca="1" si="22"/>
        <v>1</v>
      </c>
      <c r="AA83" s="3">
        <f t="shared" ca="1" si="22"/>
        <v>0</v>
      </c>
      <c r="AB83" s="3">
        <f t="shared" ca="1" si="22"/>
        <v>0</v>
      </c>
      <c r="AC83" s="3">
        <f t="shared" ca="1" si="22"/>
        <v>1</v>
      </c>
      <c r="AD83" s="3">
        <f t="shared" ca="1" si="22"/>
        <v>0</v>
      </c>
      <c r="AE83" s="3">
        <f t="shared" ca="1" si="22"/>
        <v>0</v>
      </c>
      <c r="AF83" s="3">
        <f t="shared" ca="1" si="21"/>
        <v>1</v>
      </c>
      <c r="AG83" s="3">
        <f t="shared" ca="1" si="21"/>
        <v>0</v>
      </c>
      <c r="AH83" s="3">
        <f t="shared" ca="1" si="21"/>
        <v>0</v>
      </c>
      <c r="AI83" s="3">
        <f t="shared" ca="1" si="21"/>
        <v>0</v>
      </c>
      <c r="AJ83" s="3">
        <f t="shared" ca="1" si="21"/>
        <v>0</v>
      </c>
      <c r="AK83" s="3">
        <f t="shared" ca="1" si="21"/>
        <v>0</v>
      </c>
      <c r="AL83" s="3">
        <f t="shared" ca="1" si="21"/>
        <v>1</v>
      </c>
      <c r="AM83" s="3">
        <f t="shared" ca="1" si="21"/>
        <v>1</v>
      </c>
      <c r="AN83" s="3">
        <f t="shared" ca="1" si="21"/>
        <v>1</v>
      </c>
      <c r="AO83" s="3">
        <f t="shared" ca="1" si="21"/>
        <v>0</v>
      </c>
      <c r="AP83" s="3">
        <f t="shared" ca="1" si="21"/>
        <v>1</v>
      </c>
      <c r="AQ83" s="3">
        <f t="shared" ca="1" si="21"/>
        <v>0</v>
      </c>
      <c r="AR83" s="3">
        <f t="shared" ca="1" si="21"/>
        <v>0</v>
      </c>
      <c r="AS83" s="3">
        <f t="shared" ca="1" si="21"/>
        <v>1</v>
      </c>
      <c r="AT83" s="3">
        <f t="shared" ca="1" si="21"/>
        <v>1</v>
      </c>
      <c r="AU83" s="3">
        <f t="shared" ca="1" si="21"/>
        <v>1</v>
      </c>
      <c r="AV83" s="3">
        <f t="shared" ca="1" si="20"/>
        <v>1</v>
      </c>
      <c r="AW83" s="3">
        <f t="shared" ca="1" si="20"/>
        <v>1</v>
      </c>
      <c r="AX83" s="3">
        <f t="shared" ca="1" si="16"/>
        <v>1</v>
      </c>
    </row>
    <row r="84" spans="1:50" x14ac:dyDescent="0.2">
      <c r="A84" s="3">
        <f t="shared" ca="1" si="23"/>
        <v>1</v>
      </c>
      <c r="B84" s="3">
        <f t="shared" ca="1" si="23"/>
        <v>0</v>
      </c>
      <c r="C84" s="3">
        <f t="shared" ca="1" si="23"/>
        <v>1</v>
      </c>
      <c r="D84" s="3">
        <f t="shared" ca="1" si="23"/>
        <v>0</v>
      </c>
      <c r="E84" s="3">
        <f t="shared" ca="1" si="23"/>
        <v>0</v>
      </c>
      <c r="F84" s="3">
        <f t="shared" ca="1" si="23"/>
        <v>1</v>
      </c>
      <c r="G84" s="3">
        <f t="shared" ca="1" si="23"/>
        <v>1</v>
      </c>
      <c r="H84" s="3">
        <f t="shared" ca="1" si="23"/>
        <v>0</v>
      </c>
      <c r="I84" s="3">
        <f t="shared" ca="1" si="23"/>
        <v>1</v>
      </c>
      <c r="J84" s="3">
        <f t="shared" ca="1" si="23"/>
        <v>0</v>
      </c>
      <c r="K84" s="3">
        <f t="shared" ca="1" si="23"/>
        <v>1</v>
      </c>
      <c r="L84" s="3">
        <f t="shared" ca="1" si="23"/>
        <v>1</v>
      </c>
      <c r="M84" s="3">
        <f t="shared" ca="1" si="23"/>
        <v>0</v>
      </c>
      <c r="N84" s="3">
        <f t="shared" ca="1" si="23"/>
        <v>0</v>
      </c>
      <c r="O84" s="3">
        <f t="shared" ca="1" si="23"/>
        <v>1</v>
      </c>
      <c r="P84" s="3">
        <f t="shared" ca="1" si="23"/>
        <v>1</v>
      </c>
      <c r="Q84" s="3">
        <f t="shared" ca="1" si="22"/>
        <v>1</v>
      </c>
      <c r="R84" s="3">
        <f t="shared" ca="1" si="22"/>
        <v>1</v>
      </c>
      <c r="S84" s="3">
        <f t="shared" ca="1" si="22"/>
        <v>1</v>
      </c>
      <c r="T84" s="3">
        <f t="shared" ca="1" si="22"/>
        <v>0</v>
      </c>
      <c r="U84" s="3">
        <f t="shared" ca="1" si="22"/>
        <v>1</v>
      </c>
      <c r="V84" s="3">
        <f t="shared" ca="1" si="22"/>
        <v>1</v>
      </c>
      <c r="W84" s="3">
        <f t="shared" ca="1" si="22"/>
        <v>0</v>
      </c>
      <c r="X84" s="3">
        <f t="shared" ca="1" si="22"/>
        <v>1</v>
      </c>
      <c r="Y84" s="3">
        <f t="shared" ca="1" si="22"/>
        <v>1</v>
      </c>
      <c r="Z84" s="3">
        <f t="shared" ca="1" si="22"/>
        <v>1</v>
      </c>
      <c r="AA84" s="3">
        <f t="shared" ca="1" si="22"/>
        <v>1</v>
      </c>
      <c r="AB84" s="3">
        <f t="shared" ca="1" si="22"/>
        <v>1</v>
      </c>
      <c r="AC84" s="3">
        <f t="shared" ca="1" si="22"/>
        <v>1</v>
      </c>
      <c r="AD84" s="3">
        <f t="shared" ca="1" si="22"/>
        <v>1</v>
      </c>
      <c r="AE84" s="3">
        <f t="shared" ca="1" si="22"/>
        <v>0</v>
      </c>
      <c r="AF84" s="3">
        <f t="shared" ca="1" si="21"/>
        <v>0</v>
      </c>
      <c r="AG84" s="3">
        <f t="shared" ca="1" si="21"/>
        <v>1</v>
      </c>
      <c r="AH84" s="3">
        <f t="shared" ca="1" si="21"/>
        <v>1</v>
      </c>
      <c r="AI84" s="3">
        <f t="shared" ca="1" si="21"/>
        <v>1</v>
      </c>
      <c r="AJ84" s="3">
        <f t="shared" ca="1" si="21"/>
        <v>0</v>
      </c>
      <c r="AK84" s="3">
        <f t="shared" ca="1" si="21"/>
        <v>0</v>
      </c>
      <c r="AL84" s="3">
        <f t="shared" ca="1" si="21"/>
        <v>0</v>
      </c>
      <c r="AM84" s="3">
        <f t="shared" ca="1" si="21"/>
        <v>0</v>
      </c>
      <c r="AN84" s="3">
        <f t="shared" ca="1" si="21"/>
        <v>1</v>
      </c>
      <c r="AO84" s="3">
        <f t="shared" ca="1" si="21"/>
        <v>1</v>
      </c>
      <c r="AP84" s="3">
        <f t="shared" ca="1" si="21"/>
        <v>0</v>
      </c>
      <c r="AQ84" s="3">
        <f t="shared" ca="1" si="21"/>
        <v>0</v>
      </c>
      <c r="AR84" s="3">
        <f t="shared" ca="1" si="21"/>
        <v>0</v>
      </c>
      <c r="AS84" s="3">
        <f t="shared" ca="1" si="21"/>
        <v>0</v>
      </c>
      <c r="AT84" s="3">
        <f t="shared" ca="1" si="21"/>
        <v>1</v>
      </c>
      <c r="AU84" s="3">
        <f t="shared" ca="1" si="21"/>
        <v>1</v>
      </c>
      <c r="AV84" s="3">
        <f t="shared" ca="1" si="20"/>
        <v>0</v>
      </c>
      <c r="AW84" s="3">
        <f t="shared" ca="1" si="20"/>
        <v>1</v>
      </c>
      <c r="AX84" s="3">
        <f t="shared" ca="1" si="16"/>
        <v>0</v>
      </c>
    </row>
    <row r="85" spans="1:50" x14ac:dyDescent="0.2">
      <c r="A85" s="3">
        <f t="shared" ca="1" si="23"/>
        <v>1</v>
      </c>
      <c r="B85" s="3">
        <f t="shared" ca="1" si="23"/>
        <v>1</v>
      </c>
      <c r="C85" s="3">
        <f t="shared" ca="1" si="23"/>
        <v>0</v>
      </c>
      <c r="D85" s="3">
        <f t="shared" ca="1" si="23"/>
        <v>0</v>
      </c>
      <c r="E85" s="3">
        <f t="shared" ca="1" si="23"/>
        <v>1</v>
      </c>
      <c r="F85" s="3">
        <f t="shared" ca="1" si="23"/>
        <v>1</v>
      </c>
      <c r="G85" s="3">
        <f t="shared" ca="1" si="23"/>
        <v>0</v>
      </c>
      <c r="H85" s="3">
        <f t="shared" ca="1" si="23"/>
        <v>1</v>
      </c>
      <c r="I85" s="3">
        <f t="shared" ca="1" si="23"/>
        <v>1</v>
      </c>
      <c r="J85" s="3">
        <f t="shared" ca="1" si="23"/>
        <v>1</v>
      </c>
      <c r="K85" s="3">
        <f t="shared" ca="1" si="23"/>
        <v>1</v>
      </c>
      <c r="L85" s="3">
        <f t="shared" ca="1" si="23"/>
        <v>0</v>
      </c>
      <c r="M85" s="3">
        <f t="shared" ca="1" si="23"/>
        <v>1</v>
      </c>
      <c r="N85" s="3">
        <f t="shared" ca="1" si="23"/>
        <v>1</v>
      </c>
      <c r="O85" s="3">
        <f t="shared" ca="1" si="23"/>
        <v>1</v>
      </c>
      <c r="P85" s="3">
        <f t="shared" ca="1" si="23"/>
        <v>1</v>
      </c>
      <c r="Q85" s="3">
        <f t="shared" ca="1" si="22"/>
        <v>0</v>
      </c>
      <c r="R85" s="3">
        <f t="shared" ca="1" si="22"/>
        <v>0</v>
      </c>
      <c r="S85" s="3">
        <f t="shared" ca="1" si="22"/>
        <v>1</v>
      </c>
      <c r="T85" s="3">
        <f t="shared" ca="1" si="22"/>
        <v>0</v>
      </c>
      <c r="U85" s="3">
        <f t="shared" ca="1" si="22"/>
        <v>1</v>
      </c>
      <c r="V85" s="3">
        <f t="shared" ca="1" si="22"/>
        <v>1</v>
      </c>
      <c r="W85" s="3">
        <f t="shared" ca="1" si="22"/>
        <v>0</v>
      </c>
      <c r="X85" s="3">
        <f t="shared" ca="1" si="22"/>
        <v>0</v>
      </c>
      <c r="Y85" s="3">
        <f t="shared" ca="1" si="22"/>
        <v>0</v>
      </c>
      <c r="Z85" s="3">
        <f t="shared" ca="1" si="22"/>
        <v>1</v>
      </c>
      <c r="AA85" s="3">
        <f t="shared" ca="1" si="22"/>
        <v>0</v>
      </c>
      <c r="AB85" s="3">
        <f t="shared" ca="1" si="22"/>
        <v>0</v>
      </c>
      <c r="AC85" s="3">
        <f t="shared" ca="1" si="22"/>
        <v>1</v>
      </c>
      <c r="AD85" s="3">
        <f t="shared" ca="1" si="22"/>
        <v>1</v>
      </c>
      <c r="AE85" s="3">
        <f t="shared" ca="1" si="22"/>
        <v>0</v>
      </c>
      <c r="AF85" s="3">
        <f t="shared" ca="1" si="21"/>
        <v>1</v>
      </c>
      <c r="AG85" s="3">
        <f t="shared" ca="1" si="21"/>
        <v>1</v>
      </c>
      <c r="AH85" s="3">
        <f t="shared" ca="1" si="21"/>
        <v>0</v>
      </c>
      <c r="AI85" s="3">
        <f t="shared" ca="1" si="21"/>
        <v>0</v>
      </c>
      <c r="AJ85" s="3">
        <f t="shared" ca="1" si="21"/>
        <v>1</v>
      </c>
      <c r="AK85" s="3">
        <f t="shared" ca="1" si="21"/>
        <v>0</v>
      </c>
      <c r="AL85" s="3">
        <f t="shared" ca="1" si="21"/>
        <v>0</v>
      </c>
      <c r="AM85" s="3">
        <f t="shared" ca="1" si="21"/>
        <v>0</v>
      </c>
      <c r="AN85" s="3">
        <f t="shared" ca="1" si="21"/>
        <v>0</v>
      </c>
      <c r="AO85" s="3">
        <f t="shared" ca="1" si="21"/>
        <v>1</v>
      </c>
      <c r="AP85" s="3">
        <f t="shared" ca="1" si="21"/>
        <v>0</v>
      </c>
      <c r="AQ85" s="3">
        <f t="shared" ca="1" si="21"/>
        <v>1</v>
      </c>
      <c r="AR85" s="3">
        <f t="shared" ca="1" si="21"/>
        <v>0</v>
      </c>
      <c r="AS85" s="3">
        <f t="shared" ca="1" si="21"/>
        <v>0</v>
      </c>
      <c r="AT85" s="3">
        <f t="shared" ca="1" si="21"/>
        <v>1</v>
      </c>
      <c r="AU85" s="3">
        <f t="shared" ca="1" si="21"/>
        <v>1</v>
      </c>
      <c r="AV85" s="3">
        <f t="shared" ca="1" si="20"/>
        <v>0</v>
      </c>
      <c r="AW85" s="3">
        <f t="shared" ca="1" si="20"/>
        <v>1</v>
      </c>
      <c r="AX85" s="3">
        <f t="shared" ca="1" si="16"/>
        <v>1</v>
      </c>
    </row>
    <row r="86" spans="1:50" x14ac:dyDescent="0.2">
      <c r="A86" s="3">
        <f t="shared" ca="1" si="23"/>
        <v>1</v>
      </c>
      <c r="B86" s="3">
        <f t="shared" ca="1" si="23"/>
        <v>1</v>
      </c>
      <c r="C86" s="3">
        <f t="shared" ca="1" si="23"/>
        <v>0</v>
      </c>
      <c r="D86" s="3">
        <f t="shared" ca="1" si="23"/>
        <v>1</v>
      </c>
      <c r="E86" s="3">
        <f t="shared" ca="1" si="23"/>
        <v>0</v>
      </c>
      <c r="F86" s="3">
        <f t="shared" ca="1" si="23"/>
        <v>0</v>
      </c>
      <c r="G86" s="3">
        <f t="shared" ca="1" si="23"/>
        <v>1</v>
      </c>
      <c r="H86" s="3">
        <f t="shared" ca="1" si="23"/>
        <v>0</v>
      </c>
      <c r="I86" s="3">
        <f t="shared" ca="1" si="23"/>
        <v>1</v>
      </c>
      <c r="J86" s="3">
        <f t="shared" ca="1" si="23"/>
        <v>0</v>
      </c>
      <c r="K86" s="3">
        <f t="shared" ca="1" si="23"/>
        <v>0</v>
      </c>
      <c r="L86" s="3">
        <f t="shared" ca="1" si="23"/>
        <v>0</v>
      </c>
      <c r="M86" s="3">
        <f t="shared" ca="1" si="23"/>
        <v>1</v>
      </c>
      <c r="N86" s="3">
        <f t="shared" ca="1" si="23"/>
        <v>1</v>
      </c>
      <c r="O86" s="3">
        <f t="shared" ca="1" si="23"/>
        <v>1</v>
      </c>
      <c r="P86" s="3">
        <f t="shared" ca="1" si="23"/>
        <v>1</v>
      </c>
      <c r="Q86" s="3">
        <f t="shared" ca="1" si="22"/>
        <v>1</v>
      </c>
      <c r="R86" s="3">
        <f t="shared" ca="1" si="22"/>
        <v>1</v>
      </c>
      <c r="S86" s="3">
        <f t="shared" ca="1" si="22"/>
        <v>1</v>
      </c>
      <c r="T86" s="3">
        <f t="shared" ca="1" si="22"/>
        <v>0</v>
      </c>
      <c r="U86" s="3">
        <f t="shared" ca="1" si="22"/>
        <v>1</v>
      </c>
      <c r="V86" s="3">
        <f t="shared" ca="1" si="22"/>
        <v>0</v>
      </c>
      <c r="W86" s="3">
        <f t="shared" ca="1" si="22"/>
        <v>1</v>
      </c>
      <c r="X86" s="3">
        <f t="shared" ca="1" si="22"/>
        <v>1</v>
      </c>
      <c r="Y86" s="3">
        <f t="shared" ca="1" si="22"/>
        <v>0</v>
      </c>
      <c r="Z86" s="3">
        <f t="shared" ca="1" si="22"/>
        <v>1</v>
      </c>
      <c r="AA86" s="3">
        <f t="shared" ca="1" si="22"/>
        <v>0</v>
      </c>
      <c r="AB86" s="3">
        <f t="shared" ca="1" si="22"/>
        <v>0</v>
      </c>
      <c r="AC86" s="3">
        <f t="shared" ca="1" si="22"/>
        <v>1</v>
      </c>
      <c r="AD86" s="3">
        <f t="shared" ca="1" si="22"/>
        <v>0</v>
      </c>
      <c r="AE86" s="3">
        <f t="shared" ca="1" si="22"/>
        <v>1</v>
      </c>
      <c r="AF86" s="3">
        <f t="shared" ca="1" si="21"/>
        <v>1</v>
      </c>
      <c r="AG86" s="3">
        <f t="shared" ca="1" si="21"/>
        <v>1</v>
      </c>
      <c r="AH86" s="3">
        <f t="shared" ca="1" si="21"/>
        <v>0</v>
      </c>
      <c r="AI86" s="3">
        <f t="shared" ca="1" si="21"/>
        <v>1</v>
      </c>
      <c r="AJ86" s="3">
        <f t="shared" ca="1" si="21"/>
        <v>0</v>
      </c>
      <c r="AK86" s="3">
        <f t="shared" ca="1" si="21"/>
        <v>0</v>
      </c>
      <c r="AL86" s="3">
        <f t="shared" ca="1" si="21"/>
        <v>0</v>
      </c>
      <c r="AM86" s="3">
        <f t="shared" ca="1" si="21"/>
        <v>0</v>
      </c>
      <c r="AN86" s="3">
        <f t="shared" ca="1" si="21"/>
        <v>0</v>
      </c>
      <c r="AO86" s="3">
        <f t="shared" ca="1" si="21"/>
        <v>0</v>
      </c>
      <c r="AP86" s="3">
        <f t="shared" ca="1" si="21"/>
        <v>1</v>
      </c>
      <c r="AQ86" s="3">
        <f t="shared" ca="1" si="21"/>
        <v>1</v>
      </c>
      <c r="AR86" s="3">
        <f t="shared" ca="1" si="21"/>
        <v>0</v>
      </c>
      <c r="AS86" s="3">
        <f t="shared" ca="1" si="21"/>
        <v>1</v>
      </c>
      <c r="AT86" s="3">
        <f t="shared" ca="1" si="21"/>
        <v>1</v>
      </c>
      <c r="AU86" s="3">
        <f t="shared" ca="1" si="21"/>
        <v>0</v>
      </c>
      <c r="AV86" s="3">
        <f t="shared" ca="1" si="20"/>
        <v>0</v>
      </c>
      <c r="AW86" s="3">
        <f t="shared" ca="1" si="20"/>
        <v>1</v>
      </c>
      <c r="AX86" s="3">
        <f t="shared" ca="1" si="16"/>
        <v>0</v>
      </c>
    </row>
    <row r="87" spans="1:50" x14ac:dyDescent="0.2">
      <c r="A87" s="3">
        <f t="shared" ca="1" si="23"/>
        <v>1</v>
      </c>
      <c r="B87" s="3">
        <f t="shared" ca="1" si="23"/>
        <v>1</v>
      </c>
      <c r="C87" s="3">
        <f t="shared" ca="1" si="23"/>
        <v>1</v>
      </c>
      <c r="D87" s="3">
        <f t="shared" ca="1" si="23"/>
        <v>1</v>
      </c>
      <c r="E87" s="3">
        <f t="shared" ca="1" si="23"/>
        <v>1</v>
      </c>
      <c r="F87" s="3">
        <f t="shared" ca="1" si="23"/>
        <v>0</v>
      </c>
      <c r="G87" s="3">
        <f t="shared" ca="1" si="23"/>
        <v>0</v>
      </c>
      <c r="H87" s="3">
        <f t="shared" ca="1" si="23"/>
        <v>1</v>
      </c>
      <c r="I87" s="3">
        <f t="shared" ca="1" si="23"/>
        <v>0</v>
      </c>
      <c r="J87" s="3">
        <f t="shared" ca="1" si="23"/>
        <v>1</v>
      </c>
      <c r="K87" s="3">
        <f t="shared" ca="1" si="23"/>
        <v>0</v>
      </c>
      <c r="L87" s="3">
        <f t="shared" ca="1" si="23"/>
        <v>0</v>
      </c>
      <c r="M87" s="3">
        <f t="shared" ca="1" si="23"/>
        <v>0</v>
      </c>
      <c r="N87" s="3">
        <f t="shared" ca="1" si="23"/>
        <v>0</v>
      </c>
      <c r="O87" s="3">
        <f t="shared" ca="1" si="23"/>
        <v>1</v>
      </c>
      <c r="P87" s="3">
        <f t="shared" ca="1" si="23"/>
        <v>1</v>
      </c>
      <c r="Q87" s="3">
        <f t="shared" ca="1" si="22"/>
        <v>0</v>
      </c>
      <c r="R87" s="3">
        <f t="shared" ca="1" si="22"/>
        <v>1</v>
      </c>
      <c r="S87" s="3">
        <f t="shared" ca="1" si="22"/>
        <v>1</v>
      </c>
      <c r="T87" s="3">
        <f t="shared" ca="1" si="22"/>
        <v>1</v>
      </c>
      <c r="U87" s="3">
        <f t="shared" ca="1" si="22"/>
        <v>0</v>
      </c>
      <c r="V87" s="3">
        <f t="shared" ca="1" si="22"/>
        <v>0</v>
      </c>
      <c r="W87" s="3">
        <f t="shared" ca="1" si="22"/>
        <v>0</v>
      </c>
      <c r="X87" s="3">
        <f t="shared" ca="1" si="22"/>
        <v>1</v>
      </c>
      <c r="Y87" s="3">
        <f t="shared" ca="1" si="22"/>
        <v>1</v>
      </c>
      <c r="Z87" s="3">
        <f t="shared" ca="1" si="22"/>
        <v>0</v>
      </c>
      <c r="AA87" s="3">
        <f t="shared" ca="1" si="22"/>
        <v>0</v>
      </c>
      <c r="AB87" s="3">
        <f t="shared" ca="1" si="22"/>
        <v>0</v>
      </c>
      <c r="AC87" s="3">
        <f t="shared" ca="1" si="22"/>
        <v>1</v>
      </c>
      <c r="AD87" s="3">
        <f t="shared" ca="1" si="22"/>
        <v>1</v>
      </c>
      <c r="AE87" s="3">
        <f t="shared" ca="1" si="22"/>
        <v>1</v>
      </c>
      <c r="AF87" s="3">
        <f t="shared" ca="1" si="21"/>
        <v>0</v>
      </c>
      <c r="AG87" s="3">
        <f t="shared" ca="1" si="21"/>
        <v>0</v>
      </c>
      <c r="AH87" s="3">
        <f t="shared" ca="1" si="21"/>
        <v>0</v>
      </c>
      <c r="AI87" s="3">
        <f t="shared" ca="1" si="21"/>
        <v>1</v>
      </c>
      <c r="AJ87" s="3">
        <f t="shared" ca="1" si="21"/>
        <v>1</v>
      </c>
      <c r="AK87" s="3">
        <f t="shared" ca="1" si="21"/>
        <v>0</v>
      </c>
      <c r="AL87" s="3">
        <f t="shared" ca="1" si="21"/>
        <v>1</v>
      </c>
      <c r="AM87" s="3">
        <f t="shared" ca="1" si="21"/>
        <v>0</v>
      </c>
      <c r="AN87" s="3">
        <f t="shared" ca="1" si="21"/>
        <v>1</v>
      </c>
      <c r="AO87" s="3">
        <f t="shared" ca="1" si="21"/>
        <v>1</v>
      </c>
      <c r="AP87" s="3">
        <f t="shared" ca="1" si="21"/>
        <v>0</v>
      </c>
      <c r="AQ87" s="3">
        <f t="shared" ca="1" si="21"/>
        <v>1</v>
      </c>
      <c r="AR87" s="3">
        <f t="shared" ca="1" si="21"/>
        <v>1</v>
      </c>
      <c r="AS87" s="3">
        <f t="shared" ca="1" si="21"/>
        <v>1</v>
      </c>
      <c r="AT87" s="3">
        <f t="shared" ca="1" si="21"/>
        <v>1</v>
      </c>
      <c r="AU87" s="3">
        <f t="shared" ca="1" si="21"/>
        <v>0</v>
      </c>
      <c r="AV87" s="3">
        <f t="shared" ca="1" si="20"/>
        <v>0</v>
      </c>
      <c r="AW87" s="3">
        <f t="shared" ca="1" si="20"/>
        <v>0</v>
      </c>
      <c r="AX87" s="3">
        <f t="shared" ca="1" si="16"/>
        <v>0</v>
      </c>
    </row>
    <row r="88" spans="1:50" x14ac:dyDescent="0.2">
      <c r="A88" s="3">
        <f t="shared" ca="1" si="23"/>
        <v>0</v>
      </c>
      <c r="B88" s="3">
        <f t="shared" ca="1" si="23"/>
        <v>0</v>
      </c>
      <c r="C88" s="3">
        <f t="shared" ca="1" si="23"/>
        <v>1</v>
      </c>
      <c r="D88" s="3">
        <f t="shared" ca="1" si="23"/>
        <v>0</v>
      </c>
      <c r="E88" s="3">
        <f t="shared" ca="1" si="23"/>
        <v>1</v>
      </c>
      <c r="F88" s="3">
        <f t="shared" ca="1" si="23"/>
        <v>0</v>
      </c>
      <c r="G88" s="3">
        <f t="shared" ca="1" si="23"/>
        <v>1</v>
      </c>
      <c r="H88" s="3">
        <f t="shared" ca="1" si="23"/>
        <v>1</v>
      </c>
      <c r="I88" s="3">
        <f t="shared" ca="1" si="23"/>
        <v>0</v>
      </c>
      <c r="J88" s="3">
        <f t="shared" ca="1" si="23"/>
        <v>1</v>
      </c>
      <c r="K88" s="3">
        <f t="shared" ca="1" si="23"/>
        <v>0</v>
      </c>
      <c r="L88" s="3">
        <f t="shared" ca="1" si="23"/>
        <v>1</v>
      </c>
      <c r="M88" s="3">
        <f t="shared" ca="1" si="23"/>
        <v>1</v>
      </c>
      <c r="N88" s="3">
        <f t="shared" ca="1" si="23"/>
        <v>0</v>
      </c>
      <c r="O88" s="3">
        <f t="shared" ca="1" si="23"/>
        <v>1</v>
      </c>
      <c r="P88" s="3">
        <f t="shared" ca="1" si="23"/>
        <v>0</v>
      </c>
      <c r="Q88" s="3">
        <f t="shared" ca="1" si="22"/>
        <v>1</v>
      </c>
      <c r="R88" s="3">
        <f t="shared" ca="1" si="22"/>
        <v>1</v>
      </c>
      <c r="S88" s="3">
        <f t="shared" ca="1" si="22"/>
        <v>0</v>
      </c>
      <c r="T88" s="3">
        <f t="shared" ca="1" si="22"/>
        <v>1</v>
      </c>
      <c r="U88" s="3">
        <f t="shared" ca="1" si="22"/>
        <v>0</v>
      </c>
      <c r="V88" s="3">
        <f t="shared" ca="1" si="22"/>
        <v>1</v>
      </c>
      <c r="W88" s="3">
        <f t="shared" ca="1" si="22"/>
        <v>0</v>
      </c>
      <c r="X88" s="3">
        <f t="shared" ca="1" si="22"/>
        <v>0</v>
      </c>
      <c r="Y88" s="3">
        <f t="shared" ca="1" si="22"/>
        <v>0</v>
      </c>
      <c r="Z88" s="3">
        <f t="shared" ca="1" si="22"/>
        <v>1</v>
      </c>
      <c r="AA88" s="3">
        <f t="shared" ca="1" si="22"/>
        <v>0</v>
      </c>
      <c r="AB88" s="3">
        <f t="shared" ca="1" si="22"/>
        <v>1</v>
      </c>
      <c r="AC88" s="3">
        <f t="shared" ca="1" si="22"/>
        <v>1</v>
      </c>
      <c r="AD88" s="3">
        <f t="shared" ca="1" si="22"/>
        <v>0</v>
      </c>
      <c r="AE88" s="3">
        <f t="shared" ca="1" si="22"/>
        <v>0</v>
      </c>
      <c r="AF88" s="3">
        <f t="shared" ca="1" si="21"/>
        <v>1</v>
      </c>
      <c r="AG88" s="3">
        <f t="shared" ca="1" si="21"/>
        <v>0</v>
      </c>
      <c r="AH88" s="3">
        <f t="shared" ca="1" si="21"/>
        <v>0</v>
      </c>
      <c r="AI88" s="3">
        <f t="shared" ca="1" si="21"/>
        <v>1</v>
      </c>
      <c r="AJ88" s="3">
        <f t="shared" ca="1" si="21"/>
        <v>0</v>
      </c>
      <c r="AK88" s="3">
        <f t="shared" ca="1" si="21"/>
        <v>1</v>
      </c>
      <c r="AL88" s="3">
        <f t="shared" ca="1" si="21"/>
        <v>0</v>
      </c>
      <c r="AM88" s="3">
        <f t="shared" ca="1" si="21"/>
        <v>0</v>
      </c>
      <c r="AN88" s="3">
        <f t="shared" ca="1" si="21"/>
        <v>0</v>
      </c>
      <c r="AO88" s="3">
        <f t="shared" ca="1" si="21"/>
        <v>0</v>
      </c>
      <c r="AP88" s="3">
        <f t="shared" ca="1" si="21"/>
        <v>1</v>
      </c>
      <c r="AQ88" s="3">
        <f t="shared" ca="1" si="21"/>
        <v>1</v>
      </c>
      <c r="AR88" s="3">
        <f t="shared" ca="1" si="21"/>
        <v>1</v>
      </c>
      <c r="AS88" s="3">
        <f t="shared" ca="1" si="21"/>
        <v>1</v>
      </c>
      <c r="AT88" s="3">
        <f t="shared" ca="1" si="21"/>
        <v>0</v>
      </c>
      <c r="AU88" s="3">
        <f t="shared" ca="1" si="21"/>
        <v>1</v>
      </c>
      <c r="AV88" s="3">
        <f t="shared" ca="1" si="20"/>
        <v>0</v>
      </c>
      <c r="AW88" s="3">
        <f t="shared" ca="1" si="20"/>
        <v>1</v>
      </c>
      <c r="AX88" s="3">
        <f t="shared" ca="1" si="16"/>
        <v>1</v>
      </c>
    </row>
    <row r="89" spans="1:50" x14ac:dyDescent="0.2">
      <c r="A89" s="3">
        <f t="shared" ca="1" si="23"/>
        <v>1</v>
      </c>
      <c r="B89" s="3">
        <f t="shared" ca="1" si="23"/>
        <v>0</v>
      </c>
      <c r="C89" s="3">
        <f t="shared" ca="1" si="23"/>
        <v>0</v>
      </c>
      <c r="D89" s="3">
        <f t="shared" ca="1" si="23"/>
        <v>0</v>
      </c>
      <c r="E89" s="3">
        <f t="shared" ca="1" si="23"/>
        <v>1</v>
      </c>
      <c r="F89" s="3">
        <f t="shared" ca="1" si="23"/>
        <v>1</v>
      </c>
      <c r="G89" s="3">
        <f t="shared" ca="1" si="23"/>
        <v>0</v>
      </c>
      <c r="H89" s="3">
        <f t="shared" ca="1" si="23"/>
        <v>1</v>
      </c>
      <c r="I89" s="3">
        <f t="shared" ca="1" si="23"/>
        <v>1</v>
      </c>
      <c r="J89" s="3">
        <f t="shared" ca="1" si="23"/>
        <v>1</v>
      </c>
      <c r="K89" s="3">
        <f t="shared" ca="1" si="23"/>
        <v>0</v>
      </c>
      <c r="L89" s="3">
        <f t="shared" ca="1" si="23"/>
        <v>1</v>
      </c>
      <c r="M89" s="3">
        <f t="shared" ca="1" si="23"/>
        <v>0</v>
      </c>
      <c r="N89" s="3">
        <f t="shared" ca="1" si="23"/>
        <v>1</v>
      </c>
      <c r="O89" s="3">
        <f t="shared" ca="1" si="23"/>
        <v>1</v>
      </c>
      <c r="P89" s="3">
        <f t="shared" ca="1" si="23"/>
        <v>0</v>
      </c>
      <c r="Q89" s="3">
        <f t="shared" ca="1" si="22"/>
        <v>1</v>
      </c>
      <c r="R89" s="3">
        <f t="shared" ca="1" si="22"/>
        <v>1</v>
      </c>
      <c r="S89" s="3">
        <f t="shared" ca="1" si="22"/>
        <v>0</v>
      </c>
      <c r="T89" s="3">
        <f t="shared" ca="1" si="22"/>
        <v>1</v>
      </c>
      <c r="U89" s="3">
        <f t="shared" ca="1" si="22"/>
        <v>0</v>
      </c>
      <c r="V89" s="3">
        <f t="shared" ca="1" si="22"/>
        <v>0</v>
      </c>
      <c r="W89" s="3">
        <f t="shared" ca="1" si="22"/>
        <v>1</v>
      </c>
      <c r="X89" s="3">
        <f t="shared" ca="1" si="22"/>
        <v>1</v>
      </c>
      <c r="Y89" s="3">
        <f t="shared" ca="1" si="22"/>
        <v>1</v>
      </c>
      <c r="Z89" s="3">
        <f t="shared" ca="1" si="22"/>
        <v>1</v>
      </c>
      <c r="AA89" s="3">
        <f t="shared" ca="1" si="22"/>
        <v>1</v>
      </c>
      <c r="AB89" s="3">
        <f t="shared" ca="1" si="22"/>
        <v>1</v>
      </c>
      <c r="AC89" s="3">
        <f t="shared" ca="1" si="22"/>
        <v>1</v>
      </c>
      <c r="AD89" s="3">
        <f t="shared" ca="1" si="22"/>
        <v>1</v>
      </c>
      <c r="AE89" s="3">
        <f t="shared" ca="1" si="22"/>
        <v>1</v>
      </c>
      <c r="AF89" s="3">
        <f t="shared" ca="1" si="21"/>
        <v>1</v>
      </c>
      <c r="AG89" s="3">
        <f t="shared" ca="1" si="21"/>
        <v>1</v>
      </c>
      <c r="AH89" s="3">
        <f t="shared" ca="1" si="21"/>
        <v>1</v>
      </c>
      <c r="AI89" s="3">
        <f t="shared" ca="1" si="21"/>
        <v>1</v>
      </c>
      <c r="AJ89" s="3">
        <f t="shared" ca="1" si="21"/>
        <v>0</v>
      </c>
      <c r="AK89" s="3">
        <f t="shared" ca="1" si="21"/>
        <v>0</v>
      </c>
      <c r="AL89" s="3">
        <f t="shared" ca="1" si="21"/>
        <v>0</v>
      </c>
      <c r="AM89" s="3">
        <f t="shared" ca="1" si="21"/>
        <v>1</v>
      </c>
      <c r="AN89" s="3">
        <f t="shared" ca="1" si="21"/>
        <v>1</v>
      </c>
      <c r="AO89" s="3">
        <f t="shared" ca="1" si="21"/>
        <v>0</v>
      </c>
      <c r="AP89" s="3">
        <f t="shared" ca="1" si="21"/>
        <v>1</v>
      </c>
      <c r="AQ89" s="3">
        <f t="shared" ca="1" si="21"/>
        <v>0</v>
      </c>
      <c r="AR89" s="3">
        <f t="shared" ca="1" si="21"/>
        <v>0</v>
      </c>
      <c r="AS89" s="3">
        <f t="shared" ca="1" si="21"/>
        <v>1</v>
      </c>
      <c r="AT89" s="3">
        <f t="shared" ca="1" si="21"/>
        <v>1</v>
      </c>
      <c r="AU89" s="3">
        <f t="shared" ca="1" si="21"/>
        <v>0</v>
      </c>
      <c r="AV89" s="3">
        <f t="shared" ca="1" si="20"/>
        <v>0</v>
      </c>
      <c r="AW89" s="3">
        <f t="shared" ca="1" si="20"/>
        <v>1</v>
      </c>
      <c r="AX89" s="3">
        <f t="shared" ca="1" si="16"/>
        <v>1</v>
      </c>
    </row>
    <row r="90" spans="1:50" x14ac:dyDescent="0.2">
      <c r="A90" s="3">
        <f t="shared" ca="1" si="23"/>
        <v>0</v>
      </c>
      <c r="B90" s="3">
        <f t="shared" ca="1" si="23"/>
        <v>1</v>
      </c>
      <c r="C90" s="3">
        <f t="shared" ca="1" si="23"/>
        <v>1</v>
      </c>
      <c r="D90" s="3">
        <f t="shared" ca="1" si="23"/>
        <v>0</v>
      </c>
      <c r="E90" s="3">
        <f t="shared" ca="1" si="23"/>
        <v>1</v>
      </c>
      <c r="F90" s="3">
        <f t="shared" ca="1" si="23"/>
        <v>0</v>
      </c>
      <c r="G90" s="3">
        <f t="shared" ca="1" si="23"/>
        <v>0</v>
      </c>
      <c r="H90" s="3">
        <f t="shared" ca="1" si="23"/>
        <v>1</v>
      </c>
      <c r="I90" s="3">
        <f t="shared" ca="1" si="23"/>
        <v>1</v>
      </c>
      <c r="J90" s="3">
        <f t="shared" ca="1" si="23"/>
        <v>0</v>
      </c>
      <c r="K90" s="3">
        <f t="shared" ca="1" si="23"/>
        <v>0</v>
      </c>
      <c r="L90" s="3">
        <f t="shared" ca="1" si="23"/>
        <v>1</v>
      </c>
      <c r="M90" s="3">
        <f t="shared" ca="1" si="23"/>
        <v>1</v>
      </c>
      <c r="N90" s="3">
        <f t="shared" ca="1" si="23"/>
        <v>1</v>
      </c>
      <c r="O90" s="3">
        <f t="shared" ca="1" si="23"/>
        <v>1</v>
      </c>
      <c r="P90" s="3">
        <f t="shared" ca="1" si="23"/>
        <v>1</v>
      </c>
      <c r="Q90" s="3">
        <f t="shared" ca="1" si="22"/>
        <v>1</v>
      </c>
      <c r="R90" s="3">
        <f t="shared" ca="1" si="22"/>
        <v>1</v>
      </c>
      <c r="S90" s="3">
        <f t="shared" ca="1" si="22"/>
        <v>0</v>
      </c>
      <c r="T90" s="3">
        <f t="shared" ca="1" si="22"/>
        <v>1</v>
      </c>
      <c r="U90" s="3">
        <f t="shared" ca="1" si="22"/>
        <v>1</v>
      </c>
      <c r="V90" s="3">
        <f t="shared" ca="1" si="22"/>
        <v>1</v>
      </c>
      <c r="W90" s="3">
        <f t="shared" ca="1" si="22"/>
        <v>0</v>
      </c>
      <c r="X90" s="3">
        <f t="shared" ca="1" si="22"/>
        <v>0</v>
      </c>
      <c r="Y90" s="3">
        <f t="shared" ca="1" si="22"/>
        <v>0</v>
      </c>
      <c r="Z90" s="3">
        <f t="shared" ca="1" si="22"/>
        <v>1</v>
      </c>
      <c r="AA90" s="3">
        <f t="shared" ca="1" si="22"/>
        <v>1</v>
      </c>
      <c r="AB90" s="3">
        <f t="shared" ca="1" si="22"/>
        <v>1</v>
      </c>
      <c r="AC90" s="3">
        <f t="shared" ca="1" si="22"/>
        <v>1</v>
      </c>
      <c r="AD90" s="3">
        <f t="shared" ca="1" si="22"/>
        <v>0</v>
      </c>
      <c r="AE90" s="3">
        <f t="shared" ca="1" si="22"/>
        <v>1</v>
      </c>
      <c r="AF90" s="3">
        <f t="shared" ca="1" si="21"/>
        <v>1</v>
      </c>
      <c r="AG90" s="3">
        <f t="shared" ca="1" si="21"/>
        <v>1</v>
      </c>
      <c r="AH90" s="3">
        <f t="shared" ca="1" si="21"/>
        <v>1</v>
      </c>
      <c r="AI90" s="3">
        <f t="shared" ca="1" si="21"/>
        <v>1</v>
      </c>
      <c r="AJ90" s="3">
        <f t="shared" ca="1" si="21"/>
        <v>0</v>
      </c>
      <c r="AK90" s="3">
        <f t="shared" ca="1" si="21"/>
        <v>0</v>
      </c>
      <c r="AL90" s="3">
        <f t="shared" ca="1" si="21"/>
        <v>0</v>
      </c>
      <c r="AM90" s="3">
        <f t="shared" ca="1" si="21"/>
        <v>1</v>
      </c>
      <c r="AN90" s="3">
        <f t="shared" ca="1" si="21"/>
        <v>1</v>
      </c>
      <c r="AO90" s="3">
        <f t="shared" ca="1" si="21"/>
        <v>0</v>
      </c>
      <c r="AP90" s="3">
        <f t="shared" ca="1" si="21"/>
        <v>0</v>
      </c>
      <c r="AQ90" s="3">
        <f t="shared" ca="1" si="21"/>
        <v>0</v>
      </c>
      <c r="AR90" s="3">
        <f t="shared" ca="1" si="21"/>
        <v>0</v>
      </c>
      <c r="AS90" s="3">
        <f t="shared" ca="1" si="21"/>
        <v>1</v>
      </c>
      <c r="AT90" s="3">
        <f t="shared" ca="1" si="21"/>
        <v>1</v>
      </c>
      <c r="AU90" s="3">
        <f t="shared" ca="1" si="21"/>
        <v>0</v>
      </c>
      <c r="AV90" s="3">
        <f t="shared" ca="1" si="20"/>
        <v>0</v>
      </c>
      <c r="AW90" s="3">
        <f t="shared" ca="1" si="20"/>
        <v>0</v>
      </c>
      <c r="AX90" s="3">
        <f t="shared" ca="1" si="16"/>
        <v>0</v>
      </c>
    </row>
    <row r="91" spans="1:50" x14ac:dyDescent="0.2">
      <c r="A91" s="3">
        <f t="shared" ca="1" si="23"/>
        <v>1</v>
      </c>
      <c r="B91" s="3">
        <f t="shared" ca="1" si="23"/>
        <v>1</v>
      </c>
      <c r="C91" s="3">
        <f t="shared" ca="1" si="23"/>
        <v>0</v>
      </c>
      <c r="D91" s="3">
        <f t="shared" ca="1" si="23"/>
        <v>1</v>
      </c>
      <c r="E91" s="3">
        <f t="shared" ca="1" si="23"/>
        <v>0</v>
      </c>
      <c r="F91" s="3">
        <f t="shared" ca="1" si="23"/>
        <v>0</v>
      </c>
      <c r="G91" s="3">
        <f t="shared" ca="1" si="23"/>
        <v>0</v>
      </c>
      <c r="H91" s="3">
        <f t="shared" ca="1" si="23"/>
        <v>1</v>
      </c>
      <c r="I91" s="3">
        <f t="shared" ca="1" si="23"/>
        <v>0</v>
      </c>
      <c r="J91" s="3">
        <f t="shared" ca="1" si="23"/>
        <v>0</v>
      </c>
      <c r="K91" s="3">
        <f t="shared" ca="1" si="23"/>
        <v>1</v>
      </c>
      <c r="L91" s="3">
        <f t="shared" ca="1" si="23"/>
        <v>0</v>
      </c>
      <c r="M91" s="3">
        <f t="shared" ca="1" si="23"/>
        <v>0</v>
      </c>
      <c r="N91" s="3">
        <f t="shared" ca="1" si="23"/>
        <v>0</v>
      </c>
      <c r="O91" s="3">
        <f t="shared" ca="1" si="23"/>
        <v>0</v>
      </c>
      <c r="P91" s="3">
        <f t="shared" ca="1" si="23"/>
        <v>0</v>
      </c>
      <c r="Q91" s="3">
        <f t="shared" ca="1" si="22"/>
        <v>0</v>
      </c>
      <c r="R91" s="3">
        <f t="shared" ca="1" si="22"/>
        <v>1</v>
      </c>
      <c r="S91" s="3">
        <f t="shared" ca="1" si="22"/>
        <v>0</v>
      </c>
      <c r="T91" s="3">
        <f t="shared" ca="1" si="22"/>
        <v>0</v>
      </c>
      <c r="U91" s="3">
        <f t="shared" ca="1" si="22"/>
        <v>0</v>
      </c>
      <c r="V91" s="3">
        <f t="shared" ca="1" si="22"/>
        <v>1</v>
      </c>
      <c r="W91" s="3">
        <f t="shared" ca="1" si="22"/>
        <v>0</v>
      </c>
      <c r="X91" s="3">
        <f t="shared" ca="1" si="22"/>
        <v>1</v>
      </c>
      <c r="Y91" s="3">
        <f t="shared" ca="1" si="22"/>
        <v>1</v>
      </c>
      <c r="Z91" s="3">
        <f t="shared" ca="1" si="22"/>
        <v>0</v>
      </c>
      <c r="AA91" s="3">
        <f t="shared" ca="1" si="22"/>
        <v>0</v>
      </c>
      <c r="AB91" s="3">
        <f t="shared" ca="1" si="22"/>
        <v>1</v>
      </c>
      <c r="AC91" s="3">
        <f t="shared" ca="1" si="22"/>
        <v>1</v>
      </c>
      <c r="AD91" s="3">
        <f t="shared" ca="1" si="22"/>
        <v>1</v>
      </c>
      <c r="AE91" s="3">
        <f t="shared" ca="1" si="22"/>
        <v>0</v>
      </c>
      <c r="AF91" s="3">
        <f t="shared" ca="1" si="21"/>
        <v>1</v>
      </c>
      <c r="AG91" s="3">
        <f t="shared" ca="1" si="21"/>
        <v>0</v>
      </c>
      <c r="AH91" s="3">
        <f t="shared" ca="1" si="21"/>
        <v>1</v>
      </c>
      <c r="AI91" s="3">
        <f t="shared" ca="1" si="21"/>
        <v>0</v>
      </c>
      <c r="AJ91" s="3">
        <f t="shared" ca="1" si="21"/>
        <v>0</v>
      </c>
      <c r="AK91" s="3">
        <f t="shared" ca="1" si="21"/>
        <v>0</v>
      </c>
      <c r="AL91" s="3">
        <f t="shared" ca="1" si="21"/>
        <v>0</v>
      </c>
      <c r="AM91" s="3">
        <f t="shared" ca="1" si="21"/>
        <v>1</v>
      </c>
      <c r="AN91" s="3">
        <f t="shared" ca="1" si="21"/>
        <v>1</v>
      </c>
      <c r="AO91" s="3">
        <f t="shared" ca="1" si="21"/>
        <v>0</v>
      </c>
      <c r="AP91" s="3">
        <f t="shared" ca="1" si="21"/>
        <v>0</v>
      </c>
      <c r="AQ91" s="3">
        <f t="shared" ca="1" si="21"/>
        <v>1</v>
      </c>
      <c r="AR91" s="3">
        <f t="shared" ca="1" si="21"/>
        <v>1</v>
      </c>
      <c r="AS91" s="3">
        <f t="shared" ca="1" si="21"/>
        <v>1</v>
      </c>
      <c r="AT91" s="3">
        <f t="shared" ca="1" si="21"/>
        <v>0</v>
      </c>
      <c r="AU91" s="3">
        <f t="shared" ref="AU91:AW100" ca="1" si="24">RANDBETWEEN(0,1)</f>
        <v>0</v>
      </c>
      <c r="AV91" s="3">
        <f t="shared" ca="1" si="24"/>
        <v>0</v>
      </c>
      <c r="AW91" s="3">
        <f t="shared" ca="1" si="24"/>
        <v>0</v>
      </c>
      <c r="AX91" s="3">
        <f t="shared" ca="1" si="16"/>
        <v>0</v>
      </c>
    </row>
    <row r="92" spans="1:50" x14ac:dyDescent="0.2">
      <c r="A92" s="3">
        <f t="shared" ca="1" si="23"/>
        <v>0</v>
      </c>
      <c r="B92" s="3">
        <f t="shared" ca="1" si="23"/>
        <v>0</v>
      </c>
      <c r="C92" s="3">
        <f t="shared" ca="1" si="23"/>
        <v>1</v>
      </c>
      <c r="D92" s="3">
        <f t="shared" ca="1" si="23"/>
        <v>0</v>
      </c>
      <c r="E92" s="3">
        <f t="shared" ca="1" si="23"/>
        <v>1</v>
      </c>
      <c r="F92" s="3">
        <f t="shared" ca="1" si="23"/>
        <v>1</v>
      </c>
      <c r="G92" s="3">
        <f t="shared" ca="1" si="23"/>
        <v>0</v>
      </c>
      <c r="H92" s="3">
        <f t="shared" ca="1" si="23"/>
        <v>0</v>
      </c>
      <c r="I92" s="3">
        <f t="shared" ca="1" si="23"/>
        <v>0</v>
      </c>
      <c r="J92" s="3">
        <f t="shared" ca="1" si="23"/>
        <v>0</v>
      </c>
      <c r="K92" s="3">
        <f t="shared" ca="1" si="23"/>
        <v>0</v>
      </c>
      <c r="L92" s="3">
        <f t="shared" ca="1" si="23"/>
        <v>1</v>
      </c>
      <c r="M92" s="3">
        <f t="shared" ca="1" si="23"/>
        <v>0</v>
      </c>
      <c r="N92" s="3">
        <f t="shared" ca="1" si="23"/>
        <v>1</v>
      </c>
      <c r="O92" s="3">
        <f t="shared" ca="1" si="23"/>
        <v>1</v>
      </c>
      <c r="P92" s="3">
        <f t="shared" ca="1" si="23"/>
        <v>0</v>
      </c>
      <c r="Q92" s="3">
        <f t="shared" ca="1" si="22"/>
        <v>1</v>
      </c>
      <c r="R92" s="3">
        <f t="shared" ca="1" si="22"/>
        <v>0</v>
      </c>
      <c r="S92" s="3">
        <f t="shared" ca="1" si="22"/>
        <v>1</v>
      </c>
      <c r="T92" s="3">
        <f t="shared" ca="1" si="22"/>
        <v>0</v>
      </c>
      <c r="U92" s="3">
        <f t="shared" ca="1" si="22"/>
        <v>1</v>
      </c>
      <c r="V92" s="3">
        <f t="shared" ca="1" si="22"/>
        <v>0</v>
      </c>
      <c r="W92" s="3">
        <f t="shared" ca="1" si="22"/>
        <v>1</v>
      </c>
      <c r="X92" s="3">
        <f t="shared" ca="1" si="22"/>
        <v>1</v>
      </c>
      <c r="Y92" s="3">
        <f t="shared" ca="1" si="22"/>
        <v>1</v>
      </c>
      <c r="Z92" s="3">
        <f t="shared" ca="1" si="22"/>
        <v>1</v>
      </c>
      <c r="AA92" s="3">
        <f t="shared" ca="1" si="22"/>
        <v>0</v>
      </c>
      <c r="AB92" s="3">
        <f t="shared" ca="1" si="22"/>
        <v>0</v>
      </c>
      <c r="AC92" s="3">
        <f t="shared" ca="1" si="22"/>
        <v>0</v>
      </c>
      <c r="AD92" s="3">
        <f t="shared" ca="1" si="22"/>
        <v>1</v>
      </c>
      <c r="AE92" s="3">
        <f t="shared" ca="1" si="22"/>
        <v>1</v>
      </c>
      <c r="AF92" s="3">
        <f t="shared" ref="AF92:AU100" ca="1" si="25">RANDBETWEEN(0,1)</f>
        <v>1</v>
      </c>
      <c r="AG92" s="3">
        <f t="shared" ca="1" si="25"/>
        <v>1</v>
      </c>
      <c r="AH92" s="3">
        <f t="shared" ca="1" si="25"/>
        <v>0</v>
      </c>
      <c r="AI92" s="3">
        <f t="shared" ca="1" si="25"/>
        <v>1</v>
      </c>
      <c r="AJ92" s="3">
        <f t="shared" ca="1" si="25"/>
        <v>0</v>
      </c>
      <c r="AK92" s="3">
        <f t="shared" ca="1" si="25"/>
        <v>0</v>
      </c>
      <c r="AL92" s="3">
        <f t="shared" ca="1" si="25"/>
        <v>0</v>
      </c>
      <c r="AM92" s="3">
        <f t="shared" ca="1" si="25"/>
        <v>1</v>
      </c>
      <c r="AN92" s="3">
        <f t="shared" ca="1" si="25"/>
        <v>0</v>
      </c>
      <c r="AO92" s="3">
        <f t="shared" ca="1" si="25"/>
        <v>0</v>
      </c>
      <c r="AP92" s="3">
        <f t="shared" ca="1" si="25"/>
        <v>1</v>
      </c>
      <c r="AQ92" s="3">
        <f t="shared" ca="1" si="25"/>
        <v>0</v>
      </c>
      <c r="AR92" s="3">
        <f t="shared" ca="1" si="25"/>
        <v>1</v>
      </c>
      <c r="AS92" s="3">
        <f t="shared" ca="1" si="25"/>
        <v>0</v>
      </c>
      <c r="AT92" s="3">
        <f t="shared" ca="1" si="25"/>
        <v>1</v>
      </c>
      <c r="AU92" s="3">
        <f t="shared" ca="1" si="25"/>
        <v>1</v>
      </c>
      <c r="AV92" s="3">
        <f t="shared" ca="1" si="24"/>
        <v>1</v>
      </c>
      <c r="AW92" s="3">
        <f t="shared" ca="1" si="24"/>
        <v>1</v>
      </c>
      <c r="AX92" s="3">
        <f t="shared" ca="1" si="16"/>
        <v>0</v>
      </c>
    </row>
    <row r="93" spans="1:50" x14ac:dyDescent="0.2">
      <c r="A93" s="3">
        <f t="shared" ca="1" si="23"/>
        <v>0</v>
      </c>
      <c r="B93" s="3">
        <f t="shared" ca="1" si="23"/>
        <v>0</v>
      </c>
      <c r="C93" s="3">
        <f t="shared" ca="1" si="23"/>
        <v>1</v>
      </c>
      <c r="D93" s="3">
        <f t="shared" ca="1" si="23"/>
        <v>1</v>
      </c>
      <c r="E93" s="3">
        <f t="shared" ca="1" si="23"/>
        <v>1</v>
      </c>
      <c r="F93" s="3">
        <f t="shared" ca="1" si="23"/>
        <v>1</v>
      </c>
      <c r="G93" s="3">
        <f t="shared" ca="1" si="23"/>
        <v>0</v>
      </c>
      <c r="H93" s="3">
        <f t="shared" ca="1" si="23"/>
        <v>1</v>
      </c>
      <c r="I93" s="3">
        <f t="shared" ca="1" si="23"/>
        <v>1</v>
      </c>
      <c r="J93" s="3">
        <f t="shared" ca="1" si="23"/>
        <v>0</v>
      </c>
      <c r="K93" s="3">
        <f t="shared" ca="1" si="23"/>
        <v>1</v>
      </c>
      <c r="L93" s="3">
        <f t="shared" ca="1" si="23"/>
        <v>1</v>
      </c>
      <c r="M93" s="3">
        <f t="shared" ca="1" si="23"/>
        <v>0</v>
      </c>
      <c r="N93" s="3">
        <f t="shared" ca="1" si="23"/>
        <v>0</v>
      </c>
      <c r="O93" s="3">
        <f t="shared" ca="1" si="23"/>
        <v>0</v>
      </c>
      <c r="P93" s="3">
        <f t="shared" ref="P93:AE100" ca="1" si="26">RANDBETWEEN(0,1)</f>
        <v>0</v>
      </c>
      <c r="Q93" s="3">
        <f t="shared" ca="1" si="26"/>
        <v>1</v>
      </c>
      <c r="R93" s="3">
        <f t="shared" ca="1" si="26"/>
        <v>0</v>
      </c>
      <c r="S93" s="3">
        <f t="shared" ca="1" si="26"/>
        <v>0</v>
      </c>
      <c r="T93" s="3">
        <f t="shared" ca="1" si="26"/>
        <v>0</v>
      </c>
      <c r="U93" s="3">
        <f t="shared" ca="1" si="26"/>
        <v>0</v>
      </c>
      <c r="V93" s="3">
        <f t="shared" ca="1" si="26"/>
        <v>0</v>
      </c>
      <c r="W93" s="3">
        <f t="shared" ca="1" si="26"/>
        <v>0</v>
      </c>
      <c r="X93" s="3">
        <f t="shared" ca="1" si="26"/>
        <v>1</v>
      </c>
      <c r="Y93" s="3">
        <f t="shared" ca="1" si="26"/>
        <v>1</v>
      </c>
      <c r="Z93" s="3">
        <f t="shared" ca="1" si="26"/>
        <v>0</v>
      </c>
      <c r="AA93" s="3">
        <f t="shared" ca="1" si="26"/>
        <v>0</v>
      </c>
      <c r="AB93" s="3">
        <f t="shared" ca="1" si="26"/>
        <v>1</v>
      </c>
      <c r="AC93" s="3">
        <f t="shared" ca="1" si="26"/>
        <v>1</v>
      </c>
      <c r="AD93" s="3">
        <f t="shared" ca="1" si="26"/>
        <v>1</v>
      </c>
      <c r="AE93" s="3">
        <f t="shared" ca="1" si="26"/>
        <v>0</v>
      </c>
      <c r="AF93" s="3">
        <f t="shared" ca="1" si="25"/>
        <v>1</v>
      </c>
      <c r="AG93" s="3">
        <f t="shared" ca="1" si="25"/>
        <v>1</v>
      </c>
      <c r="AH93" s="3">
        <f t="shared" ca="1" si="25"/>
        <v>1</v>
      </c>
      <c r="AI93" s="3">
        <f t="shared" ca="1" si="25"/>
        <v>0</v>
      </c>
      <c r="AJ93" s="3">
        <f t="shared" ca="1" si="25"/>
        <v>0</v>
      </c>
      <c r="AK93" s="3">
        <f t="shared" ca="1" si="25"/>
        <v>0</v>
      </c>
      <c r="AL93" s="3">
        <f t="shared" ca="1" si="25"/>
        <v>0</v>
      </c>
      <c r="AM93" s="3">
        <f t="shared" ca="1" si="25"/>
        <v>0</v>
      </c>
      <c r="AN93" s="3">
        <f t="shared" ca="1" si="25"/>
        <v>0</v>
      </c>
      <c r="AO93" s="3">
        <f t="shared" ca="1" si="25"/>
        <v>0</v>
      </c>
      <c r="AP93" s="3">
        <f t="shared" ca="1" si="25"/>
        <v>0</v>
      </c>
      <c r="AQ93" s="3">
        <f t="shared" ca="1" si="25"/>
        <v>0</v>
      </c>
      <c r="AR93" s="3">
        <f t="shared" ca="1" si="25"/>
        <v>1</v>
      </c>
      <c r="AS93" s="3">
        <f t="shared" ca="1" si="25"/>
        <v>0</v>
      </c>
      <c r="AT93" s="3">
        <f t="shared" ca="1" si="25"/>
        <v>0</v>
      </c>
      <c r="AU93" s="3">
        <f t="shared" ca="1" si="25"/>
        <v>1</v>
      </c>
      <c r="AV93" s="3">
        <f t="shared" ca="1" si="24"/>
        <v>1</v>
      </c>
      <c r="AW93" s="3">
        <f t="shared" ca="1" si="24"/>
        <v>0</v>
      </c>
      <c r="AX93" s="3">
        <f t="shared" ca="1" si="16"/>
        <v>0</v>
      </c>
    </row>
    <row r="94" spans="1:50" x14ac:dyDescent="0.2">
      <c r="A94" s="3">
        <f t="shared" ref="A94:P100" ca="1" si="27">RANDBETWEEN(0,1)</f>
        <v>0</v>
      </c>
      <c r="B94" s="3">
        <f t="shared" ca="1" si="27"/>
        <v>0</v>
      </c>
      <c r="C94" s="3">
        <f t="shared" ca="1" si="27"/>
        <v>0</v>
      </c>
      <c r="D94" s="3">
        <f t="shared" ca="1" si="27"/>
        <v>0</v>
      </c>
      <c r="E94" s="3">
        <f t="shared" ca="1" si="27"/>
        <v>0</v>
      </c>
      <c r="F94" s="3">
        <f t="shared" ca="1" si="27"/>
        <v>0</v>
      </c>
      <c r="G94" s="3">
        <f t="shared" ca="1" si="27"/>
        <v>1</v>
      </c>
      <c r="H94" s="3">
        <f t="shared" ca="1" si="27"/>
        <v>0</v>
      </c>
      <c r="I94" s="3">
        <f t="shared" ca="1" si="27"/>
        <v>1</v>
      </c>
      <c r="J94" s="3">
        <f t="shared" ca="1" si="27"/>
        <v>1</v>
      </c>
      <c r="K94" s="3">
        <f t="shared" ca="1" si="27"/>
        <v>1</v>
      </c>
      <c r="L94" s="3">
        <f t="shared" ca="1" si="27"/>
        <v>1</v>
      </c>
      <c r="M94" s="3">
        <f t="shared" ca="1" si="27"/>
        <v>1</v>
      </c>
      <c r="N94" s="3">
        <f t="shared" ca="1" si="27"/>
        <v>1</v>
      </c>
      <c r="O94" s="3">
        <f t="shared" ca="1" si="27"/>
        <v>1</v>
      </c>
      <c r="P94" s="3">
        <f t="shared" ca="1" si="27"/>
        <v>0</v>
      </c>
      <c r="Q94" s="3">
        <f t="shared" ca="1" si="26"/>
        <v>0</v>
      </c>
      <c r="R94" s="3">
        <f t="shared" ca="1" si="26"/>
        <v>0</v>
      </c>
      <c r="S94" s="3">
        <f t="shared" ca="1" si="26"/>
        <v>1</v>
      </c>
      <c r="T94" s="3">
        <f t="shared" ca="1" si="26"/>
        <v>1</v>
      </c>
      <c r="U94" s="3">
        <f t="shared" ca="1" si="26"/>
        <v>1</v>
      </c>
      <c r="V94" s="3">
        <f t="shared" ca="1" si="26"/>
        <v>0</v>
      </c>
      <c r="W94" s="3">
        <f t="shared" ca="1" si="26"/>
        <v>0</v>
      </c>
      <c r="X94" s="3">
        <f t="shared" ca="1" si="26"/>
        <v>1</v>
      </c>
      <c r="Y94" s="3">
        <f t="shared" ca="1" si="26"/>
        <v>0</v>
      </c>
      <c r="Z94" s="3">
        <f t="shared" ca="1" si="26"/>
        <v>0</v>
      </c>
      <c r="AA94" s="3">
        <f t="shared" ca="1" si="26"/>
        <v>0</v>
      </c>
      <c r="AB94" s="3">
        <f t="shared" ca="1" si="26"/>
        <v>0</v>
      </c>
      <c r="AC94" s="3">
        <f t="shared" ca="1" si="26"/>
        <v>1</v>
      </c>
      <c r="AD94" s="3">
        <f t="shared" ca="1" si="26"/>
        <v>0</v>
      </c>
      <c r="AE94" s="3">
        <f t="shared" ca="1" si="26"/>
        <v>0</v>
      </c>
      <c r="AF94" s="3">
        <f t="shared" ca="1" si="25"/>
        <v>0</v>
      </c>
      <c r="AG94" s="3">
        <f t="shared" ca="1" si="25"/>
        <v>1</v>
      </c>
      <c r="AH94" s="3">
        <f t="shared" ca="1" si="25"/>
        <v>1</v>
      </c>
      <c r="AI94" s="3">
        <f t="shared" ca="1" si="25"/>
        <v>1</v>
      </c>
      <c r="AJ94" s="3">
        <f t="shared" ca="1" si="25"/>
        <v>0</v>
      </c>
      <c r="AK94" s="3">
        <f t="shared" ca="1" si="25"/>
        <v>1</v>
      </c>
      <c r="AL94" s="3">
        <f t="shared" ca="1" si="25"/>
        <v>1</v>
      </c>
      <c r="AM94" s="3">
        <f t="shared" ca="1" si="25"/>
        <v>0</v>
      </c>
      <c r="AN94" s="3">
        <f t="shared" ca="1" si="25"/>
        <v>1</v>
      </c>
      <c r="AO94" s="3">
        <f t="shared" ca="1" si="25"/>
        <v>0</v>
      </c>
      <c r="AP94" s="3">
        <f t="shared" ca="1" si="25"/>
        <v>1</v>
      </c>
      <c r="AQ94" s="3">
        <f t="shared" ca="1" si="25"/>
        <v>0</v>
      </c>
      <c r="AR94" s="3">
        <f t="shared" ca="1" si="25"/>
        <v>1</v>
      </c>
      <c r="AS94" s="3">
        <f t="shared" ca="1" si="25"/>
        <v>1</v>
      </c>
      <c r="AT94" s="3">
        <f t="shared" ca="1" si="25"/>
        <v>0</v>
      </c>
      <c r="AU94" s="3">
        <f t="shared" ca="1" si="25"/>
        <v>1</v>
      </c>
      <c r="AV94" s="3">
        <f t="shared" ca="1" si="24"/>
        <v>1</v>
      </c>
      <c r="AW94" s="3">
        <f t="shared" ca="1" si="24"/>
        <v>1</v>
      </c>
      <c r="AX94" s="3">
        <f t="shared" ca="1" si="16"/>
        <v>1</v>
      </c>
    </row>
    <row r="95" spans="1:50" x14ac:dyDescent="0.2">
      <c r="A95" s="3">
        <f t="shared" ca="1" si="27"/>
        <v>0</v>
      </c>
      <c r="B95" s="3">
        <f t="shared" ca="1" si="27"/>
        <v>0</v>
      </c>
      <c r="C95" s="3">
        <f t="shared" ca="1" si="27"/>
        <v>0</v>
      </c>
      <c r="D95" s="3">
        <f t="shared" ca="1" si="27"/>
        <v>1</v>
      </c>
      <c r="E95" s="3">
        <f t="shared" ca="1" si="27"/>
        <v>0</v>
      </c>
      <c r="F95" s="3">
        <f t="shared" ca="1" si="27"/>
        <v>1</v>
      </c>
      <c r="G95" s="3">
        <f t="shared" ca="1" si="27"/>
        <v>1</v>
      </c>
      <c r="H95" s="3">
        <f t="shared" ca="1" si="27"/>
        <v>0</v>
      </c>
      <c r="I95" s="3">
        <f t="shared" ca="1" si="27"/>
        <v>1</v>
      </c>
      <c r="J95" s="3">
        <f t="shared" ca="1" si="27"/>
        <v>1</v>
      </c>
      <c r="K95" s="3">
        <f t="shared" ca="1" si="27"/>
        <v>1</v>
      </c>
      <c r="L95" s="3">
        <f t="shared" ca="1" si="27"/>
        <v>0</v>
      </c>
      <c r="M95" s="3">
        <f t="shared" ca="1" si="27"/>
        <v>1</v>
      </c>
      <c r="N95" s="3">
        <f t="shared" ca="1" si="27"/>
        <v>0</v>
      </c>
      <c r="O95" s="3">
        <f t="shared" ca="1" si="27"/>
        <v>0</v>
      </c>
      <c r="P95" s="3">
        <f t="shared" ca="1" si="27"/>
        <v>1</v>
      </c>
      <c r="Q95" s="3">
        <f t="shared" ca="1" si="26"/>
        <v>1</v>
      </c>
      <c r="R95" s="3">
        <f t="shared" ca="1" si="26"/>
        <v>1</v>
      </c>
      <c r="S95" s="3">
        <f t="shared" ca="1" si="26"/>
        <v>1</v>
      </c>
      <c r="T95" s="3">
        <f t="shared" ca="1" si="26"/>
        <v>0</v>
      </c>
      <c r="U95" s="3">
        <f t="shared" ca="1" si="26"/>
        <v>0</v>
      </c>
      <c r="V95" s="3">
        <f t="shared" ca="1" si="26"/>
        <v>1</v>
      </c>
      <c r="W95" s="3">
        <f t="shared" ca="1" si="26"/>
        <v>0</v>
      </c>
      <c r="X95" s="3">
        <f t="shared" ca="1" si="26"/>
        <v>1</v>
      </c>
      <c r="Y95" s="3">
        <f t="shared" ca="1" si="26"/>
        <v>0</v>
      </c>
      <c r="Z95" s="3">
        <f t="shared" ca="1" si="26"/>
        <v>0</v>
      </c>
      <c r="AA95" s="3">
        <f t="shared" ca="1" si="26"/>
        <v>1</v>
      </c>
      <c r="AB95" s="3">
        <f t="shared" ca="1" si="26"/>
        <v>0</v>
      </c>
      <c r="AC95" s="3">
        <f t="shared" ca="1" si="26"/>
        <v>0</v>
      </c>
      <c r="AD95" s="3">
        <f t="shared" ca="1" si="26"/>
        <v>0</v>
      </c>
      <c r="AE95" s="3">
        <f t="shared" ca="1" si="26"/>
        <v>0</v>
      </c>
      <c r="AF95" s="3">
        <f t="shared" ca="1" si="25"/>
        <v>0</v>
      </c>
      <c r="AG95" s="3">
        <f t="shared" ca="1" si="25"/>
        <v>0</v>
      </c>
      <c r="AH95" s="3">
        <f t="shared" ca="1" si="25"/>
        <v>0</v>
      </c>
      <c r="AI95" s="3">
        <f t="shared" ca="1" si="25"/>
        <v>0</v>
      </c>
      <c r="AJ95" s="3">
        <f t="shared" ca="1" si="25"/>
        <v>1</v>
      </c>
      <c r="AK95" s="3">
        <f t="shared" ca="1" si="25"/>
        <v>1</v>
      </c>
      <c r="AL95" s="3">
        <f t="shared" ca="1" si="25"/>
        <v>1</v>
      </c>
      <c r="AM95" s="3">
        <f t="shared" ca="1" si="25"/>
        <v>1</v>
      </c>
      <c r="AN95" s="3">
        <f t="shared" ca="1" si="25"/>
        <v>1</v>
      </c>
      <c r="AO95" s="3">
        <f t="shared" ca="1" si="25"/>
        <v>1</v>
      </c>
      <c r="AP95" s="3">
        <f t="shared" ca="1" si="25"/>
        <v>0</v>
      </c>
      <c r="AQ95" s="3">
        <f t="shared" ca="1" si="25"/>
        <v>0</v>
      </c>
      <c r="AR95" s="3">
        <f t="shared" ca="1" si="25"/>
        <v>1</v>
      </c>
      <c r="AS95" s="3">
        <f t="shared" ca="1" si="25"/>
        <v>1</v>
      </c>
      <c r="AT95" s="3">
        <f t="shared" ca="1" si="25"/>
        <v>0</v>
      </c>
      <c r="AU95" s="3">
        <f t="shared" ca="1" si="25"/>
        <v>1</v>
      </c>
      <c r="AV95" s="3">
        <f t="shared" ca="1" si="24"/>
        <v>1</v>
      </c>
      <c r="AW95" s="3">
        <f t="shared" ca="1" si="24"/>
        <v>0</v>
      </c>
      <c r="AX95" s="3">
        <f t="shared" ca="1" si="16"/>
        <v>1</v>
      </c>
    </row>
    <row r="96" spans="1:50" x14ac:dyDescent="0.2">
      <c r="A96" s="3">
        <f t="shared" ca="1" si="27"/>
        <v>0</v>
      </c>
      <c r="B96" s="3">
        <f t="shared" ca="1" si="27"/>
        <v>1</v>
      </c>
      <c r="C96" s="3">
        <f t="shared" ca="1" si="27"/>
        <v>1</v>
      </c>
      <c r="D96" s="3">
        <f t="shared" ca="1" si="27"/>
        <v>0</v>
      </c>
      <c r="E96" s="3">
        <f t="shared" ca="1" si="27"/>
        <v>1</v>
      </c>
      <c r="F96" s="3">
        <f t="shared" ca="1" si="27"/>
        <v>0</v>
      </c>
      <c r="G96" s="3">
        <f t="shared" ca="1" si="27"/>
        <v>0</v>
      </c>
      <c r="H96" s="3">
        <f t="shared" ca="1" si="27"/>
        <v>0</v>
      </c>
      <c r="I96" s="3">
        <f t="shared" ca="1" si="27"/>
        <v>0</v>
      </c>
      <c r="J96" s="3">
        <f t="shared" ca="1" si="27"/>
        <v>0</v>
      </c>
      <c r="K96" s="3">
        <f t="shared" ca="1" si="27"/>
        <v>0</v>
      </c>
      <c r="L96" s="3">
        <f t="shared" ca="1" si="27"/>
        <v>0</v>
      </c>
      <c r="M96" s="3">
        <f t="shared" ca="1" si="27"/>
        <v>0</v>
      </c>
      <c r="N96" s="3">
        <f t="shared" ca="1" si="27"/>
        <v>1</v>
      </c>
      <c r="O96" s="3">
        <f t="shared" ca="1" si="27"/>
        <v>0</v>
      </c>
      <c r="P96" s="3">
        <f t="shared" ca="1" si="27"/>
        <v>0</v>
      </c>
      <c r="Q96" s="3">
        <f t="shared" ca="1" si="26"/>
        <v>0</v>
      </c>
      <c r="R96" s="3">
        <f t="shared" ca="1" si="26"/>
        <v>0</v>
      </c>
      <c r="S96" s="3">
        <f t="shared" ca="1" si="26"/>
        <v>0</v>
      </c>
      <c r="T96" s="3">
        <f t="shared" ca="1" si="26"/>
        <v>0</v>
      </c>
      <c r="U96" s="3">
        <f t="shared" ca="1" si="26"/>
        <v>1</v>
      </c>
      <c r="V96" s="3">
        <f t="shared" ca="1" si="26"/>
        <v>0</v>
      </c>
      <c r="W96" s="3">
        <f t="shared" ca="1" si="26"/>
        <v>1</v>
      </c>
      <c r="X96" s="3">
        <f t="shared" ca="1" si="26"/>
        <v>0</v>
      </c>
      <c r="Y96" s="3">
        <f t="shared" ca="1" si="26"/>
        <v>0</v>
      </c>
      <c r="Z96" s="3">
        <f t="shared" ca="1" si="26"/>
        <v>1</v>
      </c>
      <c r="AA96" s="3">
        <f t="shared" ca="1" si="26"/>
        <v>0</v>
      </c>
      <c r="AB96" s="3">
        <f t="shared" ca="1" si="26"/>
        <v>0</v>
      </c>
      <c r="AC96" s="3">
        <f t="shared" ca="1" si="26"/>
        <v>0</v>
      </c>
      <c r="AD96" s="3">
        <f t="shared" ca="1" si="26"/>
        <v>0</v>
      </c>
      <c r="AE96" s="3">
        <f t="shared" ca="1" si="26"/>
        <v>0</v>
      </c>
      <c r="AF96" s="3">
        <f t="shared" ca="1" si="25"/>
        <v>0</v>
      </c>
      <c r="AG96" s="3">
        <f t="shared" ca="1" si="25"/>
        <v>1</v>
      </c>
      <c r="AH96" s="3">
        <f t="shared" ca="1" si="25"/>
        <v>1</v>
      </c>
      <c r="AI96" s="3">
        <f t="shared" ca="1" si="25"/>
        <v>1</v>
      </c>
      <c r="AJ96" s="3">
        <f t="shared" ca="1" si="25"/>
        <v>1</v>
      </c>
      <c r="AK96" s="3">
        <f t="shared" ca="1" si="25"/>
        <v>0</v>
      </c>
      <c r="AL96" s="3">
        <f t="shared" ca="1" si="25"/>
        <v>1</v>
      </c>
      <c r="AM96" s="3">
        <f t="shared" ca="1" si="25"/>
        <v>1</v>
      </c>
      <c r="AN96" s="3">
        <f t="shared" ca="1" si="25"/>
        <v>0</v>
      </c>
      <c r="AO96" s="3">
        <f t="shared" ca="1" si="25"/>
        <v>1</v>
      </c>
      <c r="AP96" s="3">
        <f t="shared" ca="1" si="25"/>
        <v>1</v>
      </c>
      <c r="AQ96" s="3">
        <f t="shared" ca="1" si="25"/>
        <v>1</v>
      </c>
      <c r="AR96" s="3">
        <f t="shared" ca="1" si="25"/>
        <v>1</v>
      </c>
      <c r="AS96" s="3">
        <f t="shared" ca="1" si="25"/>
        <v>1</v>
      </c>
      <c r="AT96" s="3">
        <f t="shared" ca="1" si="25"/>
        <v>1</v>
      </c>
      <c r="AU96" s="3">
        <f t="shared" ca="1" si="25"/>
        <v>0</v>
      </c>
      <c r="AV96" s="3">
        <f t="shared" ca="1" si="24"/>
        <v>0</v>
      </c>
      <c r="AW96" s="3">
        <f t="shared" ca="1" si="24"/>
        <v>1</v>
      </c>
      <c r="AX96" s="3">
        <f t="shared" ca="1" si="16"/>
        <v>1</v>
      </c>
    </row>
    <row r="97" spans="1:50" x14ac:dyDescent="0.2">
      <c r="A97" s="3">
        <f t="shared" ca="1" si="27"/>
        <v>1</v>
      </c>
      <c r="B97" s="3">
        <f t="shared" ca="1" si="27"/>
        <v>1</v>
      </c>
      <c r="C97" s="3">
        <f t="shared" ca="1" si="27"/>
        <v>1</v>
      </c>
      <c r="D97" s="3">
        <f t="shared" ca="1" si="27"/>
        <v>0</v>
      </c>
      <c r="E97" s="3">
        <f t="shared" ca="1" si="27"/>
        <v>0</v>
      </c>
      <c r="F97" s="3">
        <f t="shared" ca="1" si="27"/>
        <v>0</v>
      </c>
      <c r="G97" s="3">
        <f t="shared" ca="1" si="27"/>
        <v>0</v>
      </c>
      <c r="H97" s="3">
        <f t="shared" ca="1" si="27"/>
        <v>1</v>
      </c>
      <c r="I97" s="3">
        <f t="shared" ca="1" si="27"/>
        <v>1</v>
      </c>
      <c r="J97" s="3">
        <f t="shared" ca="1" si="27"/>
        <v>0</v>
      </c>
      <c r="K97" s="3">
        <f t="shared" ca="1" si="27"/>
        <v>1</v>
      </c>
      <c r="L97" s="3">
        <f t="shared" ca="1" si="27"/>
        <v>0</v>
      </c>
      <c r="M97" s="3">
        <f t="shared" ca="1" si="27"/>
        <v>1</v>
      </c>
      <c r="N97" s="3">
        <f t="shared" ca="1" si="27"/>
        <v>0</v>
      </c>
      <c r="O97" s="3">
        <f t="shared" ca="1" si="27"/>
        <v>0</v>
      </c>
      <c r="P97" s="3">
        <f t="shared" ca="1" si="27"/>
        <v>0</v>
      </c>
      <c r="Q97" s="3">
        <f t="shared" ca="1" si="26"/>
        <v>0</v>
      </c>
      <c r="R97" s="3">
        <f t="shared" ca="1" si="26"/>
        <v>0</v>
      </c>
      <c r="S97" s="3">
        <f t="shared" ca="1" si="26"/>
        <v>1</v>
      </c>
      <c r="T97" s="3">
        <f t="shared" ca="1" si="26"/>
        <v>1</v>
      </c>
      <c r="U97" s="3">
        <f t="shared" ca="1" si="26"/>
        <v>1</v>
      </c>
      <c r="V97" s="3">
        <f t="shared" ca="1" si="26"/>
        <v>1</v>
      </c>
      <c r="W97" s="3">
        <f t="shared" ca="1" si="26"/>
        <v>0</v>
      </c>
      <c r="X97" s="3">
        <f t="shared" ca="1" si="26"/>
        <v>0</v>
      </c>
      <c r="Y97" s="3">
        <f t="shared" ca="1" si="26"/>
        <v>0</v>
      </c>
      <c r="Z97" s="3">
        <f t="shared" ca="1" si="26"/>
        <v>0</v>
      </c>
      <c r="AA97" s="3">
        <f t="shared" ca="1" si="26"/>
        <v>0</v>
      </c>
      <c r="AB97" s="3">
        <f t="shared" ca="1" si="26"/>
        <v>0</v>
      </c>
      <c r="AC97" s="3">
        <f t="shared" ca="1" si="26"/>
        <v>1</v>
      </c>
      <c r="AD97" s="3">
        <f t="shared" ca="1" si="26"/>
        <v>0</v>
      </c>
      <c r="AE97" s="3">
        <f t="shared" ca="1" si="26"/>
        <v>0</v>
      </c>
      <c r="AF97" s="3">
        <f t="shared" ca="1" si="25"/>
        <v>0</v>
      </c>
      <c r="AG97" s="3">
        <f t="shared" ca="1" si="25"/>
        <v>0</v>
      </c>
      <c r="AH97" s="3">
        <f t="shared" ca="1" si="25"/>
        <v>1</v>
      </c>
      <c r="AI97" s="3">
        <f t="shared" ca="1" si="25"/>
        <v>0</v>
      </c>
      <c r="AJ97" s="3">
        <f t="shared" ca="1" si="25"/>
        <v>1</v>
      </c>
      <c r="AK97" s="3">
        <f t="shared" ca="1" si="25"/>
        <v>1</v>
      </c>
      <c r="AL97" s="3">
        <f t="shared" ca="1" si="25"/>
        <v>0</v>
      </c>
      <c r="AM97" s="3">
        <f t="shared" ca="1" si="25"/>
        <v>0</v>
      </c>
      <c r="AN97" s="3">
        <f t="shared" ca="1" si="25"/>
        <v>1</v>
      </c>
      <c r="AO97" s="3">
        <f t="shared" ca="1" si="25"/>
        <v>0</v>
      </c>
      <c r="AP97" s="3">
        <f t="shared" ca="1" si="25"/>
        <v>0</v>
      </c>
      <c r="AQ97" s="3">
        <f t="shared" ca="1" si="25"/>
        <v>1</v>
      </c>
      <c r="AR97" s="3">
        <f t="shared" ca="1" si="25"/>
        <v>0</v>
      </c>
      <c r="AS97" s="3">
        <f t="shared" ca="1" si="25"/>
        <v>0</v>
      </c>
      <c r="AT97" s="3">
        <f t="shared" ca="1" si="25"/>
        <v>0</v>
      </c>
      <c r="AU97" s="3">
        <f t="shared" ca="1" si="25"/>
        <v>0</v>
      </c>
      <c r="AV97" s="3">
        <f t="shared" ca="1" si="24"/>
        <v>0</v>
      </c>
      <c r="AW97" s="3">
        <f t="shared" ca="1" si="24"/>
        <v>0</v>
      </c>
      <c r="AX97" s="3">
        <f t="shared" ca="1" si="16"/>
        <v>0</v>
      </c>
    </row>
    <row r="98" spans="1:50" x14ac:dyDescent="0.2">
      <c r="A98" s="3">
        <f t="shared" ca="1" si="27"/>
        <v>0</v>
      </c>
      <c r="B98" s="3">
        <f t="shared" ca="1" si="27"/>
        <v>0</v>
      </c>
      <c r="C98" s="3">
        <f t="shared" ca="1" si="27"/>
        <v>1</v>
      </c>
      <c r="D98" s="3">
        <f t="shared" ca="1" si="27"/>
        <v>1</v>
      </c>
      <c r="E98" s="3">
        <f t="shared" ca="1" si="27"/>
        <v>0</v>
      </c>
      <c r="F98" s="3">
        <f t="shared" ca="1" si="27"/>
        <v>0</v>
      </c>
      <c r="G98" s="3">
        <f t="shared" ca="1" si="27"/>
        <v>1</v>
      </c>
      <c r="H98" s="3">
        <f t="shared" ca="1" si="27"/>
        <v>1</v>
      </c>
      <c r="I98" s="3">
        <f t="shared" ca="1" si="27"/>
        <v>0</v>
      </c>
      <c r="J98" s="3">
        <f t="shared" ca="1" si="27"/>
        <v>0</v>
      </c>
      <c r="K98" s="3">
        <f t="shared" ca="1" si="27"/>
        <v>0</v>
      </c>
      <c r="L98" s="3">
        <f t="shared" ca="1" si="27"/>
        <v>0</v>
      </c>
      <c r="M98" s="3">
        <f t="shared" ca="1" si="27"/>
        <v>0</v>
      </c>
      <c r="N98" s="3">
        <f t="shared" ca="1" si="27"/>
        <v>0</v>
      </c>
      <c r="O98" s="3">
        <f t="shared" ca="1" si="27"/>
        <v>1</v>
      </c>
      <c r="P98" s="3">
        <f t="shared" ca="1" si="27"/>
        <v>0</v>
      </c>
      <c r="Q98" s="3">
        <f t="shared" ca="1" si="26"/>
        <v>1</v>
      </c>
      <c r="R98" s="3">
        <f t="shared" ca="1" si="26"/>
        <v>1</v>
      </c>
      <c r="S98" s="3">
        <f t="shared" ca="1" si="26"/>
        <v>0</v>
      </c>
      <c r="T98" s="3">
        <f t="shared" ca="1" si="26"/>
        <v>1</v>
      </c>
      <c r="U98" s="3">
        <f t="shared" ca="1" si="26"/>
        <v>0</v>
      </c>
      <c r="V98" s="3">
        <f t="shared" ca="1" si="26"/>
        <v>1</v>
      </c>
      <c r="W98" s="3">
        <f t="shared" ca="1" si="26"/>
        <v>0</v>
      </c>
      <c r="X98" s="3">
        <f t="shared" ca="1" si="26"/>
        <v>0</v>
      </c>
      <c r="Y98" s="3">
        <f t="shared" ca="1" si="26"/>
        <v>0</v>
      </c>
      <c r="Z98" s="3">
        <f t="shared" ca="1" si="26"/>
        <v>1</v>
      </c>
      <c r="AA98" s="3">
        <f t="shared" ca="1" si="26"/>
        <v>0</v>
      </c>
      <c r="AB98" s="3">
        <f t="shared" ca="1" si="26"/>
        <v>1</v>
      </c>
      <c r="AC98" s="3">
        <f t="shared" ca="1" si="26"/>
        <v>1</v>
      </c>
      <c r="AD98" s="3">
        <f t="shared" ca="1" si="26"/>
        <v>0</v>
      </c>
      <c r="AE98" s="3">
        <f t="shared" ca="1" si="26"/>
        <v>0</v>
      </c>
      <c r="AF98" s="3">
        <f t="shared" ca="1" si="25"/>
        <v>0</v>
      </c>
      <c r="AG98" s="3">
        <f t="shared" ca="1" si="25"/>
        <v>0</v>
      </c>
      <c r="AH98" s="3">
        <f t="shared" ca="1" si="25"/>
        <v>0</v>
      </c>
      <c r="AI98" s="3">
        <f t="shared" ca="1" si="25"/>
        <v>1</v>
      </c>
      <c r="AJ98" s="3">
        <f t="shared" ca="1" si="25"/>
        <v>1</v>
      </c>
      <c r="AK98" s="3">
        <f t="shared" ca="1" si="25"/>
        <v>1</v>
      </c>
      <c r="AL98" s="3">
        <f t="shared" ca="1" si="25"/>
        <v>0</v>
      </c>
      <c r="AM98" s="3">
        <f t="shared" ca="1" si="25"/>
        <v>0</v>
      </c>
      <c r="AN98" s="3">
        <f t="shared" ca="1" si="25"/>
        <v>0</v>
      </c>
      <c r="AO98" s="3">
        <f t="shared" ca="1" si="25"/>
        <v>0</v>
      </c>
      <c r="AP98" s="3">
        <f t="shared" ca="1" si="25"/>
        <v>0</v>
      </c>
      <c r="AQ98" s="3">
        <f t="shared" ca="1" si="25"/>
        <v>0</v>
      </c>
      <c r="AR98" s="3">
        <f t="shared" ca="1" si="25"/>
        <v>1</v>
      </c>
      <c r="AS98" s="3">
        <f t="shared" ca="1" si="25"/>
        <v>0</v>
      </c>
      <c r="AT98" s="3">
        <f t="shared" ca="1" si="25"/>
        <v>0</v>
      </c>
      <c r="AU98" s="3">
        <f t="shared" ca="1" si="25"/>
        <v>1</v>
      </c>
      <c r="AV98" s="3">
        <f t="shared" ca="1" si="24"/>
        <v>1</v>
      </c>
      <c r="AW98" s="3">
        <f t="shared" ca="1" si="24"/>
        <v>1</v>
      </c>
      <c r="AX98" s="3">
        <f t="shared" ca="1" si="16"/>
        <v>1</v>
      </c>
    </row>
    <row r="99" spans="1:50" x14ac:dyDescent="0.2">
      <c r="A99" s="3">
        <f t="shared" ca="1" si="27"/>
        <v>1</v>
      </c>
      <c r="B99" s="3">
        <f t="shared" ca="1" si="27"/>
        <v>1</v>
      </c>
      <c r="C99" s="3">
        <f t="shared" ca="1" si="27"/>
        <v>0</v>
      </c>
      <c r="D99" s="3">
        <f t="shared" ca="1" si="27"/>
        <v>0</v>
      </c>
      <c r="E99" s="3">
        <f t="shared" ca="1" si="27"/>
        <v>0</v>
      </c>
      <c r="F99" s="3">
        <f t="shared" ca="1" si="27"/>
        <v>1</v>
      </c>
      <c r="G99" s="3">
        <f t="shared" ca="1" si="27"/>
        <v>1</v>
      </c>
      <c r="H99" s="3">
        <f t="shared" ca="1" si="27"/>
        <v>0</v>
      </c>
      <c r="I99" s="3">
        <f t="shared" ca="1" si="27"/>
        <v>0</v>
      </c>
      <c r="J99" s="3">
        <f t="shared" ca="1" si="27"/>
        <v>1</v>
      </c>
      <c r="K99" s="3">
        <f t="shared" ca="1" si="27"/>
        <v>0</v>
      </c>
      <c r="L99" s="3">
        <f t="shared" ca="1" si="27"/>
        <v>1</v>
      </c>
      <c r="M99" s="3">
        <f t="shared" ca="1" si="27"/>
        <v>0</v>
      </c>
      <c r="N99" s="3">
        <f t="shared" ca="1" si="27"/>
        <v>1</v>
      </c>
      <c r="O99" s="3">
        <f t="shared" ca="1" si="27"/>
        <v>1</v>
      </c>
      <c r="P99" s="3">
        <f t="shared" ca="1" si="27"/>
        <v>1</v>
      </c>
      <c r="Q99" s="3">
        <f t="shared" ca="1" si="26"/>
        <v>1</v>
      </c>
      <c r="R99" s="3">
        <f t="shared" ca="1" si="26"/>
        <v>0</v>
      </c>
      <c r="S99" s="3">
        <f t="shared" ca="1" si="26"/>
        <v>0</v>
      </c>
      <c r="T99" s="3">
        <f t="shared" ca="1" si="26"/>
        <v>1</v>
      </c>
      <c r="U99" s="3">
        <f t="shared" ca="1" si="26"/>
        <v>0</v>
      </c>
      <c r="V99" s="3">
        <f t="shared" ca="1" si="26"/>
        <v>1</v>
      </c>
      <c r="W99" s="3">
        <f t="shared" ca="1" si="26"/>
        <v>0</v>
      </c>
      <c r="X99" s="3">
        <f t="shared" ca="1" si="26"/>
        <v>0</v>
      </c>
      <c r="Y99" s="3">
        <f t="shared" ca="1" si="26"/>
        <v>0</v>
      </c>
      <c r="Z99" s="3">
        <f t="shared" ca="1" si="26"/>
        <v>0</v>
      </c>
      <c r="AA99" s="3">
        <f t="shared" ca="1" si="26"/>
        <v>1</v>
      </c>
      <c r="AB99" s="3">
        <f t="shared" ca="1" si="26"/>
        <v>1</v>
      </c>
      <c r="AC99" s="3">
        <f t="shared" ca="1" si="26"/>
        <v>0</v>
      </c>
      <c r="AD99" s="3">
        <f t="shared" ca="1" si="26"/>
        <v>0</v>
      </c>
      <c r="AE99" s="3">
        <f t="shared" ca="1" si="26"/>
        <v>0</v>
      </c>
      <c r="AF99" s="3">
        <f t="shared" ca="1" si="25"/>
        <v>0</v>
      </c>
      <c r="AG99" s="3">
        <f t="shared" ca="1" si="25"/>
        <v>1</v>
      </c>
      <c r="AH99" s="3">
        <f t="shared" ca="1" si="25"/>
        <v>0</v>
      </c>
      <c r="AI99" s="3">
        <f t="shared" ca="1" si="25"/>
        <v>1</v>
      </c>
      <c r="AJ99" s="3">
        <f t="shared" ca="1" si="25"/>
        <v>0</v>
      </c>
      <c r="AK99" s="3">
        <f t="shared" ca="1" si="25"/>
        <v>0</v>
      </c>
      <c r="AL99" s="3">
        <f t="shared" ca="1" si="25"/>
        <v>0</v>
      </c>
      <c r="AM99" s="3">
        <f t="shared" ca="1" si="25"/>
        <v>1</v>
      </c>
      <c r="AN99" s="3">
        <f t="shared" ca="1" si="25"/>
        <v>1</v>
      </c>
      <c r="AO99" s="3">
        <f t="shared" ca="1" si="25"/>
        <v>0</v>
      </c>
      <c r="AP99" s="3">
        <f t="shared" ca="1" si="25"/>
        <v>1</v>
      </c>
      <c r="AQ99" s="3">
        <f t="shared" ca="1" si="25"/>
        <v>0</v>
      </c>
      <c r="AR99" s="3">
        <f t="shared" ca="1" si="25"/>
        <v>0</v>
      </c>
      <c r="AS99" s="3">
        <f t="shared" ca="1" si="25"/>
        <v>0</v>
      </c>
      <c r="AT99" s="3">
        <f t="shared" ca="1" si="25"/>
        <v>0</v>
      </c>
      <c r="AU99" s="3">
        <f t="shared" ca="1" si="25"/>
        <v>1</v>
      </c>
      <c r="AV99" s="3">
        <f t="shared" ca="1" si="24"/>
        <v>0</v>
      </c>
      <c r="AW99" s="3">
        <f t="shared" ca="1" si="24"/>
        <v>1</v>
      </c>
      <c r="AX99" s="3">
        <f t="shared" ca="1" si="16"/>
        <v>1</v>
      </c>
    </row>
    <row r="100" spans="1:50" x14ac:dyDescent="0.2">
      <c r="A100" s="3">
        <f t="shared" ca="1" si="27"/>
        <v>1</v>
      </c>
      <c r="B100" s="3">
        <f t="shared" ca="1" si="27"/>
        <v>1</v>
      </c>
      <c r="C100" s="3">
        <f t="shared" ca="1" si="27"/>
        <v>0</v>
      </c>
      <c r="D100" s="3">
        <f t="shared" ca="1" si="27"/>
        <v>0</v>
      </c>
      <c r="E100" s="3">
        <f t="shared" ca="1" si="27"/>
        <v>1</v>
      </c>
      <c r="F100" s="3">
        <f t="shared" ca="1" si="27"/>
        <v>1</v>
      </c>
      <c r="G100" s="3">
        <f t="shared" ca="1" si="27"/>
        <v>0</v>
      </c>
      <c r="H100" s="3">
        <f t="shared" ca="1" si="27"/>
        <v>1</v>
      </c>
      <c r="I100" s="3">
        <f t="shared" ca="1" si="27"/>
        <v>1</v>
      </c>
      <c r="J100" s="3">
        <f t="shared" ca="1" si="27"/>
        <v>0</v>
      </c>
      <c r="K100" s="3">
        <f t="shared" ca="1" si="27"/>
        <v>0</v>
      </c>
      <c r="L100" s="3">
        <f t="shared" ca="1" si="27"/>
        <v>1</v>
      </c>
      <c r="M100" s="3">
        <f t="shared" ca="1" si="27"/>
        <v>0</v>
      </c>
      <c r="N100" s="3">
        <f t="shared" ca="1" si="27"/>
        <v>0</v>
      </c>
      <c r="O100" s="3">
        <f t="shared" ca="1" si="27"/>
        <v>0</v>
      </c>
      <c r="P100" s="3">
        <f t="shared" ca="1" si="27"/>
        <v>0</v>
      </c>
      <c r="Q100" s="3">
        <f t="shared" ca="1" si="26"/>
        <v>0</v>
      </c>
      <c r="R100" s="3">
        <f t="shared" ca="1" si="26"/>
        <v>0</v>
      </c>
      <c r="S100" s="3">
        <f t="shared" ca="1" si="26"/>
        <v>1</v>
      </c>
      <c r="T100" s="3">
        <f t="shared" ca="1" si="26"/>
        <v>1</v>
      </c>
      <c r="U100" s="3">
        <f t="shared" ca="1" si="26"/>
        <v>0</v>
      </c>
      <c r="V100" s="3">
        <f t="shared" ca="1" si="26"/>
        <v>1</v>
      </c>
      <c r="W100" s="3">
        <f t="shared" ca="1" si="26"/>
        <v>1</v>
      </c>
      <c r="X100" s="3">
        <f t="shared" ca="1" si="26"/>
        <v>1</v>
      </c>
      <c r="Y100" s="3">
        <f t="shared" ca="1" si="26"/>
        <v>1</v>
      </c>
      <c r="Z100" s="3">
        <f t="shared" ca="1" si="26"/>
        <v>1</v>
      </c>
      <c r="AA100" s="3">
        <f t="shared" ca="1" si="26"/>
        <v>1</v>
      </c>
      <c r="AB100" s="3">
        <f t="shared" ca="1" si="26"/>
        <v>0</v>
      </c>
      <c r="AC100" s="3">
        <f t="shared" ca="1" si="26"/>
        <v>0</v>
      </c>
      <c r="AD100" s="3">
        <f t="shared" ca="1" si="26"/>
        <v>0</v>
      </c>
      <c r="AE100" s="3">
        <f t="shared" ca="1" si="26"/>
        <v>1</v>
      </c>
      <c r="AF100" s="3">
        <f t="shared" ca="1" si="25"/>
        <v>1</v>
      </c>
      <c r="AG100" s="3">
        <f t="shared" ca="1" si="25"/>
        <v>1</v>
      </c>
      <c r="AH100" s="3">
        <f t="shared" ca="1" si="25"/>
        <v>1</v>
      </c>
      <c r="AI100" s="3">
        <f t="shared" ca="1" si="25"/>
        <v>0</v>
      </c>
      <c r="AJ100" s="3">
        <f t="shared" ca="1" si="25"/>
        <v>0</v>
      </c>
      <c r="AK100" s="3">
        <f t="shared" ca="1" si="25"/>
        <v>0</v>
      </c>
      <c r="AL100" s="3">
        <f t="shared" ca="1" si="25"/>
        <v>1</v>
      </c>
      <c r="AM100" s="3">
        <f t="shared" ca="1" si="25"/>
        <v>0</v>
      </c>
      <c r="AN100" s="3">
        <f t="shared" ca="1" si="25"/>
        <v>0</v>
      </c>
      <c r="AO100" s="3">
        <f t="shared" ca="1" si="25"/>
        <v>0</v>
      </c>
      <c r="AP100" s="3">
        <f t="shared" ca="1" si="25"/>
        <v>0</v>
      </c>
      <c r="AQ100" s="3">
        <f t="shared" ca="1" si="25"/>
        <v>0</v>
      </c>
      <c r="AR100" s="3">
        <f t="shared" ca="1" si="25"/>
        <v>0</v>
      </c>
      <c r="AS100" s="3">
        <f t="shared" ca="1" si="25"/>
        <v>0</v>
      </c>
      <c r="AT100" s="3">
        <f t="shared" ca="1" si="25"/>
        <v>1</v>
      </c>
      <c r="AU100" s="3">
        <f t="shared" ca="1" si="25"/>
        <v>1</v>
      </c>
      <c r="AV100" s="3">
        <f t="shared" ca="1" si="24"/>
        <v>1</v>
      </c>
      <c r="AW100" s="3">
        <f t="shared" ca="1" si="24"/>
        <v>1</v>
      </c>
      <c r="AX100" s="3">
        <f t="shared" ca="1" si="16"/>
        <v>1</v>
      </c>
    </row>
    <row r="101" spans="1:50" x14ac:dyDescent="0.2">
      <c r="A101" s="3">
        <f ca="1">RANDBETWEEN(0,1)</f>
        <v>1</v>
      </c>
      <c r="B101" s="3">
        <f t="shared" ref="B101:AW101" ca="1" si="28">RANDBETWEEN(0,1)</f>
        <v>0</v>
      </c>
      <c r="C101" s="3">
        <f t="shared" ca="1" si="28"/>
        <v>1</v>
      </c>
      <c r="D101" s="3">
        <f t="shared" ca="1" si="28"/>
        <v>1</v>
      </c>
      <c r="E101" s="3">
        <f t="shared" ca="1" si="28"/>
        <v>1</v>
      </c>
      <c r="F101" s="3">
        <f t="shared" ca="1" si="28"/>
        <v>0</v>
      </c>
      <c r="G101" s="3">
        <f t="shared" ca="1" si="28"/>
        <v>1</v>
      </c>
      <c r="H101" s="3">
        <f t="shared" ca="1" si="28"/>
        <v>0</v>
      </c>
      <c r="I101" s="3">
        <f t="shared" ca="1" si="28"/>
        <v>0</v>
      </c>
      <c r="J101" s="3">
        <f t="shared" ca="1" si="28"/>
        <v>0</v>
      </c>
      <c r="K101" s="3">
        <f t="shared" ca="1" si="28"/>
        <v>0</v>
      </c>
      <c r="L101" s="3">
        <f t="shared" ca="1" si="28"/>
        <v>1</v>
      </c>
      <c r="M101" s="3">
        <f t="shared" ca="1" si="28"/>
        <v>1</v>
      </c>
      <c r="N101" s="3">
        <f t="shared" ca="1" si="28"/>
        <v>1</v>
      </c>
      <c r="O101" s="3">
        <f t="shared" ca="1" si="28"/>
        <v>0</v>
      </c>
      <c r="P101" s="3">
        <f t="shared" ca="1" si="28"/>
        <v>0</v>
      </c>
      <c r="Q101" s="3">
        <f t="shared" ca="1" si="28"/>
        <v>1</v>
      </c>
      <c r="R101" s="3">
        <f t="shared" ca="1" si="28"/>
        <v>1</v>
      </c>
      <c r="S101" s="3">
        <f t="shared" ca="1" si="28"/>
        <v>1</v>
      </c>
      <c r="T101" s="3">
        <f t="shared" ca="1" si="28"/>
        <v>0</v>
      </c>
      <c r="U101" s="3">
        <f t="shared" ca="1" si="28"/>
        <v>1</v>
      </c>
      <c r="V101" s="3">
        <f t="shared" ca="1" si="28"/>
        <v>1</v>
      </c>
      <c r="W101" s="3">
        <f t="shared" ca="1" si="28"/>
        <v>1</v>
      </c>
      <c r="X101" s="3">
        <f t="shared" ca="1" si="28"/>
        <v>0</v>
      </c>
      <c r="Y101" s="3">
        <f t="shared" ca="1" si="28"/>
        <v>0</v>
      </c>
      <c r="Z101" s="3">
        <f t="shared" ca="1" si="28"/>
        <v>0</v>
      </c>
      <c r="AA101" s="3">
        <f t="shared" ca="1" si="28"/>
        <v>0</v>
      </c>
      <c r="AB101" s="3">
        <f t="shared" ca="1" si="28"/>
        <v>0</v>
      </c>
      <c r="AC101" s="3">
        <f t="shared" ca="1" si="28"/>
        <v>1</v>
      </c>
      <c r="AD101" s="3">
        <f t="shared" ca="1" si="28"/>
        <v>0</v>
      </c>
      <c r="AE101" s="3">
        <f t="shared" ca="1" si="28"/>
        <v>1</v>
      </c>
      <c r="AF101" s="3">
        <f t="shared" ca="1" si="28"/>
        <v>0</v>
      </c>
      <c r="AG101" s="3">
        <f t="shared" ca="1" si="28"/>
        <v>0</v>
      </c>
      <c r="AH101" s="3">
        <f t="shared" ca="1" si="28"/>
        <v>0</v>
      </c>
      <c r="AI101" s="3">
        <f t="shared" ca="1" si="28"/>
        <v>0</v>
      </c>
      <c r="AJ101" s="3">
        <f ca="1">RANDBETWEEN(0,1)</f>
        <v>0</v>
      </c>
      <c r="AK101" s="3">
        <f t="shared" ca="1" si="28"/>
        <v>0</v>
      </c>
      <c r="AL101" s="3">
        <f t="shared" ca="1" si="28"/>
        <v>0</v>
      </c>
      <c r="AM101" s="3">
        <f t="shared" ca="1" si="28"/>
        <v>0</v>
      </c>
      <c r="AN101" s="3">
        <f t="shared" ca="1" si="28"/>
        <v>0</v>
      </c>
      <c r="AO101" s="3">
        <f t="shared" ca="1" si="28"/>
        <v>0</v>
      </c>
      <c r="AP101" s="3">
        <f t="shared" ca="1" si="28"/>
        <v>0</v>
      </c>
      <c r="AQ101" s="3">
        <f t="shared" ca="1" si="28"/>
        <v>0</v>
      </c>
      <c r="AR101" s="3">
        <f t="shared" ca="1" si="28"/>
        <v>0</v>
      </c>
      <c r="AS101" s="3">
        <f t="shared" ca="1" si="28"/>
        <v>1</v>
      </c>
      <c r="AT101" s="3">
        <f t="shared" ca="1" si="28"/>
        <v>0</v>
      </c>
      <c r="AU101" s="3">
        <f t="shared" ca="1" si="28"/>
        <v>0</v>
      </c>
      <c r="AV101" s="3">
        <f t="shared" ca="1" si="28"/>
        <v>1</v>
      </c>
      <c r="AW101" s="3">
        <f t="shared" ca="1" si="28"/>
        <v>0</v>
      </c>
      <c r="AX101" s="3">
        <f ca="1">RANDBETWEEN(0,1)</f>
        <v>0</v>
      </c>
    </row>
    <row r="102" spans="1:50" x14ac:dyDescent="0.2">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row>
    <row r="103" spans="1:50" x14ac:dyDescent="0.2">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row>
    <row r="104" spans="1:50"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row>
    <row r="105" spans="1:50"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row>
    <row r="106" spans="1:50"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row>
    <row r="107" spans="1:50"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row>
    <row r="108" spans="1:50"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row>
    <row r="109" spans="1:50"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row>
    <row r="110" spans="1:50"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row>
    <row r="111" spans="1:50"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row>
    <row r="112" spans="1:50"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row>
    <row r="113" spans="1:50"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row>
    <row r="114" spans="1:50"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row>
    <row r="115" spans="1:50"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row>
    <row r="116" spans="1:50"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row>
    <row r="117" spans="1:50"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row>
    <row r="118" spans="1:50"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row>
    <row r="119" spans="1:50"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row>
    <row r="120" spans="1:50"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row>
    <row r="121" spans="1:50"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row>
    <row r="122" spans="1:50"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row>
    <row r="123" spans="1:50"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row>
    <row r="124" spans="1:50"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row>
    <row r="125" spans="1:50"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row>
    <row r="126" spans="1:50"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row>
    <row r="127" spans="1:50"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row>
    <row r="128" spans="1:50"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row>
    <row r="129" spans="1:50"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row>
    <row r="130" spans="1:50"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row>
    <row r="131" spans="1:50"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row>
    <row r="132" spans="1:50"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row>
    <row r="133" spans="1:50"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row>
    <row r="134" spans="1:50"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row>
    <row r="135" spans="1:50"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row>
    <row r="136" spans="1:50"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row>
    <row r="137" spans="1:50"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row>
    <row r="138" spans="1:50"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row>
    <row r="139" spans="1:50"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row>
    <row r="140" spans="1:50"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row>
    <row r="141" spans="1:50"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row>
    <row r="142" spans="1:50"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row>
    <row r="143" spans="1:50"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row>
    <row r="144" spans="1:50"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row>
    <row r="145" spans="1:50"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row>
    <row r="146" spans="1:50"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row>
    <row r="147" spans="1:50"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row>
    <row r="148" spans="1:50"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row>
    <row r="149" spans="1:50"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row>
    <row r="150" spans="1:50"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row>
    <row r="151" spans="1:50"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row>
    <row r="152" spans="1:50"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row>
    <row r="153" spans="1:50"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row>
    <row r="154" spans="1:50"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row>
    <row r="155" spans="1:50"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row>
    <row r="156" spans="1:50"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row>
    <row r="157" spans="1:50"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row>
    <row r="158" spans="1:50"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row>
    <row r="159" spans="1:50"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row>
    <row r="160" spans="1:50"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row>
    <row r="161" spans="1:50"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row>
    <row r="162" spans="1:50"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row>
    <row r="163" spans="1:50"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row>
    <row r="164" spans="1:50"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4C38D-68F3-2A46-8CD5-55E037DBECBA}">
  <sheetPr codeName="Sheet4"/>
  <dimension ref="A1:AX101"/>
  <sheetViews>
    <sheetView workbookViewId="0">
      <selection activeCell="E7" sqref="E7"/>
    </sheetView>
  </sheetViews>
  <sheetFormatPr baseColWidth="10" defaultRowHeight="16" x14ac:dyDescent="0.2"/>
  <cols>
    <col min="1" max="1" width="17" bestFit="1" customWidth="1"/>
  </cols>
  <sheetData>
    <row r="1" spans="1:50" x14ac:dyDescent="0.2">
      <c r="A1" s="45" t="s">
        <v>66</v>
      </c>
      <c r="B1" s="61" t="s">
        <v>68</v>
      </c>
      <c r="C1">
        <f ca="1">AVERAGE(A2:AX101)</f>
        <v>3.4767999999999999</v>
      </c>
      <c r="D1" s="61" t="s">
        <v>65</v>
      </c>
      <c r="E1">
        <f ca="1">_xlfn.STDEV.S(A2:AX101)</f>
        <v>1.7018933715746243</v>
      </c>
    </row>
    <row r="2" spans="1:50" x14ac:dyDescent="0.2">
      <c r="A2">
        <f ca="1">RANDBETWEEN(1,6)</f>
        <v>6</v>
      </c>
      <c r="B2">
        <f t="shared" ref="B2:AW7" ca="1" si="0">RANDBETWEEN(1,6)</f>
        <v>6</v>
      </c>
      <c r="C2">
        <f t="shared" ca="1" si="0"/>
        <v>3</v>
      </c>
      <c r="D2">
        <f t="shared" ca="1" si="0"/>
        <v>2</v>
      </c>
      <c r="E2">
        <f t="shared" ca="1" si="0"/>
        <v>4</v>
      </c>
      <c r="F2">
        <f t="shared" ca="1" si="0"/>
        <v>5</v>
      </c>
      <c r="G2">
        <f t="shared" ca="1" si="0"/>
        <v>6</v>
      </c>
      <c r="H2">
        <f t="shared" ca="1" si="0"/>
        <v>6</v>
      </c>
      <c r="I2">
        <f t="shared" ca="1" si="0"/>
        <v>3</v>
      </c>
      <c r="J2">
        <f t="shared" ca="1" si="0"/>
        <v>6</v>
      </c>
      <c r="K2">
        <f t="shared" ca="1" si="0"/>
        <v>4</v>
      </c>
      <c r="L2">
        <f t="shared" ca="1" si="0"/>
        <v>3</v>
      </c>
      <c r="M2">
        <f t="shared" ca="1" si="0"/>
        <v>3</v>
      </c>
      <c r="N2">
        <f t="shared" ca="1" si="0"/>
        <v>1</v>
      </c>
      <c r="O2">
        <f t="shared" ca="1" si="0"/>
        <v>1</v>
      </c>
      <c r="P2">
        <f t="shared" ca="1" si="0"/>
        <v>4</v>
      </c>
      <c r="Q2">
        <f t="shared" ca="1" si="0"/>
        <v>5</v>
      </c>
      <c r="R2">
        <f t="shared" ca="1" si="0"/>
        <v>4</v>
      </c>
      <c r="S2">
        <f t="shared" ca="1" si="0"/>
        <v>5</v>
      </c>
      <c r="T2">
        <f t="shared" ca="1" si="0"/>
        <v>4</v>
      </c>
      <c r="U2">
        <f t="shared" ca="1" si="0"/>
        <v>5</v>
      </c>
      <c r="V2">
        <f t="shared" ca="1" si="0"/>
        <v>5</v>
      </c>
      <c r="W2">
        <f t="shared" ca="1" si="0"/>
        <v>2</v>
      </c>
      <c r="X2">
        <f t="shared" ca="1" si="0"/>
        <v>6</v>
      </c>
      <c r="Y2">
        <f t="shared" ca="1" si="0"/>
        <v>4</v>
      </c>
      <c r="Z2">
        <f t="shared" ca="1" si="0"/>
        <v>1</v>
      </c>
      <c r="AA2">
        <f t="shared" ca="1" si="0"/>
        <v>4</v>
      </c>
      <c r="AB2">
        <f t="shared" ca="1" si="0"/>
        <v>2</v>
      </c>
      <c r="AC2">
        <f t="shared" ca="1" si="0"/>
        <v>5</v>
      </c>
      <c r="AD2">
        <f t="shared" ca="1" si="0"/>
        <v>4</v>
      </c>
      <c r="AE2">
        <f t="shared" ca="1" si="0"/>
        <v>2</v>
      </c>
      <c r="AF2">
        <f t="shared" ca="1" si="0"/>
        <v>6</v>
      </c>
      <c r="AG2">
        <f t="shared" ca="1" si="0"/>
        <v>4</v>
      </c>
      <c r="AH2">
        <f t="shared" ca="1" si="0"/>
        <v>1</v>
      </c>
      <c r="AI2">
        <f t="shared" ca="1" si="0"/>
        <v>1</v>
      </c>
      <c r="AJ2">
        <f t="shared" ca="1" si="0"/>
        <v>1</v>
      </c>
      <c r="AK2">
        <f t="shared" ca="1" si="0"/>
        <v>5</v>
      </c>
      <c r="AL2">
        <f t="shared" ca="1" si="0"/>
        <v>5</v>
      </c>
      <c r="AM2">
        <f t="shared" ca="1" si="0"/>
        <v>5</v>
      </c>
      <c r="AN2">
        <f t="shared" ca="1" si="0"/>
        <v>6</v>
      </c>
      <c r="AO2">
        <f t="shared" ca="1" si="0"/>
        <v>1</v>
      </c>
      <c r="AP2">
        <f t="shared" ca="1" si="0"/>
        <v>3</v>
      </c>
      <c r="AQ2">
        <f t="shared" ca="1" si="0"/>
        <v>1</v>
      </c>
      <c r="AR2">
        <f t="shared" ca="1" si="0"/>
        <v>5</v>
      </c>
      <c r="AS2">
        <f t="shared" ca="1" si="0"/>
        <v>5</v>
      </c>
      <c r="AT2">
        <f t="shared" ca="1" si="0"/>
        <v>5</v>
      </c>
      <c r="AU2">
        <f t="shared" ca="1" si="0"/>
        <v>6</v>
      </c>
      <c r="AV2">
        <f t="shared" ca="1" si="0"/>
        <v>4</v>
      </c>
      <c r="AW2">
        <f t="shared" ca="1" si="0"/>
        <v>6</v>
      </c>
      <c r="AX2">
        <f ca="1">RANDBETWEEN(1,6)</f>
        <v>6</v>
      </c>
    </row>
    <row r="3" spans="1:50" x14ac:dyDescent="0.2">
      <c r="A3">
        <f t="shared" ref="A3:P29" ca="1" si="1">RANDBETWEEN(1,6)</f>
        <v>5</v>
      </c>
      <c r="B3">
        <f t="shared" ca="1" si="0"/>
        <v>1</v>
      </c>
      <c r="C3">
        <f t="shared" ca="1" si="0"/>
        <v>6</v>
      </c>
      <c r="D3">
        <f t="shared" ca="1" si="0"/>
        <v>2</v>
      </c>
      <c r="E3">
        <f t="shared" ca="1" si="0"/>
        <v>6</v>
      </c>
      <c r="F3">
        <f t="shared" ca="1" si="0"/>
        <v>5</v>
      </c>
      <c r="G3">
        <f t="shared" ca="1" si="0"/>
        <v>5</v>
      </c>
      <c r="H3">
        <f t="shared" ca="1" si="0"/>
        <v>5</v>
      </c>
      <c r="I3">
        <f t="shared" ca="1" si="0"/>
        <v>1</v>
      </c>
      <c r="J3">
        <f t="shared" ca="1" si="0"/>
        <v>1</v>
      </c>
      <c r="K3">
        <f t="shared" ca="1" si="0"/>
        <v>6</v>
      </c>
      <c r="L3">
        <f t="shared" ca="1" si="0"/>
        <v>6</v>
      </c>
      <c r="M3">
        <f t="shared" ca="1" si="0"/>
        <v>1</v>
      </c>
      <c r="N3">
        <f t="shared" ca="1" si="0"/>
        <v>1</v>
      </c>
      <c r="O3">
        <f t="shared" ca="1" si="0"/>
        <v>4</v>
      </c>
      <c r="P3">
        <f t="shared" ca="1" si="0"/>
        <v>3</v>
      </c>
      <c r="Q3">
        <f t="shared" ca="1" si="0"/>
        <v>4</v>
      </c>
      <c r="R3">
        <f t="shared" ca="1" si="0"/>
        <v>3</v>
      </c>
      <c r="S3">
        <f t="shared" ca="1" si="0"/>
        <v>1</v>
      </c>
      <c r="T3">
        <f t="shared" ca="1" si="0"/>
        <v>1</v>
      </c>
      <c r="U3">
        <f t="shared" ca="1" si="0"/>
        <v>3</v>
      </c>
      <c r="V3">
        <f t="shared" ca="1" si="0"/>
        <v>2</v>
      </c>
      <c r="W3">
        <f t="shared" ca="1" si="0"/>
        <v>1</v>
      </c>
      <c r="X3">
        <f t="shared" ca="1" si="0"/>
        <v>2</v>
      </c>
      <c r="Y3">
        <f t="shared" ca="1" si="0"/>
        <v>6</v>
      </c>
      <c r="Z3">
        <f t="shared" ca="1" si="0"/>
        <v>5</v>
      </c>
      <c r="AA3">
        <f t="shared" ca="1" si="0"/>
        <v>6</v>
      </c>
      <c r="AB3">
        <f t="shared" ca="1" si="0"/>
        <v>6</v>
      </c>
      <c r="AC3">
        <f t="shared" ca="1" si="0"/>
        <v>1</v>
      </c>
      <c r="AD3">
        <f t="shared" ca="1" si="0"/>
        <v>4</v>
      </c>
      <c r="AE3">
        <f t="shared" ca="1" si="0"/>
        <v>2</v>
      </c>
      <c r="AF3">
        <f t="shared" ca="1" si="0"/>
        <v>2</v>
      </c>
      <c r="AG3">
        <f t="shared" ca="1" si="0"/>
        <v>3</v>
      </c>
      <c r="AH3">
        <f t="shared" ca="1" si="0"/>
        <v>4</v>
      </c>
      <c r="AI3">
        <f t="shared" ca="1" si="0"/>
        <v>2</v>
      </c>
      <c r="AJ3">
        <f t="shared" ca="1" si="0"/>
        <v>1</v>
      </c>
      <c r="AK3">
        <f t="shared" ca="1" si="0"/>
        <v>6</v>
      </c>
      <c r="AL3">
        <f t="shared" ca="1" si="0"/>
        <v>3</v>
      </c>
      <c r="AM3">
        <f t="shared" ca="1" si="0"/>
        <v>3</v>
      </c>
      <c r="AN3">
        <f t="shared" ca="1" si="0"/>
        <v>2</v>
      </c>
      <c r="AO3">
        <f t="shared" ca="1" si="0"/>
        <v>5</v>
      </c>
      <c r="AP3">
        <f t="shared" ca="1" si="0"/>
        <v>4</v>
      </c>
      <c r="AQ3">
        <f t="shared" ca="1" si="0"/>
        <v>3</v>
      </c>
      <c r="AR3">
        <f t="shared" ca="1" si="0"/>
        <v>3</v>
      </c>
      <c r="AS3">
        <f t="shared" ca="1" si="0"/>
        <v>3</v>
      </c>
      <c r="AT3">
        <f t="shared" ca="1" si="0"/>
        <v>2</v>
      </c>
      <c r="AU3">
        <f t="shared" ca="1" si="0"/>
        <v>6</v>
      </c>
      <c r="AV3">
        <f t="shared" ca="1" si="0"/>
        <v>4</v>
      </c>
      <c r="AW3">
        <f t="shared" ca="1" si="0"/>
        <v>4</v>
      </c>
      <c r="AX3">
        <f t="shared" ref="AX3:AX66" ca="1" si="2">RANDBETWEEN(1,6)</f>
        <v>1</v>
      </c>
    </row>
    <row r="4" spans="1:50" x14ac:dyDescent="0.2">
      <c r="A4">
        <f t="shared" ca="1" si="1"/>
        <v>1</v>
      </c>
      <c r="B4">
        <f t="shared" ca="1" si="0"/>
        <v>5</v>
      </c>
      <c r="C4">
        <f t="shared" ca="1" si="0"/>
        <v>2</v>
      </c>
      <c r="D4">
        <f t="shared" ca="1" si="0"/>
        <v>3</v>
      </c>
      <c r="E4">
        <f t="shared" ca="1" si="0"/>
        <v>2</v>
      </c>
      <c r="F4">
        <f t="shared" ca="1" si="0"/>
        <v>1</v>
      </c>
      <c r="G4">
        <f t="shared" ca="1" si="0"/>
        <v>4</v>
      </c>
      <c r="H4">
        <f t="shared" ca="1" si="0"/>
        <v>2</v>
      </c>
      <c r="I4">
        <f t="shared" ca="1" si="0"/>
        <v>4</v>
      </c>
      <c r="J4">
        <f t="shared" ca="1" si="0"/>
        <v>1</v>
      </c>
      <c r="K4">
        <f t="shared" ca="1" si="0"/>
        <v>5</v>
      </c>
      <c r="L4">
        <f t="shared" ca="1" si="0"/>
        <v>1</v>
      </c>
      <c r="M4">
        <f t="shared" ca="1" si="0"/>
        <v>4</v>
      </c>
      <c r="N4">
        <f t="shared" ca="1" si="0"/>
        <v>1</v>
      </c>
      <c r="O4">
        <f t="shared" ca="1" si="0"/>
        <v>3</v>
      </c>
      <c r="P4">
        <f t="shared" ca="1" si="0"/>
        <v>1</v>
      </c>
      <c r="Q4">
        <f t="shared" ca="1" si="0"/>
        <v>5</v>
      </c>
      <c r="R4">
        <f t="shared" ca="1" si="0"/>
        <v>6</v>
      </c>
      <c r="S4">
        <f t="shared" ca="1" si="0"/>
        <v>6</v>
      </c>
      <c r="T4">
        <f t="shared" ca="1" si="0"/>
        <v>5</v>
      </c>
      <c r="U4">
        <f t="shared" ca="1" si="0"/>
        <v>2</v>
      </c>
      <c r="V4">
        <f t="shared" ca="1" si="0"/>
        <v>4</v>
      </c>
      <c r="W4">
        <f t="shared" ca="1" si="0"/>
        <v>6</v>
      </c>
      <c r="X4">
        <f t="shared" ca="1" si="0"/>
        <v>4</v>
      </c>
      <c r="Y4">
        <f t="shared" ca="1" si="0"/>
        <v>2</v>
      </c>
      <c r="Z4">
        <f t="shared" ca="1" si="0"/>
        <v>2</v>
      </c>
      <c r="AA4">
        <f t="shared" ca="1" si="0"/>
        <v>5</v>
      </c>
      <c r="AB4">
        <f t="shared" ca="1" si="0"/>
        <v>4</v>
      </c>
      <c r="AC4">
        <f t="shared" ca="1" si="0"/>
        <v>3</v>
      </c>
      <c r="AD4">
        <f t="shared" ca="1" si="0"/>
        <v>4</v>
      </c>
      <c r="AE4">
        <f t="shared" ca="1" si="0"/>
        <v>5</v>
      </c>
      <c r="AF4">
        <f t="shared" ca="1" si="0"/>
        <v>6</v>
      </c>
      <c r="AG4">
        <f t="shared" ca="1" si="0"/>
        <v>6</v>
      </c>
      <c r="AH4">
        <f t="shared" ca="1" si="0"/>
        <v>6</v>
      </c>
      <c r="AI4">
        <f t="shared" ca="1" si="0"/>
        <v>4</v>
      </c>
      <c r="AJ4">
        <f t="shared" ca="1" si="0"/>
        <v>6</v>
      </c>
      <c r="AK4">
        <f t="shared" ca="1" si="0"/>
        <v>2</v>
      </c>
      <c r="AL4">
        <f t="shared" ca="1" si="0"/>
        <v>4</v>
      </c>
      <c r="AM4">
        <f t="shared" ca="1" si="0"/>
        <v>5</v>
      </c>
      <c r="AN4">
        <f t="shared" ca="1" si="0"/>
        <v>3</v>
      </c>
      <c r="AO4">
        <f t="shared" ca="1" si="0"/>
        <v>6</v>
      </c>
      <c r="AP4">
        <f t="shared" ca="1" si="0"/>
        <v>6</v>
      </c>
      <c r="AQ4">
        <f t="shared" ca="1" si="0"/>
        <v>5</v>
      </c>
      <c r="AR4">
        <f t="shared" ca="1" si="0"/>
        <v>3</v>
      </c>
      <c r="AS4">
        <f t="shared" ca="1" si="0"/>
        <v>4</v>
      </c>
      <c r="AT4">
        <f t="shared" ca="1" si="0"/>
        <v>6</v>
      </c>
      <c r="AU4">
        <f t="shared" ca="1" si="0"/>
        <v>5</v>
      </c>
      <c r="AV4">
        <f t="shared" ca="1" si="0"/>
        <v>6</v>
      </c>
      <c r="AW4">
        <f t="shared" ca="1" si="0"/>
        <v>2</v>
      </c>
      <c r="AX4">
        <f t="shared" ca="1" si="2"/>
        <v>6</v>
      </c>
    </row>
    <row r="5" spans="1:50" x14ac:dyDescent="0.2">
      <c r="A5">
        <f t="shared" ca="1" si="1"/>
        <v>2</v>
      </c>
      <c r="B5">
        <f t="shared" ca="1" si="0"/>
        <v>3</v>
      </c>
      <c r="C5">
        <f t="shared" ca="1" si="0"/>
        <v>2</v>
      </c>
      <c r="D5">
        <f t="shared" ca="1" si="0"/>
        <v>3</v>
      </c>
      <c r="E5">
        <f t="shared" ca="1" si="0"/>
        <v>5</v>
      </c>
      <c r="F5">
        <f t="shared" ca="1" si="0"/>
        <v>3</v>
      </c>
      <c r="G5">
        <f t="shared" ca="1" si="0"/>
        <v>5</v>
      </c>
      <c r="H5">
        <f t="shared" ca="1" si="0"/>
        <v>2</v>
      </c>
      <c r="I5">
        <f t="shared" ca="1" si="0"/>
        <v>5</v>
      </c>
      <c r="J5">
        <f t="shared" ca="1" si="0"/>
        <v>4</v>
      </c>
      <c r="K5">
        <f t="shared" ca="1" si="0"/>
        <v>2</v>
      </c>
      <c r="L5">
        <f t="shared" ca="1" si="0"/>
        <v>3</v>
      </c>
      <c r="M5">
        <f t="shared" ca="1" si="0"/>
        <v>4</v>
      </c>
      <c r="N5">
        <f t="shared" ca="1" si="0"/>
        <v>3</v>
      </c>
      <c r="O5">
        <f t="shared" ca="1" si="0"/>
        <v>5</v>
      </c>
      <c r="P5">
        <f t="shared" ca="1" si="0"/>
        <v>2</v>
      </c>
      <c r="Q5">
        <f t="shared" ca="1" si="0"/>
        <v>6</v>
      </c>
      <c r="R5">
        <f t="shared" ca="1" si="0"/>
        <v>3</v>
      </c>
      <c r="S5">
        <f t="shared" ca="1" si="0"/>
        <v>6</v>
      </c>
      <c r="T5">
        <f t="shared" ca="1" si="0"/>
        <v>6</v>
      </c>
      <c r="U5">
        <f t="shared" ca="1" si="0"/>
        <v>2</v>
      </c>
      <c r="V5">
        <f t="shared" ca="1" si="0"/>
        <v>5</v>
      </c>
      <c r="W5">
        <f t="shared" ca="1" si="0"/>
        <v>4</v>
      </c>
      <c r="X5">
        <f t="shared" ca="1" si="0"/>
        <v>1</v>
      </c>
      <c r="Y5">
        <f t="shared" ca="1" si="0"/>
        <v>6</v>
      </c>
      <c r="Z5">
        <f t="shared" ca="1" si="0"/>
        <v>4</v>
      </c>
      <c r="AA5">
        <f t="shared" ca="1" si="0"/>
        <v>4</v>
      </c>
      <c r="AB5">
        <f t="shared" ca="1" si="0"/>
        <v>2</v>
      </c>
      <c r="AC5">
        <f t="shared" ca="1" si="0"/>
        <v>1</v>
      </c>
      <c r="AD5">
        <f t="shared" ca="1" si="0"/>
        <v>2</v>
      </c>
      <c r="AE5">
        <f t="shared" ca="1" si="0"/>
        <v>5</v>
      </c>
      <c r="AF5">
        <f t="shared" ca="1" si="0"/>
        <v>5</v>
      </c>
      <c r="AG5">
        <f t="shared" ca="1" si="0"/>
        <v>3</v>
      </c>
      <c r="AH5">
        <f t="shared" ca="1" si="0"/>
        <v>5</v>
      </c>
      <c r="AI5">
        <f t="shared" ca="1" si="0"/>
        <v>4</v>
      </c>
      <c r="AJ5">
        <f t="shared" ca="1" si="0"/>
        <v>2</v>
      </c>
      <c r="AK5">
        <f t="shared" ca="1" si="0"/>
        <v>2</v>
      </c>
      <c r="AL5">
        <f t="shared" ca="1" si="0"/>
        <v>2</v>
      </c>
      <c r="AM5">
        <f t="shared" ca="1" si="0"/>
        <v>3</v>
      </c>
      <c r="AN5">
        <f t="shared" ca="1" si="0"/>
        <v>5</v>
      </c>
      <c r="AO5">
        <f t="shared" ca="1" si="0"/>
        <v>2</v>
      </c>
      <c r="AP5">
        <f t="shared" ca="1" si="0"/>
        <v>2</v>
      </c>
      <c r="AQ5">
        <f t="shared" ca="1" si="0"/>
        <v>5</v>
      </c>
      <c r="AR5">
        <f t="shared" ca="1" si="0"/>
        <v>2</v>
      </c>
      <c r="AS5">
        <f t="shared" ca="1" si="0"/>
        <v>3</v>
      </c>
      <c r="AT5">
        <f t="shared" ca="1" si="0"/>
        <v>2</v>
      </c>
      <c r="AU5">
        <f t="shared" ca="1" si="0"/>
        <v>3</v>
      </c>
      <c r="AV5">
        <f t="shared" ca="1" si="0"/>
        <v>2</v>
      </c>
      <c r="AW5">
        <f t="shared" ca="1" si="0"/>
        <v>4</v>
      </c>
      <c r="AX5">
        <f t="shared" ca="1" si="2"/>
        <v>4</v>
      </c>
    </row>
    <row r="6" spans="1:50" x14ac:dyDescent="0.2">
      <c r="A6">
        <f t="shared" ca="1" si="1"/>
        <v>1</v>
      </c>
      <c r="B6">
        <f t="shared" ca="1" si="0"/>
        <v>4</v>
      </c>
      <c r="C6">
        <f t="shared" ca="1" si="0"/>
        <v>2</v>
      </c>
      <c r="D6">
        <f t="shared" ca="1" si="0"/>
        <v>6</v>
      </c>
      <c r="E6">
        <f t="shared" ca="1" si="0"/>
        <v>1</v>
      </c>
      <c r="F6">
        <f t="shared" ca="1" si="0"/>
        <v>5</v>
      </c>
      <c r="G6">
        <f t="shared" ca="1" si="0"/>
        <v>1</v>
      </c>
      <c r="H6">
        <f t="shared" ca="1" si="0"/>
        <v>2</v>
      </c>
      <c r="I6">
        <f t="shared" ca="1" si="0"/>
        <v>3</v>
      </c>
      <c r="J6">
        <f t="shared" ca="1" si="0"/>
        <v>2</v>
      </c>
      <c r="K6">
        <f t="shared" ca="1" si="0"/>
        <v>6</v>
      </c>
      <c r="L6">
        <f t="shared" ca="1" si="0"/>
        <v>3</v>
      </c>
      <c r="M6">
        <f t="shared" ca="1" si="0"/>
        <v>5</v>
      </c>
      <c r="N6">
        <f t="shared" ca="1" si="0"/>
        <v>5</v>
      </c>
      <c r="O6">
        <f t="shared" ca="1" si="0"/>
        <v>2</v>
      </c>
      <c r="P6">
        <f t="shared" ca="1" si="0"/>
        <v>1</v>
      </c>
      <c r="Q6">
        <f t="shared" ca="1" si="0"/>
        <v>6</v>
      </c>
      <c r="R6">
        <f t="shared" ca="1" si="0"/>
        <v>6</v>
      </c>
      <c r="S6">
        <f t="shared" ca="1" si="0"/>
        <v>5</v>
      </c>
      <c r="T6">
        <f t="shared" ca="1" si="0"/>
        <v>3</v>
      </c>
      <c r="U6">
        <f t="shared" ca="1" si="0"/>
        <v>6</v>
      </c>
      <c r="V6">
        <f t="shared" ca="1" si="0"/>
        <v>6</v>
      </c>
      <c r="W6">
        <f t="shared" ca="1" si="0"/>
        <v>4</v>
      </c>
      <c r="X6">
        <f t="shared" ca="1" si="0"/>
        <v>5</v>
      </c>
      <c r="Y6">
        <f t="shared" ca="1" si="0"/>
        <v>3</v>
      </c>
      <c r="Z6">
        <f t="shared" ca="1" si="0"/>
        <v>6</v>
      </c>
      <c r="AA6">
        <f t="shared" ca="1" si="0"/>
        <v>3</v>
      </c>
      <c r="AB6">
        <f t="shared" ca="1" si="0"/>
        <v>2</v>
      </c>
      <c r="AC6">
        <f t="shared" ca="1" si="0"/>
        <v>3</v>
      </c>
      <c r="AD6">
        <f t="shared" ca="1" si="0"/>
        <v>6</v>
      </c>
      <c r="AE6">
        <f t="shared" ca="1" si="0"/>
        <v>4</v>
      </c>
      <c r="AF6">
        <f t="shared" ca="1" si="0"/>
        <v>4</v>
      </c>
      <c r="AG6">
        <f t="shared" ca="1" si="0"/>
        <v>6</v>
      </c>
      <c r="AH6">
        <f t="shared" ca="1" si="0"/>
        <v>4</v>
      </c>
      <c r="AI6">
        <f t="shared" ca="1" si="0"/>
        <v>2</v>
      </c>
      <c r="AJ6">
        <f t="shared" ca="1" si="0"/>
        <v>5</v>
      </c>
      <c r="AK6">
        <f t="shared" ca="1" si="0"/>
        <v>2</v>
      </c>
      <c r="AL6">
        <f t="shared" ca="1" si="0"/>
        <v>5</v>
      </c>
      <c r="AM6">
        <f t="shared" ca="1" si="0"/>
        <v>1</v>
      </c>
      <c r="AN6">
        <f t="shared" ca="1" si="0"/>
        <v>6</v>
      </c>
      <c r="AO6">
        <f t="shared" ca="1" si="0"/>
        <v>2</v>
      </c>
      <c r="AP6">
        <f t="shared" ca="1" si="0"/>
        <v>1</v>
      </c>
      <c r="AQ6">
        <f t="shared" ca="1" si="0"/>
        <v>5</v>
      </c>
      <c r="AR6">
        <f t="shared" ca="1" si="0"/>
        <v>3</v>
      </c>
      <c r="AS6">
        <f t="shared" ca="1" si="0"/>
        <v>3</v>
      </c>
      <c r="AT6">
        <f t="shared" ca="1" si="0"/>
        <v>4</v>
      </c>
      <c r="AU6">
        <f t="shared" ca="1" si="0"/>
        <v>5</v>
      </c>
      <c r="AV6">
        <f t="shared" ca="1" si="0"/>
        <v>6</v>
      </c>
      <c r="AW6">
        <f t="shared" ca="1" si="0"/>
        <v>2</v>
      </c>
      <c r="AX6">
        <f t="shared" ca="1" si="2"/>
        <v>4</v>
      </c>
    </row>
    <row r="7" spans="1:50" x14ac:dyDescent="0.2">
      <c r="A7">
        <f t="shared" ca="1" si="1"/>
        <v>3</v>
      </c>
      <c r="B7">
        <f t="shared" ca="1" si="0"/>
        <v>4</v>
      </c>
      <c r="C7">
        <f t="shared" ca="1" si="0"/>
        <v>4</v>
      </c>
      <c r="D7">
        <f t="shared" ca="1" si="0"/>
        <v>2</v>
      </c>
      <c r="E7">
        <f t="shared" ca="1" si="0"/>
        <v>3</v>
      </c>
      <c r="F7">
        <f t="shared" ca="1" si="0"/>
        <v>4</v>
      </c>
      <c r="G7">
        <f t="shared" ca="1" si="0"/>
        <v>3</v>
      </c>
      <c r="H7">
        <f t="shared" ca="1" si="0"/>
        <v>4</v>
      </c>
      <c r="I7">
        <f t="shared" ca="1" si="0"/>
        <v>3</v>
      </c>
      <c r="J7">
        <f t="shared" ca="1" si="0"/>
        <v>5</v>
      </c>
      <c r="K7">
        <f t="shared" ca="1" si="0"/>
        <v>3</v>
      </c>
      <c r="L7">
        <f t="shared" ca="1" si="0"/>
        <v>6</v>
      </c>
      <c r="M7">
        <f t="shared" ca="1" si="0"/>
        <v>6</v>
      </c>
      <c r="N7">
        <f t="shared" ca="1" si="0"/>
        <v>4</v>
      </c>
      <c r="O7">
        <f t="shared" ca="1" si="0"/>
        <v>4</v>
      </c>
      <c r="P7">
        <f t="shared" ca="1" si="0"/>
        <v>1</v>
      </c>
      <c r="Q7">
        <f t="shared" ref="Q7:AF7" ca="1" si="3">RANDBETWEEN(1,6)</f>
        <v>6</v>
      </c>
      <c r="R7">
        <f t="shared" ca="1" si="3"/>
        <v>3</v>
      </c>
      <c r="S7">
        <f t="shared" ca="1" si="3"/>
        <v>6</v>
      </c>
      <c r="T7">
        <f t="shared" ca="1" si="3"/>
        <v>1</v>
      </c>
      <c r="U7">
        <f t="shared" ca="1" si="3"/>
        <v>6</v>
      </c>
      <c r="V7">
        <f t="shared" ca="1" si="3"/>
        <v>1</v>
      </c>
      <c r="W7">
        <f t="shared" ca="1" si="3"/>
        <v>3</v>
      </c>
      <c r="X7">
        <f t="shared" ca="1" si="3"/>
        <v>1</v>
      </c>
      <c r="Y7">
        <f t="shared" ca="1" si="3"/>
        <v>4</v>
      </c>
      <c r="Z7">
        <f t="shared" ca="1" si="3"/>
        <v>3</v>
      </c>
      <c r="AA7">
        <f t="shared" ca="1" si="3"/>
        <v>6</v>
      </c>
      <c r="AB7">
        <f t="shared" ca="1" si="3"/>
        <v>6</v>
      </c>
      <c r="AC7">
        <f t="shared" ca="1" si="3"/>
        <v>2</v>
      </c>
      <c r="AD7">
        <f t="shared" ca="1" si="3"/>
        <v>6</v>
      </c>
      <c r="AE7">
        <f t="shared" ca="1" si="3"/>
        <v>4</v>
      </c>
      <c r="AF7">
        <f t="shared" ca="1" si="3"/>
        <v>4</v>
      </c>
      <c r="AG7">
        <f t="shared" ref="AG7:AV7" ca="1" si="4">RANDBETWEEN(1,6)</f>
        <v>4</v>
      </c>
      <c r="AH7">
        <f t="shared" ca="1" si="4"/>
        <v>6</v>
      </c>
      <c r="AI7">
        <f t="shared" ca="1" si="4"/>
        <v>3</v>
      </c>
      <c r="AJ7">
        <f t="shared" ca="1" si="4"/>
        <v>3</v>
      </c>
      <c r="AK7">
        <f t="shared" ca="1" si="4"/>
        <v>5</v>
      </c>
      <c r="AL7">
        <f t="shared" ca="1" si="4"/>
        <v>2</v>
      </c>
      <c r="AM7">
        <f t="shared" ca="1" si="4"/>
        <v>2</v>
      </c>
      <c r="AN7">
        <f t="shared" ca="1" si="4"/>
        <v>3</v>
      </c>
      <c r="AO7">
        <f t="shared" ca="1" si="4"/>
        <v>2</v>
      </c>
      <c r="AP7">
        <f t="shared" ca="1" si="4"/>
        <v>2</v>
      </c>
      <c r="AQ7">
        <f t="shared" ca="1" si="4"/>
        <v>6</v>
      </c>
      <c r="AR7">
        <f t="shared" ca="1" si="4"/>
        <v>5</v>
      </c>
      <c r="AS7">
        <f t="shared" ca="1" si="4"/>
        <v>6</v>
      </c>
      <c r="AT7">
        <f t="shared" ca="1" si="4"/>
        <v>4</v>
      </c>
      <c r="AU7">
        <f t="shared" ca="1" si="4"/>
        <v>2</v>
      </c>
      <c r="AV7">
        <f t="shared" ca="1" si="4"/>
        <v>4</v>
      </c>
      <c r="AW7">
        <f t="shared" ref="B7:AW13" ca="1" si="5">RANDBETWEEN(1,6)</f>
        <v>1</v>
      </c>
      <c r="AX7">
        <f t="shared" ca="1" si="2"/>
        <v>5</v>
      </c>
    </row>
    <row r="8" spans="1:50" x14ac:dyDescent="0.2">
      <c r="A8">
        <f t="shared" ca="1" si="1"/>
        <v>3</v>
      </c>
      <c r="B8">
        <f t="shared" ca="1" si="5"/>
        <v>5</v>
      </c>
      <c r="C8">
        <f t="shared" ca="1" si="5"/>
        <v>5</v>
      </c>
      <c r="D8">
        <f t="shared" ca="1" si="5"/>
        <v>3</v>
      </c>
      <c r="E8">
        <f t="shared" ca="1" si="5"/>
        <v>1</v>
      </c>
      <c r="F8">
        <f t="shared" ca="1" si="5"/>
        <v>6</v>
      </c>
      <c r="G8">
        <f t="shared" ca="1" si="5"/>
        <v>3</v>
      </c>
      <c r="H8">
        <f t="shared" ca="1" si="5"/>
        <v>2</v>
      </c>
      <c r="I8">
        <f t="shared" ca="1" si="5"/>
        <v>5</v>
      </c>
      <c r="J8">
        <f t="shared" ca="1" si="5"/>
        <v>3</v>
      </c>
      <c r="K8">
        <f t="shared" ca="1" si="5"/>
        <v>3</v>
      </c>
      <c r="L8">
        <f t="shared" ca="1" si="5"/>
        <v>4</v>
      </c>
      <c r="M8">
        <f t="shared" ca="1" si="5"/>
        <v>1</v>
      </c>
      <c r="N8">
        <f t="shared" ca="1" si="5"/>
        <v>2</v>
      </c>
      <c r="O8">
        <f t="shared" ca="1" si="5"/>
        <v>5</v>
      </c>
      <c r="P8">
        <f t="shared" ca="1" si="5"/>
        <v>6</v>
      </c>
      <c r="Q8">
        <f t="shared" ca="1" si="5"/>
        <v>1</v>
      </c>
      <c r="R8">
        <f t="shared" ca="1" si="5"/>
        <v>5</v>
      </c>
      <c r="S8">
        <f t="shared" ca="1" si="5"/>
        <v>1</v>
      </c>
      <c r="T8">
        <f t="shared" ca="1" si="5"/>
        <v>2</v>
      </c>
      <c r="U8">
        <f t="shared" ca="1" si="5"/>
        <v>5</v>
      </c>
      <c r="V8">
        <f t="shared" ca="1" si="5"/>
        <v>5</v>
      </c>
      <c r="W8">
        <f t="shared" ca="1" si="5"/>
        <v>3</v>
      </c>
      <c r="X8">
        <f t="shared" ca="1" si="5"/>
        <v>6</v>
      </c>
      <c r="Y8">
        <f t="shared" ca="1" si="5"/>
        <v>1</v>
      </c>
      <c r="Z8">
        <f t="shared" ca="1" si="5"/>
        <v>3</v>
      </c>
      <c r="AA8">
        <f t="shared" ca="1" si="5"/>
        <v>6</v>
      </c>
      <c r="AB8">
        <f t="shared" ca="1" si="5"/>
        <v>1</v>
      </c>
      <c r="AC8">
        <f t="shared" ca="1" si="5"/>
        <v>2</v>
      </c>
      <c r="AD8">
        <f t="shared" ca="1" si="5"/>
        <v>1</v>
      </c>
      <c r="AE8">
        <f t="shared" ca="1" si="5"/>
        <v>5</v>
      </c>
      <c r="AF8">
        <f t="shared" ca="1" si="5"/>
        <v>1</v>
      </c>
      <c r="AG8">
        <f t="shared" ca="1" si="5"/>
        <v>1</v>
      </c>
      <c r="AH8">
        <f t="shared" ca="1" si="5"/>
        <v>4</v>
      </c>
      <c r="AI8">
        <f t="shared" ca="1" si="5"/>
        <v>3</v>
      </c>
      <c r="AJ8">
        <f t="shared" ca="1" si="5"/>
        <v>4</v>
      </c>
      <c r="AK8">
        <f t="shared" ca="1" si="5"/>
        <v>5</v>
      </c>
      <c r="AL8">
        <f t="shared" ca="1" si="5"/>
        <v>3</v>
      </c>
      <c r="AM8">
        <f t="shared" ca="1" si="5"/>
        <v>3</v>
      </c>
      <c r="AN8">
        <f t="shared" ca="1" si="5"/>
        <v>6</v>
      </c>
      <c r="AO8">
        <f t="shared" ca="1" si="5"/>
        <v>3</v>
      </c>
      <c r="AP8">
        <f t="shared" ca="1" si="5"/>
        <v>5</v>
      </c>
      <c r="AQ8">
        <f t="shared" ca="1" si="5"/>
        <v>1</v>
      </c>
      <c r="AR8">
        <f t="shared" ca="1" si="5"/>
        <v>1</v>
      </c>
      <c r="AS8">
        <f t="shared" ca="1" si="5"/>
        <v>3</v>
      </c>
      <c r="AT8">
        <f t="shared" ca="1" si="5"/>
        <v>2</v>
      </c>
      <c r="AU8">
        <f t="shared" ca="1" si="5"/>
        <v>6</v>
      </c>
      <c r="AV8">
        <f t="shared" ca="1" si="5"/>
        <v>2</v>
      </c>
      <c r="AW8">
        <f t="shared" ca="1" si="5"/>
        <v>6</v>
      </c>
      <c r="AX8">
        <f t="shared" ca="1" si="2"/>
        <v>5</v>
      </c>
    </row>
    <row r="9" spans="1:50" x14ac:dyDescent="0.2">
      <c r="A9">
        <f t="shared" ca="1" si="1"/>
        <v>6</v>
      </c>
      <c r="B9">
        <f t="shared" ca="1" si="5"/>
        <v>5</v>
      </c>
      <c r="C9">
        <f t="shared" ca="1" si="5"/>
        <v>1</v>
      </c>
      <c r="D9">
        <f t="shared" ca="1" si="5"/>
        <v>5</v>
      </c>
      <c r="E9">
        <f t="shared" ca="1" si="5"/>
        <v>3</v>
      </c>
      <c r="F9">
        <f t="shared" ca="1" si="5"/>
        <v>1</v>
      </c>
      <c r="G9">
        <f t="shared" ca="1" si="5"/>
        <v>3</v>
      </c>
      <c r="H9">
        <f t="shared" ca="1" si="5"/>
        <v>2</v>
      </c>
      <c r="I9">
        <f t="shared" ca="1" si="5"/>
        <v>5</v>
      </c>
      <c r="J9">
        <f t="shared" ca="1" si="5"/>
        <v>5</v>
      </c>
      <c r="K9">
        <f t="shared" ca="1" si="5"/>
        <v>5</v>
      </c>
      <c r="L9">
        <f t="shared" ca="1" si="5"/>
        <v>1</v>
      </c>
      <c r="M9">
        <f t="shared" ca="1" si="5"/>
        <v>4</v>
      </c>
      <c r="N9">
        <f t="shared" ca="1" si="5"/>
        <v>2</v>
      </c>
      <c r="O9">
        <f t="shared" ca="1" si="5"/>
        <v>2</v>
      </c>
      <c r="P9">
        <f t="shared" ca="1" si="5"/>
        <v>6</v>
      </c>
      <c r="Q9">
        <f t="shared" ca="1" si="5"/>
        <v>2</v>
      </c>
      <c r="R9">
        <f t="shared" ca="1" si="5"/>
        <v>3</v>
      </c>
      <c r="S9">
        <f t="shared" ca="1" si="5"/>
        <v>4</v>
      </c>
      <c r="T9">
        <f t="shared" ca="1" si="5"/>
        <v>2</v>
      </c>
      <c r="U9">
        <f t="shared" ca="1" si="5"/>
        <v>1</v>
      </c>
      <c r="V9">
        <f t="shared" ca="1" si="5"/>
        <v>4</v>
      </c>
      <c r="W9">
        <f t="shared" ca="1" si="5"/>
        <v>2</v>
      </c>
      <c r="X9">
        <f t="shared" ca="1" si="5"/>
        <v>2</v>
      </c>
      <c r="Y9">
        <f t="shared" ca="1" si="5"/>
        <v>1</v>
      </c>
      <c r="Z9">
        <f t="shared" ca="1" si="5"/>
        <v>3</v>
      </c>
      <c r="AA9">
        <f t="shared" ca="1" si="5"/>
        <v>5</v>
      </c>
      <c r="AB9">
        <f t="shared" ca="1" si="5"/>
        <v>3</v>
      </c>
      <c r="AC9">
        <f t="shared" ca="1" si="5"/>
        <v>2</v>
      </c>
      <c r="AD9">
        <f t="shared" ca="1" si="5"/>
        <v>2</v>
      </c>
      <c r="AE9">
        <f t="shared" ca="1" si="5"/>
        <v>4</v>
      </c>
      <c r="AF9">
        <f t="shared" ca="1" si="5"/>
        <v>4</v>
      </c>
      <c r="AG9">
        <f t="shared" ca="1" si="5"/>
        <v>5</v>
      </c>
      <c r="AH9">
        <f t="shared" ca="1" si="5"/>
        <v>3</v>
      </c>
      <c r="AI9">
        <f t="shared" ca="1" si="5"/>
        <v>1</v>
      </c>
      <c r="AJ9">
        <f t="shared" ca="1" si="5"/>
        <v>2</v>
      </c>
      <c r="AK9">
        <f t="shared" ca="1" si="5"/>
        <v>5</v>
      </c>
      <c r="AL9">
        <f t="shared" ca="1" si="5"/>
        <v>5</v>
      </c>
      <c r="AM9">
        <f t="shared" ca="1" si="5"/>
        <v>1</v>
      </c>
      <c r="AN9">
        <f t="shared" ca="1" si="5"/>
        <v>2</v>
      </c>
      <c r="AO9">
        <f t="shared" ca="1" si="5"/>
        <v>6</v>
      </c>
      <c r="AP9">
        <f t="shared" ca="1" si="5"/>
        <v>3</v>
      </c>
      <c r="AQ9">
        <f t="shared" ca="1" si="5"/>
        <v>6</v>
      </c>
      <c r="AR9">
        <f t="shared" ca="1" si="5"/>
        <v>3</v>
      </c>
      <c r="AS9">
        <f t="shared" ca="1" si="5"/>
        <v>3</v>
      </c>
      <c r="AT9">
        <f t="shared" ca="1" si="5"/>
        <v>3</v>
      </c>
      <c r="AU9">
        <f t="shared" ca="1" si="5"/>
        <v>6</v>
      </c>
      <c r="AV9">
        <f t="shared" ca="1" si="5"/>
        <v>4</v>
      </c>
      <c r="AW9">
        <f t="shared" ca="1" si="5"/>
        <v>4</v>
      </c>
      <c r="AX9">
        <f t="shared" ca="1" si="2"/>
        <v>3</v>
      </c>
    </row>
    <row r="10" spans="1:50" x14ac:dyDescent="0.2">
      <c r="A10">
        <f t="shared" ca="1" si="1"/>
        <v>2</v>
      </c>
      <c r="B10">
        <f t="shared" ca="1" si="5"/>
        <v>4</v>
      </c>
      <c r="C10">
        <f t="shared" ca="1" si="5"/>
        <v>3</v>
      </c>
      <c r="D10">
        <f t="shared" ca="1" si="5"/>
        <v>3</v>
      </c>
      <c r="E10">
        <f t="shared" ca="1" si="5"/>
        <v>6</v>
      </c>
      <c r="F10">
        <f t="shared" ca="1" si="5"/>
        <v>2</v>
      </c>
      <c r="G10">
        <f t="shared" ca="1" si="5"/>
        <v>1</v>
      </c>
      <c r="H10">
        <f t="shared" ca="1" si="5"/>
        <v>3</v>
      </c>
      <c r="I10">
        <f t="shared" ca="1" si="5"/>
        <v>3</v>
      </c>
      <c r="J10">
        <f t="shared" ca="1" si="5"/>
        <v>4</v>
      </c>
      <c r="K10">
        <f t="shared" ca="1" si="5"/>
        <v>5</v>
      </c>
      <c r="L10">
        <f t="shared" ca="1" si="5"/>
        <v>1</v>
      </c>
      <c r="M10">
        <f t="shared" ca="1" si="5"/>
        <v>5</v>
      </c>
      <c r="N10">
        <f t="shared" ca="1" si="5"/>
        <v>5</v>
      </c>
      <c r="O10">
        <f t="shared" ca="1" si="5"/>
        <v>4</v>
      </c>
      <c r="P10">
        <f t="shared" ca="1" si="5"/>
        <v>6</v>
      </c>
      <c r="Q10">
        <f t="shared" ca="1" si="5"/>
        <v>6</v>
      </c>
      <c r="R10">
        <f t="shared" ca="1" si="5"/>
        <v>3</v>
      </c>
      <c r="S10">
        <f t="shared" ca="1" si="5"/>
        <v>1</v>
      </c>
      <c r="T10">
        <f t="shared" ca="1" si="5"/>
        <v>1</v>
      </c>
      <c r="U10">
        <f t="shared" ca="1" si="5"/>
        <v>2</v>
      </c>
      <c r="V10">
        <f t="shared" ca="1" si="5"/>
        <v>4</v>
      </c>
      <c r="W10">
        <f t="shared" ca="1" si="5"/>
        <v>6</v>
      </c>
      <c r="X10">
        <f t="shared" ca="1" si="5"/>
        <v>3</v>
      </c>
      <c r="Y10">
        <f t="shared" ca="1" si="5"/>
        <v>4</v>
      </c>
      <c r="Z10">
        <f t="shared" ca="1" si="5"/>
        <v>4</v>
      </c>
      <c r="AA10">
        <f t="shared" ca="1" si="5"/>
        <v>2</v>
      </c>
      <c r="AB10">
        <f t="shared" ca="1" si="5"/>
        <v>5</v>
      </c>
      <c r="AC10">
        <f t="shared" ca="1" si="5"/>
        <v>5</v>
      </c>
      <c r="AD10">
        <f t="shared" ca="1" si="5"/>
        <v>1</v>
      </c>
      <c r="AE10">
        <f t="shared" ca="1" si="5"/>
        <v>3</v>
      </c>
      <c r="AF10">
        <f t="shared" ca="1" si="5"/>
        <v>4</v>
      </c>
      <c r="AG10">
        <f t="shared" ca="1" si="5"/>
        <v>1</v>
      </c>
      <c r="AH10">
        <f t="shared" ca="1" si="5"/>
        <v>6</v>
      </c>
      <c r="AI10">
        <f t="shared" ca="1" si="5"/>
        <v>5</v>
      </c>
      <c r="AJ10">
        <f t="shared" ca="1" si="5"/>
        <v>5</v>
      </c>
      <c r="AK10">
        <f t="shared" ca="1" si="5"/>
        <v>3</v>
      </c>
      <c r="AL10">
        <f t="shared" ca="1" si="5"/>
        <v>1</v>
      </c>
      <c r="AM10">
        <f t="shared" ca="1" si="5"/>
        <v>2</v>
      </c>
      <c r="AN10">
        <f t="shared" ca="1" si="5"/>
        <v>3</v>
      </c>
      <c r="AO10">
        <f t="shared" ca="1" si="5"/>
        <v>2</v>
      </c>
      <c r="AP10">
        <f t="shared" ca="1" si="5"/>
        <v>1</v>
      </c>
      <c r="AQ10">
        <f t="shared" ca="1" si="5"/>
        <v>6</v>
      </c>
      <c r="AR10">
        <f t="shared" ca="1" si="5"/>
        <v>5</v>
      </c>
      <c r="AS10">
        <f t="shared" ca="1" si="5"/>
        <v>5</v>
      </c>
      <c r="AT10">
        <f t="shared" ca="1" si="5"/>
        <v>5</v>
      </c>
      <c r="AU10">
        <f t="shared" ca="1" si="5"/>
        <v>3</v>
      </c>
      <c r="AV10">
        <f t="shared" ca="1" si="5"/>
        <v>5</v>
      </c>
      <c r="AW10">
        <f t="shared" ca="1" si="5"/>
        <v>1</v>
      </c>
      <c r="AX10">
        <f t="shared" ca="1" si="2"/>
        <v>3</v>
      </c>
    </row>
    <row r="11" spans="1:50" x14ac:dyDescent="0.2">
      <c r="A11">
        <f t="shared" ca="1" si="1"/>
        <v>6</v>
      </c>
      <c r="B11">
        <f t="shared" ca="1" si="5"/>
        <v>2</v>
      </c>
      <c r="C11">
        <f t="shared" ca="1" si="5"/>
        <v>4</v>
      </c>
      <c r="D11">
        <f t="shared" ca="1" si="5"/>
        <v>5</v>
      </c>
      <c r="E11">
        <f t="shared" ca="1" si="5"/>
        <v>1</v>
      </c>
      <c r="F11">
        <f t="shared" ca="1" si="5"/>
        <v>5</v>
      </c>
      <c r="G11">
        <f t="shared" ca="1" si="5"/>
        <v>1</v>
      </c>
      <c r="H11">
        <f t="shared" ca="1" si="5"/>
        <v>2</v>
      </c>
      <c r="I11">
        <f t="shared" ca="1" si="5"/>
        <v>6</v>
      </c>
      <c r="J11">
        <f t="shared" ca="1" si="5"/>
        <v>3</v>
      </c>
      <c r="K11">
        <f t="shared" ca="1" si="5"/>
        <v>6</v>
      </c>
      <c r="L11">
        <f t="shared" ca="1" si="5"/>
        <v>3</v>
      </c>
      <c r="M11">
        <f t="shared" ca="1" si="5"/>
        <v>1</v>
      </c>
      <c r="N11">
        <f t="shared" ca="1" si="5"/>
        <v>4</v>
      </c>
      <c r="O11">
        <f t="shared" ca="1" si="5"/>
        <v>4</v>
      </c>
      <c r="P11">
        <f t="shared" ca="1" si="5"/>
        <v>3</v>
      </c>
      <c r="Q11">
        <f t="shared" ca="1" si="5"/>
        <v>5</v>
      </c>
      <c r="R11">
        <f t="shared" ca="1" si="5"/>
        <v>2</v>
      </c>
      <c r="S11">
        <f t="shared" ca="1" si="5"/>
        <v>6</v>
      </c>
      <c r="T11">
        <f t="shared" ca="1" si="5"/>
        <v>6</v>
      </c>
      <c r="U11">
        <f t="shared" ca="1" si="5"/>
        <v>4</v>
      </c>
      <c r="V11">
        <f t="shared" ca="1" si="5"/>
        <v>1</v>
      </c>
      <c r="W11">
        <f t="shared" ca="1" si="5"/>
        <v>1</v>
      </c>
      <c r="X11">
        <f t="shared" ca="1" si="5"/>
        <v>2</v>
      </c>
      <c r="Y11">
        <f t="shared" ca="1" si="5"/>
        <v>5</v>
      </c>
      <c r="Z11">
        <f t="shared" ca="1" si="5"/>
        <v>1</v>
      </c>
      <c r="AA11">
        <f t="shared" ca="1" si="5"/>
        <v>4</v>
      </c>
      <c r="AB11">
        <f t="shared" ca="1" si="5"/>
        <v>1</v>
      </c>
      <c r="AC11">
        <f t="shared" ca="1" si="5"/>
        <v>1</v>
      </c>
      <c r="AD11">
        <f t="shared" ca="1" si="5"/>
        <v>4</v>
      </c>
      <c r="AE11">
        <f t="shared" ca="1" si="5"/>
        <v>6</v>
      </c>
      <c r="AF11">
        <f t="shared" ca="1" si="5"/>
        <v>3</v>
      </c>
      <c r="AG11">
        <f t="shared" ca="1" si="5"/>
        <v>4</v>
      </c>
      <c r="AH11">
        <f t="shared" ca="1" si="5"/>
        <v>2</v>
      </c>
      <c r="AI11">
        <f t="shared" ca="1" si="5"/>
        <v>1</v>
      </c>
      <c r="AJ11">
        <f t="shared" ca="1" si="5"/>
        <v>1</v>
      </c>
      <c r="AK11">
        <f t="shared" ca="1" si="5"/>
        <v>3</v>
      </c>
      <c r="AL11">
        <f t="shared" ca="1" si="5"/>
        <v>5</v>
      </c>
      <c r="AM11">
        <f t="shared" ca="1" si="5"/>
        <v>5</v>
      </c>
      <c r="AN11">
        <f t="shared" ca="1" si="5"/>
        <v>6</v>
      </c>
      <c r="AO11">
        <f t="shared" ca="1" si="5"/>
        <v>4</v>
      </c>
      <c r="AP11">
        <f t="shared" ca="1" si="5"/>
        <v>4</v>
      </c>
      <c r="AQ11">
        <f t="shared" ca="1" si="5"/>
        <v>2</v>
      </c>
      <c r="AR11">
        <f t="shared" ca="1" si="5"/>
        <v>5</v>
      </c>
      <c r="AS11">
        <f t="shared" ca="1" si="5"/>
        <v>5</v>
      </c>
      <c r="AT11">
        <f t="shared" ca="1" si="5"/>
        <v>6</v>
      </c>
      <c r="AU11">
        <f t="shared" ca="1" si="5"/>
        <v>2</v>
      </c>
      <c r="AV11">
        <f t="shared" ca="1" si="5"/>
        <v>5</v>
      </c>
      <c r="AW11">
        <f t="shared" ca="1" si="5"/>
        <v>6</v>
      </c>
      <c r="AX11">
        <f t="shared" ca="1" si="2"/>
        <v>5</v>
      </c>
    </row>
    <row r="12" spans="1:50" x14ac:dyDescent="0.2">
      <c r="A12">
        <f t="shared" ca="1" si="1"/>
        <v>1</v>
      </c>
      <c r="B12">
        <f t="shared" ca="1" si="5"/>
        <v>2</v>
      </c>
      <c r="C12">
        <f t="shared" ca="1" si="5"/>
        <v>2</v>
      </c>
      <c r="D12">
        <f t="shared" ca="1" si="5"/>
        <v>4</v>
      </c>
      <c r="E12">
        <f t="shared" ca="1" si="5"/>
        <v>2</v>
      </c>
      <c r="F12">
        <f t="shared" ca="1" si="5"/>
        <v>5</v>
      </c>
      <c r="G12">
        <f t="shared" ca="1" si="5"/>
        <v>5</v>
      </c>
      <c r="H12">
        <f t="shared" ca="1" si="5"/>
        <v>1</v>
      </c>
      <c r="I12">
        <f t="shared" ca="1" si="5"/>
        <v>6</v>
      </c>
      <c r="J12">
        <f t="shared" ca="1" si="5"/>
        <v>3</v>
      </c>
      <c r="K12">
        <f t="shared" ca="1" si="5"/>
        <v>5</v>
      </c>
      <c r="L12">
        <f t="shared" ca="1" si="5"/>
        <v>3</v>
      </c>
      <c r="M12">
        <f t="shared" ca="1" si="5"/>
        <v>3</v>
      </c>
      <c r="N12">
        <f t="shared" ca="1" si="5"/>
        <v>6</v>
      </c>
      <c r="O12">
        <f t="shared" ca="1" si="5"/>
        <v>4</v>
      </c>
      <c r="P12">
        <f t="shared" ca="1" si="5"/>
        <v>2</v>
      </c>
      <c r="Q12">
        <f t="shared" ca="1" si="5"/>
        <v>4</v>
      </c>
      <c r="R12">
        <f t="shared" ca="1" si="5"/>
        <v>2</v>
      </c>
      <c r="S12">
        <f t="shared" ca="1" si="5"/>
        <v>4</v>
      </c>
      <c r="T12">
        <f t="shared" ca="1" si="5"/>
        <v>5</v>
      </c>
      <c r="U12">
        <f t="shared" ca="1" si="5"/>
        <v>4</v>
      </c>
      <c r="V12">
        <f t="shared" ca="1" si="5"/>
        <v>5</v>
      </c>
      <c r="W12">
        <f t="shared" ca="1" si="5"/>
        <v>6</v>
      </c>
      <c r="X12">
        <f t="shared" ca="1" si="5"/>
        <v>2</v>
      </c>
      <c r="Y12">
        <f t="shared" ca="1" si="5"/>
        <v>3</v>
      </c>
      <c r="Z12">
        <f t="shared" ca="1" si="5"/>
        <v>5</v>
      </c>
      <c r="AA12">
        <f t="shared" ca="1" si="5"/>
        <v>1</v>
      </c>
      <c r="AB12">
        <f t="shared" ca="1" si="5"/>
        <v>6</v>
      </c>
      <c r="AC12">
        <f t="shared" ca="1" si="5"/>
        <v>3</v>
      </c>
      <c r="AD12">
        <f t="shared" ca="1" si="5"/>
        <v>6</v>
      </c>
      <c r="AE12">
        <f t="shared" ca="1" si="5"/>
        <v>6</v>
      </c>
      <c r="AF12">
        <f t="shared" ca="1" si="5"/>
        <v>4</v>
      </c>
      <c r="AG12">
        <f t="shared" ca="1" si="5"/>
        <v>2</v>
      </c>
      <c r="AH12">
        <f t="shared" ca="1" si="5"/>
        <v>4</v>
      </c>
      <c r="AI12">
        <f t="shared" ca="1" si="5"/>
        <v>2</v>
      </c>
      <c r="AJ12">
        <f t="shared" ca="1" si="5"/>
        <v>5</v>
      </c>
      <c r="AK12">
        <f t="shared" ca="1" si="5"/>
        <v>5</v>
      </c>
      <c r="AL12">
        <f t="shared" ca="1" si="5"/>
        <v>5</v>
      </c>
      <c r="AM12">
        <f t="shared" ca="1" si="5"/>
        <v>6</v>
      </c>
      <c r="AN12">
        <f t="shared" ca="1" si="5"/>
        <v>4</v>
      </c>
      <c r="AO12">
        <f t="shared" ca="1" si="5"/>
        <v>2</v>
      </c>
      <c r="AP12">
        <f t="shared" ca="1" si="5"/>
        <v>2</v>
      </c>
      <c r="AQ12">
        <f t="shared" ca="1" si="5"/>
        <v>2</v>
      </c>
      <c r="AR12">
        <f t="shared" ca="1" si="5"/>
        <v>6</v>
      </c>
      <c r="AS12">
        <f t="shared" ca="1" si="5"/>
        <v>2</v>
      </c>
      <c r="AT12">
        <f t="shared" ca="1" si="5"/>
        <v>3</v>
      </c>
      <c r="AU12">
        <f t="shared" ca="1" si="5"/>
        <v>5</v>
      </c>
      <c r="AV12">
        <f t="shared" ca="1" si="5"/>
        <v>3</v>
      </c>
      <c r="AW12">
        <f t="shared" ca="1" si="5"/>
        <v>2</v>
      </c>
      <c r="AX12">
        <f t="shared" ca="1" si="2"/>
        <v>5</v>
      </c>
    </row>
    <row r="13" spans="1:50" x14ac:dyDescent="0.2">
      <c r="A13">
        <f t="shared" ca="1" si="1"/>
        <v>1</v>
      </c>
      <c r="B13">
        <f t="shared" ca="1" si="5"/>
        <v>4</v>
      </c>
      <c r="C13">
        <f t="shared" ca="1" si="5"/>
        <v>5</v>
      </c>
      <c r="D13">
        <f t="shared" ca="1" si="5"/>
        <v>5</v>
      </c>
      <c r="E13">
        <f t="shared" ca="1" si="5"/>
        <v>5</v>
      </c>
      <c r="F13">
        <f t="shared" ca="1" si="5"/>
        <v>1</v>
      </c>
      <c r="G13">
        <f t="shared" ca="1" si="5"/>
        <v>5</v>
      </c>
      <c r="H13">
        <f t="shared" ca="1" si="5"/>
        <v>4</v>
      </c>
      <c r="I13">
        <f t="shared" ca="1" si="5"/>
        <v>4</v>
      </c>
      <c r="J13">
        <f t="shared" ca="1" si="5"/>
        <v>2</v>
      </c>
      <c r="K13">
        <f t="shared" ca="1" si="5"/>
        <v>1</v>
      </c>
      <c r="L13">
        <f t="shared" ca="1" si="5"/>
        <v>3</v>
      </c>
      <c r="M13">
        <f t="shared" ca="1" si="5"/>
        <v>2</v>
      </c>
      <c r="N13">
        <f t="shared" ca="1" si="5"/>
        <v>5</v>
      </c>
      <c r="O13">
        <f t="shared" ca="1" si="5"/>
        <v>3</v>
      </c>
      <c r="P13">
        <f t="shared" ref="P13:AE30" ca="1" si="6">RANDBETWEEN(1,6)</f>
        <v>2</v>
      </c>
      <c r="Q13">
        <f t="shared" ca="1" si="6"/>
        <v>5</v>
      </c>
      <c r="R13">
        <f t="shared" ca="1" si="6"/>
        <v>5</v>
      </c>
      <c r="S13">
        <f t="shared" ca="1" si="6"/>
        <v>5</v>
      </c>
      <c r="T13">
        <f t="shared" ca="1" si="6"/>
        <v>1</v>
      </c>
      <c r="U13">
        <f t="shared" ca="1" si="6"/>
        <v>2</v>
      </c>
      <c r="V13">
        <f t="shared" ca="1" si="6"/>
        <v>2</v>
      </c>
      <c r="W13">
        <f t="shared" ca="1" si="6"/>
        <v>1</v>
      </c>
      <c r="X13">
        <f t="shared" ca="1" si="6"/>
        <v>6</v>
      </c>
      <c r="Y13">
        <f t="shared" ca="1" si="6"/>
        <v>6</v>
      </c>
      <c r="Z13">
        <f t="shared" ca="1" si="6"/>
        <v>4</v>
      </c>
      <c r="AA13">
        <f t="shared" ca="1" si="6"/>
        <v>5</v>
      </c>
      <c r="AB13">
        <f t="shared" ca="1" si="6"/>
        <v>2</v>
      </c>
      <c r="AC13">
        <f t="shared" ca="1" si="6"/>
        <v>6</v>
      </c>
      <c r="AD13">
        <f t="shared" ca="1" si="6"/>
        <v>2</v>
      </c>
      <c r="AE13">
        <f t="shared" ca="1" si="6"/>
        <v>2</v>
      </c>
      <c r="AF13">
        <f t="shared" ref="AF13:AU28" ca="1" si="7">RANDBETWEEN(1,6)</f>
        <v>4</v>
      </c>
      <c r="AG13">
        <f t="shared" ca="1" si="7"/>
        <v>2</v>
      </c>
      <c r="AH13">
        <f t="shared" ca="1" si="7"/>
        <v>4</v>
      </c>
      <c r="AI13">
        <f t="shared" ca="1" si="7"/>
        <v>5</v>
      </c>
      <c r="AJ13">
        <f t="shared" ca="1" si="7"/>
        <v>4</v>
      </c>
      <c r="AK13">
        <f t="shared" ca="1" si="7"/>
        <v>6</v>
      </c>
      <c r="AL13">
        <f t="shared" ca="1" si="7"/>
        <v>1</v>
      </c>
      <c r="AM13">
        <f t="shared" ca="1" si="7"/>
        <v>1</v>
      </c>
      <c r="AN13">
        <f t="shared" ca="1" si="7"/>
        <v>6</v>
      </c>
      <c r="AO13">
        <f t="shared" ca="1" si="7"/>
        <v>3</v>
      </c>
      <c r="AP13">
        <f t="shared" ca="1" si="7"/>
        <v>2</v>
      </c>
      <c r="AQ13">
        <f t="shared" ca="1" si="7"/>
        <v>4</v>
      </c>
      <c r="AR13">
        <f t="shared" ca="1" si="7"/>
        <v>2</v>
      </c>
      <c r="AS13">
        <f t="shared" ca="1" si="7"/>
        <v>4</v>
      </c>
      <c r="AT13">
        <f t="shared" ca="1" si="7"/>
        <v>6</v>
      </c>
      <c r="AU13">
        <f t="shared" ca="1" si="7"/>
        <v>3</v>
      </c>
      <c r="AV13">
        <f t="shared" ref="AV13:AW27" ca="1" si="8">RANDBETWEEN(1,6)</f>
        <v>6</v>
      </c>
      <c r="AW13">
        <f t="shared" ca="1" si="8"/>
        <v>6</v>
      </c>
      <c r="AX13">
        <f t="shared" ca="1" si="2"/>
        <v>1</v>
      </c>
    </row>
    <row r="14" spans="1:50" x14ac:dyDescent="0.2">
      <c r="A14">
        <f t="shared" ca="1" si="1"/>
        <v>1</v>
      </c>
      <c r="B14">
        <f t="shared" ca="1" si="1"/>
        <v>6</v>
      </c>
      <c r="C14">
        <f t="shared" ca="1" si="1"/>
        <v>4</v>
      </c>
      <c r="D14">
        <f t="shared" ca="1" si="1"/>
        <v>5</v>
      </c>
      <c r="E14">
        <f t="shared" ca="1" si="1"/>
        <v>5</v>
      </c>
      <c r="F14">
        <f t="shared" ca="1" si="1"/>
        <v>2</v>
      </c>
      <c r="G14">
        <f t="shared" ca="1" si="1"/>
        <v>2</v>
      </c>
      <c r="H14">
        <f t="shared" ca="1" si="1"/>
        <v>4</v>
      </c>
      <c r="I14">
        <f t="shared" ca="1" si="1"/>
        <v>1</v>
      </c>
      <c r="J14">
        <f t="shared" ca="1" si="1"/>
        <v>1</v>
      </c>
      <c r="K14">
        <f t="shared" ca="1" si="1"/>
        <v>4</v>
      </c>
      <c r="L14">
        <f t="shared" ca="1" si="1"/>
        <v>2</v>
      </c>
      <c r="M14">
        <f t="shared" ca="1" si="1"/>
        <v>6</v>
      </c>
      <c r="N14">
        <f t="shared" ca="1" si="1"/>
        <v>6</v>
      </c>
      <c r="O14">
        <f t="shared" ca="1" si="1"/>
        <v>4</v>
      </c>
      <c r="P14">
        <f t="shared" ca="1" si="1"/>
        <v>1</v>
      </c>
      <c r="Q14">
        <f t="shared" ca="1" si="6"/>
        <v>5</v>
      </c>
      <c r="R14">
        <f t="shared" ca="1" si="6"/>
        <v>6</v>
      </c>
      <c r="S14">
        <f t="shared" ca="1" si="6"/>
        <v>3</v>
      </c>
      <c r="T14">
        <f t="shared" ca="1" si="6"/>
        <v>6</v>
      </c>
      <c r="U14">
        <f t="shared" ca="1" si="6"/>
        <v>3</v>
      </c>
      <c r="V14">
        <f t="shared" ca="1" si="6"/>
        <v>1</v>
      </c>
      <c r="W14">
        <f t="shared" ca="1" si="6"/>
        <v>2</v>
      </c>
      <c r="X14">
        <f t="shared" ca="1" si="6"/>
        <v>1</v>
      </c>
      <c r="Y14">
        <f t="shared" ca="1" si="6"/>
        <v>4</v>
      </c>
      <c r="Z14">
        <f t="shared" ca="1" si="6"/>
        <v>5</v>
      </c>
      <c r="AA14">
        <f t="shared" ca="1" si="6"/>
        <v>1</v>
      </c>
      <c r="AB14">
        <f t="shared" ca="1" si="6"/>
        <v>1</v>
      </c>
      <c r="AC14">
        <f t="shared" ca="1" si="6"/>
        <v>3</v>
      </c>
      <c r="AD14">
        <f t="shared" ca="1" si="6"/>
        <v>6</v>
      </c>
      <c r="AE14">
        <f t="shared" ca="1" si="6"/>
        <v>4</v>
      </c>
      <c r="AF14">
        <f t="shared" ca="1" si="7"/>
        <v>3</v>
      </c>
      <c r="AG14">
        <f t="shared" ca="1" si="7"/>
        <v>4</v>
      </c>
      <c r="AH14">
        <f t="shared" ca="1" si="7"/>
        <v>1</v>
      </c>
      <c r="AI14">
        <f t="shared" ca="1" si="7"/>
        <v>4</v>
      </c>
      <c r="AJ14">
        <f t="shared" ca="1" si="7"/>
        <v>5</v>
      </c>
      <c r="AK14">
        <f t="shared" ca="1" si="7"/>
        <v>1</v>
      </c>
      <c r="AL14">
        <f t="shared" ca="1" si="7"/>
        <v>1</v>
      </c>
      <c r="AM14">
        <f t="shared" ca="1" si="7"/>
        <v>4</v>
      </c>
      <c r="AN14">
        <f t="shared" ca="1" si="7"/>
        <v>5</v>
      </c>
      <c r="AO14">
        <f t="shared" ca="1" si="7"/>
        <v>2</v>
      </c>
      <c r="AP14">
        <f t="shared" ca="1" si="7"/>
        <v>3</v>
      </c>
      <c r="AQ14">
        <f t="shared" ca="1" si="7"/>
        <v>2</v>
      </c>
      <c r="AR14">
        <f t="shared" ca="1" si="7"/>
        <v>1</v>
      </c>
      <c r="AS14">
        <f t="shared" ca="1" si="7"/>
        <v>5</v>
      </c>
      <c r="AT14">
        <f t="shared" ca="1" si="7"/>
        <v>4</v>
      </c>
      <c r="AU14">
        <f t="shared" ca="1" si="7"/>
        <v>3</v>
      </c>
      <c r="AV14">
        <f t="shared" ca="1" si="8"/>
        <v>2</v>
      </c>
      <c r="AW14">
        <f t="shared" ca="1" si="8"/>
        <v>4</v>
      </c>
      <c r="AX14">
        <f t="shared" ca="1" si="2"/>
        <v>2</v>
      </c>
    </row>
    <row r="15" spans="1:50" x14ac:dyDescent="0.2">
      <c r="A15">
        <f t="shared" ca="1" si="1"/>
        <v>1</v>
      </c>
      <c r="B15">
        <f t="shared" ca="1" si="1"/>
        <v>5</v>
      </c>
      <c r="C15">
        <f t="shared" ca="1" si="1"/>
        <v>5</v>
      </c>
      <c r="D15">
        <f t="shared" ca="1" si="1"/>
        <v>6</v>
      </c>
      <c r="E15">
        <f t="shared" ca="1" si="1"/>
        <v>3</v>
      </c>
      <c r="F15">
        <f t="shared" ca="1" si="1"/>
        <v>6</v>
      </c>
      <c r="G15">
        <f t="shared" ca="1" si="1"/>
        <v>5</v>
      </c>
      <c r="H15">
        <f t="shared" ca="1" si="1"/>
        <v>1</v>
      </c>
      <c r="I15">
        <f t="shared" ca="1" si="1"/>
        <v>5</v>
      </c>
      <c r="J15">
        <f t="shared" ca="1" si="1"/>
        <v>2</v>
      </c>
      <c r="K15">
        <f t="shared" ca="1" si="1"/>
        <v>1</v>
      </c>
      <c r="L15">
        <f t="shared" ca="1" si="1"/>
        <v>5</v>
      </c>
      <c r="M15">
        <f t="shared" ca="1" si="1"/>
        <v>1</v>
      </c>
      <c r="N15">
        <f t="shared" ca="1" si="1"/>
        <v>1</v>
      </c>
      <c r="O15">
        <f t="shared" ca="1" si="1"/>
        <v>4</v>
      </c>
      <c r="P15">
        <f t="shared" ca="1" si="1"/>
        <v>1</v>
      </c>
      <c r="Q15">
        <f t="shared" ca="1" si="6"/>
        <v>5</v>
      </c>
      <c r="R15">
        <f t="shared" ca="1" si="6"/>
        <v>1</v>
      </c>
      <c r="S15">
        <f t="shared" ca="1" si="6"/>
        <v>6</v>
      </c>
      <c r="T15">
        <f t="shared" ca="1" si="6"/>
        <v>6</v>
      </c>
      <c r="U15">
        <f t="shared" ca="1" si="6"/>
        <v>5</v>
      </c>
      <c r="V15">
        <f t="shared" ca="1" si="6"/>
        <v>5</v>
      </c>
      <c r="W15">
        <f t="shared" ca="1" si="6"/>
        <v>3</v>
      </c>
      <c r="X15">
        <f t="shared" ca="1" si="6"/>
        <v>3</v>
      </c>
      <c r="Y15">
        <f t="shared" ca="1" si="6"/>
        <v>3</v>
      </c>
      <c r="Z15">
        <f t="shared" ca="1" si="6"/>
        <v>2</v>
      </c>
      <c r="AA15">
        <f t="shared" ca="1" si="6"/>
        <v>6</v>
      </c>
      <c r="AB15">
        <f t="shared" ca="1" si="6"/>
        <v>3</v>
      </c>
      <c r="AC15">
        <f t="shared" ca="1" si="6"/>
        <v>3</v>
      </c>
      <c r="AD15">
        <f t="shared" ca="1" si="6"/>
        <v>4</v>
      </c>
      <c r="AE15">
        <f t="shared" ca="1" si="6"/>
        <v>5</v>
      </c>
      <c r="AF15">
        <f t="shared" ca="1" si="7"/>
        <v>4</v>
      </c>
      <c r="AG15">
        <f t="shared" ca="1" si="7"/>
        <v>2</v>
      </c>
      <c r="AH15">
        <f t="shared" ca="1" si="7"/>
        <v>2</v>
      </c>
      <c r="AI15">
        <f t="shared" ca="1" si="7"/>
        <v>3</v>
      </c>
      <c r="AJ15">
        <f t="shared" ca="1" si="7"/>
        <v>6</v>
      </c>
      <c r="AK15">
        <f t="shared" ca="1" si="7"/>
        <v>5</v>
      </c>
      <c r="AL15">
        <f t="shared" ca="1" si="7"/>
        <v>1</v>
      </c>
      <c r="AM15">
        <f t="shared" ca="1" si="7"/>
        <v>5</v>
      </c>
      <c r="AN15">
        <f t="shared" ca="1" si="7"/>
        <v>4</v>
      </c>
      <c r="AO15">
        <f t="shared" ca="1" si="7"/>
        <v>4</v>
      </c>
      <c r="AP15">
        <f t="shared" ca="1" si="7"/>
        <v>1</v>
      </c>
      <c r="AQ15">
        <f t="shared" ca="1" si="7"/>
        <v>4</v>
      </c>
      <c r="AR15">
        <f t="shared" ca="1" si="7"/>
        <v>6</v>
      </c>
      <c r="AS15">
        <f t="shared" ca="1" si="7"/>
        <v>5</v>
      </c>
      <c r="AT15">
        <f t="shared" ca="1" si="7"/>
        <v>1</v>
      </c>
      <c r="AU15">
        <f t="shared" ca="1" si="7"/>
        <v>2</v>
      </c>
      <c r="AV15">
        <f t="shared" ca="1" si="8"/>
        <v>5</v>
      </c>
      <c r="AW15">
        <f t="shared" ca="1" si="8"/>
        <v>2</v>
      </c>
      <c r="AX15">
        <f t="shared" ca="1" si="2"/>
        <v>5</v>
      </c>
    </row>
    <row r="16" spans="1:50" x14ac:dyDescent="0.2">
      <c r="A16">
        <f t="shared" ca="1" si="1"/>
        <v>2</v>
      </c>
      <c r="B16">
        <f t="shared" ca="1" si="1"/>
        <v>4</v>
      </c>
      <c r="C16">
        <f t="shared" ca="1" si="1"/>
        <v>6</v>
      </c>
      <c r="D16">
        <f t="shared" ca="1" si="1"/>
        <v>2</v>
      </c>
      <c r="E16">
        <f t="shared" ca="1" si="1"/>
        <v>5</v>
      </c>
      <c r="F16">
        <f t="shared" ca="1" si="1"/>
        <v>2</v>
      </c>
      <c r="G16">
        <f t="shared" ca="1" si="1"/>
        <v>4</v>
      </c>
      <c r="H16">
        <f t="shared" ca="1" si="1"/>
        <v>4</v>
      </c>
      <c r="I16">
        <f t="shared" ca="1" si="1"/>
        <v>1</v>
      </c>
      <c r="J16">
        <f t="shared" ca="1" si="1"/>
        <v>5</v>
      </c>
      <c r="K16">
        <f t="shared" ca="1" si="1"/>
        <v>2</v>
      </c>
      <c r="L16">
        <f t="shared" ca="1" si="1"/>
        <v>1</v>
      </c>
      <c r="M16">
        <f t="shared" ca="1" si="1"/>
        <v>1</v>
      </c>
      <c r="N16">
        <f t="shared" ca="1" si="1"/>
        <v>2</v>
      </c>
      <c r="O16">
        <f t="shared" ca="1" si="1"/>
        <v>5</v>
      </c>
      <c r="P16">
        <f t="shared" ca="1" si="1"/>
        <v>4</v>
      </c>
      <c r="Q16">
        <f t="shared" ca="1" si="6"/>
        <v>3</v>
      </c>
      <c r="R16">
        <f t="shared" ca="1" si="6"/>
        <v>5</v>
      </c>
      <c r="S16">
        <f t="shared" ca="1" si="6"/>
        <v>3</v>
      </c>
      <c r="T16">
        <f t="shared" ca="1" si="6"/>
        <v>4</v>
      </c>
      <c r="U16">
        <f t="shared" ca="1" si="6"/>
        <v>1</v>
      </c>
      <c r="V16">
        <f t="shared" ca="1" si="6"/>
        <v>2</v>
      </c>
      <c r="W16">
        <f t="shared" ca="1" si="6"/>
        <v>5</v>
      </c>
      <c r="X16">
        <f t="shared" ca="1" si="6"/>
        <v>1</v>
      </c>
      <c r="Y16">
        <f t="shared" ca="1" si="6"/>
        <v>1</v>
      </c>
      <c r="Z16">
        <f t="shared" ca="1" si="6"/>
        <v>6</v>
      </c>
      <c r="AA16">
        <f t="shared" ca="1" si="6"/>
        <v>1</v>
      </c>
      <c r="AB16">
        <f t="shared" ca="1" si="6"/>
        <v>1</v>
      </c>
      <c r="AC16">
        <f t="shared" ca="1" si="6"/>
        <v>4</v>
      </c>
      <c r="AD16">
        <f t="shared" ca="1" si="6"/>
        <v>6</v>
      </c>
      <c r="AE16">
        <f t="shared" ca="1" si="6"/>
        <v>6</v>
      </c>
      <c r="AF16">
        <f t="shared" ca="1" si="7"/>
        <v>1</v>
      </c>
      <c r="AG16">
        <f t="shared" ca="1" si="7"/>
        <v>4</v>
      </c>
      <c r="AH16">
        <f t="shared" ca="1" si="7"/>
        <v>3</v>
      </c>
      <c r="AI16">
        <f t="shared" ca="1" si="7"/>
        <v>1</v>
      </c>
      <c r="AJ16">
        <f t="shared" ca="1" si="7"/>
        <v>2</v>
      </c>
      <c r="AK16">
        <f t="shared" ca="1" si="7"/>
        <v>1</v>
      </c>
      <c r="AL16">
        <f t="shared" ca="1" si="7"/>
        <v>2</v>
      </c>
      <c r="AM16">
        <f t="shared" ca="1" si="7"/>
        <v>6</v>
      </c>
      <c r="AN16">
        <f t="shared" ca="1" si="7"/>
        <v>1</v>
      </c>
      <c r="AO16">
        <f t="shared" ca="1" si="7"/>
        <v>2</v>
      </c>
      <c r="AP16">
        <f t="shared" ca="1" si="7"/>
        <v>2</v>
      </c>
      <c r="AQ16">
        <f t="shared" ca="1" si="7"/>
        <v>6</v>
      </c>
      <c r="AR16">
        <f t="shared" ca="1" si="7"/>
        <v>6</v>
      </c>
      <c r="AS16">
        <f t="shared" ca="1" si="7"/>
        <v>3</v>
      </c>
      <c r="AT16">
        <f t="shared" ca="1" si="7"/>
        <v>2</v>
      </c>
      <c r="AU16">
        <f t="shared" ca="1" si="7"/>
        <v>5</v>
      </c>
      <c r="AV16">
        <f t="shared" ca="1" si="8"/>
        <v>5</v>
      </c>
      <c r="AW16">
        <f t="shared" ca="1" si="8"/>
        <v>1</v>
      </c>
      <c r="AX16">
        <f t="shared" ca="1" si="2"/>
        <v>2</v>
      </c>
    </row>
    <row r="17" spans="1:50" x14ac:dyDescent="0.2">
      <c r="A17">
        <f t="shared" ca="1" si="1"/>
        <v>2</v>
      </c>
      <c r="B17">
        <f t="shared" ca="1" si="1"/>
        <v>3</v>
      </c>
      <c r="C17">
        <f t="shared" ca="1" si="1"/>
        <v>6</v>
      </c>
      <c r="D17">
        <f t="shared" ca="1" si="1"/>
        <v>2</v>
      </c>
      <c r="E17">
        <f t="shared" ca="1" si="1"/>
        <v>4</v>
      </c>
      <c r="F17">
        <f t="shared" ca="1" si="1"/>
        <v>5</v>
      </c>
      <c r="G17">
        <f t="shared" ca="1" si="1"/>
        <v>3</v>
      </c>
      <c r="H17">
        <f t="shared" ca="1" si="1"/>
        <v>3</v>
      </c>
      <c r="I17">
        <f t="shared" ca="1" si="1"/>
        <v>3</v>
      </c>
      <c r="J17">
        <f t="shared" ca="1" si="1"/>
        <v>4</v>
      </c>
      <c r="K17">
        <f t="shared" ca="1" si="1"/>
        <v>1</v>
      </c>
      <c r="L17">
        <f t="shared" ca="1" si="1"/>
        <v>3</v>
      </c>
      <c r="M17">
        <f t="shared" ca="1" si="1"/>
        <v>6</v>
      </c>
      <c r="N17">
        <f t="shared" ca="1" si="1"/>
        <v>4</v>
      </c>
      <c r="O17">
        <f t="shared" ca="1" si="1"/>
        <v>1</v>
      </c>
      <c r="P17">
        <f t="shared" ca="1" si="1"/>
        <v>4</v>
      </c>
      <c r="Q17">
        <f t="shared" ca="1" si="6"/>
        <v>3</v>
      </c>
      <c r="R17">
        <f t="shared" ca="1" si="6"/>
        <v>5</v>
      </c>
      <c r="S17">
        <f t="shared" ca="1" si="6"/>
        <v>2</v>
      </c>
      <c r="T17">
        <f t="shared" ca="1" si="6"/>
        <v>3</v>
      </c>
      <c r="U17">
        <f t="shared" ca="1" si="6"/>
        <v>6</v>
      </c>
      <c r="V17">
        <f t="shared" ca="1" si="6"/>
        <v>1</v>
      </c>
      <c r="W17">
        <f t="shared" ca="1" si="6"/>
        <v>6</v>
      </c>
      <c r="X17">
        <f t="shared" ca="1" si="6"/>
        <v>4</v>
      </c>
      <c r="Y17">
        <f t="shared" ca="1" si="6"/>
        <v>5</v>
      </c>
      <c r="Z17">
        <f t="shared" ca="1" si="6"/>
        <v>4</v>
      </c>
      <c r="AA17">
        <f t="shared" ca="1" si="6"/>
        <v>3</v>
      </c>
      <c r="AB17">
        <f t="shared" ca="1" si="6"/>
        <v>1</v>
      </c>
      <c r="AC17">
        <f t="shared" ca="1" si="6"/>
        <v>2</v>
      </c>
      <c r="AD17">
        <f t="shared" ca="1" si="6"/>
        <v>3</v>
      </c>
      <c r="AE17">
        <f t="shared" ca="1" si="6"/>
        <v>4</v>
      </c>
      <c r="AF17">
        <f t="shared" ca="1" si="7"/>
        <v>4</v>
      </c>
      <c r="AG17">
        <f t="shared" ca="1" si="7"/>
        <v>4</v>
      </c>
      <c r="AH17">
        <f t="shared" ca="1" si="7"/>
        <v>1</v>
      </c>
      <c r="AI17">
        <f t="shared" ca="1" si="7"/>
        <v>4</v>
      </c>
      <c r="AJ17">
        <f t="shared" ca="1" si="7"/>
        <v>2</v>
      </c>
      <c r="AK17">
        <f t="shared" ca="1" si="7"/>
        <v>4</v>
      </c>
      <c r="AL17">
        <f t="shared" ca="1" si="7"/>
        <v>6</v>
      </c>
      <c r="AM17">
        <f t="shared" ca="1" si="7"/>
        <v>3</v>
      </c>
      <c r="AN17">
        <f t="shared" ca="1" si="7"/>
        <v>2</v>
      </c>
      <c r="AO17">
        <f t="shared" ca="1" si="7"/>
        <v>2</v>
      </c>
      <c r="AP17">
        <f t="shared" ca="1" si="7"/>
        <v>4</v>
      </c>
      <c r="AQ17">
        <f t="shared" ca="1" si="7"/>
        <v>5</v>
      </c>
      <c r="AR17">
        <f t="shared" ca="1" si="7"/>
        <v>4</v>
      </c>
      <c r="AS17">
        <f t="shared" ca="1" si="7"/>
        <v>4</v>
      </c>
      <c r="AT17">
        <f t="shared" ca="1" si="7"/>
        <v>1</v>
      </c>
      <c r="AU17">
        <f t="shared" ca="1" si="7"/>
        <v>2</v>
      </c>
      <c r="AV17">
        <f t="shared" ca="1" si="8"/>
        <v>4</v>
      </c>
      <c r="AW17">
        <f t="shared" ca="1" si="8"/>
        <v>1</v>
      </c>
      <c r="AX17">
        <f t="shared" ca="1" si="2"/>
        <v>2</v>
      </c>
    </row>
    <row r="18" spans="1:50" x14ac:dyDescent="0.2">
      <c r="A18">
        <f t="shared" ca="1" si="1"/>
        <v>1</v>
      </c>
      <c r="B18">
        <f t="shared" ca="1" si="1"/>
        <v>3</v>
      </c>
      <c r="C18">
        <f t="shared" ca="1" si="1"/>
        <v>5</v>
      </c>
      <c r="D18">
        <f t="shared" ca="1" si="1"/>
        <v>3</v>
      </c>
      <c r="E18">
        <f t="shared" ca="1" si="1"/>
        <v>6</v>
      </c>
      <c r="F18">
        <f t="shared" ca="1" si="1"/>
        <v>4</v>
      </c>
      <c r="G18">
        <f t="shared" ca="1" si="1"/>
        <v>4</v>
      </c>
      <c r="H18">
        <f t="shared" ca="1" si="1"/>
        <v>4</v>
      </c>
      <c r="I18">
        <f t="shared" ca="1" si="1"/>
        <v>1</v>
      </c>
      <c r="J18">
        <f t="shared" ca="1" si="1"/>
        <v>2</v>
      </c>
      <c r="K18">
        <f t="shared" ca="1" si="1"/>
        <v>2</v>
      </c>
      <c r="L18">
        <f t="shared" ca="1" si="1"/>
        <v>5</v>
      </c>
      <c r="M18">
        <f t="shared" ca="1" si="1"/>
        <v>3</v>
      </c>
      <c r="N18">
        <f t="shared" ca="1" si="1"/>
        <v>4</v>
      </c>
      <c r="O18">
        <f t="shared" ca="1" si="1"/>
        <v>2</v>
      </c>
      <c r="P18">
        <f t="shared" ca="1" si="1"/>
        <v>6</v>
      </c>
      <c r="Q18">
        <f t="shared" ca="1" si="6"/>
        <v>1</v>
      </c>
      <c r="R18">
        <f t="shared" ca="1" si="6"/>
        <v>5</v>
      </c>
      <c r="S18">
        <f t="shared" ca="1" si="6"/>
        <v>3</v>
      </c>
      <c r="T18">
        <f t="shared" ca="1" si="6"/>
        <v>3</v>
      </c>
      <c r="U18">
        <f t="shared" ca="1" si="6"/>
        <v>6</v>
      </c>
      <c r="V18">
        <f t="shared" ca="1" si="6"/>
        <v>2</v>
      </c>
      <c r="W18">
        <f t="shared" ca="1" si="6"/>
        <v>6</v>
      </c>
      <c r="X18">
        <f t="shared" ca="1" si="6"/>
        <v>5</v>
      </c>
      <c r="Y18">
        <f t="shared" ca="1" si="6"/>
        <v>4</v>
      </c>
      <c r="Z18">
        <f t="shared" ca="1" si="6"/>
        <v>6</v>
      </c>
      <c r="AA18">
        <f t="shared" ca="1" si="6"/>
        <v>4</v>
      </c>
      <c r="AB18">
        <f t="shared" ca="1" si="6"/>
        <v>5</v>
      </c>
      <c r="AC18">
        <f t="shared" ca="1" si="6"/>
        <v>5</v>
      </c>
      <c r="AD18">
        <f t="shared" ca="1" si="6"/>
        <v>6</v>
      </c>
      <c r="AE18">
        <f t="shared" ca="1" si="6"/>
        <v>2</v>
      </c>
      <c r="AF18">
        <f t="shared" ca="1" si="7"/>
        <v>4</v>
      </c>
      <c r="AG18">
        <f t="shared" ca="1" si="7"/>
        <v>6</v>
      </c>
      <c r="AH18">
        <f t="shared" ca="1" si="7"/>
        <v>2</v>
      </c>
      <c r="AI18">
        <f t="shared" ca="1" si="7"/>
        <v>2</v>
      </c>
      <c r="AJ18">
        <f t="shared" ca="1" si="7"/>
        <v>1</v>
      </c>
      <c r="AK18">
        <f t="shared" ca="1" si="7"/>
        <v>4</v>
      </c>
      <c r="AL18">
        <f t="shared" ca="1" si="7"/>
        <v>1</v>
      </c>
      <c r="AM18">
        <f t="shared" ca="1" si="7"/>
        <v>4</v>
      </c>
      <c r="AN18">
        <f t="shared" ca="1" si="7"/>
        <v>1</v>
      </c>
      <c r="AO18">
        <f t="shared" ca="1" si="7"/>
        <v>1</v>
      </c>
      <c r="AP18">
        <f t="shared" ca="1" si="7"/>
        <v>4</v>
      </c>
      <c r="AQ18">
        <f t="shared" ca="1" si="7"/>
        <v>3</v>
      </c>
      <c r="AR18">
        <f t="shared" ca="1" si="7"/>
        <v>2</v>
      </c>
      <c r="AS18">
        <f t="shared" ca="1" si="7"/>
        <v>3</v>
      </c>
      <c r="AT18">
        <f t="shared" ca="1" si="7"/>
        <v>1</v>
      </c>
      <c r="AU18">
        <f t="shared" ca="1" si="7"/>
        <v>6</v>
      </c>
      <c r="AV18">
        <f t="shared" ca="1" si="8"/>
        <v>3</v>
      </c>
      <c r="AW18">
        <f t="shared" ca="1" si="8"/>
        <v>3</v>
      </c>
      <c r="AX18">
        <f t="shared" ca="1" si="2"/>
        <v>1</v>
      </c>
    </row>
    <row r="19" spans="1:50" x14ac:dyDescent="0.2">
      <c r="A19">
        <f t="shared" ca="1" si="1"/>
        <v>4</v>
      </c>
      <c r="B19">
        <f t="shared" ca="1" si="1"/>
        <v>3</v>
      </c>
      <c r="C19">
        <f t="shared" ca="1" si="1"/>
        <v>3</v>
      </c>
      <c r="D19">
        <f t="shared" ca="1" si="1"/>
        <v>4</v>
      </c>
      <c r="E19">
        <f t="shared" ca="1" si="1"/>
        <v>4</v>
      </c>
      <c r="F19">
        <f t="shared" ca="1" si="1"/>
        <v>3</v>
      </c>
      <c r="G19">
        <f t="shared" ca="1" si="1"/>
        <v>6</v>
      </c>
      <c r="H19">
        <f t="shared" ca="1" si="1"/>
        <v>6</v>
      </c>
      <c r="I19">
        <f t="shared" ca="1" si="1"/>
        <v>6</v>
      </c>
      <c r="J19">
        <f t="shared" ca="1" si="1"/>
        <v>4</v>
      </c>
      <c r="K19">
        <f t="shared" ca="1" si="1"/>
        <v>4</v>
      </c>
      <c r="L19">
        <f t="shared" ca="1" si="1"/>
        <v>3</v>
      </c>
      <c r="M19">
        <f t="shared" ca="1" si="1"/>
        <v>3</v>
      </c>
      <c r="N19">
        <f t="shared" ca="1" si="1"/>
        <v>3</v>
      </c>
      <c r="O19">
        <f t="shared" ca="1" si="1"/>
        <v>6</v>
      </c>
      <c r="P19">
        <f t="shared" ca="1" si="1"/>
        <v>6</v>
      </c>
      <c r="Q19">
        <f t="shared" ca="1" si="6"/>
        <v>2</v>
      </c>
      <c r="R19">
        <f t="shared" ca="1" si="6"/>
        <v>6</v>
      </c>
      <c r="S19">
        <f t="shared" ca="1" si="6"/>
        <v>2</v>
      </c>
      <c r="T19">
        <f t="shared" ca="1" si="6"/>
        <v>6</v>
      </c>
      <c r="U19">
        <f t="shared" ca="1" si="6"/>
        <v>3</v>
      </c>
      <c r="V19">
        <f t="shared" ca="1" si="6"/>
        <v>4</v>
      </c>
      <c r="W19">
        <f t="shared" ca="1" si="6"/>
        <v>2</v>
      </c>
      <c r="X19">
        <f t="shared" ca="1" si="6"/>
        <v>1</v>
      </c>
      <c r="Y19">
        <f t="shared" ca="1" si="6"/>
        <v>2</v>
      </c>
      <c r="Z19">
        <f t="shared" ca="1" si="6"/>
        <v>5</v>
      </c>
      <c r="AA19">
        <f t="shared" ca="1" si="6"/>
        <v>2</v>
      </c>
      <c r="AB19">
        <f t="shared" ca="1" si="6"/>
        <v>4</v>
      </c>
      <c r="AC19">
        <f t="shared" ca="1" si="6"/>
        <v>2</v>
      </c>
      <c r="AD19">
        <f t="shared" ca="1" si="6"/>
        <v>1</v>
      </c>
      <c r="AE19">
        <f t="shared" ca="1" si="6"/>
        <v>5</v>
      </c>
      <c r="AF19">
        <f t="shared" ca="1" si="7"/>
        <v>3</v>
      </c>
      <c r="AG19">
        <f t="shared" ca="1" si="7"/>
        <v>2</v>
      </c>
      <c r="AH19">
        <f t="shared" ca="1" si="7"/>
        <v>1</v>
      </c>
      <c r="AI19">
        <f t="shared" ca="1" si="7"/>
        <v>4</v>
      </c>
      <c r="AJ19">
        <f t="shared" ca="1" si="7"/>
        <v>4</v>
      </c>
      <c r="AK19">
        <f t="shared" ca="1" si="7"/>
        <v>2</v>
      </c>
      <c r="AL19">
        <f t="shared" ca="1" si="7"/>
        <v>4</v>
      </c>
      <c r="AM19">
        <f t="shared" ca="1" si="7"/>
        <v>5</v>
      </c>
      <c r="AN19">
        <f t="shared" ca="1" si="7"/>
        <v>6</v>
      </c>
      <c r="AO19">
        <f t="shared" ca="1" si="7"/>
        <v>1</v>
      </c>
      <c r="AP19">
        <f t="shared" ca="1" si="7"/>
        <v>3</v>
      </c>
      <c r="AQ19">
        <f t="shared" ca="1" si="7"/>
        <v>3</v>
      </c>
      <c r="AR19">
        <f t="shared" ca="1" si="7"/>
        <v>2</v>
      </c>
      <c r="AS19">
        <f t="shared" ca="1" si="7"/>
        <v>1</v>
      </c>
      <c r="AT19">
        <f t="shared" ca="1" si="7"/>
        <v>3</v>
      </c>
      <c r="AU19">
        <f t="shared" ca="1" si="7"/>
        <v>1</v>
      </c>
      <c r="AV19">
        <f t="shared" ca="1" si="8"/>
        <v>3</v>
      </c>
      <c r="AW19">
        <f t="shared" ca="1" si="8"/>
        <v>2</v>
      </c>
      <c r="AX19">
        <f t="shared" ca="1" si="2"/>
        <v>6</v>
      </c>
    </row>
    <row r="20" spans="1:50" x14ac:dyDescent="0.2">
      <c r="A20">
        <f t="shared" ca="1" si="1"/>
        <v>2</v>
      </c>
      <c r="B20">
        <f t="shared" ca="1" si="1"/>
        <v>1</v>
      </c>
      <c r="C20">
        <f t="shared" ca="1" si="1"/>
        <v>3</v>
      </c>
      <c r="D20">
        <f t="shared" ca="1" si="1"/>
        <v>2</v>
      </c>
      <c r="E20">
        <f t="shared" ca="1" si="1"/>
        <v>1</v>
      </c>
      <c r="F20">
        <f t="shared" ca="1" si="1"/>
        <v>3</v>
      </c>
      <c r="G20">
        <f t="shared" ca="1" si="1"/>
        <v>5</v>
      </c>
      <c r="H20">
        <f t="shared" ca="1" si="1"/>
        <v>3</v>
      </c>
      <c r="I20">
        <f t="shared" ca="1" si="1"/>
        <v>6</v>
      </c>
      <c r="J20">
        <f t="shared" ca="1" si="1"/>
        <v>2</v>
      </c>
      <c r="K20">
        <f t="shared" ca="1" si="1"/>
        <v>1</v>
      </c>
      <c r="L20">
        <f t="shared" ca="1" si="1"/>
        <v>5</v>
      </c>
      <c r="M20">
        <f t="shared" ca="1" si="1"/>
        <v>4</v>
      </c>
      <c r="N20">
        <f t="shared" ca="1" si="1"/>
        <v>4</v>
      </c>
      <c r="O20">
        <f t="shared" ca="1" si="1"/>
        <v>4</v>
      </c>
      <c r="P20">
        <f t="shared" ca="1" si="1"/>
        <v>2</v>
      </c>
      <c r="Q20">
        <f t="shared" ca="1" si="6"/>
        <v>5</v>
      </c>
      <c r="R20">
        <f t="shared" ca="1" si="6"/>
        <v>5</v>
      </c>
      <c r="S20">
        <f t="shared" ca="1" si="6"/>
        <v>1</v>
      </c>
      <c r="T20">
        <f t="shared" ca="1" si="6"/>
        <v>2</v>
      </c>
      <c r="U20">
        <f t="shared" ca="1" si="6"/>
        <v>1</v>
      </c>
      <c r="V20">
        <f t="shared" ca="1" si="6"/>
        <v>1</v>
      </c>
      <c r="W20">
        <f t="shared" ca="1" si="6"/>
        <v>4</v>
      </c>
      <c r="X20">
        <f t="shared" ca="1" si="6"/>
        <v>3</v>
      </c>
      <c r="Y20">
        <f t="shared" ca="1" si="6"/>
        <v>5</v>
      </c>
      <c r="Z20">
        <f t="shared" ca="1" si="6"/>
        <v>6</v>
      </c>
      <c r="AA20">
        <f t="shared" ca="1" si="6"/>
        <v>1</v>
      </c>
      <c r="AB20">
        <f t="shared" ca="1" si="6"/>
        <v>5</v>
      </c>
      <c r="AC20">
        <f t="shared" ca="1" si="6"/>
        <v>5</v>
      </c>
      <c r="AD20">
        <f t="shared" ca="1" si="6"/>
        <v>3</v>
      </c>
      <c r="AE20">
        <f t="shared" ca="1" si="6"/>
        <v>2</v>
      </c>
      <c r="AF20">
        <f t="shared" ca="1" si="7"/>
        <v>4</v>
      </c>
      <c r="AG20">
        <f t="shared" ca="1" si="7"/>
        <v>5</v>
      </c>
      <c r="AH20">
        <f t="shared" ca="1" si="7"/>
        <v>4</v>
      </c>
      <c r="AI20">
        <f t="shared" ca="1" si="7"/>
        <v>6</v>
      </c>
      <c r="AJ20">
        <f t="shared" ca="1" si="7"/>
        <v>6</v>
      </c>
      <c r="AK20">
        <f t="shared" ca="1" si="7"/>
        <v>1</v>
      </c>
      <c r="AL20">
        <f t="shared" ca="1" si="7"/>
        <v>4</v>
      </c>
      <c r="AM20">
        <f t="shared" ca="1" si="7"/>
        <v>6</v>
      </c>
      <c r="AN20">
        <f t="shared" ca="1" si="7"/>
        <v>4</v>
      </c>
      <c r="AO20">
        <f t="shared" ca="1" si="7"/>
        <v>2</v>
      </c>
      <c r="AP20">
        <f t="shared" ca="1" si="7"/>
        <v>4</v>
      </c>
      <c r="AQ20">
        <f t="shared" ca="1" si="7"/>
        <v>2</v>
      </c>
      <c r="AR20">
        <f t="shared" ca="1" si="7"/>
        <v>2</v>
      </c>
      <c r="AS20">
        <f t="shared" ca="1" si="7"/>
        <v>6</v>
      </c>
      <c r="AT20">
        <f t="shared" ca="1" si="7"/>
        <v>6</v>
      </c>
      <c r="AU20">
        <f t="shared" ca="1" si="7"/>
        <v>6</v>
      </c>
      <c r="AV20">
        <f t="shared" ca="1" si="8"/>
        <v>5</v>
      </c>
      <c r="AW20">
        <f t="shared" ca="1" si="8"/>
        <v>2</v>
      </c>
      <c r="AX20">
        <f t="shared" ca="1" si="2"/>
        <v>3</v>
      </c>
    </row>
    <row r="21" spans="1:50" x14ac:dyDescent="0.2">
      <c r="A21">
        <f t="shared" ca="1" si="1"/>
        <v>6</v>
      </c>
      <c r="B21">
        <f t="shared" ca="1" si="1"/>
        <v>3</v>
      </c>
      <c r="C21">
        <f t="shared" ca="1" si="1"/>
        <v>4</v>
      </c>
      <c r="D21">
        <f t="shared" ca="1" si="1"/>
        <v>6</v>
      </c>
      <c r="E21">
        <f t="shared" ca="1" si="1"/>
        <v>6</v>
      </c>
      <c r="F21">
        <f t="shared" ca="1" si="1"/>
        <v>1</v>
      </c>
      <c r="G21">
        <f t="shared" ca="1" si="1"/>
        <v>2</v>
      </c>
      <c r="H21">
        <f t="shared" ca="1" si="1"/>
        <v>5</v>
      </c>
      <c r="I21">
        <f t="shared" ca="1" si="1"/>
        <v>6</v>
      </c>
      <c r="J21">
        <f t="shared" ca="1" si="1"/>
        <v>3</v>
      </c>
      <c r="K21">
        <f t="shared" ca="1" si="1"/>
        <v>4</v>
      </c>
      <c r="L21">
        <f t="shared" ca="1" si="1"/>
        <v>5</v>
      </c>
      <c r="M21">
        <f t="shared" ca="1" si="1"/>
        <v>5</v>
      </c>
      <c r="N21">
        <f t="shared" ca="1" si="1"/>
        <v>1</v>
      </c>
      <c r="O21">
        <f t="shared" ca="1" si="1"/>
        <v>5</v>
      </c>
      <c r="P21">
        <f t="shared" ca="1" si="1"/>
        <v>5</v>
      </c>
      <c r="Q21">
        <f t="shared" ca="1" si="6"/>
        <v>3</v>
      </c>
      <c r="R21">
        <f t="shared" ca="1" si="6"/>
        <v>5</v>
      </c>
      <c r="S21">
        <f t="shared" ca="1" si="6"/>
        <v>6</v>
      </c>
      <c r="T21">
        <f t="shared" ca="1" si="6"/>
        <v>2</v>
      </c>
      <c r="U21">
        <f t="shared" ca="1" si="6"/>
        <v>5</v>
      </c>
      <c r="V21">
        <f t="shared" ca="1" si="6"/>
        <v>3</v>
      </c>
      <c r="W21">
        <f t="shared" ca="1" si="6"/>
        <v>3</v>
      </c>
      <c r="X21">
        <f t="shared" ca="1" si="6"/>
        <v>2</v>
      </c>
      <c r="Y21">
        <f t="shared" ca="1" si="6"/>
        <v>6</v>
      </c>
      <c r="Z21">
        <f t="shared" ca="1" si="6"/>
        <v>5</v>
      </c>
      <c r="AA21">
        <f t="shared" ca="1" si="6"/>
        <v>6</v>
      </c>
      <c r="AB21">
        <f t="shared" ca="1" si="6"/>
        <v>5</v>
      </c>
      <c r="AC21">
        <f t="shared" ca="1" si="6"/>
        <v>5</v>
      </c>
      <c r="AD21">
        <f t="shared" ca="1" si="6"/>
        <v>3</v>
      </c>
      <c r="AE21">
        <f t="shared" ca="1" si="6"/>
        <v>1</v>
      </c>
      <c r="AF21">
        <f t="shared" ca="1" si="7"/>
        <v>2</v>
      </c>
      <c r="AG21">
        <f t="shared" ca="1" si="7"/>
        <v>2</v>
      </c>
      <c r="AH21">
        <f t="shared" ca="1" si="7"/>
        <v>5</v>
      </c>
      <c r="AI21">
        <f t="shared" ca="1" si="7"/>
        <v>6</v>
      </c>
      <c r="AJ21">
        <f t="shared" ca="1" si="7"/>
        <v>3</v>
      </c>
      <c r="AK21">
        <f t="shared" ca="1" si="7"/>
        <v>6</v>
      </c>
      <c r="AL21">
        <f t="shared" ca="1" si="7"/>
        <v>6</v>
      </c>
      <c r="AM21">
        <f t="shared" ca="1" si="7"/>
        <v>3</v>
      </c>
      <c r="AN21">
        <f t="shared" ca="1" si="7"/>
        <v>3</v>
      </c>
      <c r="AO21">
        <f t="shared" ca="1" si="7"/>
        <v>5</v>
      </c>
      <c r="AP21">
        <f t="shared" ca="1" si="7"/>
        <v>6</v>
      </c>
      <c r="AQ21">
        <f t="shared" ca="1" si="7"/>
        <v>2</v>
      </c>
      <c r="AR21">
        <f t="shared" ca="1" si="7"/>
        <v>2</v>
      </c>
      <c r="AS21">
        <f t="shared" ca="1" si="7"/>
        <v>1</v>
      </c>
      <c r="AT21">
        <f t="shared" ca="1" si="7"/>
        <v>3</v>
      </c>
      <c r="AU21">
        <f t="shared" ca="1" si="7"/>
        <v>1</v>
      </c>
      <c r="AV21">
        <f t="shared" ca="1" si="8"/>
        <v>4</v>
      </c>
      <c r="AW21">
        <f t="shared" ca="1" si="8"/>
        <v>1</v>
      </c>
      <c r="AX21">
        <f t="shared" ca="1" si="2"/>
        <v>2</v>
      </c>
    </row>
    <row r="22" spans="1:50" x14ac:dyDescent="0.2">
      <c r="A22">
        <f t="shared" ca="1" si="1"/>
        <v>5</v>
      </c>
      <c r="B22">
        <f t="shared" ca="1" si="1"/>
        <v>3</v>
      </c>
      <c r="C22">
        <f t="shared" ca="1" si="1"/>
        <v>4</v>
      </c>
      <c r="D22">
        <f t="shared" ca="1" si="1"/>
        <v>5</v>
      </c>
      <c r="E22">
        <f t="shared" ca="1" si="1"/>
        <v>5</v>
      </c>
      <c r="F22">
        <f t="shared" ca="1" si="1"/>
        <v>3</v>
      </c>
      <c r="G22">
        <f t="shared" ca="1" si="1"/>
        <v>4</v>
      </c>
      <c r="H22">
        <f t="shared" ca="1" si="1"/>
        <v>3</v>
      </c>
      <c r="I22">
        <f t="shared" ca="1" si="1"/>
        <v>3</v>
      </c>
      <c r="J22">
        <f t="shared" ca="1" si="1"/>
        <v>6</v>
      </c>
      <c r="K22">
        <f t="shared" ca="1" si="1"/>
        <v>2</v>
      </c>
      <c r="L22">
        <f t="shared" ca="1" si="1"/>
        <v>4</v>
      </c>
      <c r="M22">
        <f t="shared" ca="1" si="1"/>
        <v>5</v>
      </c>
      <c r="N22">
        <f t="shared" ca="1" si="1"/>
        <v>1</v>
      </c>
      <c r="O22">
        <f t="shared" ca="1" si="1"/>
        <v>6</v>
      </c>
      <c r="P22">
        <f t="shared" ca="1" si="1"/>
        <v>4</v>
      </c>
      <c r="Q22">
        <f t="shared" ca="1" si="6"/>
        <v>4</v>
      </c>
      <c r="R22">
        <f t="shared" ca="1" si="6"/>
        <v>5</v>
      </c>
      <c r="S22">
        <f t="shared" ca="1" si="6"/>
        <v>2</v>
      </c>
      <c r="T22">
        <f t="shared" ca="1" si="6"/>
        <v>6</v>
      </c>
      <c r="U22">
        <f t="shared" ca="1" si="6"/>
        <v>1</v>
      </c>
      <c r="V22">
        <f t="shared" ca="1" si="6"/>
        <v>6</v>
      </c>
      <c r="W22">
        <f t="shared" ca="1" si="6"/>
        <v>2</v>
      </c>
      <c r="X22">
        <f t="shared" ca="1" si="6"/>
        <v>5</v>
      </c>
      <c r="Y22">
        <f t="shared" ca="1" si="6"/>
        <v>1</v>
      </c>
      <c r="Z22">
        <f t="shared" ca="1" si="6"/>
        <v>5</v>
      </c>
      <c r="AA22">
        <f t="shared" ca="1" si="6"/>
        <v>2</v>
      </c>
      <c r="AB22">
        <f t="shared" ca="1" si="6"/>
        <v>1</v>
      </c>
      <c r="AC22">
        <f t="shared" ca="1" si="6"/>
        <v>5</v>
      </c>
      <c r="AD22">
        <f t="shared" ca="1" si="6"/>
        <v>6</v>
      </c>
      <c r="AE22">
        <f t="shared" ca="1" si="6"/>
        <v>3</v>
      </c>
      <c r="AF22">
        <f t="shared" ca="1" si="7"/>
        <v>3</v>
      </c>
      <c r="AG22">
        <f t="shared" ca="1" si="7"/>
        <v>3</v>
      </c>
      <c r="AH22">
        <f t="shared" ca="1" si="7"/>
        <v>6</v>
      </c>
      <c r="AI22">
        <f t="shared" ca="1" si="7"/>
        <v>2</v>
      </c>
      <c r="AJ22">
        <f t="shared" ca="1" si="7"/>
        <v>6</v>
      </c>
      <c r="AK22">
        <f t="shared" ca="1" si="7"/>
        <v>3</v>
      </c>
      <c r="AL22">
        <f t="shared" ca="1" si="7"/>
        <v>3</v>
      </c>
      <c r="AM22">
        <f t="shared" ca="1" si="7"/>
        <v>5</v>
      </c>
      <c r="AN22">
        <f t="shared" ca="1" si="7"/>
        <v>3</v>
      </c>
      <c r="AO22">
        <f t="shared" ca="1" si="7"/>
        <v>4</v>
      </c>
      <c r="AP22">
        <f t="shared" ca="1" si="7"/>
        <v>4</v>
      </c>
      <c r="AQ22">
        <f t="shared" ca="1" si="7"/>
        <v>1</v>
      </c>
      <c r="AR22">
        <f t="shared" ca="1" si="7"/>
        <v>4</v>
      </c>
      <c r="AS22">
        <f t="shared" ca="1" si="7"/>
        <v>2</v>
      </c>
      <c r="AT22">
        <f t="shared" ca="1" si="7"/>
        <v>2</v>
      </c>
      <c r="AU22">
        <f t="shared" ca="1" si="7"/>
        <v>3</v>
      </c>
      <c r="AV22">
        <f t="shared" ca="1" si="8"/>
        <v>2</v>
      </c>
      <c r="AW22">
        <f t="shared" ca="1" si="8"/>
        <v>2</v>
      </c>
      <c r="AX22">
        <f t="shared" ca="1" si="2"/>
        <v>6</v>
      </c>
    </row>
    <row r="23" spans="1:50" x14ac:dyDescent="0.2">
      <c r="A23">
        <f t="shared" ca="1" si="1"/>
        <v>3</v>
      </c>
      <c r="B23">
        <f t="shared" ca="1" si="1"/>
        <v>2</v>
      </c>
      <c r="C23">
        <f t="shared" ca="1" si="1"/>
        <v>1</v>
      </c>
      <c r="D23">
        <f t="shared" ca="1" si="1"/>
        <v>1</v>
      </c>
      <c r="E23">
        <f t="shared" ca="1" si="1"/>
        <v>6</v>
      </c>
      <c r="F23">
        <f t="shared" ca="1" si="1"/>
        <v>3</v>
      </c>
      <c r="G23">
        <f t="shared" ca="1" si="1"/>
        <v>1</v>
      </c>
      <c r="H23">
        <f t="shared" ca="1" si="1"/>
        <v>1</v>
      </c>
      <c r="I23">
        <f t="shared" ca="1" si="1"/>
        <v>6</v>
      </c>
      <c r="J23">
        <f t="shared" ca="1" si="1"/>
        <v>1</v>
      </c>
      <c r="K23">
        <f t="shared" ca="1" si="1"/>
        <v>6</v>
      </c>
      <c r="L23">
        <f t="shared" ca="1" si="1"/>
        <v>4</v>
      </c>
      <c r="M23">
        <f t="shared" ca="1" si="1"/>
        <v>1</v>
      </c>
      <c r="N23">
        <f t="shared" ca="1" si="1"/>
        <v>6</v>
      </c>
      <c r="O23">
        <f t="shared" ca="1" si="1"/>
        <v>6</v>
      </c>
      <c r="P23">
        <f t="shared" ca="1" si="1"/>
        <v>2</v>
      </c>
      <c r="Q23">
        <f t="shared" ca="1" si="6"/>
        <v>4</v>
      </c>
      <c r="R23">
        <f t="shared" ca="1" si="6"/>
        <v>5</v>
      </c>
      <c r="S23">
        <f t="shared" ca="1" si="6"/>
        <v>6</v>
      </c>
      <c r="T23">
        <f t="shared" ca="1" si="6"/>
        <v>4</v>
      </c>
      <c r="U23">
        <f t="shared" ca="1" si="6"/>
        <v>2</v>
      </c>
      <c r="V23">
        <f t="shared" ca="1" si="6"/>
        <v>4</v>
      </c>
      <c r="W23">
        <f t="shared" ca="1" si="6"/>
        <v>2</v>
      </c>
      <c r="X23">
        <f t="shared" ca="1" si="6"/>
        <v>4</v>
      </c>
      <c r="Y23">
        <f t="shared" ca="1" si="6"/>
        <v>1</v>
      </c>
      <c r="Z23">
        <f t="shared" ca="1" si="6"/>
        <v>5</v>
      </c>
      <c r="AA23">
        <f t="shared" ca="1" si="6"/>
        <v>2</v>
      </c>
      <c r="AB23">
        <f t="shared" ca="1" si="6"/>
        <v>6</v>
      </c>
      <c r="AC23">
        <f t="shared" ca="1" si="6"/>
        <v>2</v>
      </c>
      <c r="AD23">
        <f t="shared" ca="1" si="6"/>
        <v>4</v>
      </c>
      <c r="AE23">
        <f t="shared" ca="1" si="6"/>
        <v>1</v>
      </c>
      <c r="AF23">
        <f t="shared" ca="1" si="7"/>
        <v>6</v>
      </c>
      <c r="AG23">
        <f t="shared" ca="1" si="7"/>
        <v>5</v>
      </c>
      <c r="AH23">
        <f t="shared" ca="1" si="7"/>
        <v>2</v>
      </c>
      <c r="AI23">
        <f t="shared" ca="1" si="7"/>
        <v>4</v>
      </c>
      <c r="AJ23">
        <f t="shared" ca="1" si="7"/>
        <v>5</v>
      </c>
      <c r="AK23">
        <f t="shared" ca="1" si="7"/>
        <v>3</v>
      </c>
      <c r="AL23">
        <f t="shared" ca="1" si="7"/>
        <v>4</v>
      </c>
      <c r="AM23">
        <f t="shared" ca="1" si="7"/>
        <v>5</v>
      </c>
      <c r="AN23">
        <f t="shared" ca="1" si="7"/>
        <v>1</v>
      </c>
      <c r="AO23">
        <f t="shared" ca="1" si="7"/>
        <v>2</v>
      </c>
      <c r="AP23">
        <f t="shared" ca="1" si="7"/>
        <v>1</v>
      </c>
      <c r="AQ23">
        <f t="shared" ca="1" si="7"/>
        <v>4</v>
      </c>
      <c r="AR23">
        <f t="shared" ca="1" si="7"/>
        <v>6</v>
      </c>
      <c r="AS23">
        <f t="shared" ca="1" si="7"/>
        <v>4</v>
      </c>
      <c r="AT23">
        <f t="shared" ca="1" si="7"/>
        <v>1</v>
      </c>
      <c r="AU23">
        <f t="shared" ca="1" si="7"/>
        <v>3</v>
      </c>
      <c r="AV23">
        <f t="shared" ca="1" si="8"/>
        <v>4</v>
      </c>
      <c r="AW23">
        <f t="shared" ca="1" si="8"/>
        <v>6</v>
      </c>
      <c r="AX23">
        <f t="shared" ca="1" si="2"/>
        <v>6</v>
      </c>
    </row>
    <row r="24" spans="1:50" x14ac:dyDescent="0.2">
      <c r="A24">
        <f t="shared" ca="1" si="1"/>
        <v>2</v>
      </c>
      <c r="B24">
        <f t="shared" ca="1" si="1"/>
        <v>3</v>
      </c>
      <c r="C24">
        <f t="shared" ca="1" si="1"/>
        <v>5</v>
      </c>
      <c r="D24">
        <f t="shared" ca="1" si="1"/>
        <v>1</v>
      </c>
      <c r="E24">
        <f t="shared" ca="1" si="1"/>
        <v>6</v>
      </c>
      <c r="F24">
        <f t="shared" ca="1" si="1"/>
        <v>3</v>
      </c>
      <c r="G24">
        <f t="shared" ca="1" si="1"/>
        <v>6</v>
      </c>
      <c r="H24">
        <f t="shared" ca="1" si="1"/>
        <v>6</v>
      </c>
      <c r="I24">
        <f t="shared" ca="1" si="1"/>
        <v>2</v>
      </c>
      <c r="J24">
        <f t="shared" ca="1" si="1"/>
        <v>3</v>
      </c>
      <c r="K24">
        <f t="shared" ca="1" si="1"/>
        <v>2</v>
      </c>
      <c r="L24">
        <f t="shared" ca="1" si="1"/>
        <v>4</v>
      </c>
      <c r="M24">
        <f t="shared" ca="1" si="1"/>
        <v>1</v>
      </c>
      <c r="N24">
        <f t="shared" ca="1" si="1"/>
        <v>1</v>
      </c>
      <c r="O24">
        <f t="shared" ca="1" si="1"/>
        <v>3</v>
      </c>
      <c r="P24">
        <f t="shared" ca="1" si="1"/>
        <v>6</v>
      </c>
      <c r="Q24">
        <f t="shared" ca="1" si="6"/>
        <v>2</v>
      </c>
      <c r="R24">
        <f t="shared" ca="1" si="6"/>
        <v>6</v>
      </c>
      <c r="S24">
        <f t="shared" ca="1" si="6"/>
        <v>2</v>
      </c>
      <c r="T24">
        <f t="shared" ca="1" si="6"/>
        <v>3</v>
      </c>
      <c r="U24">
        <f t="shared" ca="1" si="6"/>
        <v>6</v>
      </c>
      <c r="V24">
        <f t="shared" ca="1" si="6"/>
        <v>4</v>
      </c>
      <c r="W24">
        <f t="shared" ca="1" si="6"/>
        <v>1</v>
      </c>
      <c r="X24">
        <f t="shared" ca="1" si="6"/>
        <v>3</v>
      </c>
      <c r="Y24">
        <f t="shared" ca="1" si="6"/>
        <v>6</v>
      </c>
      <c r="Z24">
        <f t="shared" ca="1" si="6"/>
        <v>2</v>
      </c>
      <c r="AA24">
        <f t="shared" ca="1" si="6"/>
        <v>2</v>
      </c>
      <c r="AB24">
        <f t="shared" ca="1" si="6"/>
        <v>6</v>
      </c>
      <c r="AC24">
        <f t="shared" ca="1" si="6"/>
        <v>1</v>
      </c>
      <c r="AD24">
        <f t="shared" ca="1" si="6"/>
        <v>1</v>
      </c>
      <c r="AE24">
        <f t="shared" ca="1" si="6"/>
        <v>1</v>
      </c>
      <c r="AF24">
        <f t="shared" ca="1" si="7"/>
        <v>4</v>
      </c>
      <c r="AG24">
        <f t="shared" ca="1" si="7"/>
        <v>3</v>
      </c>
      <c r="AH24">
        <f t="shared" ca="1" si="7"/>
        <v>6</v>
      </c>
      <c r="AI24">
        <f t="shared" ca="1" si="7"/>
        <v>2</v>
      </c>
      <c r="AJ24">
        <f t="shared" ca="1" si="7"/>
        <v>2</v>
      </c>
      <c r="AK24">
        <f t="shared" ca="1" si="7"/>
        <v>2</v>
      </c>
      <c r="AL24">
        <f t="shared" ca="1" si="7"/>
        <v>5</v>
      </c>
      <c r="AM24">
        <f t="shared" ca="1" si="7"/>
        <v>1</v>
      </c>
      <c r="AN24">
        <f t="shared" ca="1" si="7"/>
        <v>6</v>
      </c>
      <c r="AO24">
        <f t="shared" ca="1" si="7"/>
        <v>5</v>
      </c>
      <c r="AP24">
        <f t="shared" ca="1" si="7"/>
        <v>5</v>
      </c>
      <c r="AQ24">
        <f t="shared" ca="1" si="7"/>
        <v>1</v>
      </c>
      <c r="AR24">
        <f t="shared" ca="1" si="7"/>
        <v>1</v>
      </c>
      <c r="AS24">
        <f t="shared" ca="1" si="7"/>
        <v>2</v>
      </c>
      <c r="AT24">
        <f t="shared" ca="1" si="7"/>
        <v>2</v>
      </c>
      <c r="AU24">
        <f t="shared" ca="1" si="7"/>
        <v>3</v>
      </c>
      <c r="AV24">
        <f t="shared" ca="1" si="8"/>
        <v>3</v>
      </c>
      <c r="AW24">
        <f t="shared" ca="1" si="8"/>
        <v>5</v>
      </c>
      <c r="AX24">
        <f t="shared" ca="1" si="2"/>
        <v>4</v>
      </c>
    </row>
    <row r="25" spans="1:50" x14ac:dyDescent="0.2">
      <c r="A25">
        <f t="shared" ca="1" si="1"/>
        <v>5</v>
      </c>
      <c r="B25">
        <f t="shared" ca="1" si="1"/>
        <v>3</v>
      </c>
      <c r="C25">
        <f t="shared" ca="1" si="1"/>
        <v>6</v>
      </c>
      <c r="D25">
        <f t="shared" ca="1" si="1"/>
        <v>3</v>
      </c>
      <c r="E25">
        <f t="shared" ca="1" si="1"/>
        <v>6</v>
      </c>
      <c r="F25">
        <f t="shared" ca="1" si="1"/>
        <v>2</v>
      </c>
      <c r="G25">
        <f t="shared" ca="1" si="1"/>
        <v>3</v>
      </c>
      <c r="H25">
        <f t="shared" ca="1" si="1"/>
        <v>6</v>
      </c>
      <c r="I25">
        <f t="shared" ca="1" si="1"/>
        <v>1</v>
      </c>
      <c r="J25">
        <f t="shared" ca="1" si="1"/>
        <v>6</v>
      </c>
      <c r="K25">
        <f t="shared" ca="1" si="1"/>
        <v>6</v>
      </c>
      <c r="L25">
        <f t="shared" ca="1" si="1"/>
        <v>1</v>
      </c>
      <c r="M25">
        <f t="shared" ca="1" si="1"/>
        <v>4</v>
      </c>
      <c r="N25">
        <f t="shared" ca="1" si="1"/>
        <v>5</v>
      </c>
      <c r="O25">
        <f t="shared" ca="1" si="1"/>
        <v>5</v>
      </c>
      <c r="P25">
        <f t="shared" ca="1" si="1"/>
        <v>3</v>
      </c>
      <c r="Q25">
        <f t="shared" ca="1" si="6"/>
        <v>3</v>
      </c>
      <c r="R25">
        <f t="shared" ca="1" si="6"/>
        <v>2</v>
      </c>
      <c r="S25">
        <f t="shared" ca="1" si="6"/>
        <v>5</v>
      </c>
      <c r="T25">
        <f t="shared" ca="1" si="6"/>
        <v>3</v>
      </c>
      <c r="U25">
        <f t="shared" ca="1" si="6"/>
        <v>1</v>
      </c>
      <c r="V25">
        <f t="shared" ca="1" si="6"/>
        <v>5</v>
      </c>
      <c r="W25">
        <f t="shared" ca="1" si="6"/>
        <v>3</v>
      </c>
      <c r="X25">
        <f t="shared" ca="1" si="6"/>
        <v>5</v>
      </c>
      <c r="Y25">
        <f t="shared" ca="1" si="6"/>
        <v>1</v>
      </c>
      <c r="Z25">
        <f t="shared" ca="1" si="6"/>
        <v>6</v>
      </c>
      <c r="AA25">
        <f t="shared" ca="1" si="6"/>
        <v>3</v>
      </c>
      <c r="AB25">
        <f t="shared" ca="1" si="6"/>
        <v>3</v>
      </c>
      <c r="AC25">
        <f t="shared" ca="1" si="6"/>
        <v>4</v>
      </c>
      <c r="AD25">
        <f t="shared" ca="1" si="6"/>
        <v>6</v>
      </c>
      <c r="AE25">
        <f t="shared" ca="1" si="6"/>
        <v>1</v>
      </c>
      <c r="AF25">
        <f t="shared" ca="1" si="7"/>
        <v>2</v>
      </c>
      <c r="AG25">
        <f t="shared" ca="1" si="7"/>
        <v>5</v>
      </c>
      <c r="AH25">
        <f t="shared" ca="1" si="7"/>
        <v>6</v>
      </c>
      <c r="AI25">
        <f t="shared" ca="1" si="7"/>
        <v>3</v>
      </c>
      <c r="AJ25">
        <f t="shared" ca="1" si="7"/>
        <v>3</v>
      </c>
      <c r="AK25">
        <f t="shared" ca="1" si="7"/>
        <v>4</v>
      </c>
      <c r="AL25">
        <f t="shared" ca="1" si="7"/>
        <v>5</v>
      </c>
      <c r="AM25">
        <f t="shared" ca="1" si="7"/>
        <v>5</v>
      </c>
      <c r="AN25">
        <f t="shared" ca="1" si="7"/>
        <v>2</v>
      </c>
      <c r="AO25">
        <f t="shared" ca="1" si="7"/>
        <v>4</v>
      </c>
      <c r="AP25">
        <f t="shared" ca="1" si="7"/>
        <v>4</v>
      </c>
      <c r="AQ25">
        <f t="shared" ca="1" si="7"/>
        <v>4</v>
      </c>
      <c r="AR25">
        <f t="shared" ca="1" si="7"/>
        <v>4</v>
      </c>
      <c r="AS25">
        <f t="shared" ca="1" si="7"/>
        <v>3</v>
      </c>
      <c r="AT25">
        <f t="shared" ca="1" si="7"/>
        <v>5</v>
      </c>
      <c r="AU25">
        <f t="shared" ca="1" si="7"/>
        <v>2</v>
      </c>
      <c r="AV25">
        <f t="shared" ca="1" si="8"/>
        <v>6</v>
      </c>
      <c r="AW25">
        <f t="shared" ca="1" si="8"/>
        <v>3</v>
      </c>
      <c r="AX25">
        <f t="shared" ca="1" si="2"/>
        <v>4</v>
      </c>
    </row>
    <row r="26" spans="1:50" x14ac:dyDescent="0.2">
      <c r="A26">
        <f t="shared" ca="1" si="1"/>
        <v>6</v>
      </c>
      <c r="B26">
        <f t="shared" ca="1" si="1"/>
        <v>3</v>
      </c>
      <c r="C26">
        <f t="shared" ca="1" si="1"/>
        <v>3</v>
      </c>
      <c r="D26">
        <f t="shared" ca="1" si="1"/>
        <v>3</v>
      </c>
      <c r="E26">
        <f t="shared" ca="1" si="1"/>
        <v>5</v>
      </c>
      <c r="F26">
        <f t="shared" ca="1" si="1"/>
        <v>3</v>
      </c>
      <c r="G26">
        <f t="shared" ca="1" si="1"/>
        <v>5</v>
      </c>
      <c r="H26">
        <f t="shared" ca="1" si="1"/>
        <v>5</v>
      </c>
      <c r="I26">
        <f t="shared" ca="1" si="1"/>
        <v>2</v>
      </c>
      <c r="J26">
        <f t="shared" ca="1" si="1"/>
        <v>6</v>
      </c>
      <c r="K26">
        <f t="shared" ca="1" si="1"/>
        <v>4</v>
      </c>
      <c r="L26">
        <f t="shared" ca="1" si="1"/>
        <v>6</v>
      </c>
      <c r="M26">
        <f t="shared" ca="1" si="1"/>
        <v>1</v>
      </c>
      <c r="N26">
        <f t="shared" ca="1" si="1"/>
        <v>3</v>
      </c>
      <c r="O26">
        <f t="shared" ca="1" si="1"/>
        <v>5</v>
      </c>
      <c r="P26">
        <f t="shared" ca="1" si="1"/>
        <v>5</v>
      </c>
      <c r="Q26">
        <f t="shared" ca="1" si="6"/>
        <v>5</v>
      </c>
      <c r="R26">
        <f t="shared" ca="1" si="6"/>
        <v>6</v>
      </c>
      <c r="S26">
        <f t="shared" ca="1" si="6"/>
        <v>1</v>
      </c>
      <c r="T26">
        <f t="shared" ca="1" si="6"/>
        <v>3</v>
      </c>
      <c r="U26">
        <f t="shared" ca="1" si="6"/>
        <v>4</v>
      </c>
      <c r="V26">
        <f t="shared" ca="1" si="6"/>
        <v>5</v>
      </c>
      <c r="W26">
        <f t="shared" ca="1" si="6"/>
        <v>6</v>
      </c>
      <c r="X26">
        <f t="shared" ca="1" si="6"/>
        <v>2</v>
      </c>
      <c r="Y26">
        <f t="shared" ca="1" si="6"/>
        <v>3</v>
      </c>
      <c r="Z26">
        <f t="shared" ca="1" si="6"/>
        <v>6</v>
      </c>
      <c r="AA26">
        <f t="shared" ca="1" si="6"/>
        <v>6</v>
      </c>
      <c r="AB26">
        <f t="shared" ca="1" si="6"/>
        <v>1</v>
      </c>
      <c r="AC26">
        <f t="shared" ca="1" si="6"/>
        <v>1</v>
      </c>
      <c r="AD26">
        <f t="shared" ca="1" si="6"/>
        <v>6</v>
      </c>
      <c r="AE26">
        <f t="shared" ca="1" si="6"/>
        <v>4</v>
      </c>
      <c r="AF26">
        <f t="shared" ca="1" si="7"/>
        <v>5</v>
      </c>
      <c r="AG26">
        <f t="shared" ca="1" si="7"/>
        <v>5</v>
      </c>
      <c r="AH26">
        <f t="shared" ca="1" si="7"/>
        <v>1</v>
      </c>
      <c r="AI26">
        <f t="shared" ca="1" si="7"/>
        <v>2</v>
      </c>
      <c r="AJ26">
        <f t="shared" ca="1" si="7"/>
        <v>4</v>
      </c>
      <c r="AK26">
        <f t="shared" ca="1" si="7"/>
        <v>3</v>
      </c>
      <c r="AL26">
        <f t="shared" ca="1" si="7"/>
        <v>5</v>
      </c>
      <c r="AM26">
        <f t="shared" ca="1" si="7"/>
        <v>6</v>
      </c>
      <c r="AN26">
        <f t="shared" ca="1" si="7"/>
        <v>3</v>
      </c>
      <c r="AO26">
        <f t="shared" ca="1" si="7"/>
        <v>2</v>
      </c>
      <c r="AP26">
        <f t="shared" ca="1" si="7"/>
        <v>4</v>
      </c>
      <c r="AQ26">
        <f t="shared" ca="1" si="7"/>
        <v>6</v>
      </c>
      <c r="AR26">
        <f t="shared" ca="1" si="7"/>
        <v>1</v>
      </c>
      <c r="AS26">
        <f t="shared" ca="1" si="7"/>
        <v>5</v>
      </c>
      <c r="AT26">
        <f t="shared" ca="1" si="7"/>
        <v>5</v>
      </c>
      <c r="AU26">
        <f t="shared" ca="1" si="7"/>
        <v>3</v>
      </c>
      <c r="AV26">
        <f t="shared" ca="1" si="8"/>
        <v>3</v>
      </c>
      <c r="AW26">
        <f t="shared" ca="1" si="8"/>
        <v>3</v>
      </c>
      <c r="AX26">
        <f t="shared" ca="1" si="2"/>
        <v>1</v>
      </c>
    </row>
    <row r="27" spans="1:50" x14ac:dyDescent="0.2">
      <c r="A27">
        <f t="shared" ca="1" si="1"/>
        <v>3</v>
      </c>
      <c r="B27">
        <f t="shared" ca="1" si="1"/>
        <v>2</v>
      </c>
      <c r="C27">
        <f t="shared" ca="1" si="1"/>
        <v>2</v>
      </c>
      <c r="D27">
        <f t="shared" ca="1" si="1"/>
        <v>2</v>
      </c>
      <c r="E27">
        <f t="shared" ca="1" si="1"/>
        <v>3</v>
      </c>
      <c r="F27">
        <f t="shared" ca="1" si="1"/>
        <v>6</v>
      </c>
      <c r="G27">
        <f t="shared" ca="1" si="1"/>
        <v>1</v>
      </c>
      <c r="H27">
        <f t="shared" ca="1" si="1"/>
        <v>2</v>
      </c>
      <c r="I27">
        <f t="shared" ca="1" si="1"/>
        <v>3</v>
      </c>
      <c r="J27">
        <f t="shared" ca="1" si="1"/>
        <v>2</v>
      </c>
      <c r="K27">
        <f t="shared" ca="1" si="1"/>
        <v>2</v>
      </c>
      <c r="L27">
        <f t="shared" ca="1" si="1"/>
        <v>1</v>
      </c>
      <c r="M27">
        <f t="shared" ca="1" si="1"/>
        <v>3</v>
      </c>
      <c r="N27">
        <f t="shared" ca="1" si="1"/>
        <v>2</v>
      </c>
      <c r="O27">
        <f t="shared" ca="1" si="1"/>
        <v>6</v>
      </c>
      <c r="P27">
        <f t="shared" ca="1" si="1"/>
        <v>2</v>
      </c>
      <c r="Q27">
        <f t="shared" ca="1" si="6"/>
        <v>2</v>
      </c>
      <c r="R27">
        <f t="shared" ca="1" si="6"/>
        <v>4</v>
      </c>
      <c r="S27">
        <f t="shared" ca="1" si="6"/>
        <v>5</v>
      </c>
      <c r="T27">
        <f t="shared" ca="1" si="6"/>
        <v>6</v>
      </c>
      <c r="U27">
        <f t="shared" ca="1" si="6"/>
        <v>3</v>
      </c>
      <c r="V27">
        <f t="shared" ca="1" si="6"/>
        <v>2</v>
      </c>
      <c r="W27">
        <f t="shared" ca="1" si="6"/>
        <v>5</v>
      </c>
      <c r="X27">
        <f t="shared" ca="1" si="6"/>
        <v>1</v>
      </c>
      <c r="Y27">
        <f t="shared" ca="1" si="6"/>
        <v>6</v>
      </c>
      <c r="Z27">
        <f t="shared" ca="1" si="6"/>
        <v>6</v>
      </c>
      <c r="AA27">
        <f t="shared" ca="1" si="6"/>
        <v>5</v>
      </c>
      <c r="AB27">
        <f t="shared" ca="1" si="6"/>
        <v>3</v>
      </c>
      <c r="AC27">
        <f t="shared" ca="1" si="6"/>
        <v>1</v>
      </c>
      <c r="AD27">
        <f t="shared" ca="1" si="6"/>
        <v>4</v>
      </c>
      <c r="AE27">
        <f t="shared" ca="1" si="6"/>
        <v>1</v>
      </c>
      <c r="AF27">
        <f t="shared" ca="1" si="7"/>
        <v>5</v>
      </c>
      <c r="AG27">
        <f t="shared" ca="1" si="7"/>
        <v>1</v>
      </c>
      <c r="AH27">
        <f t="shared" ca="1" si="7"/>
        <v>2</v>
      </c>
      <c r="AI27">
        <f t="shared" ca="1" si="7"/>
        <v>2</v>
      </c>
      <c r="AJ27">
        <f t="shared" ca="1" si="7"/>
        <v>3</v>
      </c>
      <c r="AK27">
        <f t="shared" ca="1" si="7"/>
        <v>5</v>
      </c>
      <c r="AL27">
        <f t="shared" ca="1" si="7"/>
        <v>5</v>
      </c>
      <c r="AM27">
        <f t="shared" ca="1" si="7"/>
        <v>1</v>
      </c>
      <c r="AN27">
        <f t="shared" ca="1" si="7"/>
        <v>2</v>
      </c>
      <c r="AO27">
        <f t="shared" ca="1" si="7"/>
        <v>5</v>
      </c>
      <c r="AP27">
        <f t="shared" ca="1" si="7"/>
        <v>5</v>
      </c>
      <c r="AQ27">
        <f t="shared" ca="1" si="7"/>
        <v>3</v>
      </c>
      <c r="AR27">
        <f t="shared" ca="1" si="7"/>
        <v>4</v>
      </c>
      <c r="AS27">
        <f t="shared" ca="1" si="7"/>
        <v>3</v>
      </c>
      <c r="AT27">
        <f t="shared" ca="1" si="7"/>
        <v>3</v>
      </c>
      <c r="AU27">
        <f t="shared" ca="1" si="7"/>
        <v>4</v>
      </c>
      <c r="AV27">
        <f t="shared" ca="1" si="8"/>
        <v>5</v>
      </c>
      <c r="AW27">
        <f t="shared" ca="1" si="8"/>
        <v>3</v>
      </c>
      <c r="AX27">
        <f t="shared" ca="1" si="2"/>
        <v>6</v>
      </c>
    </row>
    <row r="28" spans="1:50" x14ac:dyDescent="0.2">
      <c r="A28">
        <f t="shared" ca="1" si="1"/>
        <v>1</v>
      </c>
      <c r="B28">
        <f t="shared" ca="1" si="1"/>
        <v>1</v>
      </c>
      <c r="C28">
        <f t="shared" ca="1" si="1"/>
        <v>1</v>
      </c>
      <c r="D28">
        <f t="shared" ca="1" si="1"/>
        <v>3</v>
      </c>
      <c r="E28">
        <f t="shared" ca="1" si="1"/>
        <v>1</v>
      </c>
      <c r="F28">
        <f t="shared" ca="1" si="1"/>
        <v>2</v>
      </c>
      <c r="G28">
        <f t="shared" ca="1" si="1"/>
        <v>3</v>
      </c>
      <c r="H28">
        <f t="shared" ca="1" si="1"/>
        <v>1</v>
      </c>
      <c r="I28">
        <f t="shared" ca="1" si="1"/>
        <v>5</v>
      </c>
      <c r="J28">
        <f t="shared" ca="1" si="1"/>
        <v>5</v>
      </c>
      <c r="K28">
        <f t="shared" ca="1" si="1"/>
        <v>5</v>
      </c>
      <c r="L28">
        <f t="shared" ca="1" si="1"/>
        <v>2</v>
      </c>
      <c r="M28">
        <f t="shared" ca="1" si="1"/>
        <v>2</v>
      </c>
      <c r="N28">
        <f t="shared" ca="1" si="1"/>
        <v>4</v>
      </c>
      <c r="O28">
        <f t="shared" ca="1" si="1"/>
        <v>1</v>
      </c>
      <c r="P28">
        <f t="shared" ca="1" si="1"/>
        <v>1</v>
      </c>
      <c r="Q28">
        <f t="shared" ca="1" si="6"/>
        <v>1</v>
      </c>
      <c r="R28">
        <f t="shared" ca="1" si="6"/>
        <v>6</v>
      </c>
      <c r="S28">
        <f t="shared" ca="1" si="6"/>
        <v>2</v>
      </c>
      <c r="T28">
        <f t="shared" ca="1" si="6"/>
        <v>1</v>
      </c>
      <c r="U28">
        <f t="shared" ca="1" si="6"/>
        <v>2</v>
      </c>
      <c r="V28">
        <f t="shared" ca="1" si="6"/>
        <v>5</v>
      </c>
      <c r="W28">
        <f t="shared" ca="1" si="6"/>
        <v>4</v>
      </c>
      <c r="X28">
        <f t="shared" ca="1" si="6"/>
        <v>3</v>
      </c>
      <c r="Y28">
        <f t="shared" ca="1" si="6"/>
        <v>6</v>
      </c>
      <c r="Z28">
        <f t="shared" ca="1" si="6"/>
        <v>5</v>
      </c>
      <c r="AA28">
        <f t="shared" ca="1" si="6"/>
        <v>5</v>
      </c>
      <c r="AB28">
        <f t="shared" ca="1" si="6"/>
        <v>5</v>
      </c>
      <c r="AC28">
        <f t="shared" ca="1" si="6"/>
        <v>1</v>
      </c>
      <c r="AD28">
        <f t="shared" ca="1" si="6"/>
        <v>5</v>
      </c>
      <c r="AE28">
        <f t="shared" ca="1" si="6"/>
        <v>4</v>
      </c>
      <c r="AF28">
        <f t="shared" ca="1" si="7"/>
        <v>1</v>
      </c>
      <c r="AG28">
        <f t="shared" ca="1" si="7"/>
        <v>2</v>
      </c>
      <c r="AH28">
        <f t="shared" ca="1" si="7"/>
        <v>4</v>
      </c>
      <c r="AI28">
        <f t="shared" ca="1" si="7"/>
        <v>4</v>
      </c>
      <c r="AJ28">
        <f t="shared" ca="1" si="7"/>
        <v>4</v>
      </c>
      <c r="AK28">
        <f t="shared" ca="1" si="7"/>
        <v>2</v>
      </c>
      <c r="AL28">
        <f t="shared" ca="1" si="7"/>
        <v>1</v>
      </c>
      <c r="AM28">
        <f t="shared" ca="1" si="7"/>
        <v>6</v>
      </c>
      <c r="AN28">
        <f t="shared" ca="1" si="7"/>
        <v>5</v>
      </c>
      <c r="AO28">
        <f t="shared" ca="1" si="7"/>
        <v>5</v>
      </c>
      <c r="AP28">
        <f t="shared" ca="1" si="7"/>
        <v>6</v>
      </c>
      <c r="AQ28">
        <f t="shared" ca="1" si="7"/>
        <v>2</v>
      </c>
      <c r="AR28">
        <f t="shared" ca="1" si="7"/>
        <v>4</v>
      </c>
      <c r="AS28">
        <f t="shared" ca="1" si="7"/>
        <v>4</v>
      </c>
      <c r="AT28">
        <f t="shared" ca="1" si="7"/>
        <v>4</v>
      </c>
      <c r="AU28">
        <f t="shared" ref="AU28:AW66" ca="1" si="9">RANDBETWEEN(1,6)</f>
        <v>6</v>
      </c>
      <c r="AV28">
        <f t="shared" ca="1" si="9"/>
        <v>4</v>
      </c>
      <c r="AW28">
        <f t="shared" ca="1" si="9"/>
        <v>6</v>
      </c>
      <c r="AX28">
        <f t="shared" ca="1" si="2"/>
        <v>6</v>
      </c>
    </row>
    <row r="29" spans="1:50" x14ac:dyDescent="0.2">
      <c r="A29">
        <f t="shared" ca="1" si="1"/>
        <v>3</v>
      </c>
      <c r="B29">
        <f t="shared" ca="1" si="1"/>
        <v>1</v>
      </c>
      <c r="C29">
        <f t="shared" ca="1" si="1"/>
        <v>1</v>
      </c>
      <c r="D29">
        <f t="shared" ca="1" si="1"/>
        <v>3</v>
      </c>
      <c r="E29">
        <f t="shared" ref="E29:T44" ca="1" si="10">RANDBETWEEN(1,6)</f>
        <v>3</v>
      </c>
      <c r="F29">
        <f t="shared" ca="1" si="10"/>
        <v>4</v>
      </c>
      <c r="G29">
        <f t="shared" ca="1" si="10"/>
        <v>4</v>
      </c>
      <c r="H29">
        <f t="shared" ca="1" si="10"/>
        <v>5</v>
      </c>
      <c r="I29">
        <f t="shared" ca="1" si="10"/>
        <v>4</v>
      </c>
      <c r="J29">
        <f t="shared" ca="1" si="10"/>
        <v>3</v>
      </c>
      <c r="K29">
        <f t="shared" ca="1" si="10"/>
        <v>6</v>
      </c>
      <c r="L29">
        <f t="shared" ca="1" si="10"/>
        <v>2</v>
      </c>
      <c r="M29">
        <f t="shared" ca="1" si="10"/>
        <v>2</v>
      </c>
      <c r="N29">
        <f t="shared" ca="1" si="10"/>
        <v>6</v>
      </c>
      <c r="O29">
        <f t="shared" ca="1" si="10"/>
        <v>3</v>
      </c>
      <c r="P29">
        <f t="shared" ca="1" si="10"/>
        <v>3</v>
      </c>
      <c r="Q29">
        <f t="shared" ca="1" si="10"/>
        <v>5</v>
      </c>
      <c r="R29">
        <f t="shared" ca="1" si="10"/>
        <v>2</v>
      </c>
      <c r="S29">
        <f t="shared" ca="1" si="10"/>
        <v>1</v>
      </c>
      <c r="T29">
        <f t="shared" ca="1" si="10"/>
        <v>2</v>
      </c>
      <c r="U29">
        <f t="shared" ca="1" si="6"/>
        <v>6</v>
      </c>
      <c r="V29">
        <f t="shared" ca="1" si="6"/>
        <v>5</v>
      </c>
      <c r="W29">
        <f t="shared" ca="1" si="6"/>
        <v>6</v>
      </c>
      <c r="X29">
        <f t="shared" ca="1" si="6"/>
        <v>1</v>
      </c>
      <c r="Y29">
        <f t="shared" ca="1" si="6"/>
        <v>3</v>
      </c>
      <c r="Z29">
        <f t="shared" ca="1" si="6"/>
        <v>4</v>
      </c>
      <c r="AA29">
        <f t="shared" ca="1" si="6"/>
        <v>4</v>
      </c>
      <c r="AB29">
        <f t="shared" ca="1" si="6"/>
        <v>1</v>
      </c>
      <c r="AC29">
        <f t="shared" ca="1" si="6"/>
        <v>4</v>
      </c>
      <c r="AD29">
        <f t="shared" ca="1" si="6"/>
        <v>6</v>
      </c>
      <c r="AE29">
        <f t="shared" ca="1" si="6"/>
        <v>4</v>
      </c>
      <c r="AF29">
        <f t="shared" ref="AF29:AU50" ca="1" si="11">RANDBETWEEN(1,6)</f>
        <v>4</v>
      </c>
      <c r="AG29">
        <f t="shared" ca="1" si="11"/>
        <v>1</v>
      </c>
      <c r="AH29">
        <f t="shared" ca="1" si="11"/>
        <v>2</v>
      </c>
      <c r="AI29">
        <f t="shared" ca="1" si="11"/>
        <v>3</v>
      </c>
      <c r="AJ29">
        <f t="shared" ca="1" si="11"/>
        <v>2</v>
      </c>
      <c r="AK29">
        <f t="shared" ca="1" si="11"/>
        <v>6</v>
      </c>
      <c r="AL29">
        <f t="shared" ca="1" si="11"/>
        <v>6</v>
      </c>
      <c r="AM29">
        <f t="shared" ca="1" si="11"/>
        <v>2</v>
      </c>
      <c r="AN29">
        <f t="shared" ca="1" si="11"/>
        <v>2</v>
      </c>
      <c r="AO29">
        <f t="shared" ca="1" si="11"/>
        <v>2</v>
      </c>
      <c r="AP29">
        <f t="shared" ca="1" si="11"/>
        <v>2</v>
      </c>
      <c r="AQ29">
        <f t="shared" ca="1" si="11"/>
        <v>3</v>
      </c>
      <c r="AR29">
        <f t="shared" ca="1" si="11"/>
        <v>2</v>
      </c>
      <c r="AS29">
        <f t="shared" ca="1" si="11"/>
        <v>3</v>
      </c>
      <c r="AT29">
        <f t="shared" ca="1" si="11"/>
        <v>5</v>
      </c>
      <c r="AU29">
        <f t="shared" ca="1" si="11"/>
        <v>1</v>
      </c>
      <c r="AV29">
        <f t="shared" ca="1" si="9"/>
        <v>5</v>
      </c>
      <c r="AW29">
        <f t="shared" ca="1" si="9"/>
        <v>1</v>
      </c>
      <c r="AX29">
        <f t="shared" ca="1" si="2"/>
        <v>6</v>
      </c>
    </row>
    <row r="30" spans="1:50" x14ac:dyDescent="0.2">
      <c r="A30">
        <f t="shared" ref="A30:P45" ca="1" si="12">RANDBETWEEN(1,6)</f>
        <v>2</v>
      </c>
      <c r="B30">
        <f t="shared" ca="1" si="12"/>
        <v>5</v>
      </c>
      <c r="C30">
        <f t="shared" ca="1" si="12"/>
        <v>5</v>
      </c>
      <c r="D30">
        <f t="shared" ca="1" si="12"/>
        <v>1</v>
      </c>
      <c r="E30">
        <f t="shared" ca="1" si="12"/>
        <v>5</v>
      </c>
      <c r="F30">
        <f t="shared" ca="1" si="12"/>
        <v>5</v>
      </c>
      <c r="G30">
        <f t="shared" ca="1" si="12"/>
        <v>6</v>
      </c>
      <c r="H30">
        <f t="shared" ca="1" si="12"/>
        <v>6</v>
      </c>
      <c r="I30">
        <f t="shared" ca="1" si="12"/>
        <v>2</v>
      </c>
      <c r="J30">
        <f t="shared" ca="1" si="12"/>
        <v>4</v>
      </c>
      <c r="K30">
        <f t="shared" ca="1" si="12"/>
        <v>1</v>
      </c>
      <c r="L30">
        <f t="shared" ca="1" si="12"/>
        <v>5</v>
      </c>
      <c r="M30">
        <f t="shared" ca="1" si="12"/>
        <v>2</v>
      </c>
      <c r="N30">
        <f t="shared" ca="1" si="12"/>
        <v>3</v>
      </c>
      <c r="O30">
        <f t="shared" ca="1" si="12"/>
        <v>3</v>
      </c>
      <c r="P30">
        <f t="shared" ca="1" si="12"/>
        <v>4</v>
      </c>
      <c r="Q30">
        <f t="shared" ca="1" si="10"/>
        <v>2</v>
      </c>
      <c r="R30">
        <f t="shared" ca="1" si="10"/>
        <v>6</v>
      </c>
      <c r="S30">
        <f t="shared" ca="1" si="10"/>
        <v>2</v>
      </c>
      <c r="T30">
        <f t="shared" ca="1" si="10"/>
        <v>1</v>
      </c>
      <c r="U30">
        <f t="shared" ca="1" si="6"/>
        <v>1</v>
      </c>
      <c r="V30">
        <f t="shared" ca="1" si="6"/>
        <v>3</v>
      </c>
      <c r="W30">
        <f t="shared" ca="1" si="6"/>
        <v>3</v>
      </c>
      <c r="X30">
        <f t="shared" ref="X30:AM50" ca="1" si="13">RANDBETWEEN(1,6)</f>
        <v>2</v>
      </c>
      <c r="Y30">
        <f t="shared" ca="1" si="13"/>
        <v>4</v>
      </c>
      <c r="Z30">
        <f t="shared" ca="1" si="13"/>
        <v>3</v>
      </c>
      <c r="AA30">
        <f t="shared" ca="1" si="13"/>
        <v>1</v>
      </c>
      <c r="AB30">
        <f t="shared" ca="1" si="13"/>
        <v>3</v>
      </c>
      <c r="AC30">
        <f t="shared" ca="1" si="13"/>
        <v>6</v>
      </c>
      <c r="AD30">
        <f t="shared" ca="1" si="13"/>
        <v>3</v>
      </c>
      <c r="AE30">
        <f t="shared" ca="1" si="13"/>
        <v>5</v>
      </c>
      <c r="AF30">
        <f t="shared" ca="1" si="13"/>
        <v>3</v>
      </c>
      <c r="AG30">
        <f t="shared" ca="1" si="13"/>
        <v>5</v>
      </c>
      <c r="AH30">
        <f t="shared" ca="1" si="13"/>
        <v>6</v>
      </c>
      <c r="AI30">
        <f t="shared" ca="1" si="13"/>
        <v>5</v>
      </c>
      <c r="AJ30">
        <f t="shared" ca="1" si="13"/>
        <v>5</v>
      </c>
      <c r="AK30">
        <f t="shared" ca="1" si="13"/>
        <v>1</v>
      </c>
      <c r="AL30">
        <f t="shared" ca="1" si="13"/>
        <v>4</v>
      </c>
      <c r="AM30">
        <f t="shared" ca="1" si="13"/>
        <v>5</v>
      </c>
      <c r="AN30">
        <f t="shared" ca="1" si="11"/>
        <v>3</v>
      </c>
      <c r="AO30">
        <f t="shared" ca="1" si="11"/>
        <v>5</v>
      </c>
      <c r="AP30">
        <f t="shared" ca="1" si="11"/>
        <v>2</v>
      </c>
      <c r="AQ30">
        <f t="shared" ca="1" si="11"/>
        <v>6</v>
      </c>
      <c r="AR30">
        <f t="shared" ca="1" si="11"/>
        <v>5</v>
      </c>
      <c r="AS30">
        <f t="shared" ca="1" si="11"/>
        <v>6</v>
      </c>
      <c r="AT30">
        <f t="shared" ca="1" si="11"/>
        <v>3</v>
      </c>
      <c r="AU30">
        <f t="shared" ca="1" si="11"/>
        <v>6</v>
      </c>
      <c r="AV30">
        <f t="shared" ca="1" si="9"/>
        <v>1</v>
      </c>
      <c r="AW30">
        <f t="shared" ca="1" si="9"/>
        <v>3</v>
      </c>
      <c r="AX30">
        <f t="shared" ca="1" si="2"/>
        <v>6</v>
      </c>
    </row>
    <row r="31" spans="1:50" x14ac:dyDescent="0.2">
      <c r="A31">
        <f t="shared" ca="1" si="12"/>
        <v>4</v>
      </c>
      <c r="B31">
        <f t="shared" ca="1" si="12"/>
        <v>6</v>
      </c>
      <c r="C31">
        <f t="shared" ca="1" si="12"/>
        <v>1</v>
      </c>
      <c r="D31">
        <f t="shared" ca="1" si="12"/>
        <v>6</v>
      </c>
      <c r="E31">
        <f t="shared" ca="1" si="12"/>
        <v>4</v>
      </c>
      <c r="F31">
        <f t="shared" ca="1" si="12"/>
        <v>2</v>
      </c>
      <c r="G31">
        <f t="shared" ca="1" si="12"/>
        <v>4</v>
      </c>
      <c r="H31">
        <f t="shared" ca="1" si="12"/>
        <v>2</v>
      </c>
      <c r="I31">
        <f t="shared" ca="1" si="12"/>
        <v>1</v>
      </c>
      <c r="J31">
        <f t="shared" ca="1" si="12"/>
        <v>4</v>
      </c>
      <c r="K31">
        <f t="shared" ca="1" si="12"/>
        <v>3</v>
      </c>
      <c r="L31">
        <f t="shared" ca="1" si="12"/>
        <v>2</v>
      </c>
      <c r="M31">
        <f t="shared" ca="1" si="12"/>
        <v>6</v>
      </c>
      <c r="N31">
        <f t="shared" ca="1" si="12"/>
        <v>5</v>
      </c>
      <c r="O31">
        <f t="shared" ca="1" si="12"/>
        <v>2</v>
      </c>
      <c r="P31">
        <f t="shared" ca="1" si="12"/>
        <v>6</v>
      </c>
      <c r="Q31">
        <f t="shared" ca="1" si="10"/>
        <v>5</v>
      </c>
      <c r="R31">
        <f t="shared" ca="1" si="10"/>
        <v>5</v>
      </c>
      <c r="S31">
        <f t="shared" ca="1" si="10"/>
        <v>3</v>
      </c>
      <c r="T31">
        <f t="shared" ca="1" si="10"/>
        <v>3</v>
      </c>
      <c r="U31">
        <f t="shared" ref="U31:AJ51" ca="1" si="14">RANDBETWEEN(1,6)</f>
        <v>3</v>
      </c>
      <c r="V31">
        <f t="shared" ca="1" si="14"/>
        <v>4</v>
      </c>
      <c r="W31">
        <f t="shared" ca="1" si="14"/>
        <v>6</v>
      </c>
      <c r="X31">
        <f t="shared" ca="1" si="14"/>
        <v>6</v>
      </c>
      <c r="Y31">
        <f t="shared" ca="1" si="14"/>
        <v>2</v>
      </c>
      <c r="Z31">
        <f t="shared" ca="1" si="14"/>
        <v>5</v>
      </c>
      <c r="AA31">
        <f t="shared" ca="1" si="14"/>
        <v>2</v>
      </c>
      <c r="AB31">
        <f t="shared" ca="1" si="14"/>
        <v>4</v>
      </c>
      <c r="AC31">
        <f t="shared" ca="1" si="14"/>
        <v>1</v>
      </c>
      <c r="AD31">
        <f t="shared" ca="1" si="14"/>
        <v>4</v>
      </c>
      <c r="AE31">
        <f t="shared" ca="1" si="14"/>
        <v>4</v>
      </c>
      <c r="AF31">
        <f t="shared" ca="1" si="14"/>
        <v>6</v>
      </c>
      <c r="AG31">
        <f t="shared" ca="1" si="14"/>
        <v>5</v>
      </c>
      <c r="AH31">
        <f t="shared" ca="1" si="14"/>
        <v>4</v>
      </c>
      <c r="AI31">
        <f t="shared" ca="1" si="14"/>
        <v>6</v>
      </c>
      <c r="AJ31">
        <f t="shared" ca="1" si="14"/>
        <v>3</v>
      </c>
      <c r="AK31">
        <f t="shared" ca="1" si="13"/>
        <v>2</v>
      </c>
      <c r="AL31">
        <f t="shared" ca="1" si="13"/>
        <v>4</v>
      </c>
      <c r="AM31">
        <f t="shared" ca="1" si="13"/>
        <v>5</v>
      </c>
      <c r="AN31">
        <f t="shared" ca="1" si="11"/>
        <v>6</v>
      </c>
      <c r="AO31">
        <f t="shared" ca="1" si="11"/>
        <v>3</v>
      </c>
      <c r="AP31">
        <f t="shared" ca="1" si="11"/>
        <v>5</v>
      </c>
      <c r="AQ31">
        <f t="shared" ca="1" si="11"/>
        <v>3</v>
      </c>
      <c r="AR31">
        <f t="shared" ca="1" si="11"/>
        <v>3</v>
      </c>
      <c r="AS31">
        <f t="shared" ca="1" si="11"/>
        <v>3</v>
      </c>
      <c r="AT31">
        <f t="shared" ca="1" si="11"/>
        <v>1</v>
      </c>
      <c r="AU31">
        <f t="shared" ca="1" si="11"/>
        <v>1</v>
      </c>
      <c r="AV31">
        <f t="shared" ca="1" si="9"/>
        <v>1</v>
      </c>
      <c r="AW31">
        <f t="shared" ca="1" si="9"/>
        <v>4</v>
      </c>
      <c r="AX31">
        <f t="shared" ca="1" si="2"/>
        <v>2</v>
      </c>
    </row>
    <row r="32" spans="1:50" x14ac:dyDescent="0.2">
      <c r="A32">
        <f t="shared" ca="1" si="12"/>
        <v>3</v>
      </c>
      <c r="B32">
        <f t="shared" ca="1" si="12"/>
        <v>1</v>
      </c>
      <c r="C32">
        <f t="shared" ca="1" si="12"/>
        <v>1</v>
      </c>
      <c r="D32">
        <f t="shared" ca="1" si="12"/>
        <v>6</v>
      </c>
      <c r="E32">
        <f t="shared" ca="1" si="12"/>
        <v>4</v>
      </c>
      <c r="F32">
        <f t="shared" ca="1" si="12"/>
        <v>5</v>
      </c>
      <c r="G32">
        <f t="shared" ca="1" si="12"/>
        <v>5</v>
      </c>
      <c r="H32">
        <f t="shared" ca="1" si="12"/>
        <v>3</v>
      </c>
      <c r="I32">
        <f t="shared" ca="1" si="12"/>
        <v>6</v>
      </c>
      <c r="J32">
        <f t="shared" ca="1" si="12"/>
        <v>3</v>
      </c>
      <c r="K32">
        <f t="shared" ca="1" si="12"/>
        <v>1</v>
      </c>
      <c r="L32">
        <f t="shared" ca="1" si="12"/>
        <v>3</v>
      </c>
      <c r="M32">
        <f t="shared" ca="1" si="12"/>
        <v>5</v>
      </c>
      <c r="N32">
        <f t="shared" ca="1" si="12"/>
        <v>3</v>
      </c>
      <c r="O32">
        <f t="shared" ca="1" si="12"/>
        <v>4</v>
      </c>
      <c r="P32">
        <f t="shared" ca="1" si="12"/>
        <v>3</v>
      </c>
      <c r="Q32">
        <f t="shared" ca="1" si="10"/>
        <v>5</v>
      </c>
      <c r="R32">
        <f t="shared" ca="1" si="10"/>
        <v>6</v>
      </c>
      <c r="S32">
        <f t="shared" ca="1" si="10"/>
        <v>3</v>
      </c>
      <c r="T32">
        <f t="shared" ca="1" si="10"/>
        <v>2</v>
      </c>
      <c r="U32">
        <f t="shared" ca="1" si="14"/>
        <v>2</v>
      </c>
      <c r="V32">
        <f t="shared" ca="1" si="14"/>
        <v>2</v>
      </c>
      <c r="W32">
        <f t="shared" ca="1" si="14"/>
        <v>1</v>
      </c>
      <c r="X32">
        <f t="shared" ca="1" si="14"/>
        <v>4</v>
      </c>
      <c r="Y32">
        <f t="shared" ca="1" si="14"/>
        <v>5</v>
      </c>
      <c r="Z32">
        <f t="shared" ca="1" si="14"/>
        <v>4</v>
      </c>
      <c r="AA32">
        <f t="shared" ca="1" si="14"/>
        <v>3</v>
      </c>
      <c r="AB32">
        <f t="shared" ca="1" si="14"/>
        <v>5</v>
      </c>
      <c r="AC32">
        <f t="shared" ca="1" si="14"/>
        <v>2</v>
      </c>
      <c r="AD32">
        <f t="shared" ca="1" si="14"/>
        <v>5</v>
      </c>
      <c r="AE32">
        <f t="shared" ca="1" si="14"/>
        <v>5</v>
      </c>
      <c r="AF32">
        <f t="shared" ca="1" si="14"/>
        <v>6</v>
      </c>
      <c r="AG32">
        <f t="shared" ca="1" si="14"/>
        <v>2</v>
      </c>
      <c r="AH32">
        <f t="shared" ca="1" si="14"/>
        <v>6</v>
      </c>
      <c r="AI32">
        <f t="shared" ca="1" si="14"/>
        <v>3</v>
      </c>
      <c r="AJ32">
        <f t="shared" ca="1" si="14"/>
        <v>1</v>
      </c>
      <c r="AK32">
        <f t="shared" ca="1" si="13"/>
        <v>1</v>
      </c>
      <c r="AL32">
        <f t="shared" ca="1" si="13"/>
        <v>4</v>
      </c>
      <c r="AM32">
        <f t="shared" ca="1" si="13"/>
        <v>1</v>
      </c>
      <c r="AN32">
        <f t="shared" ca="1" si="11"/>
        <v>3</v>
      </c>
      <c r="AO32">
        <f t="shared" ca="1" si="11"/>
        <v>4</v>
      </c>
      <c r="AP32">
        <f t="shared" ca="1" si="11"/>
        <v>5</v>
      </c>
      <c r="AQ32">
        <f t="shared" ca="1" si="11"/>
        <v>3</v>
      </c>
      <c r="AR32">
        <f t="shared" ca="1" si="11"/>
        <v>3</v>
      </c>
      <c r="AS32">
        <f t="shared" ca="1" si="11"/>
        <v>6</v>
      </c>
      <c r="AT32">
        <f t="shared" ca="1" si="11"/>
        <v>4</v>
      </c>
      <c r="AU32">
        <f t="shared" ca="1" si="11"/>
        <v>6</v>
      </c>
      <c r="AV32">
        <f t="shared" ca="1" si="9"/>
        <v>1</v>
      </c>
      <c r="AW32">
        <f t="shared" ca="1" si="9"/>
        <v>4</v>
      </c>
      <c r="AX32">
        <f t="shared" ca="1" si="2"/>
        <v>6</v>
      </c>
    </row>
    <row r="33" spans="1:50" x14ac:dyDescent="0.2">
      <c r="A33">
        <f t="shared" ca="1" si="12"/>
        <v>6</v>
      </c>
      <c r="B33">
        <f t="shared" ca="1" si="12"/>
        <v>5</v>
      </c>
      <c r="C33">
        <f t="shared" ca="1" si="12"/>
        <v>3</v>
      </c>
      <c r="D33">
        <f t="shared" ca="1" si="12"/>
        <v>5</v>
      </c>
      <c r="E33">
        <f t="shared" ca="1" si="12"/>
        <v>5</v>
      </c>
      <c r="F33">
        <f t="shared" ca="1" si="12"/>
        <v>2</v>
      </c>
      <c r="G33">
        <f t="shared" ca="1" si="12"/>
        <v>4</v>
      </c>
      <c r="H33">
        <f t="shared" ca="1" si="12"/>
        <v>2</v>
      </c>
      <c r="I33">
        <f t="shared" ca="1" si="12"/>
        <v>4</v>
      </c>
      <c r="J33">
        <f t="shared" ca="1" si="12"/>
        <v>2</v>
      </c>
      <c r="K33">
        <f t="shared" ca="1" si="12"/>
        <v>6</v>
      </c>
      <c r="L33">
        <f t="shared" ca="1" si="12"/>
        <v>5</v>
      </c>
      <c r="M33">
        <f t="shared" ca="1" si="12"/>
        <v>5</v>
      </c>
      <c r="N33">
        <f t="shared" ca="1" si="12"/>
        <v>6</v>
      </c>
      <c r="O33">
        <f t="shared" ca="1" si="12"/>
        <v>3</v>
      </c>
      <c r="P33">
        <f t="shared" ca="1" si="12"/>
        <v>2</v>
      </c>
      <c r="Q33">
        <f t="shared" ca="1" si="10"/>
        <v>2</v>
      </c>
      <c r="R33">
        <f t="shared" ca="1" si="10"/>
        <v>3</v>
      </c>
      <c r="S33">
        <f t="shared" ca="1" si="10"/>
        <v>4</v>
      </c>
      <c r="T33">
        <f t="shared" ca="1" si="10"/>
        <v>1</v>
      </c>
      <c r="U33">
        <f t="shared" ca="1" si="14"/>
        <v>5</v>
      </c>
      <c r="V33">
        <f t="shared" ca="1" si="14"/>
        <v>6</v>
      </c>
      <c r="W33">
        <f t="shared" ca="1" si="14"/>
        <v>3</v>
      </c>
      <c r="X33">
        <f t="shared" ca="1" si="14"/>
        <v>4</v>
      </c>
      <c r="Y33">
        <f t="shared" ca="1" si="14"/>
        <v>5</v>
      </c>
      <c r="Z33">
        <f t="shared" ca="1" si="14"/>
        <v>5</v>
      </c>
      <c r="AA33">
        <f t="shared" ca="1" si="14"/>
        <v>1</v>
      </c>
      <c r="AB33">
        <f t="shared" ca="1" si="14"/>
        <v>6</v>
      </c>
      <c r="AC33">
        <f t="shared" ca="1" si="14"/>
        <v>1</v>
      </c>
      <c r="AD33">
        <f t="shared" ca="1" si="14"/>
        <v>5</v>
      </c>
      <c r="AE33">
        <f t="shared" ca="1" si="14"/>
        <v>6</v>
      </c>
      <c r="AF33">
        <f t="shared" ca="1" si="14"/>
        <v>1</v>
      </c>
      <c r="AG33">
        <f t="shared" ca="1" si="14"/>
        <v>2</v>
      </c>
      <c r="AH33">
        <f t="shared" ca="1" si="14"/>
        <v>6</v>
      </c>
      <c r="AI33">
        <f t="shared" ca="1" si="14"/>
        <v>4</v>
      </c>
      <c r="AJ33">
        <f t="shared" ca="1" si="14"/>
        <v>5</v>
      </c>
      <c r="AK33">
        <f t="shared" ca="1" si="13"/>
        <v>1</v>
      </c>
      <c r="AL33">
        <f t="shared" ca="1" si="13"/>
        <v>2</v>
      </c>
      <c r="AM33">
        <f t="shared" ca="1" si="13"/>
        <v>3</v>
      </c>
      <c r="AN33">
        <f t="shared" ca="1" si="11"/>
        <v>1</v>
      </c>
      <c r="AO33">
        <f t="shared" ca="1" si="11"/>
        <v>1</v>
      </c>
      <c r="AP33">
        <f t="shared" ca="1" si="11"/>
        <v>5</v>
      </c>
      <c r="AQ33">
        <f t="shared" ca="1" si="11"/>
        <v>4</v>
      </c>
      <c r="AR33">
        <f t="shared" ca="1" si="11"/>
        <v>4</v>
      </c>
      <c r="AS33">
        <f t="shared" ca="1" si="11"/>
        <v>1</v>
      </c>
      <c r="AT33">
        <f t="shared" ca="1" si="11"/>
        <v>6</v>
      </c>
      <c r="AU33">
        <f t="shared" ca="1" si="11"/>
        <v>6</v>
      </c>
      <c r="AV33">
        <f t="shared" ca="1" si="9"/>
        <v>3</v>
      </c>
      <c r="AW33">
        <f t="shared" ca="1" si="9"/>
        <v>4</v>
      </c>
      <c r="AX33">
        <f t="shared" ca="1" si="2"/>
        <v>4</v>
      </c>
    </row>
    <row r="34" spans="1:50" x14ac:dyDescent="0.2">
      <c r="A34">
        <f t="shared" ca="1" si="12"/>
        <v>4</v>
      </c>
      <c r="B34">
        <f t="shared" ca="1" si="12"/>
        <v>1</v>
      </c>
      <c r="C34">
        <f t="shared" ca="1" si="12"/>
        <v>5</v>
      </c>
      <c r="D34">
        <f t="shared" ca="1" si="12"/>
        <v>6</v>
      </c>
      <c r="E34">
        <f t="shared" ca="1" si="12"/>
        <v>4</v>
      </c>
      <c r="F34">
        <f t="shared" ca="1" si="12"/>
        <v>1</v>
      </c>
      <c r="G34">
        <f t="shared" ca="1" si="12"/>
        <v>4</v>
      </c>
      <c r="H34">
        <f t="shared" ca="1" si="12"/>
        <v>6</v>
      </c>
      <c r="I34">
        <f t="shared" ca="1" si="12"/>
        <v>3</v>
      </c>
      <c r="J34">
        <f t="shared" ca="1" si="12"/>
        <v>3</v>
      </c>
      <c r="K34">
        <f t="shared" ca="1" si="12"/>
        <v>5</v>
      </c>
      <c r="L34">
        <f t="shared" ca="1" si="12"/>
        <v>1</v>
      </c>
      <c r="M34">
        <f t="shared" ca="1" si="12"/>
        <v>4</v>
      </c>
      <c r="N34">
        <f t="shared" ca="1" si="12"/>
        <v>4</v>
      </c>
      <c r="O34">
        <f t="shared" ca="1" si="12"/>
        <v>6</v>
      </c>
      <c r="P34">
        <f t="shared" ca="1" si="12"/>
        <v>5</v>
      </c>
      <c r="Q34">
        <f t="shared" ca="1" si="10"/>
        <v>2</v>
      </c>
      <c r="R34">
        <f t="shared" ca="1" si="10"/>
        <v>2</v>
      </c>
      <c r="S34">
        <f t="shared" ca="1" si="10"/>
        <v>1</v>
      </c>
      <c r="T34">
        <f t="shared" ca="1" si="10"/>
        <v>4</v>
      </c>
      <c r="U34">
        <f t="shared" ca="1" si="14"/>
        <v>1</v>
      </c>
      <c r="V34">
        <f t="shared" ca="1" si="14"/>
        <v>6</v>
      </c>
      <c r="W34">
        <f t="shared" ca="1" si="14"/>
        <v>6</v>
      </c>
      <c r="X34">
        <f t="shared" ca="1" si="14"/>
        <v>4</v>
      </c>
      <c r="Y34">
        <f t="shared" ca="1" si="14"/>
        <v>5</v>
      </c>
      <c r="Z34">
        <f t="shared" ca="1" si="14"/>
        <v>4</v>
      </c>
      <c r="AA34">
        <f t="shared" ca="1" si="14"/>
        <v>2</v>
      </c>
      <c r="AB34">
        <f t="shared" ca="1" si="14"/>
        <v>1</v>
      </c>
      <c r="AC34">
        <f t="shared" ca="1" si="14"/>
        <v>1</v>
      </c>
      <c r="AD34">
        <f t="shared" ca="1" si="14"/>
        <v>4</v>
      </c>
      <c r="AE34">
        <f t="shared" ca="1" si="14"/>
        <v>5</v>
      </c>
      <c r="AF34">
        <f t="shared" ca="1" si="14"/>
        <v>3</v>
      </c>
      <c r="AG34">
        <f t="shared" ca="1" si="14"/>
        <v>1</v>
      </c>
      <c r="AH34">
        <f t="shared" ca="1" si="14"/>
        <v>5</v>
      </c>
      <c r="AI34">
        <f t="shared" ca="1" si="14"/>
        <v>4</v>
      </c>
      <c r="AJ34">
        <f t="shared" ca="1" si="14"/>
        <v>1</v>
      </c>
      <c r="AK34">
        <f t="shared" ca="1" si="13"/>
        <v>5</v>
      </c>
      <c r="AL34">
        <f t="shared" ca="1" si="13"/>
        <v>5</v>
      </c>
      <c r="AM34">
        <f t="shared" ca="1" si="13"/>
        <v>1</v>
      </c>
      <c r="AN34">
        <f t="shared" ca="1" si="11"/>
        <v>3</v>
      </c>
      <c r="AO34">
        <f t="shared" ca="1" si="11"/>
        <v>6</v>
      </c>
      <c r="AP34">
        <f t="shared" ca="1" si="11"/>
        <v>1</v>
      </c>
      <c r="AQ34">
        <f t="shared" ca="1" si="11"/>
        <v>2</v>
      </c>
      <c r="AR34">
        <f t="shared" ca="1" si="11"/>
        <v>1</v>
      </c>
      <c r="AS34">
        <f t="shared" ca="1" si="11"/>
        <v>4</v>
      </c>
      <c r="AT34">
        <f t="shared" ca="1" si="11"/>
        <v>3</v>
      </c>
      <c r="AU34">
        <f t="shared" ca="1" si="11"/>
        <v>1</v>
      </c>
      <c r="AV34">
        <f t="shared" ca="1" si="9"/>
        <v>2</v>
      </c>
      <c r="AW34">
        <f t="shared" ca="1" si="9"/>
        <v>6</v>
      </c>
      <c r="AX34">
        <f t="shared" ca="1" si="2"/>
        <v>6</v>
      </c>
    </row>
    <row r="35" spans="1:50" x14ac:dyDescent="0.2">
      <c r="A35">
        <f t="shared" ca="1" si="12"/>
        <v>4</v>
      </c>
      <c r="B35">
        <f t="shared" ca="1" si="12"/>
        <v>1</v>
      </c>
      <c r="C35">
        <f t="shared" ca="1" si="12"/>
        <v>2</v>
      </c>
      <c r="D35">
        <f t="shared" ca="1" si="12"/>
        <v>6</v>
      </c>
      <c r="E35">
        <f t="shared" ca="1" si="12"/>
        <v>3</v>
      </c>
      <c r="F35">
        <f t="shared" ca="1" si="12"/>
        <v>5</v>
      </c>
      <c r="G35">
        <f t="shared" ca="1" si="12"/>
        <v>6</v>
      </c>
      <c r="H35">
        <f t="shared" ca="1" si="12"/>
        <v>5</v>
      </c>
      <c r="I35">
        <f t="shared" ca="1" si="12"/>
        <v>5</v>
      </c>
      <c r="J35">
        <f t="shared" ca="1" si="12"/>
        <v>6</v>
      </c>
      <c r="K35">
        <f t="shared" ca="1" si="12"/>
        <v>4</v>
      </c>
      <c r="L35">
        <f t="shared" ca="1" si="12"/>
        <v>3</v>
      </c>
      <c r="M35">
        <f t="shared" ca="1" si="12"/>
        <v>1</v>
      </c>
      <c r="N35">
        <f t="shared" ca="1" si="12"/>
        <v>4</v>
      </c>
      <c r="O35">
        <f t="shared" ca="1" si="12"/>
        <v>4</v>
      </c>
      <c r="P35">
        <f t="shared" ca="1" si="12"/>
        <v>6</v>
      </c>
      <c r="Q35">
        <f t="shared" ca="1" si="10"/>
        <v>1</v>
      </c>
      <c r="R35">
        <f t="shared" ca="1" si="10"/>
        <v>4</v>
      </c>
      <c r="S35">
        <f t="shared" ca="1" si="10"/>
        <v>1</v>
      </c>
      <c r="T35">
        <f t="shared" ca="1" si="10"/>
        <v>3</v>
      </c>
      <c r="U35">
        <f t="shared" ca="1" si="14"/>
        <v>5</v>
      </c>
      <c r="V35">
        <f t="shared" ca="1" si="14"/>
        <v>6</v>
      </c>
      <c r="W35">
        <f t="shared" ca="1" si="14"/>
        <v>2</v>
      </c>
      <c r="X35">
        <f t="shared" ca="1" si="14"/>
        <v>2</v>
      </c>
      <c r="Y35">
        <f t="shared" ca="1" si="14"/>
        <v>5</v>
      </c>
      <c r="Z35">
        <f t="shared" ca="1" si="14"/>
        <v>3</v>
      </c>
      <c r="AA35">
        <f t="shared" ca="1" si="14"/>
        <v>1</v>
      </c>
      <c r="AB35">
        <f t="shared" ca="1" si="14"/>
        <v>3</v>
      </c>
      <c r="AC35">
        <f t="shared" ca="1" si="14"/>
        <v>1</v>
      </c>
      <c r="AD35">
        <f t="shared" ca="1" si="14"/>
        <v>6</v>
      </c>
      <c r="AE35">
        <f t="shared" ca="1" si="14"/>
        <v>4</v>
      </c>
      <c r="AF35">
        <f t="shared" ca="1" si="14"/>
        <v>4</v>
      </c>
      <c r="AG35">
        <f t="shared" ca="1" si="14"/>
        <v>1</v>
      </c>
      <c r="AH35">
        <f t="shared" ca="1" si="14"/>
        <v>3</v>
      </c>
      <c r="AI35">
        <f t="shared" ca="1" si="14"/>
        <v>2</v>
      </c>
      <c r="AJ35">
        <f t="shared" ca="1" si="14"/>
        <v>6</v>
      </c>
      <c r="AK35">
        <f t="shared" ca="1" si="13"/>
        <v>1</v>
      </c>
      <c r="AL35">
        <f t="shared" ca="1" si="13"/>
        <v>5</v>
      </c>
      <c r="AM35">
        <f t="shared" ca="1" si="13"/>
        <v>4</v>
      </c>
      <c r="AN35">
        <f t="shared" ca="1" si="11"/>
        <v>2</v>
      </c>
      <c r="AO35">
        <f t="shared" ca="1" si="11"/>
        <v>2</v>
      </c>
      <c r="AP35">
        <f t="shared" ca="1" si="11"/>
        <v>3</v>
      </c>
      <c r="AQ35">
        <f t="shared" ca="1" si="11"/>
        <v>4</v>
      </c>
      <c r="AR35">
        <f t="shared" ca="1" si="11"/>
        <v>2</v>
      </c>
      <c r="AS35">
        <f t="shared" ca="1" si="11"/>
        <v>5</v>
      </c>
      <c r="AT35">
        <f t="shared" ca="1" si="11"/>
        <v>6</v>
      </c>
      <c r="AU35">
        <f t="shared" ca="1" si="11"/>
        <v>2</v>
      </c>
      <c r="AV35">
        <f t="shared" ca="1" si="9"/>
        <v>5</v>
      </c>
      <c r="AW35">
        <f t="shared" ca="1" si="9"/>
        <v>3</v>
      </c>
      <c r="AX35">
        <f t="shared" ca="1" si="2"/>
        <v>5</v>
      </c>
    </row>
    <row r="36" spans="1:50" x14ac:dyDescent="0.2">
      <c r="A36">
        <f t="shared" ca="1" si="12"/>
        <v>4</v>
      </c>
      <c r="B36">
        <f t="shared" ca="1" si="12"/>
        <v>6</v>
      </c>
      <c r="C36">
        <f t="shared" ca="1" si="12"/>
        <v>2</v>
      </c>
      <c r="D36">
        <f t="shared" ca="1" si="12"/>
        <v>1</v>
      </c>
      <c r="E36">
        <f t="shared" ca="1" si="12"/>
        <v>4</v>
      </c>
      <c r="F36">
        <f t="shared" ca="1" si="12"/>
        <v>6</v>
      </c>
      <c r="G36">
        <f t="shared" ca="1" si="12"/>
        <v>5</v>
      </c>
      <c r="H36">
        <f t="shared" ca="1" si="12"/>
        <v>5</v>
      </c>
      <c r="I36">
        <f t="shared" ca="1" si="12"/>
        <v>1</v>
      </c>
      <c r="J36">
        <f t="shared" ca="1" si="12"/>
        <v>6</v>
      </c>
      <c r="K36">
        <f t="shared" ca="1" si="12"/>
        <v>1</v>
      </c>
      <c r="L36">
        <f t="shared" ca="1" si="12"/>
        <v>1</v>
      </c>
      <c r="M36">
        <f t="shared" ca="1" si="12"/>
        <v>5</v>
      </c>
      <c r="N36">
        <f t="shared" ca="1" si="12"/>
        <v>2</v>
      </c>
      <c r="O36">
        <f t="shared" ca="1" si="12"/>
        <v>3</v>
      </c>
      <c r="P36">
        <f t="shared" ca="1" si="12"/>
        <v>5</v>
      </c>
      <c r="Q36">
        <f t="shared" ca="1" si="10"/>
        <v>4</v>
      </c>
      <c r="R36">
        <f t="shared" ca="1" si="10"/>
        <v>2</v>
      </c>
      <c r="S36">
        <f t="shared" ca="1" si="10"/>
        <v>4</v>
      </c>
      <c r="T36">
        <f t="shared" ca="1" si="10"/>
        <v>3</v>
      </c>
      <c r="U36">
        <f t="shared" ca="1" si="14"/>
        <v>4</v>
      </c>
      <c r="V36">
        <f t="shared" ca="1" si="14"/>
        <v>2</v>
      </c>
      <c r="W36">
        <f t="shared" ca="1" si="14"/>
        <v>6</v>
      </c>
      <c r="X36">
        <f t="shared" ca="1" si="14"/>
        <v>3</v>
      </c>
      <c r="Y36">
        <f t="shared" ca="1" si="14"/>
        <v>5</v>
      </c>
      <c r="Z36">
        <f t="shared" ca="1" si="14"/>
        <v>3</v>
      </c>
      <c r="AA36">
        <f t="shared" ca="1" si="14"/>
        <v>1</v>
      </c>
      <c r="AB36">
        <f t="shared" ca="1" si="14"/>
        <v>2</v>
      </c>
      <c r="AC36">
        <f t="shared" ca="1" si="14"/>
        <v>3</v>
      </c>
      <c r="AD36">
        <f t="shared" ca="1" si="14"/>
        <v>3</v>
      </c>
      <c r="AE36">
        <f t="shared" ca="1" si="14"/>
        <v>5</v>
      </c>
      <c r="AF36">
        <f t="shared" ca="1" si="14"/>
        <v>4</v>
      </c>
      <c r="AG36">
        <f t="shared" ca="1" si="14"/>
        <v>2</v>
      </c>
      <c r="AH36">
        <f t="shared" ca="1" si="14"/>
        <v>2</v>
      </c>
      <c r="AI36">
        <f t="shared" ca="1" si="14"/>
        <v>5</v>
      </c>
      <c r="AJ36">
        <f t="shared" ca="1" si="14"/>
        <v>2</v>
      </c>
      <c r="AK36">
        <f t="shared" ca="1" si="13"/>
        <v>5</v>
      </c>
      <c r="AL36">
        <f t="shared" ca="1" si="13"/>
        <v>6</v>
      </c>
      <c r="AM36">
        <f t="shared" ca="1" si="13"/>
        <v>3</v>
      </c>
      <c r="AN36">
        <f t="shared" ca="1" si="11"/>
        <v>4</v>
      </c>
      <c r="AO36">
        <f t="shared" ca="1" si="11"/>
        <v>5</v>
      </c>
      <c r="AP36">
        <f t="shared" ca="1" si="11"/>
        <v>6</v>
      </c>
      <c r="AQ36">
        <f t="shared" ca="1" si="11"/>
        <v>2</v>
      </c>
      <c r="AR36">
        <f t="shared" ca="1" si="11"/>
        <v>1</v>
      </c>
      <c r="AS36">
        <f t="shared" ca="1" si="11"/>
        <v>4</v>
      </c>
      <c r="AT36">
        <f t="shared" ca="1" si="11"/>
        <v>5</v>
      </c>
      <c r="AU36">
        <f t="shared" ca="1" si="11"/>
        <v>2</v>
      </c>
      <c r="AV36">
        <f t="shared" ca="1" si="9"/>
        <v>2</v>
      </c>
      <c r="AW36">
        <f t="shared" ca="1" si="9"/>
        <v>1</v>
      </c>
      <c r="AX36">
        <f t="shared" ca="1" si="2"/>
        <v>2</v>
      </c>
    </row>
    <row r="37" spans="1:50" x14ac:dyDescent="0.2">
      <c r="A37">
        <f t="shared" ca="1" si="12"/>
        <v>6</v>
      </c>
      <c r="B37">
        <f t="shared" ca="1" si="12"/>
        <v>1</v>
      </c>
      <c r="C37">
        <f t="shared" ca="1" si="12"/>
        <v>3</v>
      </c>
      <c r="D37">
        <f t="shared" ca="1" si="12"/>
        <v>1</v>
      </c>
      <c r="E37">
        <f t="shared" ca="1" si="12"/>
        <v>2</v>
      </c>
      <c r="F37">
        <f t="shared" ca="1" si="12"/>
        <v>1</v>
      </c>
      <c r="G37">
        <f t="shared" ca="1" si="12"/>
        <v>5</v>
      </c>
      <c r="H37">
        <f t="shared" ca="1" si="12"/>
        <v>6</v>
      </c>
      <c r="I37">
        <f t="shared" ca="1" si="12"/>
        <v>2</v>
      </c>
      <c r="J37">
        <f t="shared" ca="1" si="12"/>
        <v>2</v>
      </c>
      <c r="K37">
        <f t="shared" ca="1" si="12"/>
        <v>5</v>
      </c>
      <c r="L37">
        <f t="shared" ca="1" si="12"/>
        <v>4</v>
      </c>
      <c r="M37">
        <f t="shared" ca="1" si="12"/>
        <v>5</v>
      </c>
      <c r="N37">
        <f t="shared" ca="1" si="12"/>
        <v>3</v>
      </c>
      <c r="O37">
        <f t="shared" ca="1" si="12"/>
        <v>6</v>
      </c>
      <c r="P37">
        <f t="shared" ca="1" si="12"/>
        <v>4</v>
      </c>
      <c r="Q37">
        <f t="shared" ca="1" si="10"/>
        <v>1</v>
      </c>
      <c r="R37">
        <f t="shared" ca="1" si="10"/>
        <v>1</v>
      </c>
      <c r="S37">
        <f t="shared" ca="1" si="10"/>
        <v>2</v>
      </c>
      <c r="T37">
        <f t="shared" ca="1" si="10"/>
        <v>6</v>
      </c>
      <c r="U37">
        <f t="shared" ca="1" si="14"/>
        <v>5</v>
      </c>
      <c r="V37">
        <f t="shared" ca="1" si="14"/>
        <v>5</v>
      </c>
      <c r="W37">
        <f t="shared" ca="1" si="14"/>
        <v>2</v>
      </c>
      <c r="X37">
        <f t="shared" ca="1" si="14"/>
        <v>2</v>
      </c>
      <c r="Y37">
        <f t="shared" ca="1" si="14"/>
        <v>4</v>
      </c>
      <c r="Z37">
        <f t="shared" ca="1" si="14"/>
        <v>2</v>
      </c>
      <c r="AA37">
        <f t="shared" ca="1" si="14"/>
        <v>3</v>
      </c>
      <c r="AB37">
        <f t="shared" ca="1" si="14"/>
        <v>6</v>
      </c>
      <c r="AC37">
        <f t="shared" ca="1" si="14"/>
        <v>3</v>
      </c>
      <c r="AD37">
        <f t="shared" ca="1" si="14"/>
        <v>4</v>
      </c>
      <c r="AE37">
        <f t="shared" ca="1" si="14"/>
        <v>2</v>
      </c>
      <c r="AF37">
        <f t="shared" ca="1" si="14"/>
        <v>5</v>
      </c>
      <c r="AG37">
        <f t="shared" ca="1" si="14"/>
        <v>3</v>
      </c>
      <c r="AH37">
        <f t="shared" ca="1" si="14"/>
        <v>2</v>
      </c>
      <c r="AI37">
        <f t="shared" ca="1" si="14"/>
        <v>1</v>
      </c>
      <c r="AJ37">
        <f t="shared" ca="1" si="14"/>
        <v>5</v>
      </c>
      <c r="AK37">
        <f t="shared" ca="1" si="13"/>
        <v>3</v>
      </c>
      <c r="AL37">
        <f t="shared" ca="1" si="13"/>
        <v>2</v>
      </c>
      <c r="AM37">
        <f t="shared" ca="1" si="13"/>
        <v>3</v>
      </c>
      <c r="AN37">
        <f t="shared" ca="1" si="11"/>
        <v>4</v>
      </c>
      <c r="AO37">
        <f t="shared" ca="1" si="11"/>
        <v>6</v>
      </c>
      <c r="AP37">
        <f t="shared" ca="1" si="11"/>
        <v>5</v>
      </c>
      <c r="AQ37">
        <f t="shared" ca="1" si="11"/>
        <v>2</v>
      </c>
      <c r="AR37">
        <f t="shared" ca="1" si="11"/>
        <v>2</v>
      </c>
      <c r="AS37">
        <f t="shared" ca="1" si="11"/>
        <v>4</v>
      </c>
      <c r="AT37">
        <f t="shared" ca="1" si="11"/>
        <v>3</v>
      </c>
      <c r="AU37">
        <f t="shared" ca="1" si="11"/>
        <v>1</v>
      </c>
      <c r="AV37">
        <f t="shared" ca="1" si="9"/>
        <v>2</v>
      </c>
      <c r="AW37">
        <f t="shared" ca="1" si="9"/>
        <v>1</v>
      </c>
      <c r="AX37">
        <f t="shared" ca="1" si="2"/>
        <v>5</v>
      </c>
    </row>
    <row r="38" spans="1:50" x14ac:dyDescent="0.2">
      <c r="A38">
        <f t="shared" ca="1" si="12"/>
        <v>5</v>
      </c>
      <c r="B38">
        <f t="shared" ca="1" si="12"/>
        <v>2</v>
      </c>
      <c r="C38">
        <f t="shared" ca="1" si="12"/>
        <v>1</v>
      </c>
      <c r="D38">
        <f t="shared" ca="1" si="12"/>
        <v>5</v>
      </c>
      <c r="E38">
        <f t="shared" ca="1" si="12"/>
        <v>3</v>
      </c>
      <c r="F38">
        <f t="shared" ca="1" si="12"/>
        <v>6</v>
      </c>
      <c r="G38">
        <f t="shared" ca="1" si="12"/>
        <v>4</v>
      </c>
      <c r="H38">
        <f t="shared" ca="1" si="12"/>
        <v>1</v>
      </c>
      <c r="I38">
        <f t="shared" ca="1" si="12"/>
        <v>6</v>
      </c>
      <c r="J38">
        <f t="shared" ca="1" si="12"/>
        <v>5</v>
      </c>
      <c r="K38">
        <f t="shared" ca="1" si="12"/>
        <v>4</v>
      </c>
      <c r="L38">
        <f t="shared" ca="1" si="12"/>
        <v>1</v>
      </c>
      <c r="M38">
        <f t="shared" ca="1" si="12"/>
        <v>1</v>
      </c>
      <c r="N38">
        <f t="shared" ca="1" si="12"/>
        <v>1</v>
      </c>
      <c r="O38">
        <f t="shared" ca="1" si="12"/>
        <v>6</v>
      </c>
      <c r="P38">
        <f t="shared" ca="1" si="12"/>
        <v>2</v>
      </c>
      <c r="Q38">
        <f t="shared" ca="1" si="10"/>
        <v>4</v>
      </c>
      <c r="R38">
        <f t="shared" ca="1" si="10"/>
        <v>1</v>
      </c>
      <c r="S38">
        <f t="shared" ca="1" si="10"/>
        <v>6</v>
      </c>
      <c r="T38">
        <f t="shared" ca="1" si="10"/>
        <v>5</v>
      </c>
      <c r="U38">
        <f t="shared" ca="1" si="14"/>
        <v>1</v>
      </c>
      <c r="V38">
        <f t="shared" ca="1" si="14"/>
        <v>2</v>
      </c>
      <c r="W38">
        <f t="shared" ca="1" si="14"/>
        <v>2</v>
      </c>
      <c r="X38">
        <f t="shared" ca="1" si="14"/>
        <v>4</v>
      </c>
      <c r="Y38">
        <f t="shared" ca="1" si="14"/>
        <v>6</v>
      </c>
      <c r="Z38">
        <f t="shared" ca="1" si="14"/>
        <v>5</v>
      </c>
      <c r="AA38">
        <f t="shared" ca="1" si="14"/>
        <v>2</v>
      </c>
      <c r="AB38">
        <f t="shared" ca="1" si="14"/>
        <v>2</v>
      </c>
      <c r="AC38">
        <f t="shared" ca="1" si="14"/>
        <v>4</v>
      </c>
      <c r="AD38">
        <f t="shared" ca="1" si="14"/>
        <v>5</v>
      </c>
      <c r="AE38">
        <f t="shared" ca="1" si="14"/>
        <v>1</v>
      </c>
      <c r="AF38">
        <f t="shared" ca="1" si="14"/>
        <v>2</v>
      </c>
      <c r="AG38">
        <f t="shared" ca="1" si="14"/>
        <v>5</v>
      </c>
      <c r="AH38">
        <f t="shared" ca="1" si="14"/>
        <v>3</v>
      </c>
      <c r="AI38">
        <f t="shared" ca="1" si="14"/>
        <v>4</v>
      </c>
      <c r="AJ38">
        <f t="shared" ca="1" si="14"/>
        <v>4</v>
      </c>
      <c r="AK38">
        <f t="shared" ca="1" si="13"/>
        <v>5</v>
      </c>
      <c r="AL38">
        <f t="shared" ca="1" si="13"/>
        <v>1</v>
      </c>
      <c r="AM38">
        <f t="shared" ca="1" si="13"/>
        <v>4</v>
      </c>
      <c r="AN38">
        <f t="shared" ca="1" si="11"/>
        <v>6</v>
      </c>
      <c r="AO38">
        <f t="shared" ca="1" si="11"/>
        <v>1</v>
      </c>
      <c r="AP38">
        <f t="shared" ca="1" si="11"/>
        <v>4</v>
      </c>
      <c r="AQ38">
        <f t="shared" ca="1" si="11"/>
        <v>4</v>
      </c>
      <c r="AR38">
        <f t="shared" ca="1" si="11"/>
        <v>6</v>
      </c>
      <c r="AS38">
        <f t="shared" ca="1" si="11"/>
        <v>4</v>
      </c>
      <c r="AT38">
        <f t="shared" ca="1" si="11"/>
        <v>1</v>
      </c>
      <c r="AU38">
        <f t="shared" ca="1" si="11"/>
        <v>1</v>
      </c>
      <c r="AV38">
        <f t="shared" ca="1" si="9"/>
        <v>5</v>
      </c>
      <c r="AW38">
        <f t="shared" ca="1" si="9"/>
        <v>2</v>
      </c>
      <c r="AX38">
        <f t="shared" ca="1" si="2"/>
        <v>4</v>
      </c>
    </row>
    <row r="39" spans="1:50" x14ac:dyDescent="0.2">
      <c r="A39">
        <f t="shared" ca="1" si="12"/>
        <v>4</v>
      </c>
      <c r="B39">
        <f t="shared" ca="1" si="12"/>
        <v>5</v>
      </c>
      <c r="C39">
        <f t="shared" ca="1" si="12"/>
        <v>1</v>
      </c>
      <c r="D39">
        <f t="shared" ca="1" si="12"/>
        <v>1</v>
      </c>
      <c r="E39">
        <f t="shared" ca="1" si="12"/>
        <v>4</v>
      </c>
      <c r="F39">
        <f t="shared" ca="1" si="12"/>
        <v>2</v>
      </c>
      <c r="G39">
        <f t="shared" ca="1" si="12"/>
        <v>2</v>
      </c>
      <c r="H39">
        <f t="shared" ca="1" si="12"/>
        <v>6</v>
      </c>
      <c r="I39">
        <f t="shared" ca="1" si="12"/>
        <v>1</v>
      </c>
      <c r="J39">
        <f t="shared" ca="1" si="12"/>
        <v>6</v>
      </c>
      <c r="K39">
        <f t="shared" ca="1" si="12"/>
        <v>2</v>
      </c>
      <c r="L39">
        <f t="shared" ca="1" si="12"/>
        <v>5</v>
      </c>
      <c r="M39">
        <f t="shared" ca="1" si="12"/>
        <v>4</v>
      </c>
      <c r="N39">
        <f t="shared" ca="1" si="12"/>
        <v>3</v>
      </c>
      <c r="O39">
        <f t="shared" ca="1" si="12"/>
        <v>5</v>
      </c>
      <c r="P39">
        <f t="shared" ca="1" si="12"/>
        <v>5</v>
      </c>
      <c r="Q39">
        <f t="shared" ca="1" si="10"/>
        <v>6</v>
      </c>
      <c r="R39">
        <f t="shared" ca="1" si="10"/>
        <v>6</v>
      </c>
      <c r="S39">
        <f t="shared" ca="1" si="10"/>
        <v>6</v>
      </c>
      <c r="T39">
        <f t="shared" ca="1" si="10"/>
        <v>4</v>
      </c>
      <c r="U39">
        <f t="shared" ca="1" si="14"/>
        <v>5</v>
      </c>
      <c r="V39">
        <f t="shared" ca="1" si="14"/>
        <v>2</v>
      </c>
      <c r="W39">
        <f t="shared" ca="1" si="14"/>
        <v>6</v>
      </c>
      <c r="X39">
        <f t="shared" ca="1" si="14"/>
        <v>3</v>
      </c>
      <c r="Y39">
        <f t="shared" ca="1" si="14"/>
        <v>6</v>
      </c>
      <c r="Z39">
        <f t="shared" ca="1" si="14"/>
        <v>2</v>
      </c>
      <c r="AA39">
        <f t="shared" ca="1" si="14"/>
        <v>2</v>
      </c>
      <c r="AB39">
        <f t="shared" ca="1" si="14"/>
        <v>5</v>
      </c>
      <c r="AC39">
        <f t="shared" ca="1" si="14"/>
        <v>2</v>
      </c>
      <c r="AD39">
        <f t="shared" ca="1" si="14"/>
        <v>2</v>
      </c>
      <c r="AE39">
        <f t="shared" ca="1" si="14"/>
        <v>4</v>
      </c>
      <c r="AF39">
        <f t="shared" ca="1" si="14"/>
        <v>3</v>
      </c>
      <c r="AG39">
        <f t="shared" ca="1" si="14"/>
        <v>6</v>
      </c>
      <c r="AH39">
        <f t="shared" ca="1" si="14"/>
        <v>4</v>
      </c>
      <c r="AI39">
        <f t="shared" ca="1" si="14"/>
        <v>2</v>
      </c>
      <c r="AJ39">
        <f t="shared" ca="1" si="14"/>
        <v>6</v>
      </c>
      <c r="AK39">
        <f t="shared" ca="1" si="13"/>
        <v>1</v>
      </c>
      <c r="AL39">
        <f t="shared" ca="1" si="13"/>
        <v>5</v>
      </c>
      <c r="AM39">
        <f t="shared" ca="1" si="13"/>
        <v>2</v>
      </c>
      <c r="AN39">
        <f t="shared" ca="1" si="11"/>
        <v>1</v>
      </c>
      <c r="AO39">
        <f t="shared" ca="1" si="11"/>
        <v>2</v>
      </c>
      <c r="AP39">
        <f t="shared" ca="1" si="11"/>
        <v>1</v>
      </c>
      <c r="AQ39">
        <f t="shared" ca="1" si="11"/>
        <v>2</v>
      </c>
      <c r="AR39">
        <f t="shared" ca="1" si="11"/>
        <v>1</v>
      </c>
      <c r="AS39">
        <f t="shared" ca="1" si="11"/>
        <v>5</v>
      </c>
      <c r="AT39">
        <f t="shared" ca="1" si="11"/>
        <v>2</v>
      </c>
      <c r="AU39">
        <f t="shared" ca="1" si="11"/>
        <v>1</v>
      </c>
      <c r="AV39">
        <f t="shared" ca="1" si="9"/>
        <v>3</v>
      </c>
      <c r="AW39">
        <f t="shared" ca="1" si="9"/>
        <v>4</v>
      </c>
      <c r="AX39">
        <f t="shared" ca="1" si="2"/>
        <v>6</v>
      </c>
    </row>
    <row r="40" spans="1:50" x14ac:dyDescent="0.2">
      <c r="A40">
        <f t="shared" ca="1" si="12"/>
        <v>4</v>
      </c>
      <c r="B40">
        <f t="shared" ca="1" si="12"/>
        <v>6</v>
      </c>
      <c r="C40">
        <f t="shared" ca="1" si="12"/>
        <v>2</v>
      </c>
      <c r="D40">
        <f t="shared" ca="1" si="12"/>
        <v>1</v>
      </c>
      <c r="E40">
        <f t="shared" ca="1" si="12"/>
        <v>5</v>
      </c>
      <c r="F40">
        <f t="shared" ca="1" si="12"/>
        <v>5</v>
      </c>
      <c r="G40">
        <f t="shared" ca="1" si="12"/>
        <v>1</v>
      </c>
      <c r="H40">
        <f t="shared" ca="1" si="12"/>
        <v>3</v>
      </c>
      <c r="I40">
        <f t="shared" ca="1" si="12"/>
        <v>3</v>
      </c>
      <c r="J40">
        <f t="shared" ca="1" si="12"/>
        <v>2</v>
      </c>
      <c r="K40">
        <f t="shared" ca="1" si="12"/>
        <v>6</v>
      </c>
      <c r="L40">
        <f t="shared" ca="1" si="12"/>
        <v>3</v>
      </c>
      <c r="M40">
        <f t="shared" ca="1" si="12"/>
        <v>4</v>
      </c>
      <c r="N40">
        <f t="shared" ca="1" si="12"/>
        <v>2</v>
      </c>
      <c r="O40">
        <f t="shared" ca="1" si="12"/>
        <v>5</v>
      </c>
      <c r="P40">
        <f t="shared" ca="1" si="12"/>
        <v>1</v>
      </c>
      <c r="Q40">
        <f t="shared" ca="1" si="10"/>
        <v>3</v>
      </c>
      <c r="R40">
        <f t="shared" ca="1" si="10"/>
        <v>4</v>
      </c>
      <c r="S40">
        <f t="shared" ca="1" si="10"/>
        <v>4</v>
      </c>
      <c r="T40">
        <f t="shared" ca="1" si="10"/>
        <v>5</v>
      </c>
      <c r="U40">
        <f t="shared" ca="1" si="14"/>
        <v>4</v>
      </c>
      <c r="V40">
        <f t="shared" ca="1" si="14"/>
        <v>1</v>
      </c>
      <c r="W40">
        <f t="shared" ca="1" si="14"/>
        <v>5</v>
      </c>
      <c r="X40">
        <f t="shared" ca="1" si="14"/>
        <v>1</v>
      </c>
      <c r="Y40">
        <f t="shared" ca="1" si="14"/>
        <v>3</v>
      </c>
      <c r="Z40">
        <f t="shared" ca="1" si="14"/>
        <v>4</v>
      </c>
      <c r="AA40">
        <f t="shared" ca="1" si="14"/>
        <v>3</v>
      </c>
      <c r="AB40">
        <f t="shared" ca="1" si="14"/>
        <v>5</v>
      </c>
      <c r="AC40">
        <f t="shared" ca="1" si="14"/>
        <v>5</v>
      </c>
      <c r="AD40">
        <f t="shared" ca="1" si="14"/>
        <v>3</v>
      </c>
      <c r="AE40">
        <f t="shared" ca="1" si="14"/>
        <v>6</v>
      </c>
      <c r="AF40">
        <f t="shared" ca="1" si="14"/>
        <v>3</v>
      </c>
      <c r="AG40">
        <f t="shared" ca="1" si="14"/>
        <v>1</v>
      </c>
      <c r="AH40">
        <f t="shared" ca="1" si="14"/>
        <v>4</v>
      </c>
      <c r="AI40">
        <f t="shared" ca="1" si="14"/>
        <v>4</v>
      </c>
      <c r="AJ40">
        <f t="shared" ca="1" si="14"/>
        <v>2</v>
      </c>
      <c r="AK40">
        <f t="shared" ca="1" si="13"/>
        <v>2</v>
      </c>
      <c r="AL40">
        <f t="shared" ca="1" si="13"/>
        <v>4</v>
      </c>
      <c r="AM40">
        <f t="shared" ca="1" si="13"/>
        <v>1</v>
      </c>
      <c r="AN40">
        <f t="shared" ca="1" si="11"/>
        <v>6</v>
      </c>
      <c r="AO40">
        <f t="shared" ca="1" si="11"/>
        <v>4</v>
      </c>
      <c r="AP40">
        <f t="shared" ca="1" si="11"/>
        <v>1</v>
      </c>
      <c r="AQ40">
        <f t="shared" ca="1" si="11"/>
        <v>2</v>
      </c>
      <c r="AR40">
        <f t="shared" ca="1" si="11"/>
        <v>3</v>
      </c>
      <c r="AS40">
        <f t="shared" ca="1" si="11"/>
        <v>4</v>
      </c>
      <c r="AT40">
        <f t="shared" ca="1" si="11"/>
        <v>3</v>
      </c>
      <c r="AU40">
        <f t="shared" ca="1" si="11"/>
        <v>5</v>
      </c>
      <c r="AV40">
        <f t="shared" ca="1" si="9"/>
        <v>6</v>
      </c>
      <c r="AW40">
        <f t="shared" ca="1" si="9"/>
        <v>2</v>
      </c>
      <c r="AX40">
        <f t="shared" ca="1" si="2"/>
        <v>6</v>
      </c>
    </row>
    <row r="41" spans="1:50" x14ac:dyDescent="0.2">
      <c r="A41">
        <f t="shared" ca="1" si="12"/>
        <v>3</v>
      </c>
      <c r="B41">
        <f t="shared" ca="1" si="12"/>
        <v>2</v>
      </c>
      <c r="C41">
        <f t="shared" ca="1" si="12"/>
        <v>3</v>
      </c>
      <c r="D41">
        <f t="shared" ca="1" si="12"/>
        <v>6</v>
      </c>
      <c r="E41">
        <f t="shared" ca="1" si="12"/>
        <v>2</v>
      </c>
      <c r="F41">
        <f t="shared" ca="1" si="12"/>
        <v>3</v>
      </c>
      <c r="G41">
        <f t="shared" ca="1" si="12"/>
        <v>2</v>
      </c>
      <c r="H41">
        <f t="shared" ca="1" si="12"/>
        <v>5</v>
      </c>
      <c r="I41">
        <f t="shared" ca="1" si="12"/>
        <v>2</v>
      </c>
      <c r="J41">
        <f t="shared" ca="1" si="12"/>
        <v>1</v>
      </c>
      <c r="K41">
        <f t="shared" ca="1" si="12"/>
        <v>3</v>
      </c>
      <c r="L41">
        <f t="shared" ca="1" si="12"/>
        <v>2</v>
      </c>
      <c r="M41">
        <f t="shared" ca="1" si="12"/>
        <v>3</v>
      </c>
      <c r="N41">
        <f t="shared" ca="1" si="12"/>
        <v>3</v>
      </c>
      <c r="O41">
        <f t="shared" ca="1" si="12"/>
        <v>2</v>
      </c>
      <c r="P41">
        <f t="shared" ca="1" si="12"/>
        <v>4</v>
      </c>
      <c r="Q41">
        <f t="shared" ca="1" si="10"/>
        <v>2</v>
      </c>
      <c r="R41">
        <f t="shared" ca="1" si="10"/>
        <v>4</v>
      </c>
      <c r="S41">
        <f t="shared" ca="1" si="10"/>
        <v>4</v>
      </c>
      <c r="T41">
        <f t="shared" ca="1" si="10"/>
        <v>2</v>
      </c>
      <c r="U41">
        <f t="shared" ca="1" si="14"/>
        <v>3</v>
      </c>
      <c r="V41">
        <f t="shared" ca="1" si="14"/>
        <v>3</v>
      </c>
      <c r="W41">
        <f t="shared" ca="1" si="14"/>
        <v>3</v>
      </c>
      <c r="X41">
        <f t="shared" ca="1" si="14"/>
        <v>3</v>
      </c>
      <c r="Y41">
        <f t="shared" ca="1" si="14"/>
        <v>5</v>
      </c>
      <c r="Z41">
        <f t="shared" ca="1" si="14"/>
        <v>3</v>
      </c>
      <c r="AA41">
        <f t="shared" ca="1" si="14"/>
        <v>2</v>
      </c>
      <c r="AB41">
        <f t="shared" ca="1" si="14"/>
        <v>2</v>
      </c>
      <c r="AC41">
        <f t="shared" ca="1" si="14"/>
        <v>4</v>
      </c>
      <c r="AD41">
        <f t="shared" ca="1" si="14"/>
        <v>5</v>
      </c>
      <c r="AE41">
        <f t="shared" ca="1" si="14"/>
        <v>2</v>
      </c>
      <c r="AF41">
        <f t="shared" ca="1" si="14"/>
        <v>6</v>
      </c>
      <c r="AG41">
        <f t="shared" ca="1" si="14"/>
        <v>1</v>
      </c>
      <c r="AH41">
        <f t="shared" ca="1" si="14"/>
        <v>2</v>
      </c>
      <c r="AI41">
        <f t="shared" ca="1" si="14"/>
        <v>3</v>
      </c>
      <c r="AJ41">
        <f t="shared" ca="1" si="14"/>
        <v>1</v>
      </c>
      <c r="AK41">
        <f t="shared" ca="1" si="13"/>
        <v>6</v>
      </c>
      <c r="AL41">
        <f t="shared" ca="1" si="13"/>
        <v>4</v>
      </c>
      <c r="AM41">
        <f t="shared" ca="1" si="13"/>
        <v>2</v>
      </c>
      <c r="AN41">
        <f t="shared" ca="1" si="11"/>
        <v>1</v>
      </c>
      <c r="AO41">
        <f t="shared" ca="1" si="11"/>
        <v>6</v>
      </c>
      <c r="AP41">
        <f t="shared" ca="1" si="11"/>
        <v>4</v>
      </c>
      <c r="AQ41">
        <f t="shared" ca="1" si="11"/>
        <v>2</v>
      </c>
      <c r="AR41">
        <f t="shared" ca="1" si="11"/>
        <v>6</v>
      </c>
      <c r="AS41">
        <f t="shared" ca="1" si="11"/>
        <v>6</v>
      </c>
      <c r="AT41">
        <f t="shared" ca="1" si="11"/>
        <v>1</v>
      </c>
      <c r="AU41">
        <f t="shared" ca="1" si="11"/>
        <v>5</v>
      </c>
      <c r="AV41">
        <f t="shared" ca="1" si="9"/>
        <v>3</v>
      </c>
      <c r="AW41">
        <f t="shared" ca="1" si="9"/>
        <v>3</v>
      </c>
      <c r="AX41">
        <f t="shared" ca="1" si="2"/>
        <v>2</v>
      </c>
    </row>
    <row r="42" spans="1:50" x14ac:dyDescent="0.2">
      <c r="A42">
        <f t="shared" ca="1" si="12"/>
        <v>5</v>
      </c>
      <c r="B42">
        <f t="shared" ca="1" si="12"/>
        <v>1</v>
      </c>
      <c r="C42">
        <f t="shared" ca="1" si="12"/>
        <v>5</v>
      </c>
      <c r="D42">
        <f t="shared" ca="1" si="12"/>
        <v>2</v>
      </c>
      <c r="E42">
        <f t="shared" ca="1" si="12"/>
        <v>1</v>
      </c>
      <c r="F42">
        <f t="shared" ca="1" si="12"/>
        <v>1</v>
      </c>
      <c r="G42">
        <f t="shared" ca="1" si="12"/>
        <v>5</v>
      </c>
      <c r="H42">
        <f t="shared" ca="1" si="12"/>
        <v>1</v>
      </c>
      <c r="I42">
        <f t="shared" ca="1" si="12"/>
        <v>1</v>
      </c>
      <c r="J42">
        <f t="shared" ca="1" si="12"/>
        <v>2</v>
      </c>
      <c r="K42">
        <f t="shared" ca="1" si="12"/>
        <v>6</v>
      </c>
      <c r="L42">
        <f t="shared" ca="1" si="12"/>
        <v>6</v>
      </c>
      <c r="M42">
        <f t="shared" ca="1" si="12"/>
        <v>3</v>
      </c>
      <c r="N42">
        <f t="shared" ca="1" si="12"/>
        <v>6</v>
      </c>
      <c r="O42">
        <f t="shared" ca="1" si="12"/>
        <v>6</v>
      </c>
      <c r="P42">
        <f t="shared" ca="1" si="12"/>
        <v>2</v>
      </c>
      <c r="Q42">
        <f t="shared" ca="1" si="10"/>
        <v>3</v>
      </c>
      <c r="R42">
        <f t="shared" ca="1" si="10"/>
        <v>2</v>
      </c>
      <c r="S42">
        <f t="shared" ca="1" si="10"/>
        <v>4</v>
      </c>
      <c r="T42">
        <f t="shared" ca="1" si="10"/>
        <v>6</v>
      </c>
      <c r="U42">
        <f t="shared" ca="1" si="14"/>
        <v>4</v>
      </c>
      <c r="V42">
        <f t="shared" ca="1" si="14"/>
        <v>5</v>
      </c>
      <c r="W42">
        <f t="shared" ca="1" si="14"/>
        <v>4</v>
      </c>
      <c r="X42">
        <f t="shared" ca="1" si="14"/>
        <v>4</v>
      </c>
      <c r="Y42">
        <f t="shared" ca="1" si="14"/>
        <v>1</v>
      </c>
      <c r="Z42">
        <f t="shared" ca="1" si="14"/>
        <v>2</v>
      </c>
      <c r="AA42">
        <f t="shared" ca="1" si="14"/>
        <v>3</v>
      </c>
      <c r="AB42">
        <f t="shared" ca="1" si="14"/>
        <v>4</v>
      </c>
      <c r="AC42">
        <f t="shared" ca="1" si="14"/>
        <v>4</v>
      </c>
      <c r="AD42">
        <f t="shared" ca="1" si="14"/>
        <v>2</v>
      </c>
      <c r="AE42">
        <f t="shared" ca="1" si="14"/>
        <v>2</v>
      </c>
      <c r="AF42">
        <f t="shared" ca="1" si="14"/>
        <v>6</v>
      </c>
      <c r="AG42">
        <f t="shared" ca="1" si="14"/>
        <v>4</v>
      </c>
      <c r="AH42">
        <f t="shared" ca="1" si="14"/>
        <v>2</v>
      </c>
      <c r="AI42">
        <f t="shared" ca="1" si="14"/>
        <v>5</v>
      </c>
      <c r="AJ42">
        <f t="shared" ca="1" si="14"/>
        <v>6</v>
      </c>
      <c r="AK42">
        <f t="shared" ca="1" si="13"/>
        <v>6</v>
      </c>
      <c r="AL42">
        <f t="shared" ca="1" si="13"/>
        <v>6</v>
      </c>
      <c r="AM42">
        <f t="shared" ca="1" si="13"/>
        <v>4</v>
      </c>
      <c r="AN42">
        <f t="shared" ca="1" si="11"/>
        <v>6</v>
      </c>
      <c r="AO42">
        <f t="shared" ca="1" si="11"/>
        <v>6</v>
      </c>
      <c r="AP42">
        <f t="shared" ca="1" si="11"/>
        <v>1</v>
      </c>
      <c r="AQ42">
        <f t="shared" ca="1" si="11"/>
        <v>2</v>
      </c>
      <c r="AR42">
        <f t="shared" ca="1" si="11"/>
        <v>4</v>
      </c>
      <c r="AS42">
        <f t="shared" ca="1" si="11"/>
        <v>4</v>
      </c>
      <c r="AT42">
        <f t="shared" ca="1" si="11"/>
        <v>4</v>
      </c>
      <c r="AU42">
        <f t="shared" ca="1" si="11"/>
        <v>4</v>
      </c>
      <c r="AV42">
        <f t="shared" ca="1" si="9"/>
        <v>3</v>
      </c>
      <c r="AW42">
        <f t="shared" ca="1" si="9"/>
        <v>5</v>
      </c>
      <c r="AX42">
        <f t="shared" ca="1" si="2"/>
        <v>4</v>
      </c>
    </row>
    <row r="43" spans="1:50" x14ac:dyDescent="0.2">
      <c r="A43">
        <f t="shared" ca="1" si="12"/>
        <v>3</v>
      </c>
      <c r="B43">
        <f t="shared" ca="1" si="12"/>
        <v>5</v>
      </c>
      <c r="C43">
        <f t="shared" ca="1" si="12"/>
        <v>3</v>
      </c>
      <c r="D43">
        <f t="shared" ca="1" si="12"/>
        <v>5</v>
      </c>
      <c r="E43">
        <f t="shared" ca="1" si="12"/>
        <v>4</v>
      </c>
      <c r="F43">
        <f t="shared" ca="1" si="12"/>
        <v>2</v>
      </c>
      <c r="G43">
        <f t="shared" ca="1" si="12"/>
        <v>2</v>
      </c>
      <c r="H43">
        <f t="shared" ca="1" si="12"/>
        <v>2</v>
      </c>
      <c r="I43">
        <f t="shared" ca="1" si="12"/>
        <v>3</v>
      </c>
      <c r="J43">
        <f t="shared" ca="1" si="12"/>
        <v>6</v>
      </c>
      <c r="K43">
        <f t="shared" ca="1" si="12"/>
        <v>2</v>
      </c>
      <c r="L43">
        <f t="shared" ca="1" si="12"/>
        <v>5</v>
      </c>
      <c r="M43">
        <f t="shared" ca="1" si="12"/>
        <v>3</v>
      </c>
      <c r="N43">
        <f t="shared" ca="1" si="12"/>
        <v>6</v>
      </c>
      <c r="O43">
        <f t="shared" ca="1" si="12"/>
        <v>4</v>
      </c>
      <c r="P43">
        <f t="shared" ca="1" si="12"/>
        <v>1</v>
      </c>
      <c r="Q43">
        <f t="shared" ca="1" si="10"/>
        <v>1</v>
      </c>
      <c r="R43">
        <f t="shared" ca="1" si="10"/>
        <v>4</v>
      </c>
      <c r="S43">
        <f t="shared" ca="1" si="10"/>
        <v>5</v>
      </c>
      <c r="T43">
        <f t="shared" ca="1" si="10"/>
        <v>3</v>
      </c>
      <c r="U43">
        <f t="shared" ca="1" si="14"/>
        <v>4</v>
      </c>
      <c r="V43">
        <f t="shared" ca="1" si="14"/>
        <v>5</v>
      </c>
      <c r="W43">
        <f t="shared" ca="1" si="14"/>
        <v>1</v>
      </c>
      <c r="X43">
        <f t="shared" ca="1" si="14"/>
        <v>4</v>
      </c>
      <c r="Y43">
        <f t="shared" ca="1" si="14"/>
        <v>3</v>
      </c>
      <c r="Z43">
        <f t="shared" ca="1" si="14"/>
        <v>1</v>
      </c>
      <c r="AA43">
        <f t="shared" ca="1" si="14"/>
        <v>5</v>
      </c>
      <c r="AB43">
        <f t="shared" ca="1" si="14"/>
        <v>2</v>
      </c>
      <c r="AC43">
        <f t="shared" ca="1" si="14"/>
        <v>6</v>
      </c>
      <c r="AD43">
        <f t="shared" ca="1" si="14"/>
        <v>4</v>
      </c>
      <c r="AE43">
        <f t="shared" ca="1" si="14"/>
        <v>6</v>
      </c>
      <c r="AF43">
        <f t="shared" ca="1" si="14"/>
        <v>2</v>
      </c>
      <c r="AG43">
        <f t="shared" ca="1" si="14"/>
        <v>5</v>
      </c>
      <c r="AH43">
        <f t="shared" ca="1" si="14"/>
        <v>3</v>
      </c>
      <c r="AI43">
        <f t="shared" ca="1" si="14"/>
        <v>1</v>
      </c>
      <c r="AJ43">
        <f t="shared" ca="1" si="14"/>
        <v>5</v>
      </c>
      <c r="AK43">
        <f t="shared" ca="1" si="13"/>
        <v>4</v>
      </c>
      <c r="AL43">
        <f t="shared" ca="1" si="13"/>
        <v>1</v>
      </c>
      <c r="AM43">
        <f t="shared" ca="1" si="13"/>
        <v>6</v>
      </c>
      <c r="AN43">
        <f t="shared" ca="1" si="11"/>
        <v>3</v>
      </c>
      <c r="AO43">
        <f t="shared" ca="1" si="11"/>
        <v>3</v>
      </c>
      <c r="AP43">
        <f t="shared" ca="1" si="11"/>
        <v>5</v>
      </c>
      <c r="AQ43">
        <f t="shared" ca="1" si="11"/>
        <v>6</v>
      </c>
      <c r="AR43">
        <f t="shared" ca="1" si="11"/>
        <v>6</v>
      </c>
      <c r="AS43">
        <f t="shared" ca="1" si="11"/>
        <v>6</v>
      </c>
      <c r="AT43">
        <f t="shared" ca="1" si="11"/>
        <v>3</v>
      </c>
      <c r="AU43">
        <f t="shared" ca="1" si="11"/>
        <v>3</v>
      </c>
      <c r="AV43">
        <f t="shared" ca="1" si="9"/>
        <v>4</v>
      </c>
      <c r="AW43">
        <f t="shared" ca="1" si="9"/>
        <v>1</v>
      </c>
      <c r="AX43">
        <f t="shared" ca="1" si="2"/>
        <v>4</v>
      </c>
    </row>
    <row r="44" spans="1:50" x14ac:dyDescent="0.2">
      <c r="A44">
        <f t="shared" ca="1" si="12"/>
        <v>2</v>
      </c>
      <c r="B44">
        <f t="shared" ca="1" si="12"/>
        <v>6</v>
      </c>
      <c r="C44">
        <f t="shared" ca="1" si="12"/>
        <v>5</v>
      </c>
      <c r="D44">
        <f t="shared" ca="1" si="12"/>
        <v>5</v>
      </c>
      <c r="E44">
        <f t="shared" ca="1" si="12"/>
        <v>1</v>
      </c>
      <c r="F44">
        <f t="shared" ca="1" si="12"/>
        <v>5</v>
      </c>
      <c r="G44">
        <f t="shared" ca="1" si="12"/>
        <v>1</v>
      </c>
      <c r="H44">
        <f t="shared" ca="1" si="12"/>
        <v>2</v>
      </c>
      <c r="I44">
        <f t="shared" ca="1" si="12"/>
        <v>5</v>
      </c>
      <c r="J44">
        <f t="shared" ca="1" si="12"/>
        <v>3</v>
      </c>
      <c r="K44">
        <f t="shared" ca="1" si="12"/>
        <v>5</v>
      </c>
      <c r="L44">
        <f t="shared" ca="1" si="12"/>
        <v>1</v>
      </c>
      <c r="M44">
        <f t="shared" ca="1" si="12"/>
        <v>3</v>
      </c>
      <c r="N44">
        <f t="shared" ca="1" si="12"/>
        <v>3</v>
      </c>
      <c r="O44">
        <f t="shared" ca="1" si="12"/>
        <v>5</v>
      </c>
      <c r="P44">
        <f t="shared" ca="1" si="12"/>
        <v>2</v>
      </c>
      <c r="Q44">
        <f t="shared" ca="1" si="10"/>
        <v>4</v>
      </c>
      <c r="R44">
        <f t="shared" ca="1" si="10"/>
        <v>2</v>
      </c>
      <c r="S44">
        <f t="shared" ca="1" si="10"/>
        <v>6</v>
      </c>
      <c r="T44">
        <f t="shared" ca="1" si="10"/>
        <v>4</v>
      </c>
      <c r="U44">
        <f t="shared" ca="1" si="14"/>
        <v>5</v>
      </c>
      <c r="V44">
        <f t="shared" ca="1" si="14"/>
        <v>1</v>
      </c>
      <c r="W44">
        <f t="shared" ca="1" si="14"/>
        <v>3</v>
      </c>
      <c r="X44">
        <f t="shared" ca="1" si="14"/>
        <v>2</v>
      </c>
      <c r="Y44">
        <f t="shared" ca="1" si="14"/>
        <v>2</v>
      </c>
      <c r="Z44">
        <f t="shared" ca="1" si="14"/>
        <v>3</v>
      </c>
      <c r="AA44">
        <f t="shared" ca="1" si="14"/>
        <v>2</v>
      </c>
      <c r="AB44">
        <f t="shared" ca="1" si="14"/>
        <v>4</v>
      </c>
      <c r="AC44">
        <f t="shared" ca="1" si="14"/>
        <v>1</v>
      </c>
      <c r="AD44">
        <f t="shared" ca="1" si="14"/>
        <v>1</v>
      </c>
      <c r="AE44">
        <f t="shared" ca="1" si="14"/>
        <v>1</v>
      </c>
      <c r="AF44">
        <f t="shared" ca="1" si="14"/>
        <v>2</v>
      </c>
      <c r="AG44">
        <f t="shared" ca="1" si="14"/>
        <v>4</v>
      </c>
      <c r="AH44">
        <f t="shared" ca="1" si="14"/>
        <v>3</v>
      </c>
      <c r="AI44">
        <f t="shared" ca="1" si="14"/>
        <v>1</v>
      </c>
      <c r="AJ44">
        <f t="shared" ca="1" si="14"/>
        <v>2</v>
      </c>
      <c r="AK44">
        <f t="shared" ca="1" si="13"/>
        <v>2</v>
      </c>
      <c r="AL44">
        <f t="shared" ca="1" si="13"/>
        <v>2</v>
      </c>
      <c r="AM44">
        <f t="shared" ca="1" si="13"/>
        <v>1</v>
      </c>
      <c r="AN44">
        <f t="shared" ca="1" si="11"/>
        <v>4</v>
      </c>
      <c r="AO44">
        <f t="shared" ca="1" si="11"/>
        <v>2</v>
      </c>
      <c r="AP44">
        <f t="shared" ca="1" si="11"/>
        <v>3</v>
      </c>
      <c r="AQ44">
        <f t="shared" ca="1" si="11"/>
        <v>4</v>
      </c>
      <c r="AR44">
        <f t="shared" ca="1" si="11"/>
        <v>5</v>
      </c>
      <c r="AS44">
        <f t="shared" ca="1" si="11"/>
        <v>6</v>
      </c>
      <c r="AT44">
        <f t="shared" ca="1" si="11"/>
        <v>5</v>
      </c>
      <c r="AU44">
        <f t="shared" ca="1" si="11"/>
        <v>3</v>
      </c>
      <c r="AV44">
        <f t="shared" ca="1" si="9"/>
        <v>5</v>
      </c>
      <c r="AW44">
        <f t="shared" ca="1" si="9"/>
        <v>5</v>
      </c>
      <c r="AX44">
        <f t="shared" ca="1" si="2"/>
        <v>1</v>
      </c>
    </row>
    <row r="45" spans="1:50" x14ac:dyDescent="0.2">
      <c r="A45">
        <f t="shared" ca="1" si="12"/>
        <v>1</v>
      </c>
      <c r="B45">
        <f t="shared" ca="1" si="12"/>
        <v>4</v>
      </c>
      <c r="C45">
        <f t="shared" ca="1" si="12"/>
        <v>6</v>
      </c>
      <c r="D45">
        <f t="shared" ca="1" si="12"/>
        <v>5</v>
      </c>
      <c r="E45">
        <f t="shared" ca="1" si="12"/>
        <v>4</v>
      </c>
      <c r="F45">
        <f t="shared" ca="1" si="12"/>
        <v>4</v>
      </c>
      <c r="G45">
        <f t="shared" ca="1" si="12"/>
        <v>3</v>
      </c>
      <c r="H45">
        <f t="shared" ca="1" si="12"/>
        <v>3</v>
      </c>
      <c r="I45">
        <f t="shared" ca="1" si="12"/>
        <v>4</v>
      </c>
      <c r="J45">
        <f t="shared" ca="1" si="12"/>
        <v>6</v>
      </c>
      <c r="K45">
        <f t="shared" ca="1" si="12"/>
        <v>3</v>
      </c>
      <c r="L45">
        <f t="shared" ca="1" si="12"/>
        <v>1</v>
      </c>
      <c r="M45">
        <f t="shared" ca="1" si="12"/>
        <v>2</v>
      </c>
      <c r="N45">
        <f t="shared" ca="1" si="12"/>
        <v>2</v>
      </c>
      <c r="O45">
        <f t="shared" ca="1" si="12"/>
        <v>6</v>
      </c>
      <c r="P45">
        <f t="shared" ref="P45:AE60" ca="1" si="15">RANDBETWEEN(1,6)</f>
        <v>3</v>
      </c>
      <c r="Q45">
        <f t="shared" ca="1" si="15"/>
        <v>1</v>
      </c>
      <c r="R45">
        <f t="shared" ca="1" si="15"/>
        <v>1</v>
      </c>
      <c r="S45">
        <f t="shared" ca="1" si="15"/>
        <v>4</v>
      </c>
      <c r="T45">
        <f t="shared" ca="1" si="15"/>
        <v>4</v>
      </c>
      <c r="U45">
        <f t="shared" ca="1" si="15"/>
        <v>1</v>
      </c>
      <c r="V45">
        <f t="shared" ca="1" si="15"/>
        <v>1</v>
      </c>
      <c r="W45">
        <f t="shared" ca="1" si="15"/>
        <v>5</v>
      </c>
      <c r="X45">
        <f t="shared" ca="1" si="15"/>
        <v>1</v>
      </c>
      <c r="Y45">
        <f t="shared" ca="1" si="15"/>
        <v>3</v>
      </c>
      <c r="Z45">
        <f t="shared" ca="1" si="15"/>
        <v>1</v>
      </c>
      <c r="AA45">
        <f t="shared" ca="1" si="15"/>
        <v>6</v>
      </c>
      <c r="AB45">
        <f t="shared" ca="1" si="15"/>
        <v>3</v>
      </c>
      <c r="AC45">
        <f t="shared" ca="1" si="15"/>
        <v>2</v>
      </c>
      <c r="AD45">
        <f t="shared" ca="1" si="15"/>
        <v>5</v>
      </c>
      <c r="AE45">
        <f t="shared" ca="1" si="15"/>
        <v>3</v>
      </c>
      <c r="AF45">
        <f t="shared" ca="1" si="14"/>
        <v>2</v>
      </c>
      <c r="AG45">
        <f t="shared" ca="1" si="14"/>
        <v>4</v>
      </c>
      <c r="AH45">
        <f t="shared" ca="1" si="14"/>
        <v>5</v>
      </c>
      <c r="AI45">
        <f t="shared" ca="1" si="14"/>
        <v>1</v>
      </c>
      <c r="AJ45">
        <f t="shared" ca="1" si="14"/>
        <v>1</v>
      </c>
      <c r="AK45">
        <f t="shared" ca="1" si="13"/>
        <v>1</v>
      </c>
      <c r="AL45">
        <f t="shared" ca="1" si="13"/>
        <v>5</v>
      </c>
      <c r="AM45">
        <f t="shared" ca="1" si="13"/>
        <v>6</v>
      </c>
      <c r="AN45">
        <f t="shared" ca="1" si="11"/>
        <v>6</v>
      </c>
      <c r="AO45">
        <f t="shared" ca="1" si="11"/>
        <v>6</v>
      </c>
      <c r="AP45">
        <f t="shared" ca="1" si="11"/>
        <v>4</v>
      </c>
      <c r="AQ45">
        <f t="shared" ca="1" si="11"/>
        <v>1</v>
      </c>
      <c r="AR45">
        <f t="shared" ca="1" si="11"/>
        <v>3</v>
      </c>
      <c r="AS45">
        <f t="shared" ca="1" si="11"/>
        <v>6</v>
      </c>
      <c r="AT45">
        <f t="shared" ca="1" si="11"/>
        <v>2</v>
      </c>
      <c r="AU45">
        <f t="shared" ca="1" si="11"/>
        <v>2</v>
      </c>
      <c r="AV45">
        <f t="shared" ca="1" si="9"/>
        <v>4</v>
      </c>
      <c r="AW45">
        <f t="shared" ca="1" si="9"/>
        <v>6</v>
      </c>
      <c r="AX45">
        <f t="shared" ca="1" si="2"/>
        <v>3</v>
      </c>
    </row>
    <row r="46" spans="1:50" x14ac:dyDescent="0.2">
      <c r="A46">
        <f t="shared" ref="A46:P61" ca="1" si="16">RANDBETWEEN(1,6)</f>
        <v>5</v>
      </c>
      <c r="B46">
        <f t="shared" ca="1" si="16"/>
        <v>5</v>
      </c>
      <c r="C46">
        <f t="shared" ca="1" si="16"/>
        <v>5</v>
      </c>
      <c r="D46">
        <f t="shared" ca="1" si="16"/>
        <v>2</v>
      </c>
      <c r="E46">
        <f t="shared" ca="1" si="16"/>
        <v>2</v>
      </c>
      <c r="F46">
        <f t="shared" ca="1" si="16"/>
        <v>3</v>
      </c>
      <c r="G46">
        <f t="shared" ca="1" si="16"/>
        <v>3</v>
      </c>
      <c r="H46">
        <f t="shared" ca="1" si="16"/>
        <v>5</v>
      </c>
      <c r="I46">
        <f t="shared" ca="1" si="16"/>
        <v>4</v>
      </c>
      <c r="J46">
        <f t="shared" ca="1" si="16"/>
        <v>4</v>
      </c>
      <c r="K46">
        <f t="shared" ca="1" si="16"/>
        <v>6</v>
      </c>
      <c r="L46">
        <f t="shared" ca="1" si="16"/>
        <v>1</v>
      </c>
      <c r="M46">
        <f t="shared" ca="1" si="16"/>
        <v>4</v>
      </c>
      <c r="N46">
        <f t="shared" ca="1" si="16"/>
        <v>3</v>
      </c>
      <c r="O46">
        <f t="shared" ca="1" si="16"/>
        <v>2</v>
      </c>
      <c r="P46">
        <f t="shared" ca="1" si="16"/>
        <v>4</v>
      </c>
      <c r="Q46">
        <f t="shared" ca="1" si="15"/>
        <v>2</v>
      </c>
      <c r="R46">
        <f t="shared" ca="1" si="15"/>
        <v>2</v>
      </c>
      <c r="S46">
        <f t="shared" ca="1" si="15"/>
        <v>6</v>
      </c>
      <c r="T46">
        <f t="shared" ca="1" si="15"/>
        <v>3</v>
      </c>
      <c r="U46">
        <f t="shared" ca="1" si="15"/>
        <v>6</v>
      </c>
      <c r="V46">
        <f t="shared" ca="1" si="15"/>
        <v>2</v>
      </c>
      <c r="W46">
        <f t="shared" ca="1" si="15"/>
        <v>5</v>
      </c>
      <c r="X46">
        <f t="shared" ca="1" si="15"/>
        <v>4</v>
      </c>
      <c r="Y46">
        <f t="shared" ca="1" si="15"/>
        <v>3</v>
      </c>
      <c r="Z46">
        <f t="shared" ca="1" si="15"/>
        <v>1</v>
      </c>
      <c r="AA46">
        <f t="shared" ca="1" si="15"/>
        <v>4</v>
      </c>
      <c r="AB46">
        <f t="shared" ca="1" si="15"/>
        <v>2</v>
      </c>
      <c r="AC46">
        <f t="shared" ca="1" si="15"/>
        <v>1</v>
      </c>
      <c r="AD46">
        <f t="shared" ca="1" si="15"/>
        <v>5</v>
      </c>
      <c r="AE46">
        <f t="shared" ca="1" si="15"/>
        <v>1</v>
      </c>
      <c r="AF46">
        <f t="shared" ca="1" si="14"/>
        <v>2</v>
      </c>
      <c r="AG46">
        <f t="shared" ca="1" si="14"/>
        <v>4</v>
      </c>
      <c r="AH46">
        <f t="shared" ca="1" si="14"/>
        <v>6</v>
      </c>
      <c r="AI46">
        <f t="shared" ca="1" si="14"/>
        <v>2</v>
      </c>
      <c r="AJ46">
        <f t="shared" ca="1" si="14"/>
        <v>3</v>
      </c>
      <c r="AK46">
        <f t="shared" ca="1" si="13"/>
        <v>4</v>
      </c>
      <c r="AL46">
        <f t="shared" ca="1" si="13"/>
        <v>3</v>
      </c>
      <c r="AM46">
        <f t="shared" ca="1" si="13"/>
        <v>1</v>
      </c>
      <c r="AN46">
        <f t="shared" ca="1" si="11"/>
        <v>4</v>
      </c>
      <c r="AO46">
        <f t="shared" ca="1" si="11"/>
        <v>5</v>
      </c>
      <c r="AP46">
        <f t="shared" ca="1" si="11"/>
        <v>2</v>
      </c>
      <c r="AQ46">
        <f t="shared" ca="1" si="11"/>
        <v>3</v>
      </c>
      <c r="AR46">
        <f t="shared" ca="1" si="11"/>
        <v>6</v>
      </c>
      <c r="AS46">
        <f t="shared" ca="1" si="11"/>
        <v>1</v>
      </c>
      <c r="AT46">
        <f t="shared" ca="1" si="11"/>
        <v>4</v>
      </c>
      <c r="AU46">
        <f t="shared" ca="1" si="11"/>
        <v>5</v>
      </c>
      <c r="AV46">
        <f t="shared" ca="1" si="9"/>
        <v>2</v>
      </c>
      <c r="AW46">
        <f t="shared" ca="1" si="9"/>
        <v>3</v>
      </c>
      <c r="AX46">
        <f t="shared" ca="1" si="2"/>
        <v>2</v>
      </c>
    </row>
    <row r="47" spans="1:50" x14ac:dyDescent="0.2">
      <c r="A47">
        <f t="shared" ca="1" si="16"/>
        <v>5</v>
      </c>
      <c r="B47">
        <f t="shared" ca="1" si="16"/>
        <v>1</v>
      </c>
      <c r="C47">
        <f t="shared" ca="1" si="16"/>
        <v>1</v>
      </c>
      <c r="D47">
        <f t="shared" ca="1" si="16"/>
        <v>6</v>
      </c>
      <c r="E47">
        <f t="shared" ca="1" si="16"/>
        <v>6</v>
      </c>
      <c r="F47">
        <f t="shared" ca="1" si="16"/>
        <v>6</v>
      </c>
      <c r="G47">
        <f t="shared" ca="1" si="16"/>
        <v>4</v>
      </c>
      <c r="H47">
        <f t="shared" ca="1" si="16"/>
        <v>5</v>
      </c>
      <c r="I47">
        <f t="shared" ca="1" si="16"/>
        <v>4</v>
      </c>
      <c r="J47">
        <f t="shared" ca="1" si="16"/>
        <v>3</v>
      </c>
      <c r="K47">
        <f t="shared" ca="1" si="16"/>
        <v>3</v>
      </c>
      <c r="L47">
        <f t="shared" ca="1" si="16"/>
        <v>6</v>
      </c>
      <c r="M47">
        <f t="shared" ca="1" si="16"/>
        <v>5</v>
      </c>
      <c r="N47">
        <f t="shared" ca="1" si="16"/>
        <v>2</v>
      </c>
      <c r="O47">
        <f t="shared" ca="1" si="16"/>
        <v>2</v>
      </c>
      <c r="P47">
        <f t="shared" ca="1" si="16"/>
        <v>5</v>
      </c>
      <c r="Q47">
        <f t="shared" ca="1" si="15"/>
        <v>4</v>
      </c>
      <c r="R47">
        <f t="shared" ca="1" si="15"/>
        <v>4</v>
      </c>
      <c r="S47">
        <f t="shared" ca="1" si="15"/>
        <v>5</v>
      </c>
      <c r="T47">
        <f t="shared" ca="1" si="15"/>
        <v>3</v>
      </c>
      <c r="U47">
        <f t="shared" ca="1" si="15"/>
        <v>6</v>
      </c>
      <c r="V47">
        <f t="shared" ca="1" si="15"/>
        <v>3</v>
      </c>
      <c r="W47">
        <f t="shared" ca="1" si="15"/>
        <v>6</v>
      </c>
      <c r="X47">
        <f t="shared" ca="1" si="15"/>
        <v>1</v>
      </c>
      <c r="Y47">
        <f t="shared" ca="1" si="15"/>
        <v>5</v>
      </c>
      <c r="Z47">
        <f t="shared" ca="1" si="15"/>
        <v>2</v>
      </c>
      <c r="AA47">
        <f t="shared" ca="1" si="15"/>
        <v>6</v>
      </c>
      <c r="AB47">
        <f t="shared" ca="1" si="15"/>
        <v>4</v>
      </c>
      <c r="AC47">
        <f t="shared" ca="1" si="15"/>
        <v>2</v>
      </c>
      <c r="AD47">
        <f t="shared" ca="1" si="15"/>
        <v>6</v>
      </c>
      <c r="AE47">
        <f t="shared" ca="1" si="15"/>
        <v>4</v>
      </c>
      <c r="AF47">
        <f t="shared" ca="1" si="14"/>
        <v>3</v>
      </c>
      <c r="AG47">
        <f t="shared" ca="1" si="14"/>
        <v>1</v>
      </c>
      <c r="AH47">
        <f t="shared" ca="1" si="14"/>
        <v>6</v>
      </c>
      <c r="AI47">
        <f t="shared" ca="1" si="14"/>
        <v>4</v>
      </c>
      <c r="AJ47">
        <f t="shared" ca="1" si="14"/>
        <v>5</v>
      </c>
      <c r="AK47">
        <f t="shared" ca="1" si="13"/>
        <v>3</v>
      </c>
      <c r="AL47">
        <f t="shared" ca="1" si="13"/>
        <v>2</v>
      </c>
      <c r="AM47">
        <f t="shared" ca="1" si="13"/>
        <v>4</v>
      </c>
      <c r="AN47">
        <f t="shared" ca="1" si="11"/>
        <v>1</v>
      </c>
      <c r="AO47">
        <f t="shared" ca="1" si="11"/>
        <v>5</v>
      </c>
      <c r="AP47">
        <f t="shared" ca="1" si="11"/>
        <v>2</v>
      </c>
      <c r="AQ47">
        <f t="shared" ca="1" si="11"/>
        <v>4</v>
      </c>
      <c r="AR47">
        <f t="shared" ca="1" si="11"/>
        <v>5</v>
      </c>
      <c r="AS47">
        <f t="shared" ca="1" si="11"/>
        <v>6</v>
      </c>
      <c r="AT47">
        <f t="shared" ca="1" si="11"/>
        <v>5</v>
      </c>
      <c r="AU47">
        <f t="shared" ca="1" si="11"/>
        <v>4</v>
      </c>
      <c r="AV47">
        <f t="shared" ca="1" si="9"/>
        <v>2</v>
      </c>
      <c r="AW47">
        <f t="shared" ca="1" si="9"/>
        <v>3</v>
      </c>
      <c r="AX47">
        <f t="shared" ca="1" si="2"/>
        <v>1</v>
      </c>
    </row>
    <row r="48" spans="1:50" x14ac:dyDescent="0.2">
      <c r="A48">
        <f t="shared" ca="1" si="16"/>
        <v>6</v>
      </c>
      <c r="B48">
        <f t="shared" ca="1" si="16"/>
        <v>1</v>
      </c>
      <c r="C48">
        <f t="shared" ca="1" si="16"/>
        <v>5</v>
      </c>
      <c r="D48">
        <f t="shared" ca="1" si="16"/>
        <v>5</v>
      </c>
      <c r="E48">
        <f t="shared" ca="1" si="16"/>
        <v>1</v>
      </c>
      <c r="F48">
        <f t="shared" ca="1" si="16"/>
        <v>4</v>
      </c>
      <c r="G48">
        <f t="shared" ca="1" si="16"/>
        <v>6</v>
      </c>
      <c r="H48">
        <f t="shared" ca="1" si="16"/>
        <v>2</v>
      </c>
      <c r="I48">
        <f t="shared" ca="1" si="16"/>
        <v>2</v>
      </c>
      <c r="J48">
        <f t="shared" ca="1" si="16"/>
        <v>6</v>
      </c>
      <c r="K48">
        <f t="shared" ca="1" si="16"/>
        <v>2</v>
      </c>
      <c r="L48">
        <f t="shared" ca="1" si="16"/>
        <v>1</v>
      </c>
      <c r="M48">
        <f t="shared" ca="1" si="16"/>
        <v>1</v>
      </c>
      <c r="N48">
        <f t="shared" ca="1" si="16"/>
        <v>2</v>
      </c>
      <c r="O48">
        <f t="shared" ca="1" si="16"/>
        <v>6</v>
      </c>
      <c r="P48">
        <f t="shared" ca="1" si="16"/>
        <v>5</v>
      </c>
      <c r="Q48">
        <f t="shared" ca="1" si="15"/>
        <v>2</v>
      </c>
      <c r="R48">
        <f t="shared" ca="1" si="15"/>
        <v>6</v>
      </c>
      <c r="S48">
        <f t="shared" ca="1" si="15"/>
        <v>5</v>
      </c>
      <c r="T48">
        <f t="shared" ca="1" si="15"/>
        <v>1</v>
      </c>
      <c r="U48">
        <f t="shared" ca="1" si="15"/>
        <v>6</v>
      </c>
      <c r="V48">
        <f t="shared" ca="1" si="15"/>
        <v>2</v>
      </c>
      <c r="W48">
        <f t="shared" ca="1" si="15"/>
        <v>5</v>
      </c>
      <c r="X48">
        <f t="shared" ca="1" si="15"/>
        <v>3</v>
      </c>
      <c r="Y48">
        <f t="shared" ca="1" si="15"/>
        <v>5</v>
      </c>
      <c r="Z48">
        <f t="shared" ca="1" si="15"/>
        <v>2</v>
      </c>
      <c r="AA48">
        <f t="shared" ca="1" si="15"/>
        <v>5</v>
      </c>
      <c r="AB48">
        <f t="shared" ca="1" si="15"/>
        <v>3</v>
      </c>
      <c r="AC48">
        <f t="shared" ca="1" si="15"/>
        <v>3</v>
      </c>
      <c r="AD48">
        <f t="shared" ca="1" si="15"/>
        <v>1</v>
      </c>
      <c r="AE48">
        <f t="shared" ca="1" si="15"/>
        <v>4</v>
      </c>
      <c r="AF48">
        <f t="shared" ca="1" si="14"/>
        <v>4</v>
      </c>
      <c r="AG48">
        <f t="shared" ca="1" si="14"/>
        <v>4</v>
      </c>
      <c r="AH48">
        <f t="shared" ca="1" si="14"/>
        <v>2</v>
      </c>
      <c r="AI48">
        <f t="shared" ca="1" si="14"/>
        <v>2</v>
      </c>
      <c r="AJ48">
        <f t="shared" ca="1" si="14"/>
        <v>6</v>
      </c>
      <c r="AK48">
        <f t="shared" ca="1" si="13"/>
        <v>6</v>
      </c>
      <c r="AL48">
        <f t="shared" ca="1" si="13"/>
        <v>6</v>
      </c>
      <c r="AM48">
        <f t="shared" ca="1" si="13"/>
        <v>4</v>
      </c>
      <c r="AN48">
        <f t="shared" ca="1" si="11"/>
        <v>5</v>
      </c>
      <c r="AO48">
        <f t="shared" ca="1" si="11"/>
        <v>2</v>
      </c>
      <c r="AP48">
        <f t="shared" ca="1" si="11"/>
        <v>6</v>
      </c>
      <c r="AQ48">
        <f t="shared" ca="1" si="11"/>
        <v>6</v>
      </c>
      <c r="AR48">
        <f t="shared" ca="1" si="11"/>
        <v>4</v>
      </c>
      <c r="AS48">
        <f t="shared" ca="1" si="11"/>
        <v>4</v>
      </c>
      <c r="AT48">
        <f t="shared" ca="1" si="11"/>
        <v>2</v>
      </c>
      <c r="AU48">
        <f t="shared" ca="1" si="11"/>
        <v>5</v>
      </c>
      <c r="AV48">
        <f t="shared" ca="1" si="9"/>
        <v>1</v>
      </c>
      <c r="AW48">
        <f t="shared" ca="1" si="9"/>
        <v>2</v>
      </c>
      <c r="AX48">
        <f t="shared" ca="1" si="2"/>
        <v>5</v>
      </c>
    </row>
    <row r="49" spans="1:50" x14ac:dyDescent="0.2">
      <c r="A49">
        <f t="shared" ca="1" si="16"/>
        <v>5</v>
      </c>
      <c r="B49">
        <f t="shared" ca="1" si="16"/>
        <v>2</v>
      </c>
      <c r="C49">
        <f t="shared" ca="1" si="16"/>
        <v>3</v>
      </c>
      <c r="D49">
        <f t="shared" ca="1" si="16"/>
        <v>4</v>
      </c>
      <c r="E49">
        <f t="shared" ca="1" si="16"/>
        <v>5</v>
      </c>
      <c r="F49">
        <f t="shared" ca="1" si="16"/>
        <v>2</v>
      </c>
      <c r="G49">
        <f t="shared" ca="1" si="16"/>
        <v>5</v>
      </c>
      <c r="H49">
        <f t="shared" ca="1" si="16"/>
        <v>2</v>
      </c>
      <c r="I49">
        <f t="shared" ca="1" si="16"/>
        <v>6</v>
      </c>
      <c r="J49">
        <f t="shared" ca="1" si="16"/>
        <v>4</v>
      </c>
      <c r="K49">
        <f t="shared" ca="1" si="16"/>
        <v>2</v>
      </c>
      <c r="L49">
        <f t="shared" ca="1" si="16"/>
        <v>3</v>
      </c>
      <c r="M49">
        <f t="shared" ca="1" si="16"/>
        <v>3</v>
      </c>
      <c r="N49">
        <f t="shared" ca="1" si="16"/>
        <v>1</v>
      </c>
      <c r="O49">
        <f t="shared" ca="1" si="16"/>
        <v>5</v>
      </c>
      <c r="P49">
        <f t="shared" ca="1" si="16"/>
        <v>2</v>
      </c>
      <c r="Q49">
        <f t="shared" ca="1" si="15"/>
        <v>2</v>
      </c>
      <c r="R49">
        <f t="shared" ca="1" si="15"/>
        <v>1</v>
      </c>
      <c r="S49">
        <f t="shared" ca="1" si="15"/>
        <v>1</v>
      </c>
      <c r="T49">
        <f t="shared" ca="1" si="15"/>
        <v>5</v>
      </c>
      <c r="U49">
        <f t="shared" ca="1" si="15"/>
        <v>6</v>
      </c>
      <c r="V49">
        <f t="shared" ca="1" si="15"/>
        <v>4</v>
      </c>
      <c r="W49">
        <f t="shared" ca="1" si="15"/>
        <v>2</v>
      </c>
      <c r="X49">
        <f t="shared" ca="1" si="15"/>
        <v>2</v>
      </c>
      <c r="Y49">
        <f t="shared" ca="1" si="15"/>
        <v>5</v>
      </c>
      <c r="Z49">
        <f t="shared" ca="1" si="15"/>
        <v>4</v>
      </c>
      <c r="AA49">
        <f t="shared" ca="1" si="15"/>
        <v>4</v>
      </c>
      <c r="AB49">
        <f t="shared" ca="1" si="15"/>
        <v>5</v>
      </c>
      <c r="AC49">
        <f t="shared" ca="1" si="15"/>
        <v>2</v>
      </c>
      <c r="AD49">
        <f t="shared" ca="1" si="15"/>
        <v>4</v>
      </c>
      <c r="AE49">
        <f t="shared" ca="1" si="15"/>
        <v>2</v>
      </c>
      <c r="AF49">
        <f t="shared" ca="1" si="14"/>
        <v>2</v>
      </c>
      <c r="AG49">
        <f t="shared" ca="1" si="14"/>
        <v>1</v>
      </c>
      <c r="AH49">
        <f t="shared" ca="1" si="14"/>
        <v>3</v>
      </c>
      <c r="AI49">
        <f t="shared" ca="1" si="14"/>
        <v>4</v>
      </c>
      <c r="AJ49">
        <f t="shared" ca="1" si="14"/>
        <v>5</v>
      </c>
      <c r="AK49">
        <f t="shared" ca="1" si="13"/>
        <v>1</v>
      </c>
      <c r="AL49">
        <f t="shared" ca="1" si="13"/>
        <v>6</v>
      </c>
      <c r="AM49">
        <f t="shared" ca="1" si="13"/>
        <v>2</v>
      </c>
      <c r="AN49">
        <f t="shared" ca="1" si="11"/>
        <v>1</v>
      </c>
      <c r="AO49">
        <f t="shared" ca="1" si="11"/>
        <v>3</v>
      </c>
      <c r="AP49">
        <f t="shared" ca="1" si="11"/>
        <v>4</v>
      </c>
      <c r="AQ49">
        <f t="shared" ca="1" si="11"/>
        <v>1</v>
      </c>
      <c r="AR49">
        <f t="shared" ca="1" si="11"/>
        <v>2</v>
      </c>
      <c r="AS49">
        <f t="shared" ca="1" si="11"/>
        <v>1</v>
      </c>
      <c r="AT49">
        <f t="shared" ca="1" si="11"/>
        <v>1</v>
      </c>
      <c r="AU49">
        <f t="shared" ca="1" si="11"/>
        <v>5</v>
      </c>
      <c r="AV49">
        <f t="shared" ca="1" si="9"/>
        <v>3</v>
      </c>
      <c r="AW49">
        <f t="shared" ca="1" si="9"/>
        <v>1</v>
      </c>
      <c r="AX49">
        <f t="shared" ca="1" si="2"/>
        <v>6</v>
      </c>
    </row>
    <row r="50" spans="1:50" x14ac:dyDescent="0.2">
      <c r="A50">
        <f t="shared" ca="1" si="16"/>
        <v>1</v>
      </c>
      <c r="B50">
        <f t="shared" ca="1" si="16"/>
        <v>2</v>
      </c>
      <c r="C50">
        <f t="shared" ca="1" si="16"/>
        <v>6</v>
      </c>
      <c r="D50">
        <f t="shared" ca="1" si="16"/>
        <v>2</v>
      </c>
      <c r="E50">
        <f t="shared" ca="1" si="16"/>
        <v>4</v>
      </c>
      <c r="F50">
        <f t="shared" ca="1" si="16"/>
        <v>5</v>
      </c>
      <c r="G50">
        <f t="shared" ca="1" si="16"/>
        <v>6</v>
      </c>
      <c r="H50">
        <f t="shared" ca="1" si="16"/>
        <v>1</v>
      </c>
      <c r="I50">
        <f t="shared" ca="1" si="16"/>
        <v>4</v>
      </c>
      <c r="J50">
        <f t="shared" ca="1" si="16"/>
        <v>6</v>
      </c>
      <c r="K50">
        <f t="shared" ca="1" si="16"/>
        <v>2</v>
      </c>
      <c r="L50">
        <f t="shared" ca="1" si="16"/>
        <v>3</v>
      </c>
      <c r="M50">
        <f t="shared" ca="1" si="16"/>
        <v>5</v>
      </c>
      <c r="N50">
        <f t="shared" ca="1" si="16"/>
        <v>6</v>
      </c>
      <c r="O50">
        <f t="shared" ca="1" si="16"/>
        <v>6</v>
      </c>
      <c r="P50">
        <f t="shared" ca="1" si="16"/>
        <v>1</v>
      </c>
      <c r="Q50">
        <f t="shared" ca="1" si="15"/>
        <v>5</v>
      </c>
      <c r="R50">
        <f t="shared" ca="1" si="15"/>
        <v>3</v>
      </c>
      <c r="S50">
        <f t="shared" ca="1" si="15"/>
        <v>4</v>
      </c>
      <c r="T50">
        <f t="shared" ca="1" si="15"/>
        <v>3</v>
      </c>
      <c r="U50">
        <f t="shared" ca="1" si="15"/>
        <v>3</v>
      </c>
      <c r="V50">
        <f t="shared" ca="1" si="15"/>
        <v>4</v>
      </c>
      <c r="W50">
        <f t="shared" ca="1" si="15"/>
        <v>6</v>
      </c>
      <c r="X50">
        <f t="shared" ca="1" si="15"/>
        <v>1</v>
      </c>
      <c r="Y50">
        <f t="shared" ca="1" si="15"/>
        <v>4</v>
      </c>
      <c r="Z50">
        <f t="shared" ca="1" si="15"/>
        <v>2</v>
      </c>
      <c r="AA50">
        <f t="shared" ca="1" si="15"/>
        <v>3</v>
      </c>
      <c r="AB50">
        <f t="shared" ca="1" si="15"/>
        <v>5</v>
      </c>
      <c r="AC50">
        <f t="shared" ca="1" si="15"/>
        <v>3</v>
      </c>
      <c r="AD50">
        <f t="shared" ca="1" si="15"/>
        <v>5</v>
      </c>
      <c r="AE50">
        <f t="shared" ca="1" si="15"/>
        <v>4</v>
      </c>
      <c r="AF50">
        <f t="shared" ca="1" si="14"/>
        <v>3</v>
      </c>
      <c r="AG50">
        <f t="shared" ca="1" si="14"/>
        <v>3</v>
      </c>
      <c r="AH50">
        <f t="shared" ca="1" si="14"/>
        <v>4</v>
      </c>
      <c r="AI50">
        <f t="shared" ca="1" si="14"/>
        <v>5</v>
      </c>
      <c r="AJ50">
        <f t="shared" ca="1" si="14"/>
        <v>6</v>
      </c>
      <c r="AK50">
        <f t="shared" ca="1" si="13"/>
        <v>6</v>
      </c>
      <c r="AL50">
        <f t="shared" ca="1" si="13"/>
        <v>4</v>
      </c>
      <c r="AM50">
        <f t="shared" ca="1" si="13"/>
        <v>2</v>
      </c>
      <c r="AN50">
        <f t="shared" ca="1" si="11"/>
        <v>1</v>
      </c>
      <c r="AO50">
        <f t="shared" ca="1" si="11"/>
        <v>2</v>
      </c>
      <c r="AP50">
        <f t="shared" ca="1" si="11"/>
        <v>1</v>
      </c>
      <c r="AQ50">
        <f t="shared" ca="1" si="11"/>
        <v>2</v>
      </c>
      <c r="AR50">
        <f t="shared" ca="1" si="11"/>
        <v>6</v>
      </c>
      <c r="AS50">
        <f t="shared" ca="1" si="11"/>
        <v>2</v>
      </c>
      <c r="AT50">
        <f t="shared" ca="1" si="11"/>
        <v>3</v>
      </c>
      <c r="AU50">
        <f t="shared" ca="1" si="11"/>
        <v>5</v>
      </c>
      <c r="AV50">
        <f t="shared" ca="1" si="9"/>
        <v>5</v>
      </c>
      <c r="AW50">
        <f t="shared" ca="1" si="9"/>
        <v>1</v>
      </c>
      <c r="AX50">
        <f t="shared" ca="1" si="2"/>
        <v>1</v>
      </c>
    </row>
    <row r="51" spans="1:50" x14ac:dyDescent="0.2">
      <c r="A51">
        <f t="shared" ca="1" si="16"/>
        <v>4</v>
      </c>
      <c r="B51">
        <f t="shared" ca="1" si="16"/>
        <v>2</v>
      </c>
      <c r="C51">
        <f t="shared" ca="1" si="16"/>
        <v>6</v>
      </c>
      <c r="D51">
        <f t="shared" ca="1" si="16"/>
        <v>3</v>
      </c>
      <c r="E51">
        <f t="shared" ca="1" si="16"/>
        <v>2</v>
      </c>
      <c r="F51">
        <f t="shared" ca="1" si="16"/>
        <v>6</v>
      </c>
      <c r="G51">
        <f t="shared" ca="1" si="16"/>
        <v>3</v>
      </c>
      <c r="H51">
        <f t="shared" ca="1" si="16"/>
        <v>2</v>
      </c>
      <c r="I51">
        <f t="shared" ca="1" si="16"/>
        <v>6</v>
      </c>
      <c r="J51">
        <f t="shared" ca="1" si="16"/>
        <v>6</v>
      </c>
      <c r="K51">
        <f t="shared" ca="1" si="16"/>
        <v>6</v>
      </c>
      <c r="L51">
        <f t="shared" ca="1" si="16"/>
        <v>3</v>
      </c>
      <c r="M51">
        <f t="shared" ca="1" si="16"/>
        <v>6</v>
      </c>
      <c r="N51">
        <f t="shared" ca="1" si="16"/>
        <v>1</v>
      </c>
      <c r="O51">
        <f t="shared" ca="1" si="16"/>
        <v>4</v>
      </c>
      <c r="P51">
        <f t="shared" ca="1" si="16"/>
        <v>4</v>
      </c>
      <c r="Q51">
        <f t="shared" ca="1" si="15"/>
        <v>2</v>
      </c>
      <c r="R51">
        <f t="shared" ca="1" si="15"/>
        <v>1</v>
      </c>
      <c r="S51">
        <f t="shared" ca="1" si="15"/>
        <v>4</v>
      </c>
      <c r="T51">
        <f t="shared" ca="1" si="15"/>
        <v>4</v>
      </c>
      <c r="U51">
        <f t="shared" ca="1" si="15"/>
        <v>3</v>
      </c>
      <c r="V51">
        <f t="shared" ca="1" si="15"/>
        <v>6</v>
      </c>
      <c r="W51">
        <f t="shared" ca="1" si="15"/>
        <v>2</v>
      </c>
      <c r="X51">
        <f t="shared" ca="1" si="15"/>
        <v>5</v>
      </c>
      <c r="Y51">
        <f t="shared" ca="1" si="15"/>
        <v>6</v>
      </c>
      <c r="Z51">
        <f t="shared" ca="1" si="15"/>
        <v>5</v>
      </c>
      <c r="AA51">
        <f t="shared" ca="1" si="15"/>
        <v>4</v>
      </c>
      <c r="AB51">
        <f t="shared" ca="1" si="15"/>
        <v>4</v>
      </c>
      <c r="AC51">
        <f t="shared" ca="1" si="15"/>
        <v>4</v>
      </c>
      <c r="AD51">
        <f t="shared" ca="1" si="15"/>
        <v>6</v>
      </c>
      <c r="AE51">
        <f t="shared" ca="1" si="15"/>
        <v>4</v>
      </c>
      <c r="AF51">
        <f t="shared" ca="1" si="14"/>
        <v>2</v>
      </c>
      <c r="AG51">
        <f t="shared" ref="AG51:AV66" ca="1" si="17">RANDBETWEEN(1,6)</f>
        <v>4</v>
      </c>
      <c r="AH51">
        <f t="shared" ca="1" si="17"/>
        <v>3</v>
      </c>
      <c r="AI51">
        <f t="shared" ca="1" si="17"/>
        <v>5</v>
      </c>
      <c r="AJ51">
        <f t="shared" ca="1" si="17"/>
        <v>1</v>
      </c>
      <c r="AK51">
        <f t="shared" ca="1" si="17"/>
        <v>2</v>
      </c>
      <c r="AL51">
        <f t="shared" ca="1" si="17"/>
        <v>2</v>
      </c>
      <c r="AM51">
        <f t="shared" ca="1" si="17"/>
        <v>4</v>
      </c>
      <c r="AN51">
        <f t="shared" ca="1" si="17"/>
        <v>1</v>
      </c>
      <c r="AO51">
        <f t="shared" ca="1" si="17"/>
        <v>4</v>
      </c>
      <c r="AP51">
        <f t="shared" ca="1" si="17"/>
        <v>2</v>
      </c>
      <c r="AQ51">
        <f t="shared" ca="1" si="17"/>
        <v>3</v>
      </c>
      <c r="AR51">
        <f t="shared" ca="1" si="17"/>
        <v>2</v>
      </c>
      <c r="AS51">
        <f t="shared" ca="1" si="17"/>
        <v>1</v>
      </c>
      <c r="AT51">
        <f t="shared" ca="1" si="17"/>
        <v>2</v>
      </c>
      <c r="AU51">
        <f t="shared" ca="1" si="17"/>
        <v>2</v>
      </c>
      <c r="AV51">
        <f t="shared" ca="1" si="17"/>
        <v>1</v>
      </c>
      <c r="AW51">
        <f t="shared" ca="1" si="9"/>
        <v>5</v>
      </c>
      <c r="AX51">
        <f t="shared" ca="1" si="2"/>
        <v>5</v>
      </c>
    </row>
    <row r="52" spans="1:50" x14ac:dyDescent="0.2">
      <c r="A52">
        <f t="shared" ca="1" si="16"/>
        <v>1</v>
      </c>
      <c r="B52">
        <f t="shared" ca="1" si="16"/>
        <v>1</v>
      </c>
      <c r="C52">
        <f t="shared" ca="1" si="16"/>
        <v>2</v>
      </c>
      <c r="D52">
        <f t="shared" ca="1" si="16"/>
        <v>1</v>
      </c>
      <c r="E52">
        <f t="shared" ca="1" si="16"/>
        <v>5</v>
      </c>
      <c r="F52">
        <f t="shared" ca="1" si="16"/>
        <v>5</v>
      </c>
      <c r="G52">
        <f t="shared" ca="1" si="16"/>
        <v>6</v>
      </c>
      <c r="H52">
        <f t="shared" ca="1" si="16"/>
        <v>1</v>
      </c>
      <c r="I52">
        <f t="shared" ca="1" si="16"/>
        <v>2</v>
      </c>
      <c r="J52">
        <f t="shared" ca="1" si="16"/>
        <v>3</v>
      </c>
      <c r="K52">
        <f t="shared" ca="1" si="16"/>
        <v>1</v>
      </c>
      <c r="L52">
        <f t="shared" ca="1" si="16"/>
        <v>3</v>
      </c>
      <c r="M52">
        <f t="shared" ca="1" si="16"/>
        <v>5</v>
      </c>
      <c r="N52">
        <f t="shared" ca="1" si="16"/>
        <v>6</v>
      </c>
      <c r="O52">
        <f t="shared" ca="1" si="16"/>
        <v>5</v>
      </c>
      <c r="P52">
        <f t="shared" ca="1" si="16"/>
        <v>5</v>
      </c>
      <c r="Q52">
        <f t="shared" ca="1" si="15"/>
        <v>1</v>
      </c>
      <c r="R52">
        <f t="shared" ca="1" si="15"/>
        <v>6</v>
      </c>
      <c r="S52">
        <f t="shared" ca="1" si="15"/>
        <v>5</v>
      </c>
      <c r="T52">
        <f t="shared" ca="1" si="15"/>
        <v>5</v>
      </c>
      <c r="U52">
        <f t="shared" ca="1" si="15"/>
        <v>1</v>
      </c>
      <c r="V52">
        <f t="shared" ca="1" si="15"/>
        <v>1</v>
      </c>
      <c r="W52">
        <f t="shared" ca="1" si="15"/>
        <v>1</v>
      </c>
      <c r="X52">
        <f t="shared" ca="1" si="15"/>
        <v>1</v>
      </c>
      <c r="Y52">
        <f t="shared" ca="1" si="15"/>
        <v>2</v>
      </c>
      <c r="Z52">
        <f t="shared" ca="1" si="15"/>
        <v>1</v>
      </c>
      <c r="AA52">
        <f t="shared" ca="1" si="15"/>
        <v>2</v>
      </c>
      <c r="AB52">
        <f t="shared" ca="1" si="15"/>
        <v>5</v>
      </c>
      <c r="AC52">
        <f t="shared" ca="1" si="15"/>
        <v>4</v>
      </c>
      <c r="AD52">
        <f t="shared" ca="1" si="15"/>
        <v>4</v>
      </c>
      <c r="AE52">
        <f t="shared" ca="1" si="15"/>
        <v>6</v>
      </c>
      <c r="AF52">
        <f t="shared" ref="AF52:AU67" ca="1" si="18">RANDBETWEEN(1,6)</f>
        <v>5</v>
      </c>
      <c r="AG52">
        <f t="shared" ca="1" si="18"/>
        <v>6</v>
      </c>
      <c r="AH52">
        <f t="shared" ca="1" si="18"/>
        <v>1</v>
      </c>
      <c r="AI52">
        <f t="shared" ca="1" si="18"/>
        <v>1</v>
      </c>
      <c r="AJ52">
        <f t="shared" ca="1" si="18"/>
        <v>2</v>
      </c>
      <c r="AK52">
        <f t="shared" ca="1" si="18"/>
        <v>3</v>
      </c>
      <c r="AL52">
        <f t="shared" ca="1" si="18"/>
        <v>4</v>
      </c>
      <c r="AM52">
        <f t="shared" ca="1" si="18"/>
        <v>2</v>
      </c>
      <c r="AN52">
        <f t="shared" ca="1" si="18"/>
        <v>5</v>
      </c>
      <c r="AO52">
        <f t="shared" ca="1" si="18"/>
        <v>3</v>
      </c>
      <c r="AP52">
        <f t="shared" ca="1" si="18"/>
        <v>2</v>
      </c>
      <c r="AQ52">
        <f t="shared" ca="1" si="18"/>
        <v>5</v>
      </c>
      <c r="AR52">
        <f t="shared" ca="1" si="18"/>
        <v>5</v>
      </c>
      <c r="AS52">
        <f t="shared" ca="1" si="18"/>
        <v>2</v>
      </c>
      <c r="AT52">
        <f t="shared" ca="1" si="18"/>
        <v>1</v>
      </c>
      <c r="AU52">
        <f t="shared" ca="1" si="18"/>
        <v>2</v>
      </c>
      <c r="AV52">
        <f t="shared" ca="1" si="17"/>
        <v>5</v>
      </c>
      <c r="AW52">
        <f t="shared" ca="1" si="9"/>
        <v>5</v>
      </c>
      <c r="AX52">
        <f t="shared" ca="1" si="2"/>
        <v>1</v>
      </c>
    </row>
    <row r="53" spans="1:50" x14ac:dyDescent="0.2">
      <c r="A53">
        <f t="shared" ca="1" si="16"/>
        <v>4</v>
      </c>
      <c r="B53">
        <f t="shared" ca="1" si="16"/>
        <v>2</v>
      </c>
      <c r="C53">
        <f t="shared" ca="1" si="16"/>
        <v>4</v>
      </c>
      <c r="D53">
        <f t="shared" ca="1" si="16"/>
        <v>2</v>
      </c>
      <c r="E53">
        <f t="shared" ca="1" si="16"/>
        <v>5</v>
      </c>
      <c r="F53">
        <f t="shared" ca="1" si="16"/>
        <v>2</v>
      </c>
      <c r="G53">
        <f t="shared" ca="1" si="16"/>
        <v>4</v>
      </c>
      <c r="H53">
        <f t="shared" ca="1" si="16"/>
        <v>2</v>
      </c>
      <c r="I53">
        <f t="shared" ca="1" si="16"/>
        <v>3</v>
      </c>
      <c r="J53">
        <f t="shared" ca="1" si="16"/>
        <v>2</v>
      </c>
      <c r="K53">
        <f t="shared" ca="1" si="16"/>
        <v>5</v>
      </c>
      <c r="L53">
        <f t="shared" ca="1" si="16"/>
        <v>4</v>
      </c>
      <c r="M53">
        <f t="shared" ca="1" si="16"/>
        <v>1</v>
      </c>
      <c r="N53">
        <f t="shared" ca="1" si="16"/>
        <v>1</v>
      </c>
      <c r="O53">
        <f t="shared" ca="1" si="16"/>
        <v>4</v>
      </c>
      <c r="P53">
        <f t="shared" ca="1" si="16"/>
        <v>4</v>
      </c>
      <c r="Q53">
        <f t="shared" ca="1" si="15"/>
        <v>6</v>
      </c>
      <c r="R53">
        <f t="shared" ca="1" si="15"/>
        <v>2</v>
      </c>
      <c r="S53">
        <f t="shared" ca="1" si="15"/>
        <v>5</v>
      </c>
      <c r="T53">
        <f t="shared" ca="1" si="15"/>
        <v>1</v>
      </c>
      <c r="U53">
        <f t="shared" ca="1" si="15"/>
        <v>2</v>
      </c>
      <c r="V53">
        <f t="shared" ca="1" si="15"/>
        <v>1</v>
      </c>
      <c r="W53">
        <f t="shared" ca="1" si="15"/>
        <v>3</v>
      </c>
      <c r="X53">
        <f t="shared" ca="1" si="15"/>
        <v>3</v>
      </c>
      <c r="Y53">
        <f t="shared" ca="1" si="15"/>
        <v>4</v>
      </c>
      <c r="Z53">
        <f t="shared" ca="1" si="15"/>
        <v>2</v>
      </c>
      <c r="AA53">
        <f t="shared" ca="1" si="15"/>
        <v>1</v>
      </c>
      <c r="AB53">
        <f t="shared" ca="1" si="15"/>
        <v>4</v>
      </c>
      <c r="AC53">
        <f t="shared" ca="1" si="15"/>
        <v>4</v>
      </c>
      <c r="AD53">
        <f t="shared" ca="1" si="15"/>
        <v>1</v>
      </c>
      <c r="AE53">
        <f t="shared" ca="1" si="15"/>
        <v>2</v>
      </c>
      <c r="AF53">
        <f t="shared" ca="1" si="18"/>
        <v>5</v>
      </c>
      <c r="AG53">
        <f t="shared" ca="1" si="18"/>
        <v>2</v>
      </c>
      <c r="AH53">
        <f t="shared" ca="1" si="18"/>
        <v>3</v>
      </c>
      <c r="AI53">
        <f t="shared" ca="1" si="18"/>
        <v>2</v>
      </c>
      <c r="AJ53">
        <f t="shared" ca="1" si="18"/>
        <v>2</v>
      </c>
      <c r="AK53">
        <f t="shared" ca="1" si="18"/>
        <v>3</v>
      </c>
      <c r="AL53">
        <f t="shared" ca="1" si="18"/>
        <v>5</v>
      </c>
      <c r="AM53">
        <f t="shared" ca="1" si="18"/>
        <v>1</v>
      </c>
      <c r="AN53">
        <f t="shared" ca="1" si="18"/>
        <v>1</v>
      </c>
      <c r="AO53">
        <f t="shared" ca="1" si="18"/>
        <v>4</v>
      </c>
      <c r="AP53">
        <f t="shared" ca="1" si="18"/>
        <v>2</v>
      </c>
      <c r="AQ53">
        <f t="shared" ca="1" si="18"/>
        <v>4</v>
      </c>
      <c r="AR53">
        <f t="shared" ca="1" si="18"/>
        <v>5</v>
      </c>
      <c r="AS53">
        <f t="shared" ca="1" si="18"/>
        <v>5</v>
      </c>
      <c r="AT53">
        <f t="shared" ca="1" si="18"/>
        <v>3</v>
      </c>
      <c r="AU53">
        <f t="shared" ca="1" si="18"/>
        <v>4</v>
      </c>
      <c r="AV53">
        <f t="shared" ca="1" si="17"/>
        <v>1</v>
      </c>
      <c r="AW53">
        <f t="shared" ca="1" si="9"/>
        <v>4</v>
      </c>
      <c r="AX53">
        <f t="shared" ca="1" si="2"/>
        <v>1</v>
      </c>
    </row>
    <row r="54" spans="1:50" x14ac:dyDescent="0.2">
      <c r="A54">
        <f t="shared" ca="1" si="16"/>
        <v>3</v>
      </c>
      <c r="B54">
        <f t="shared" ca="1" si="16"/>
        <v>2</v>
      </c>
      <c r="C54">
        <f t="shared" ca="1" si="16"/>
        <v>2</v>
      </c>
      <c r="D54">
        <f t="shared" ca="1" si="16"/>
        <v>5</v>
      </c>
      <c r="E54">
        <f t="shared" ca="1" si="16"/>
        <v>5</v>
      </c>
      <c r="F54">
        <f t="shared" ca="1" si="16"/>
        <v>3</v>
      </c>
      <c r="G54">
        <f t="shared" ca="1" si="16"/>
        <v>6</v>
      </c>
      <c r="H54">
        <f t="shared" ca="1" si="16"/>
        <v>3</v>
      </c>
      <c r="I54">
        <f t="shared" ca="1" si="16"/>
        <v>2</v>
      </c>
      <c r="J54">
        <f t="shared" ca="1" si="16"/>
        <v>6</v>
      </c>
      <c r="K54">
        <f t="shared" ca="1" si="16"/>
        <v>4</v>
      </c>
      <c r="L54">
        <f t="shared" ca="1" si="16"/>
        <v>5</v>
      </c>
      <c r="M54">
        <f t="shared" ca="1" si="16"/>
        <v>3</v>
      </c>
      <c r="N54">
        <f t="shared" ca="1" si="16"/>
        <v>2</v>
      </c>
      <c r="O54">
        <f t="shared" ca="1" si="16"/>
        <v>5</v>
      </c>
      <c r="P54">
        <f t="shared" ca="1" si="16"/>
        <v>2</v>
      </c>
      <c r="Q54">
        <f t="shared" ca="1" si="15"/>
        <v>6</v>
      </c>
      <c r="R54">
        <f t="shared" ca="1" si="15"/>
        <v>4</v>
      </c>
      <c r="S54">
        <f t="shared" ca="1" si="15"/>
        <v>2</v>
      </c>
      <c r="T54">
        <f t="shared" ca="1" si="15"/>
        <v>1</v>
      </c>
      <c r="U54">
        <f t="shared" ca="1" si="15"/>
        <v>6</v>
      </c>
      <c r="V54">
        <f t="shared" ca="1" si="15"/>
        <v>6</v>
      </c>
      <c r="W54">
        <f t="shared" ca="1" si="15"/>
        <v>5</v>
      </c>
      <c r="X54">
        <f t="shared" ca="1" si="15"/>
        <v>4</v>
      </c>
      <c r="Y54">
        <f t="shared" ca="1" si="15"/>
        <v>1</v>
      </c>
      <c r="Z54">
        <f t="shared" ca="1" si="15"/>
        <v>3</v>
      </c>
      <c r="AA54">
        <f t="shared" ca="1" si="15"/>
        <v>4</v>
      </c>
      <c r="AB54">
        <f t="shared" ca="1" si="15"/>
        <v>5</v>
      </c>
      <c r="AC54">
        <f t="shared" ca="1" si="15"/>
        <v>3</v>
      </c>
      <c r="AD54">
        <f t="shared" ca="1" si="15"/>
        <v>4</v>
      </c>
      <c r="AE54">
        <f t="shared" ca="1" si="15"/>
        <v>3</v>
      </c>
      <c r="AF54">
        <f t="shared" ca="1" si="18"/>
        <v>4</v>
      </c>
      <c r="AG54">
        <f t="shared" ca="1" si="18"/>
        <v>4</v>
      </c>
      <c r="AH54">
        <f t="shared" ca="1" si="18"/>
        <v>1</v>
      </c>
      <c r="AI54">
        <f t="shared" ca="1" si="18"/>
        <v>2</v>
      </c>
      <c r="AJ54">
        <f t="shared" ca="1" si="18"/>
        <v>5</v>
      </c>
      <c r="AK54">
        <f t="shared" ca="1" si="18"/>
        <v>5</v>
      </c>
      <c r="AL54">
        <f t="shared" ca="1" si="18"/>
        <v>4</v>
      </c>
      <c r="AM54">
        <f t="shared" ca="1" si="18"/>
        <v>3</v>
      </c>
      <c r="AN54">
        <f t="shared" ca="1" si="18"/>
        <v>2</v>
      </c>
      <c r="AO54">
        <f t="shared" ca="1" si="18"/>
        <v>2</v>
      </c>
      <c r="AP54">
        <f t="shared" ca="1" si="18"/>
        <v>1</v>
      </c>
      <c r="AQ54">
        <f t="shared" ca="1" si="18"/>
        <v>4</v>
      </c>
      <c r="AR54">
        <f t="shared" ca="1" si="18"/>
        <v>5</v>
      </c>
      <c r="AS54">
        <f t="shared" ca="1" si="18"/>
        <v>2</v>
      </c>
      <c r="AT54">
        <f t="shared" ca="1" si="18"/>
        <v>4</v>
      </c>
      <c r="AU54">
        <f t="shared" ca="1" si="18"/>
        <v>5</v>
      </c>
      <c r="AV54">
        <f t="shared" ca="1" si="17"/>
        <v>6</v>
      </c>
      <c r="AW54">
        <f t="shared" ca="1" si="9"/>
        <v>2</v>
      </c>
      <c r="AX54">
        <f t="shared" ca="1" si="2"/>
        <v>2</v>
      </c>
    </row>
    <row r="55" spans="1:50" x14ac:dyDescent="0.2">
      <c r="A55">
        <f t="shared" ca="1" si="16"/>
        <v>2</v>
      </c>
      <c r="B55">
        <f t="shared" ca="1" si="16"/>
        <v>3</v>
      </c>
      <c r="C55">
        <f t="shared" ca="1" si="16"/>
        <v>5</v>
      </c>
      <c r="D55">
        <f t="shared" ca="1" si="16"/>
        <v>2</v>
      </c>
      <c r="E55">
        <f t="shared" ca="1" si="16"/>
        <v>4</v>
      </c>
      <c r="F55">
        <f t="shared" ca="1" si="16"/>
        <v>3</v>
      </c>
      <c r="G55">
        <f t="shared" ca="1" si="16"/>
        <v>1</v>
      </c>
      <c r="H55">
        <f t="shared" ca="1" si="16"/>
        <v>1</v>
      </c>
      <c r="I55">
        <f t="shared" ca="1" si="16"/>
        <v>6</v>
      </c>
      <c r="J55">
        <f t="shared" ca="1" si="16"/>
        <v>2</v>
      </c>
      <c r="K55">
        <f t="shared" ca="1" si="16"/>
        <v>5</v>
      </c>
      <c r="L55">
        <f t="shared" ca="1" si="16"/>
        <v>6</v>
      </c>
      <c r="M55">
        <f t="shared" ca="1" si="16"/>
        <v>2</v>
      </c>
      <c r="N55">
        <f t="shared" ca="1" si="16"/>
        <v>3</v>
      </c>
      <c r="O55">
        <f t="shared" ca="1" si="16"/>
        <v>6</v>
      </c>
      <c r="P55">
        <f t="shared" ca="1" si="16"/>
        <v>5</v>
      </c>
      <c r="Q55">
        <f t="shared" ca="1" si="15"/>
        <v>4</v>
      </c>
      <c r="R55">
        <f t="shared" ca="1" si="15"/>
        <v>2</v>
      </c>
      <c r="S55">
        <f t="shared" ca="1" si="15"/>
        <v>5</v>
      </c>
      <c r="T55">
        <f t="shared" ca="1" si="15"/>
        <v>1</v>
      </c>
      <c r="U55">
        <f t="shared" ca="1" si="15"/>
        <v>6</v>
      </c>
      <c r="V55">
        <f t="shared" ca="1" si="15"/>
        <v>4</v>
      </c>
      <c r="W55">
        <f t="shared" ca="1" si="15"/>
        <v>6</v>
      </c>
      <c r="X55">
        <f t="shared" ca="1" si="15"/>
        <v>1</v>
      </c>
      <c r="Y55">
        <f t="shared" ca="1" si="15"/>
        <v>4</v>
      </c>
      <c r="Z55">
        <f t="shared" ca="1" si="15"/>
        <v>5</v>
      </c>
      <c r="AA55">
        <f t="shared" ca="1" si="15"/>
        <v>1</v>
      </c>
      <c r="AB55">
        <f t="shared" ca="1" si="15"/>
        <v>2</v>
      </c>
      <c r="AC55">
        <f t="shared" ca="1" si="15"/>
        <v>1</v>
      </c>
      <c r="AD55">
        <f t="shared" ca="1" si="15"/>
        <v>3</v>
      </c>
      <c r="AE55">
        <f t="shared" ca="1" si="15"/>
        <v>6</v>
      </c>
      <c r="AF55">
        <f t="shared" ca="1" si="18"/>
        <v>4</v>
      </c>
      <c r="AG55">
        <f t="shared" ca="1" si="18"/>
        <v>5</v>
      </c>
      <c r="AH55">
        <f t="shared" ca="1" si="18"/>
        <v>1</v>
      </c>
      <c r="AI55">
        <f t="shared" ca="1" si="18"/>
        <v>4</v>
      </c>
      <c r="AJ55">
        <f t="shared" ca="1" si="18"/>
        <v>6</v>
      </c>
      <c r="AK55">
        <f t="shared" ca="1" si="18"/>
        <v>5</v>
      </c>
      <c r="AL55">
        <f t="shared" ca="1" si="18"/>
        <v>4</v>
      </c>
      <c r="AM55">
        <f t="shared" ca="1" si="18"/>
        <v>4</v>
      </c>
      <c r="AN55">
        <f t="shared" ca="1" si="18"/>
        <v>2</v>
      </c>
      <c r="AO55">
        <f t="shared" ca="1" si="18"/>
        <v>4</v>
      </c>
      <c r="AP55">
        <f t="shared" ca="1" si="18"/>
        <v>2</v>
      </c>
      <c r="AQ55">
        <f t="shared" ca="1" si="18"/>
        <v>5</v>
      </c>
      <c r="AR55">
        <f t="shared" ca="1" si="18"/>
        <v>3</v>
      </c>
      <c r="AS55">
        <f t="shared" ca="1" si="18"/>
        <v>4</v>
      </c>
      <c r="AT55">
        <f t="shared" ca="1" si="18"/>
        <v>2</v>
      </c>
      <c r="AU55">
        <f t="shared" ca="1" si="18"/>
        <v>2</v>
      </c>
      <c r="AV55">
        <f t="shared" ca="1" si="17"/>
        <v>4</v>
      </c>
      <c r="AW55">
        <f t="shared" ca="1" si="9"/>
        <v>4</v>
      </c>
      <c r="AX55">
        <f t="shared" ca="1" si="2"/>
        <v>4</v>
      </c>
    </row>
    <row r="56" spans="1:50" x14ac:dyDescent="0.2">
      <c r="A56">
        <f t="shared" ca="1" si="16"/>
        <v>1</v>
      </c>
      <c r="B56">
        <f t="shared" ca="1" si="16"/>
        <v>5</v>
      </c>
      <c r="C56">
        <f t="shared" ca="1" si="16"/>
        <v>4</v>
      </c>
      <c r="D56">
        <f t="shared" ca="1" si="16"/>
        <v>5</v>
      </c>
      <c r="E56">
        <f t="shared" ca="1" si="16"/>
        <v>3</v>
      </c>
      <c r="F56">
        <f t="shared" ca="1" si="16"/>
        <v>5</v>
      </c>
      <c r="G56">
        <f t="shared" ca="1" si="16"/>
        <v>1</v>
      </c>
      <c r="H56">
        <f t="shared" ca="1" si="16"/>
        <v>3</v>
      </c>
      <c r="I56">
        <f t="shared" ca="1" si="16"/>
        <v>1</v>
      </c>
      <c r="J56">
        <f t="shared" ca="1" si="16"/>
        <v>4</v>
      </c>
      <c r="K56">
        <f t="shared" ca="1" si="16"/>
        <v>2</v>
      </c>
      <c r="L56">
        <f t="shared" ca="1" si="16"/>
        <v>5</v>
      </c>
      <c r="M56">
        <f t="shared" ca="1" si="16"/>
        <v>6</v>
      </c>
      <c r="N56">
        <f t="shared" ca="1" si="16"/>
        <v>5</v>
      </c>
      <c r="O56">
        <f t="shared" ca="1" si="16"/>
        <v>1</v>
      </c>
      <c r="P56">
        <f t="shared" ca="1" si="16"/>
        <v>6</v>
      </c>
      <c r="Q56">
        <f t="shared" ca="1" si="15"/>
        <v>5</v>
      </c>
      <c r="R56">
        <f t="shared" ca="1" si="15"/>
        <v>5</v>
      </c>
      <c r="S56">
        <f t="shared" ca="1" si="15"/>
        <v>1</v>
      </c>
      <c r="T56">
        <f t="shared" ca="1" si="15"/>
        <v>2</v>
      </c>
      <c r="U56">
        <f t="shared" ca="1" si="15"/>
        <v>4</v>
      </c>
      <c r="V56">
        <f t="shared" ca="1" si="15"/>
        <v>4</v>
      </c>
      <c r="W56">
        <f t="shared" ca="1" si="15"/>
        <v>2</v>
      </c>
      <c r="X56">
        <f t="shared" ca="1" si="15"/>
        <v>4</v>
      </c>
      <c r="Y56">
        <f t="shared" ca="1" si="15"/>
        <v>3</v>
      </c>
      <c r="Z56">
        <f t="shared" ca="1" si="15"/>
        <v>2</v>
      </c>
      <c r="AA56">
        <f t="shared" ca="1" si="15"/>
        <v>3</v>
      </c>
      <c r="AB56">
        <f t="shared" ca="1" si="15"/>
        <v>1</v>
      </c>
      <c r="AC56">
        <f t="shared" ca="1" si="15"/>
        <v>5</v>
      </c>
      <c r="AD56">
        <f t="shared" ca="1" si="15"/>
        <v>3</v>
      </c>
      <c r="AE56">
        <f t="shared" ca="1" si="15"/>
        <v>6</v>
      </c>
      <c r="AF56">
        <f t="shared" ca="1" si="18"/>
        <v>1</v>
      </c>
      <c r="AG56">
        <f t="shared" ca="1" si="18"/>
        <v>5</v>
      </c>
      <c r="AH56">
        <f t="shared" ca="1" si="18"/>
        <v>3</v>
      </c>
      <c r="AI56">
        <f t="shared" ca="1" si="18"/>
        <v>4</v>
      </c>
      <c r="AJ56">
        <f t="shared" ca="1" si="18"/>
        <v>6</v>
      </c>
      <c r="AK56">
        <f t="shared" ca="1" si="18"/>
        <v>5</v>
      </c>
      <c r="AL56">
        <f t="shared" ca="1" si="18"/>
        <v>5</v>
      </c>
      <c r="AM56">
        <f t="shared" ca="1" si="18"/>
        <v>3</v>
      </c>
      <c r="AN56">
        <f t="shared" ca="1" si="18"/>
        <v>3</v>
      </c>
      <c r="AO56">
        <f t="shared" ca="1" si="18"/>
        <v>5</v>
      </c>
      <c r="AP56">
        <f t="shared" ca="1" si="18"/>
        <v>1</v>
      </c>
      <c r="AQ56">
        <f t="shared" ca="1" si="18"/>
        <v>1</v>
      </c>
      <c r="AR56">
        <f t="shared" ca="1" si="18"/>
        <v>2</v>
      </c>
      <c r="AS56">
        <f t="shared" ca="1" si="18"/>
        <v>5</v>
      </c>
      <c r="AT56">
        <f t="shared" ca="1" si="18"/>
        <v>1</v>
      </c>
      <c r="AU56">
        <f t="shared" ca="1" si="18"/>
        <v>6</v>
      </c>
      <c r="AV56">
        <f t="shared" ca="1" si="17"/>
        <v>3</v>
      </c>
      <c r="AW56">
        <f t="shared" ca="1" si="9"/>
        <v>3</v>
      </c>
      <c r="AX56">
        <f t="shared" ca="1" si="2"/>
        <v>2</v>
      </c>
    </row>
    <row r="57" spans="1:50" x14ac:dyDescent="0.2">
      <c r="A57">
        <f t="shared" ca="1" si="16"/>
        <v>4</v>
      </c>
      <c r="B57">
        <f t="shared" ca="1" si="16"/>
        <v>1</v>
      </c>
      <c r="C57">
        <f t="shared" ca="1" si="16"/>
        <v>4</v>
      </c>
      <c r="D57">
        <f t="shared" ca="1" si="16"/>
        <v>6</v>
      </c>
      <c r="E57">
        <f t="shared" ca="1" si="16"/>
        <v>1</v>
      </c>
      <c r="F57">
        <f t="shared" ca="1" si="16"/>
        <v>3</v>
      </c>
      <c r="G57">
        <f t="shared" ca="1" si="16"/>
        <v>3</v>
      </c>
      <c r="H57">
        <f t="shared" ca="1" si="16"/>
        <v>6</v>
      </c>
      <c r="I57">
        <f t="shared" ca="1" si="16"/>
        <v>5</v>
      </c>
      <c r="J57">
        <f t="shared" ca="1" si="16"/>
        <v>4</v>
      </c>
      <c r="K57">
        <f t="shared" ca="1" si="16"/>
        <v>4</v>
      </c>
      <c r="L57">
        <f t="shared" ca="1" si="16"/>
        <v>1</v>
      </c>
      <c r="M57">
        <f t="shared" ca="1" si="16"/>
        <v>4</v>
      </c>
      <c r="N57">
        <f t="shared" ca="1" si="16"/>
        <v>3</v>
      </c>
      <c r="O57">
        <f t="shared" ca="1" si="16"/>
        <v>3</v>
      </c>
      <c r="P57">
        <f t="shared" ca="1" si="16"/>
        <v>2</v>
      </c>
      <c r="Q57">
        <f t="shared" ca="1" si="15"/>
        <v>3</v>
      </c>
      <c r="R57">
        <f t="shared" ca="1" si="15"/>
        <v>6</v>
      </c>
      <c r="S57">
        <f t="shared" ca="1" si="15"/>
        <v>4</v>
      </c>
      <c r="T57">
        <f t="shared" ca="1" si="15"/>
        <v>3</v>
      </c>
      <c r="U57">
        <f t="shared" ca="1" si="15"/>
        <v>4</v>
      </c>
      <c r="V57">
        <f t="shared" ca="1" si="15"/>
        <v>6</v>
      </c>
      <c r="W57">
        <f t="shared" ca="1" si="15"/>
        <v>2</v>
      </c>
      <c r="X57">
        <f t="shared" ca="1" si="15"/>
        <v>3</v>
      </c>
      <c r="Y57">
        <f t="shared" ca="1" si="15"/>
        <v>5</v>
      </c>
      <c r="Z57">
        <f t="shared" ca="1" si="15"/>
        <v>5</v>
      </c>
      <c r="AA57">
        <f t="shared" ca="1" si="15"/>
        <v>2</v>
      </c>
      <c r="AB57">
        <f t="shared" ca="1" si="15"/>
        <v>3</v>
      </c>
      <c r="AC57">
        <f t="shared" ca="1" si="15"/>
        <v>5</v>
      </c>
      <c r="AD57">
        <f t="shared" ca="1" si="15"/>
        <v>5</v>
      </c>
      <c r="AE57">
        <f t="shared" ca="1" si="15"/>
        <v>3</v>
      </c>
      <c r="AF57">
        <f t="shared" ca="1" si="18"/>
        <v>5</v>
      </c>
      <c r="AG57">
        <f t="shared" ca="1" si="18"/>
        <v>4</v>
      </c>
      <c r="AH57">
        <f t="shared" ca="1" si="18"/>
        <v>5</v>
      </c>
      <c r="AI57">
        <f t="shared" ca="1" si="18"/>
        <v>2</v>
      </c>
      <c r="AJ57">
        <f t="shared" ca="1" si="18"/>
        <v>6</v>
      </c>
      <c r="AK57">
        <f t="shared" ca="1" si="18"/>
        <v>3</v>
      </c>
      <c r="AL57">
        <f t="shared" ca="1" si="18"/>
        <v>2</v>
      </c>
      <c r="AM57">
        <f t="shared" ca="1" si="18"/>
        <v>3</v>
      </c>
      <c r="AN57">
        <f t="shared" ca="1" si="18"/>
        <v>5</v>
      </c>
      <c r="AO57">
        <f t="shared" ca="1" si="18"/>
        <v>5</v>
      </c>
      <c r="AP57">
        <f t="shared" ca="1" si="18"/>
        <v>3</v>
      </c>
      <c r="AQ57">
        <f t="shared" ca="1" si="18"/>
        <v>3</v>
      </c>
      <c r="AR57">
        <f t="shared" ca="1" si="18"/>
        <v>6</v>
      </c>
      <c r="AS57">
        <f t="shared" ca="1" si="18"/>
        <v>4</v>
      </c>
      <c r="AT57">
        <f t="shared" ca="1" si="18"/>
        <v>3</v>
      </c>
      <c r="AU57">
        <f t="shared" ca="1" si="18"/>
        <v>5</v>
      </c>
      <c r="AV57">
        <f t="shared" ca="1" si="17"/>
        <v>5</v>
      </c>
      <c r="AW57">
        <f t="shared" ca="1" si="9"/>
        <v>5</v>
      </c>
      <c r="AX57">
        <f t="shared" ca="1" si="2"/>
        <v>4</v>
      </c>
    </row>
    <row r="58" spans="1:50" x14ac:dyDescent="0.2">
      <c r="A58">
        <f t="shared" ca="1" si="16"/>
        <v>2</v>
      </c>
      <c r="B58">
        <f t="shared" ca="1" si="16"/>
        <v>4</v>
      </c>
      <c r="C58">
        <f t="shared" ca="1" si="16"/>
        <v>5</v>
      </c>
      <c r="D58">
        <f t="shared" ca="1" si="16"/>
        <v>1</v>
      </c>
      <c r="E58">
        <f t="shared" ca="1" si="16"/>
        <v>6</v>
      </c>
      <c r="F58">
        <f t="shared" ca="1" si="16"/>
        <v>1</v>
      </c>
      <c r="G58">
        <f t="shared" ca="1" si="16"/>
        <v>6</v>
      </c>
      <c r="H58">
        <f t="shared" ca="1" si="16"/>
        <v>4</v>
      </c>
      <c r="I58">
        <f t="shared" ca="1" si="16"/>
        <v>4</v>
      </c>
      <c r="J58">
        <f t="shared" ca="1" si="16"/>
        <v>6</v>
      </c>
      <c r="K58">
        <f t="shared" ca="1" si="16"/>
        <v>2</v>
      </c>
      <c r="L58">
        <f t="shared" ca="1" si="16"/>
        <v>1</v>
      </c>
      <c r="M58">
        <f t="shared" ca="1" si="16"/>
        <v>5</v>
      </c>
      <c r="N58">
        <f t="shared" ca="1" si="16"/>
        <v>6</v>
      </c>
      <c r="O58">
        <f t="shared" ca="1" si="16"/>
        <v>5</v>
      </c>
      <c r="P58">
        <f t="shared" ca="1" si="16"/>
        <v>3</v>
      </c>
      <c r="Q58">
        <f t="shared" ca="1" si="15"/>
        <v>4</v>
      </c>
      <c r="R58">
        <f t="shared" ca="1" si="15"/>
        <v>2</v>
      </c>
      <c r="S58">
        <f t="shared" ca="1" si="15"/>
        <v>5</v>
      </c>
      <c r="T58">
        <f t="shared" ca="1" si="15"/>
        <v>6</v>
      </c>
      <c r="U58">
        <f t="shared" ca="1" si="15"/>
        <v>1</v>
      </c>
      <c r="V58">
        <f t="shared" ca="1" si="15"/>
        <v>4</v>
      </c>
      <c r="W58">
        <f t="shared" ca="1" si="15"/>
        <v>2</v>
      </c>
      <c r="X58">
        <f t="shared" ca="1" si="15"/>
        <v>4</v>
      </c>
      <c r="Y58">
        <f t="shared" ca="1" si="15"/>
        <v>5</v>
      </c>
      <c r="Z58">
        <f t="shared" ca="1" si="15"/>
        <v>5</v>
      </c>
      <c r="AA58">
        <f t="shared" ca="1" si="15"/>
        <v>4</v>
      </c>
      <c r="AB58">
        <f t="shared" ca="1" si="15"/>
        <v>6</v>
      </c>
      <c r="AC58">
        <f t="shared" ca="1" si="15"/>
        <v>5</v>
      </c>
      <c r="AD58">
        <f t="shared" ca="1" si="15"/>
        <v>2</v>
      </c>
      <c r="AE58">
        <f t="shared" ca="1" si="15"/>
        <v>4</v>
      </c>
      <c r="AF58">
        <f t="shared" ca="1" si="18"/>
        <v>2</v>
      </c>
      <c r="AG58">
        <f t="shared" ca="1" si="18"/>
        <v>1</v>
      </c>
      <c r="AH58">
        <f t="shared" ca="1" si="18"/>
        <v>2</v>
      </c>
      <c r="AI58">
        <f t="shared" ca="1" si="18"/>
        <v>2</v>
      </c>
      <c r="AJ58">
        <f t="shared" ca="1" si="18"/>
        <v>4</v>
      </c>
      <c r="AK58">
        <f t="shared" ca="1" si="18"/>
        <v>4</v>
      </c>
      <c r="AL58">
        <f t="shared" ca="1" si="18"/>
        <v>1</v>
      </c>
      <c r="AM58">
        <f t="shared" ca="1" si="18"/>
        <v>5</v>
      </c>
      <c r="AN58">
        <f t="shared" ca="1" si="18"/>
        <v>6</v>
      </c>
      <c r="AO58">
        <f t="shared" ca="1" si="18"/>
        <v>6</v>
      </c>
      <c r="AP58">
        <f t="shared" ca="1" si="18"/>
        <v>4</v>
      </c>
      <c r="AQ58">
        <f t="shared" ca="1" si="18"/>
        <v>5</v>
      </c>
      <c r="AR58">
        <f t="shared" ca="1" si="18"/>
        <v>6</v>
      </c>
      <c r="AS58">
        <f t="shared" ca="1" si="18"/>
        <v>2</v>
      </c>
      <c r="AT58">
        <f t="shared" ca="1" si="18"/>
        <v>5</v>
      </c>
      <c r="AU58">
        <f t="shared" ca="1" si="18"/>
        <v>3</v>
      </c>
      <c r="AV58">
        <f t="shared" ca="1" si="17"/>
        <v>1</v>
      </c>
      <c r="AW58">
        <f t="shared" ca="1" si="9"/>
        <v>4</v>
      </c>
      <c r="AX58">
        <f t="shared" ca="1" si="2"/>
        <v>5</v>
      </c>
    </row>
    <row r="59" spans="1:50" x14ac:dyDescent="0.2">
      <c r="A59">
        <f t="shared" ca="1" si="16"/>
        <v>4</v>
      </c>
      <c r="B59">
        <f t="shared" ca="1" si="16"/>
        <v>4</v>
      </c>
      <c r="C59">
        <f t="shared" ca="1" si="16"/>
        <v>5</v>
      </c>
      <c r="D59">
        <f t="shared" ca="1" si="16"/>
        <v>1</v>
      </c>
      <c r="E59">
        <f t="shared" ca="1" si="16"/>
        <v>1</v>
      </c>
      <c r="F59">
        <f t="shared" ca="1" si="16"/>
        <v>2</v>
      </c>
      <c r="G59">
        <f t="shared" ca="1" si="16"/>
        <v>4</v>
      </c>
      <c r="H59">
        <f t="shared" ca="1" si="16"/>
        <v>6</v>
      </c>
      <c r="I59">
        <f t="shared" ca="1" si="16"/>
        <v>5</v>
      </c>
      <c r="J59">
        <f t="shared" ca="1" si="16"/>
        <v>2</v>
      </c>
      <c r="K59">
        <f t="shared" ca="1" si="16"/>
        <v>4</v>
      </c>
      <c r="L59">
        <f t="shared" ca="1" si="16"/>
        <v>6</v>
      </c>
      <c r="M59">
        <f t="shared" ca="1" si="16"/>
        <v>1</v>
      </c>
      <c r="N59">
        <f t="shared" ca="1" si="16"/>
        <v>6</v>
      </c>
      <c r="O59">
        <f t="shared" ca="1" si="16"/>
        <v>6</v>
      </c>
      <c r="P59">
        <f t="shared" ca="1" si="16"/>
        <v>2</v>
      </c>
      <c r="Q59">
        <f t="shared" ca="1" si="15"/>
        <v>3</v>
      </c>
      <c r="R59">
        <f t="shared" ca="1" si="15"/>
        <v>4</v>
      </c>
      <c r="S59">
        <f t="shared" ca="1" si="15"/>
        <v>2</v>
      </c>
      <c r="T59">
        <f t="shared" ca="1" si="15"/>
        <v>3</v>
      </c>
      <c r="U59">
        <f t="shared" ca="1" si="15"/>
        <v>4</v>
      </c>
      <c r="V59">
        <f t="shared" ca="1" si="15"/>
        <v>2</v>
      </c>
      <c r="W59">
        <f t="shared" ca="1" si="15"/>
        <v>4</v>
      </c>
      <c r="X59">
        <f t="shared" ca="1" si="15"/>
        <v>2</v>
      </c>
      <c r="Y59">
        <f t="shared" ca="1" si="15"/>
        <v>5</v>
      </c>
      <c r="Z59">
        <f t="shared" ca="1" si="15"/>
        <v>3</v>
      </c>
      <c r="AA59">
        <f t="shared" ca="1" si="15"/>
        <v>6</v>
      </c>
      <c r="AB59">
        <f t="shared" ca="1" si="15"/>
        <v>1</v>
      </c>
      <c r="AC59">
        <f t="shared" ca="1" si="15"/>
        <v>2</v>
      </c>
      <c r="AD59">
        <f t="shared" ca="1" si="15"/>
        <v>2</v>
      </c>
      <c r="AE59">
        <f t="shared" ca="1" si="15"/>
        <v>2</v>
      </c>
      <c r="AF59">
        <f t="shared" ca="1" si="18"/>
        <v>3</v>
      </c>
      <c r="AG59">
        <f t="shared" ca="1" si="18"/>
        <v>4</v>
      </c>
      <c r="AH59">
        <f t="shared" ca="1" si="18"/>
        <v>6</v>
      </c>
      <c r="AI59">
        <f t="shared" ca="1" si="18"/>
        <v>1</v>
      </c>
      <c r="AJ59">
        <f t="shared" ca="1" si="18"/>
        <v>3</v>
      </c>
      <c r="AK59">
        <f t="shared" ca="1" si="18"/>
        <v>4</v>
      </c>
      <c r="AL59">
        <f t="shared" ca="1" si="18"/>
        <v>6</v>
      </c>
      <c r="AM59">
        <f t="shared" ca="1" si="18"/>
        <v>5</v>
      </c>
      <c r="AN59">
        <f t="shared" ca="1" si="18"/>
        <v>2</v>
      </c>
      <c r="AO59">
        <f t="shared" ca="1" si="18"/>
        <v>1</v>
      </c>
      <c r="AP59">
        <f t="shared" ca="1" si="18"/>
        <v>2</v>
      </c>
      <c r="AQ59">
        <f t="shared" ca="1" si="18"/>
        <v>6</v>
      </c>
      <c r="AR59">
        <f t="shared" ca="1" si="18"/>
        <v>4</v>
      </c>
      <c r="AS59">
        <f t="shared" ca="1" si="18"/>
        <v>2</v>
      </c>
      <c r="AT59">
        <f t="shared" ca="1" si="18"/>
        <v>6</v>
      </c>
      <c r="AU59">
        <f t="shared" ca="1" si="18"/>
        <v>4</v>
      </c>
      <c r="AV59">
        <f t="shared" ca="1" si="17"/>
        <v>5</v>
      </c>
      <c r="AW59">
        <f t="shared" ca="1" si="9"/>
        <v>2</v>
      </c>
      <c r="AX59">
        <f t="shared" ca="1" si="2"/>
        <v>2</v>
      </c>
    </row>
    <row r="60" spans="1:50" x14ac:dyDescent="0.2">
      <c r="A60">
        <f t="shared" ca="1" si="16"/>
        <v>3</v>
      </c>
      <c r="B60">
        <f t="shared" ca="1" si="16"/>
        <v>1</v>
      </c>
      <c r="C60">
        <f t="shared" ca="1" si="16"/>
        <v>6</v>
      </c>
      <c r="D60">
        <f t="shared" ca="1" si="16"/>
        <v>3</v>
      </c>
      <c r="E60">
        <f t="shared" ca="1" si="16"/>
        <v>1</v>
      </c>
      <c r="F60">
        <f t="shared" ca="1" si="16"/>
        <v>6</v>
      </c>
      <c r="G60">
        <f t="shared" ca="1" si="16"/>
        <v>1</v>
      </c>
      <c r="H60">
        <f t="shared" ca="1" si="16"/>
        <v>2</v>
      </c>
      <c r="I60">
        <f t="shared" ca="1" si="16"/>
        <v>4</v>
      </c>
      <c r="J60">
        <f t="shared" ca="1" si="16"/>
        <v>3</v>
      </c>
      <c r="K60">
        <f t="shared" ca="1" si="16"/>
        <v>3</v>
      </c>
      <c r="L60">
        <f t="shared" ca="1" si="16"/>
        <v>4</v>
      </c>
      <c r="M60">
        <f t="shared" ca="1" si="16"/>
        <v>3</v>
      </c>
      <c r="N60">
        <f t="shared" ca="1" si="16"/>
        <v>4</v>
      </c>
      <c r="O60">
        <f t="shared" ca="1" si="16"/>
        <v>5</v>
      </c>
      <c r="P60">
        <f t="shared" ca="1" si="16"/>
        <v>3</v>
      </c>
      <c r="Q60">
        <f t="shared" ca="1" si="15"/>
        <v>6</v>
      </c>
      <c r="R60">
        <f t="shared" ca="1" si="15"/>
        <v>4</v>
      </c>
      <c r="S60">
        <f t="shared" ca="1" si="15"/>
        <v>6</v>
      </c>
      <c r="T60">
        <f t="shared" ca="1" si="15"/>
        <v>6</v>
      </c>
      <c r="U60">
        <f t="shared" ca="1" si="15"/>
        <v>6</v>
      </c>
      <c r="V60">
        <f t="shared" ca="1" si="15"/>
        <v>4</v>
      </c>
      <c r="W60">
        <f t="shared" ca="1" si="15"/>
        <v>4</v>
      </c>
      <c r="X60">
        <f t="shared" ca="1" si="15"/>
        <v>3</v>
      </c>
      <c r="Y60">
        <f t="shared" ca="1" si="15"/>
        <v>2</v>
      </c>
      <c r="Z60">
        <f t="shared" ca="1" si="15"/>
        <v>5</v>
      </c>
      <c r="AA60">
        <f t="shared" ca="1" si="15"/>
        <v>3</v>
      </c>
      <c r="AB60">
        <f t="shared" ca="1" si="15"/>
        <v>1</v>
      </c>
      <c r="AC60">
        <f t="shared" ca="1" si="15"/>
        <v>5</v>
      </c>
      <c r="AD60">
        <f t="shared" ca="1" si="15"/>
        <v>6</v>
      </c>
      <c r="AE60">
        <f t="shared" ca="1" si="15"/>
        <v>3</v>
      </c>
      <c r="AF60">
        <f t="shared" ca="1" si="18"/>
        <v>2</v>
      </c>
      <c r="AG60">
        <f t="shared" ca="1" si="18"/>
        <v>6</v>
      </c>
      <c r="AH60">
        <f t="shared" ca="1" si="18"/>
        <v>5</v>
      </c>
      <c r="AI60">
        <f t="shared" ca="1" si="18"/>
        <v>1</v>
      </c>
      <c r="AJ60">
        <f t="shared" ca="1" si="18"/>
        <v>3</v>
      </c>
      <c r="AK60">
        <f t="shared" ca="1" si="18"/>
        <v>6</v>
      </c>
      <c r="AL60">
        <f t="shared" ca="1" si="18"/>
        <v>1</v>
      </c>
      <c r="AM60">
        <f t="shared" ca="1" si="18"/>
        <v>6</v>
      </c>
      <c r="AN60">
        <f t="shared" ca="1" si="18"/>
        <v>2</v>
      </c>
      <c r="AO60">
        <f t="shared" ca="1" si="18"/>
        <v>4</v>
      </c>
      <c r="AP60">
        <f t="shared" ca="1" si="18"/>
        <v>4</v>
      </c>
      <c r="AQ60">
        <f t="shared" ca="1" si="18"/>
        <v>4</v>
      </c>
      <c r="AR60">
        <f t="shared" ca="1" si="18"/>
        <v>3</v>
      </c>
      <c r="AS60">
        <f t="shared" ca="1" si="18"/>
        <v>1</v>
      </c>
      <c r="AT60">
        <f t="shared" ca="1" si="18"/>
        <v>2</v>
      </c>
      <c r="AU60">
        <f t="shared" ca="1" si="18"/>
        <v>5</v>
      </c>
      <c r="AV60">
        <f t="shared" ca="1" si="17"/>
        <v>3</v>
      </c>
      <c r="AW60">
        <f t="shared" ca="1" si="9"/>
        <v>2</v>
      </c>
      <c r="AX60">
        <f t="shared" ca="1" si="2"/>
        <v>3</v>
      </c>
    </row>
    <row r="61" spans="1:50" x14ac:dyDescent="0.2">
      <c r="A61">
        <f t="shared" ca="1" si="16"/>
        <v>2</v>
      </c>
      <c r="B61">
        <f t="shared" ca="1" si="16"/>
        <v>5</v>
      </c>
      <c r="C61">
        <f t="shared" ca="1" si="16"/>
        <v>1</v>
      </c>
      <c r="D61">
        <f t="shared" ca="1" si="16"/>
        <v>2</v>
      </c>
      <c r="E61">
        <f t="shared" ca="1" si="16"/>
        <v>6</v>
      </c>
      <c r="F61">
        <f t="shared" ca="1" si="16"/>
        <v>4</v>
      </c>
      <c r="G61">
        <f t="shared" ca="1" si="16"/>
        <v>2</v>
      </c>
      <c r="H61">
        <f t="shared" ca="1" si="16"/>
        <v>2</v>
      </c>
      <c r="I61">
        <f t="shared" ca="1" si="16"/>
        <v>5</v>
      </c>
      <c r="J61">
        <f t="shared" ca="1" si="16"/>
        <v>2</v>
      </c>
      <c r="K61">
        <f t="shared" ca="1" si="16"/>
        <v>6</v>
      </c>
      <c r="L61">
        <f t="shared" ca="1" si="16"/>
        <v>2</v>
      </c>
      <c r="M61">
        <f t="shared" ca="1" si="16"/>
        <v>4</v>
      </c>
      <c r="N61">
        <f t="shared" ca="1" si="16"/>
        <v>5</v>
      </c>
      <c r="O61">
        <f t="shared" ca="1" si="16"/>
        <v>1</v>
      </c>
      <c r="P61">
        <f t="shared" ref="P61:AE76" ca="1" si="19">RANDBETWEEN(1,6)</f>
        <v>3</v>
      </c>
      <c r="Q61">
        <f t="shared" ca="1" si="19"/>
        <v>3</v>
      </c>
      <c r="R61">
        <f t="shared" ca="1" si="19"/>
        <v>4</v>
      </c>
      <c r="S61">
        <f t="shared" ca="1" si="19"/>
        <v>6</v>
      </c>
      <c r="T61">
        <f t="shared" ca="1" si="19"/>
        <v>2</v>
      </c>
      <c r="U61">
        <f t="shared" ca="1" si="19"/>
        <v>4</v>
      </c>
      <c r="V61">
        <f t="shared" ca="1" si="19"/>
        <v>2</v>
      </c>
      <c r="W61">
        <f t="shared" ca="1" si="19"/>
        <v>6</v>
      </c>
      <c r="X61">
        <f t="shared" ca="1" si="19"/>
        <v>4</v>
      </c>
      <c r="Y61">
        <f t="shared" ca="1" si="19"/>
        <v>2</v>
      </c>
      <c r="Z61">
        <f t="shared" ca="1" si="19"/>
        <v>2</v>
      </c>
      <c r="AA61">
        <f t="shared" ca="1" si="19"/>
        <v>1</v>
      </c>
      <c r="AB61">
        <f t="shared" ca="1" si="19"/>
        <v>2</v>
      </c>
      <c r="AC61">
        <f t="shared" ca="1" si="19"/>
        <v>1</v>
      </c>
      <c r="AD61">
        <f t="shared" ca="1" si="19"/>
        <v>4</v>
      </c>
      <c r="AE61">
        <f t="shared" ca="1" si="19"/>
        <v>6</v>
      </c>
      <c r="AF61">
        <f t="shared" ca="1" si="18"/>
        <v>4</v>
      </c>
      <c r="AG61">
        <f t="shared" ca="1" si="18"/>
        <v>2</v>
      </c>
      <c r="AH61">
        <f t="shared" ca="1" si="18"/>
        <v>4</v>
      </c>
      <c r="AI61">
        <f t="shared" ca="1" si="18"/>
        <v>2</v>
      </c>
      <c r="AJ61">
        <f t="shared" ca="1" si="18"/>
        <v>4</v>
      </c>
      <c r="AK61">
        <f t="shared" ca="1" si="18"/>
        <v>2</v>
      </c>
      <c r="AL61">
        <f t="shared" ca="1" si="18"/>
        <v>1</v>
      </c>
      <c r="AM61">
        <f t="shared" ca="1" si="18"/>
        <v>5</v>
      </c>
      <c r="AN61">
        <f t="shared" ca="1" si="18"/>
        <v>3</v>
      </c>
      <c r="AO61">
        <f t="shared" ca="1" si="18"/>
        <v>1</v>
      </c>
      <c r="AP61">
        <f t="shared" ca="1" si="18"/>
        <v>1</v>
      </c>
      <c r="AQ61">
        <f t="shared" ca="1" si="18"/>
        <v>3</v>
      </c>
      <c r="AR61">
        <f t="shared" ca="1" si="18"/>
        <v>1</v>
      </c>
      <c r="AS61">
        <f t="shared" ca="1" si="18"/>
        <v>6</v>
      </c>
      <c r="AT61">
        <f t="shared" ca="1" si="18"/>
        <v>1</v>
      </c>
      <c r="AU61">
        <f t="shared" ca="1" si="18"/>
        <v>6</v>
      </c>
      <c r="AV61">
        <f t="shared" ca="1" si="17"/>
        <v>1</v>
      </c>
      <c r="AW61">
        <f t="shared" ca="1" si="9"/>
        <v>2</v>
      </c>
      <c r="AX61">
        <f t="shared" ca="1" si="2"/>
        <v>6</v>
      </c>
    </row>
    <row r="62" spans="1:50" x14ac:dyDescent="0.2">
      <c r="A62">
        <f t="shared" ref="A62:P77" ca="1" si="20">RANDBETWEEN(1,6)</f>
        <v>2</v>
      </c>
      <c r="B62">
        <f t="shared" ca="1" si="20"/>
        <v>1</v>
      </c>
      <c r="C62">
        <f t="shared" ca="1" si="20"/>
        <v>1</v>
      </c>
      <c r="D62">
        <f t="shared" ca="1" si="20"/>
        <v>2</v>
      </c>
      <c r="E62">
        <f t="shared" ca="1" si="20"/>
        <v>5</v>
      </c>
      <c r="F62">
        <f t="shared" ca="1" si="20"/>
        <v>2</v>
      </c>
      <c r="G62">
        <f t="shared" ca="1" si="20"/>
        <v>4</v>
      </c>
      <c r="H62">
        <f t="shared" ca="1" si="20"/>
        <v>6</v>
      </c>
      <c r="I62">
        <f t="shared" ca="1" si="20"/>
        <v>5</v>
      </c>
      <c r="J62">
        <f t="shared" ca="1" si="20"/>
        <v>6</v>
      </c>
      <c r="K62">
        <f t="shared" ca="1" si="20"/>
        <v>4</v>
      </c>
      <c r="L62">
        <f t="shared" ca="1" si="20"/>
        <v>6</v>
      </c>
      <c r="M62">
        <f t="shared" ca="1" si="20"/>
        <v>2</v>
      </c>
      <c r="N62">
        <f t="shared" ca="1" si="20"/>
        <v>2</v>
      </c>
      <c r="O62">
        <f t="shared" ca="1" si="20"/>
        <v>2</v>
      </c>
      <c r="P62">
        <f t="shared" ca="1" si="20"/>
        <v>4</v>
      </c>
      <c r="Q62">
        <f t="shared" ca="1" si="19"/>
        <v>4</v>
      </c>
      <c r="R62">
        <f t="shared" ca="1" si="19"/>
        <v>6</v>
      </c>
      <c r="S62">
        <f t="shared" ca="1" si="19"/>
        <v>2</v>
      </c>
      <c r="T62">
        <f t="shared" ca="1" si="19"/>
        <v>4</v>
      </c>
      <c r="U62">
        <f t="shared" ca="1" si="19"/>
        <v>6</v>
      </c>
      <c r="V62">
        <f t="shared" ca="1" si="19"/>
        <v>1</v>
      </c>
      <c r="W62">
        <f t="shared" ca="1" si="19"/>
        <v>1</v>
      </c>
      <c r="X62">
        <f t="shared" ca="1" si="19"/>
        <v>6</v>
      </c>
      <c r="Y62">
        <f t="shared" ca="1" si="19"/>
        <v>6</v>
      </c>
      <c r="Z62">
        <f t="shared" ca="1" si="19"/>
        <v>3</v>
      </c>
      <c r="AA62">
        <f t="shared" ca="1" si="19"/>
        <v>3</v>
      </c>
      <c r="AB62">
        <f t="shared" ca="1" si="19"/>
        <v>1</v>
      </c>
      <c r="AC62">
        <f t="shared" ca="1" si="19"/>
        <v>5</v>
      </c>
      <c r="AD62">
        <f t="shared" ca="1" si="19"/>
        <v>6</v>
      </c>
      <c r="AE62">
        <f t="shared" ca="1" si="19"/>
        <v>5</v>
      </c>
      <c r="AF62">
        <f t="shared" ca="1" si="18"/>
        <v>3</v>
      </c>
      <c r="AG62">
        <f t="shared" ca="1" si="18"/>
        <v>4</v>
      </c>
      <c r="AH62">
        <f t="shared" ca="1" si="18"/>
        <v>5</v>
      </c>
      <c r="AI62">
        <f t="shared" ca="1" si="18"/>
        <v>6</v>
      </c>
      <c r="AJ62">
        <f t="shared" ca="1" si="18"/>
        <v>6</v>
      </c>
      <c r="AK62">
        <f t="shared" ca="1" si="18"/>
        <v>1</v>
      </c>
      <c r="AL62">
        <f t="shared" ca="1" si="18"/>
        <v>2</v>
      </c>
      <c r="AM62">
        <f t="shared" ca="1" si="18"/>
        <v>5</v>
      </c>
      <c r="AN62">
        <f t="shared" ca="1" si="18"/>
        <v>2</v>
      </c>
      <c r="AO62">
        <f t="shared" ca="1" si="18"/>
        <v>4</v>
      </c>
      <c r="AP62">
        <f t="shared" ca="1" si="18"/>
        <v>4</v>
      </c>
      <c r="AQ62">
        <f t="shared" ca="1" si="18"/>
        <v>4</v>
      </c>
      <c r="AR62">
        <f t="shared" ca="1" si="18"/>
        <v>4</v>
      </c>
      <c r="AS62">
        <f t="shared" ca="1" si="18"/>
        <v>4</v>
      </c>
      <c r="AT62">
        <f t="shared" ca="1" si="18"/>
        <v>4</v>
      </c>
      <c r="AU62">
        <f t="shared" ca="1" si="18"/>
        <v>6</v>
      </c>
      <c r="AV62">
        <f t="shared" ca="1" si="17"/>
        <v>2</v>
      </c>
      <c r="AW62">
        <f t="shared" ca="1" si="9"/>
        <v>4</v>
      </c>
      <c r="AX62">
        <f t="shared" ca="1" si="2"/>
        <v>1</v>
      </c>
    </row>
    <row r="63" spans="1:50" x14ac:dyDescent="0.2">
      <c r="A63">
        <f t="shared" ca="1" si="20"/>
        <v>3</v>
      </c>
      <c r="B63">
        <f t="shared" ca="1" si="20"/>
        <v>5</v>
      </c>
      <c r="C63">
        <f t="shared" ca="1" si="20"/>
        <v>6</v>
      </c>
      <c r="D63">
        <f t="shared" ca="1" si="20"/>
        <v>5</v>
      </c>
      <c r="E63">
        <f t="shared" ca="1" si="20"/>
        <v>5</v>
      </c>
      <c r="F63">
        <f t="shared" ca="1" si="20"/>
        <v>2</v>
      </c>
      <c r="G63">
        <f t="shared" ca="1" si="20"/>
        <v>3</v>
      </c>
      <c r="H63">
        <f t="shared" ca="1" si="20"/>
        <v>3</v>
      </c>
      <c r="I63">
        <f t="shared" ca="1" si="20"/>
        <v>4</v>
      </c>
      <c r="J63">
        <f t="shared" ca="1" si="20"/>
        <v>3</v>
      </c>
      <c r="K63">
        <f t="shared" ca="1" si="20"/>
        <v>3</v>
      </c>
      <c r="L63">
        <f t="shared" ca="1" si="20"/>
        <v>6</v>
      </c>
      <c r="M63">
        <f t="shared" ca="1" si="20"/>
        <v>3</v>
      </c>
      <c r="N63">
        <f t="shared" ca="1" si="20"/>
        <v>3</v>
      </c>
      <c r="O63">
        <f t="shared" ca="1" si="20"/>
        <v>2</v>
      </c>
      <c r="P63">
        <f t="shared" ca="1" si="20"/>
        <v>1</v>
      </c>
      <c r="Q63">
        <f t="shared" ca="1" si="19"/>
        <v>6</v>
      </c>
      <c r="R63">
        <f t="shared" ca="1" si="19"/>
        <v>2</v>
      </c>
      <c r="S63">
        <f t="shared" ca="1" si="19"/>
        <v>3</v>
      </c>
      <c r="T63">
        <f t="shared" ca="1" si="19"/>
        <v>6</v>
      </c>
      <c r="U63">
        <f t="shared" ca="1" si="19"/>
        <v>2</v>
      </c>
      <c r="V63">
        <f t="shared" ca="1" si="19"/>
        <v>3</v>
      </c>
      <c r="W63">
        <f t="shared" ca="1" si="19"/>
        <v>3</v>
      </c>
      <c r="X63">
        <f t="shared" ca="1" si="19"/>
        <v>3</v>
      </c>
      <c r="Y63">
        <f t="shared" ca="1" si="19"/>
        <v>4</v>
      </c>
      <c r="Z63">
        <f t="shared" ca="1" si="19"/>
        <v>2</v>
      </c>
      <c r="AA63">
        <f t="shared" ca="1" si="19"/>
        <v>3</v>
      </c>
      <c r="AB63">
        <f t="shared" ca="1" si="19"/>
        <v>6</v>
      </c>
      <c r="AC63">
        <f t="shared" ca="1" si="19"/>
        <v>3</v>
      </c>
      <c r="AD63">
        <f t="shared" ca="1" si="19"/>
        <v>6</v>
      </c>
      <c r="AE63">
        <f t="shared" ca="1" si="19"/>
        <v>5</v>
      </c>
      <c r="AF63">
        <f t="shared" ca="1" si="18"/>
        <v>1</v>
      </c>
      <c r="AG63">
        <f t="shared" ca="1" si="18"/>
        <v>6</v>
      </c>
      <c r="AH63">
        <f t="shared" ca="1" si="18"/>
        <v>3</v>
      </c>
      <c r="AI63">
        <f t="shared" ca="1" si="18"/>
        <v>3</v>
      </c>
      <c r="AJ63">
        <f t="shared" ca="1" si="18"/>
        <v>5</v>
      </c>
      <c r="AK63">
        <f t="shared" ca="1" si="18"/>
        <v>5</v>
      </c>
      <c r="AL63">
        <f t="shared" ca="1" si="18"/>
        <v>4</v>
      </c>
      <c r="AM63">
        <f t="shared" ca="1" si="18"/>
        <v>6</v>
      </c>
      <c r="AN63">
        <f t="shared" ca="1" si="18"/>
        <v>4</v>
      </c>
      <c r="AO63">
        <f t="shared" ca="1" si="18"/>
        <v>6</v>
      </c>
      <c r="AP63">
        <f t="shared" ca="1" si="18"/>
        <v>1</v>
      </c>
      <c r="AQ63">
        <f t="shared" ca="1" si="18"/>
        <v>4</v>
      </c>
      <c r="AR63">
        <f t="shared" ca="1" si="18"/>
        <v>2</v>
      </c>
      <c r="AS63">
        <f t="shared" ca="1" si="18"/>
        <v>1</v>
      </c>
      <c r="AT63">
        <f t="shared" ca="1" si="18"/>
        <v>6</v>
      </c>
      <c r="AU63">
        <f t="shared" ca="1" si="18"/>
        <v>4</v>
      </c>
      <c r="AV63">
        <f t="shared" ca="1" si="17"/>
        <v>1</v>
      </c>
      <c r="AW63">
        <f t="shared" ca="1" si="9"/>
        <v>6</v>
      </c>
      <c r="AX63">
        <f t="shared" ca="1" si="2"/>
        <v>4</v>
      </c>
    </row>
    <row r="64" spans="1:50" x14ac:dyDescent="0.2">
      <c r="A64">
        <f t="shared" ca="1" si="20"/>
        <v>6</v>
      </c>
      <c r="B64">
        <f t="shared" ca="1" si="20"/>
        <v>2</v>
      </c>
      <c r="C64">
        <f t="shared" ca="1" si="20"/>
        <v>5</v>
      </c>
      <c r="D64">
        <f t="shared" ca="1" si="20"/>
        <v>4</v>
      </c>
      <c r="E64">
        <f t="shared" ca="1" si="20"/>
        <v>5</v>
      </c>
      <c r="F64">
        <f t="shared" ca="1" si="20"/>
        <v>1</v>
      </c>
      <c r="G64">
        <f t="shared" ca="1" si="20"/>
        <v>2</v>
      </c>
      <c r="H64">
        <f t="shared" ca="1" si="20"/>
        <v>1</v>
      </c>
      <c r="I64">
        <f t="shared" ca="1" si="20"/>
        <v>3</v>
      </c>
      <c r="J64">
        <f t="shared" ca="1" si="20"/>
        <v>4</v>
      </c>
      <c r="K64">
        <f t="shared" ca="1" si="20"/>
        <v>4</v>
      </c>
      <c r="L64">
        <f t="shared" ca="1" si="20"/>
        <v>3</v>
      </c>
      <c r="M64">
        <f t="shared" ca="1" si="20"/>
        <v>6</v>
      </c>
      <c r="N64">
        <f t="shared" ca="1" si="20"/>
        <v>2</v>
      </c>
      <c r="O64">
        <f t="shared" ca="1" si="20"/>
        <v>3</v>
      </c>
      <c r="P64">
        <f t="shared" ca="1" si="20"/>
        <v>5</v>
      </c>
      <c r="Q64">
        <f t="shared" ca="1" si="19"/>
        <v>6</v>
      </c>
      <c r="R64">
        <f t="shared" ca="1" si="19"/>
        <v>2</v>
      </c>
      <c r="S64">
        <f t="shared" ca="1" si="19"/>
        <v>5</v>
      </c>
      <c r="T64">
        <f t="shared" ca="1" si="19"/>
        <v>1</v>
      </c>
      <c r="U64">
        <f t="shared" ca="1" si="19"/>
        <v>4</v>
      </c>
      <c r="V64">
        <f t="shared" ca="1" si="19"/>
        <v>6</v>
      </c>
      <c r="W64">
        <f t="shared" ca="1" si="19"/>
        <v>5</v>
      </c>
      <c r="X64">
        <f t="shared" ca="1" si="19"/>
        <v>6</v>
      </c>
      <c r="Y64">
        <f t="shared" ca="1" si="19"/>
        <v>4</v>
      </c>
      <c r="Z64">
        <f t="shared" ca="1" si="19"/>
        <v>2</v>
      </c>
      <c r="AA64">
        <f t="shared" ca="1" si="19"/>
        <v>4</v>
      </c>
      <c r="AB64">
        <f t="shared" ca="1" si="19"/>
        <v>4</v>
      </c>
      <c r="AC64">
        <f t="shared" ca="1" si="19"/>
        <v>3</v>
      </c>
      <c r="AD64">
        <f t="shared" ca="1" si="19"/>
        <v>3</v>
      </c>
      <c r="AE64">
        <f t="shared" ca="1" si="19"/>
        <v>4</v>
      </c>
      <c r="AF64">
        <f t="shared" ca="1" si="18"/>
        <v>4</v>
      </c>
      <c r="AG64">
        <f t="shared" ca="1" si="18"/>
        <v>4</v>
      </c>
      <c r="AH64">
        <f t="shared" ca="1" si="18"/>
        <v>6</v>
      </c>
      <c r="AI64">
        <f t="shared" ca="1" si="18"/>
        <v>3</v>
      </c>
      <c r="AJ64">
        <f t="shared" ca="1" si="18"/>
        <v>1</v>
      </c>
      <c r="AK64">
        <f t="shared" ca="1" si="18"/>
        <v>1</v>
      </c>
      <c r="AL64">
        <f t="shared" ca="1" si="18"/>
        <v>3</v>
      </c>
      <c r="AM64">
        <f t="shared" ca="1" si="18"/>
        <v>3</v>
      </c>
      <c r="AN64">
        <f t="shared" ca="1" si="18"/>
        <v>5</v>
      </c>
      <c r="AO64">
        <f t="shared" ca="1" si="18"/>
        <v>5</v>
      </c>
      <c r="AP64">
        <f t="shared" ca="1" si="18"/>
        <v>4</v>
      </c>
      <c r="AQ64">
        <f t="shared" ca="1" si="18"/>
        <v>3</v>
      </c>
      <c r="AR64">
        <f t="shared" ca="1" si="18"/>
        <v>3</v>
      </c>
      <c r="AS64">
        <f t="shared" ca="1" si="18"/>
        <v>1</v>
      </c>
      <c r="AT64">
        <f t="shared" ca="1" si="18"/>
        <v>5</v>
      </c>
      <c r="AU64">
        <f t="shared" ca="1" si="18"/>
        <v>6</v>
      </c>
      <c r="AV64">
        <f t="shared" ca="1" si="17"/>
        <v>4</v>
      </c>
      <c r="AW64">
        <f t="shared" ca="1" si="9"/>
        <v>5</v>
      </c>
      <c r="AX64">
        <f t="shared" ca="1" si="2"/>
        <v>3</v>
      </c>
    </row>
    <row r="65" spans="1:50" x14ac:dyDescent="0.2">
      <c r="A65">
        <f t="shared" ca="1" si="20"/>
        <v>5</v>
      </c>
      <c r="B65">
        <f t="shared" ca="1" si="20"/>
        <v>1</v>
      </c>
      <c r="C65">
        <f t="shared" ca="1" si="20"/>
        <v>5</v>
      </c>
      <c r="D65">
        <f t="shared" ca="1" si="20"/>
        <v>5</v>
      </c>
      <c r="E65">
        <f t="shared" ca="1" si="20"/>
        <v>3</v>
      </c>
      <c r="F65">
        <f t="shared" ca="1" si="20"/>
        <v>1</v>
      </c>
      <c r="G65">
        <f t="shared" ca="1" si="20"/>
        <v>5</v>
      </c>
      <c r="H65">
        <f t="shared" ca="1" si="20"/>
        <v>3</v>
      </c>
      <c r="I65">
        <f t="shared" ca="1" si="20"/>
        <v>1</v>
      </c>
      <c r="J65">
        <f t="shared" ca="1" si="20"/>
        <v>3</v>
      </c>
      <c r="K65">
        <f t="shared" ca="1" si="20"/>
        <v>4</v>
      </c>
      <c r="L65">
        <f t="shared" ca="1" si="20"/>
        <v>5</v>
      </c>
      <c r="M65">
        <f t="shared" ca="1" si="20"/>
        <v>2</v>
      </c>
      <c r="N65">
        <f t="shared" ca="1" si="20"/>
        <v>2</v>
      </c>
      <c r="O65">
        <f t="shared" ca="1" si="20"/>
        <v>5</v>
      </c>
      <c r="P65">
        <f t="shared" ca="1" si="20"/>
        <v>6</v>
      </c>
      <c r="Q65">
        <f t="shared" ca="1" si="19"/>
        <v>2</v>
      </c>
      <c r="R65">
        <f t="shared" ca="1" si="19"/>
        <v>6</v>
      </c>
      <c r="S65">
        <f t="shared" ca="1" si="19"/>
        <v>3</v>
      </c>
      <c r="T65">
        <f t="shared" ca="1" si="19"/>
        <v>3</v>
      </c>
      <c r="U65">
        <f t="shared" ca="1" si="19"/>
        <v>6</v>
      </c>
      <c r="V65">
        <f t="shared" ca="1" si="19"/>
        <v>3</v>
      </c>
      <c r="W65">
        <f t="shared" ca="1" si="19"/>
        <v>5</v>
      </c>
      <c r="X65">
        <f t="shared" ca="1" si="19"/>
        <v>2</v>
      </c>
      <c r="Y65">
        <f t="shared" ca="1" si="19"/>
        <v>2</v>
      </c>
      <c r="Z65">
        <f t="shared" ca="1" si="19"/>
        <v>5</v>
      </c>
      <c r="AA65">
        <f t="shared" ca="1" si="19"/>
        <v>1</v>
      </c>
      <c r="AB65">
        <f t="shared" ca="1" si="19"/>
        <v>2</v>
      </c>
      <c r="AC65">
        <f t="shared" ca="1" si="19"/>
        <v>3</v>
      </c>
      <c r="AD65">
        <f t="shared" ca="1" si="19"/>
        <v>1</v>
      </c>
      <c r="AE65">
        <f t="shared" ca="1" si="19"/>
        <v>6</v>
      </c>
      <c r="AF65">
        <f t="shared" ca="1" si="18"/>
        <v>4</v>
      </c>
      <c r="AG65">
        <f t="shared" ca="1" si="18"/>
        <v>6</v>
      </c>
      <c r="AH65">
        <f t="shared" ca="1" si="18"/>
        <v>6</v>
      </c>
      <c r="AI65">
        <f t="shared" ca="1" si="18"/>
        <v>6</v>
      </c>
      <c r="AJ65">
        <f t="shared" ca="1" si="18"/>
        <v>3</v>
      </c>
      <c r="AK65">
        <f t="shared" ca="1" si="18"/>
        <v>4</v>
      </c>
      <c r="AL65">
        <f t="shared" ca="1" si="18"/>
        <v>6</v>
      </c>
      <c r="AM65">
        <f t="shared" ca="1" si="18"/>
        <v>6</v>
      </c>
      <c r="AN65">
        <f t="shared" ca="1" si="18"/>
        <v>2</v>
      </c>
      <c r="AO65">
        <f t="shared" ca="1" si="18"/>
        <v>5</v>
      </c>
      <c r="AP65">
        <f t="shared" ca="1" si="18"/>
        <v>3</v>
      </c>
      <c r="AQ65">
        <f t="shared" ca="1" si="18"/>
        <v>2</v>
      </c>
      <c r="AR65">
        <f t="shared" ca="1" si="18"/>
        <v>6</v>
      </c>
      <c r="AS65">
        <f t="shared" ca="1" si="18"/>
        <v>2</v>
      </c>
      <c r="AT65">
        <f t="shared" ca="1" si="18"/>
        <v>2</v>
      </c>
      <c r="AU65">
        <f t="shared" ca="1" si="18"/>
        <v>5</v>
      </c>
      <c r="AV65">
        <f t="shared" ca="1" si="17"/>
        <v>1</v>
      </c>
      <c r="AW65">
        <f t="shared" ca="1" si="9"/>
        <v>5</v>
      </c>
      <c r="AX65">
        <f t="shared" ca="1" si="2"/>
        <v>2</v>
      </c>
    </row>
    <row r="66" spans="1:50" x14ac:dyDescent="0.2">
      <c r="A66">
        <f t="shared" ca="1" si="20"/>
        <v>2</v>
      </c>
      <c r="B66">
        <f t="shared" ca="1" si="20"/>
        <v>3</v>
      </c>
      <c r="C66">
        <f t="shared" ca="1" si="20"/>
        <v>2</v>
      </c>
      <c r="D66">
        <f t="shared" ca="1" si="20"/>
        <v>3</v>
      </c>
      <c r="E66">
        <f t="shared" ca="1" si="20"/>
        <v>1</v>
      </c>
      <c r="F66">
        <f t="shared" ca="1" si="20"/>
        <v>6</v>
      </c>
      <c r="G66">
        <f t="shared" ca="1" si="20"/>
        <v>3</v>
      </c>
      <c r="H66">
        <f t="shared" ca="1" si="20"/>
        <v>4</v>
      </c>
      <c r="I66">
        <f t="shared" ca="1" si="20"/>
        <v>2</v>
      </c>
      <c r="J66">
        <f t="shared" ca="1" si="20"/>
        <v>3</v>
      </c>
      <c r="K66">
        <f t="shared" ca="1" si="20"/>
        <v>1</v>
      </c>
      <c r="L66">
        <f t="shared" ca="1" si="20"/>
        <v>3</v>
      </c>
      <c r="M66">
        <f t="shared" ca="1" si="20"/>
        <v>6</v>
      </c>
      <c r="N66">
        <f t="shared" ca="1" si="20"/>
        <v>5</v>
      </c>
      <c r="O66">
        <f t="shared" ca="1" si="20"/>
        <v>3</v>
      </c>
      <c r="P66">
        <f t="shared" ca="1" si="20"/>
        <v>3</v>
      </c>
      <c r="Q66">
        <f t="shared" ca="1" si="19"/>
        <v>6</v>
      </c>
      <c r="R66">
        <f t="shared" ca="1" si="19"/>
        <v>5</v>
      </c>
      <c r="S66">
        <f t="shared" ca="1" si="19"/>
        <v>3</v>
      </c>
      <c r="T66">
        <f t="shared" ca="1" si="19"/>
        <v>5</v>
      </c>
      <c r="U66">
        <f t="shared" ca="1" si="19"/>
        <v>5</v>
      </c>
      <c r="V66">
        <f t="shared" ca="1" si="19"/>
        <v>1</v>
      </c>
      <c r="W66">
        <f t="shared" ca="1" si="19"/>
        <v>2</v>
      </c>
      <c r="X66">
        <f t="shared" ca="1" si="19"/>
        <v>1</v>
      </c>
      <c r="Y66">
        <f t="shared" ca="1" si="19"/>
        <v>1</v>
      </c>
      <c r="Z66">
        <f t="shared" ca="1" si="19"/>
        <v>4</v>
      </c>
      <c r="AA66">
        <f t="shared" ca="1" si="19"/>
        <v>6</v>
      </c>
      <c r="AB66">
        <f t="shared" ca="1" si="19"/>
        <v>1</v>
      </c>
      <c r="AC66">
        <f t="shared" ca="1" si="19"/>
        <v>4</v>
      </c>
      <c r="AD66">
        <f t="shared" ca="1" si="19"/>
        <v>5</v>
      </c>
      <c r="AE66">
        <f t="shared" ca="1" si="19"/>
        <v>4</v>
      </c>
      <c r="AF66">
        <f t="shared" ca="1" si="18"/>
        <v>6</v>
      </c>
      <c r="AG66">
        <f t="shared" ca="1" si="18"/>
        <v>4</v>
      </c>
      <c r="AH66">
        <f t="shared" ca="1" si="18"/>
        <v>1</v>
      </c>
      <c r="AI66">
        <f t="shared" ca="1" si="18"/>
        <v>6</v>
      </c>
      <c r="AJ66">
        <f t="shared" ca="1" si="18"/>
        <v>2</v>
      </c>
      <c r="AK66">
        <f t="shared" ca="1" si="18"/>
        <v>5</v>
      </c>
      <c r="AL66">
        <f t="shared" ca="1" si="18"/>
        <v>3</v>
      </c>
      <c r="AM66">
        <f t="shared" ca="1" si="18"/>
        <v>1</v>
      </c>
      <c r="AN66">
        <f t="shared" ca="1" si="18"/>
        <v>2</v>
      </c>
      <c r="AO66">
        <f t="shared" ca="1" si="18"/>
        <v>1</v>
      </c>
      <c r="AP66">
        <f t="shared" ca="1" si="18"/>
        <v>6</v>
      </c>
      <c r="AQ66">
        <f t="shared" ca="1" si="18"/>
        <v>6</v>
      </c>
      <c r="AR66">
        <f t="shared" ca="1" si="18"/>
        <v>5</v>
      </c>
      <c r="AS66">
        <f t="shared" ca="1" si="18"/>
        <v>4</v>
      </c>
      <c r="AT66">
        <f t="shared" ca="1" si="18"/>
        <v>1</v>
      </c>
      <c r="AU66">
        <f t="shared" ca="1" si="18"/>
        <v>3</v>
      </c>
      <c r="AV66">
        <f t="shared" ca="1" si="17"/>
        <v>4</v>
      </c>
      <c r="AW66">
        <f t="shared" ca="1" si="9"/>
        <v>3</v>
      </c>
      <c r="AX66">
        <f t="shared" ca="1" si="2"/>
        <v>3</v>
      </c>
    </row>
    <row r="67" spans="1:50" x14ac:dyDescent="0.2">
      <c r="A67">
        <f t="shared" ca="1" si="20"/>
        <v>3</v>
      </c>
      <c r="B67">
        <f t="shared" ca="1" si="20"/>
        <v>5</v>
      </c>
      <c r="C67">
        <f t="shared" ca="1" si="20"/>
        <v>4</v>
      </c>
      <c r="D67">
        <f t="shared" ca="1" si="20"/>
        <v>5</v>
      </c>
      <c r="E67">
        <f t="shared" ca="1" si="20"/>
        <v>4</v>
      </c>
      <c r="F67">
        <f t="shared" ca="1" si="20"/>
        <v>4</v>
      </c>
      <c r="G67">
        <f t="shared" ca="1" si="20"/>
        <v>4</v>
      </c>
      <c r="H67">
        <f t="shared" ca="1" si="20"/>
        <v>3</v>
      </c>
      <c r="I67">
        <f t="shared" ca="1" si="20"/>
        <v>5</v>
      </c>
      <c r="J67">
        <f t="shared" ca="1" si="20"/>
        <v>1</v>
      </c>
      <c r="K67">
        <f t="shared" ca="1" si="20"/>
        <v>4</v>
      </c>
      <c r="L67">
        <f t="shared" ca="1" si="20"/>
        <v>4</v>
      </c>
      <c r="M67">
        <f t="shared" ca="1" si="20"/>
        <v>4</v>
      </c>
      <c r="N67">
        <f t="shared" ca="1" si="20"/>
        <v>2</v>
      </c>
      <c r="O67">
        <f t="shared" ca="1" si="20"/>
        <v>4</v>
      </c>
      <c r="P67">
        <f t="shared" ca="1" si="20"/>
        <v>6</v>
      </c>
      <c r="Q67">
        <f t="shared" ca="1" si="19"/>
        <v>1</v>
      </c>
      <c r="R67">
        <f t="shared" ca="1" si="19"/>
        <v>4</v>
      </c>
      <c r="S67">
        <f t="shared" ca="1" si="19"/>
        <v>1</v>
      </c>
      <c r="T67">
        <f t="shared" ca="1" si="19"/>
        <v>5</v>
      </c>
      <c r="U67">
        <f t="shared" ca="1" si="19"/>
        <v>1</v>
      </c>
      <c r="V67">
        <f t="shared" ca="1" si="19"/>
        <v>6</v>
      </c>
      <c r="W67">
        <f t="shared" ca="1" si="19"/>
        <v>5</v>
      </c>
      <c r="X67">
        <f t="shared" ca="1" si="19"/>
        <v>4</v>
      </c>
      <c r="Y67">
        <f t="shared" ca="1" si="19"/>
        <v>4</v>
      </c>
      <c r="Z67">
        <f t="shared" ca="1" si="19"/>
        <v>4</v>
      </c>
      <c r="AA67">
        <f t="shared" ca="1" si="19"/>
        <v>4</v>
      </c>
      <c r="AB67">
        <f t="shared" ca="1" si="19"/>
        <v>6</v>
      </c>
      <c r="AC67">
        <f t="shared" ca="1" si="19"/>
        <v>1</v>
      </c>
      <c r="AD67">
        <f t="shared" ca="1" si="19"/>
        <v>4</v>
      </c>
      <c r="AE67">
        <f t="shared" ca="1" si="19"/>
        <v>2</v>
      </c>
      <c r="AF67">
        <f t="shared" ca="1" si="18"/>
        <v>5</v>
      </c>
      <c r="AG67">
        <f t="shared" ca="1" si="18"/>
        <v>3</v>
      </c>
      <c r="AH67">
        <f t="shared" ca="1" si="18"/>
        <v>4</v>
      </c>
      <c r="AI67">
        <f t="shared" ca="1" si="18"/>
        <v>2</v>
      </c>
      <c r="AJ67">
        <f t="shared" ca="1" si="18"/>
        <v>6</v>
      </c>
      <c r="AK67">
        <f t="shared" ca="1" si="18"/>
        <v>5</v>
      </c>
      <c r="AL67">
        <f t="shared" ca="1" si="18"/>
        <v>2</v>
      </c>
      <c r="AM67">
        <f t="shared" ca="1" si="18"/>
        <v>3</v>
      </c>
      <c r="AN67">
        <f t="shared" ca="1" si="18"/>
        <v>6</v>
      </c>
      <c r="AO67">
        <f t="shared" ca="1" si="18"/>
        <v>5</v>
      </c>
      <c r="AP67">
        <f t="shared" ca="1" si="18"/>
        <v>1</v>
      </c>
      <c r="AQ67">
        <f t="shared" ca="1" si="18"/>
        <v>3</v>
      </c>
      <c r="AR67">
        <f t="shared" ca="1" si="18"/>
        <v>2</v>
      </c>
      <c r="AS67">
        <f t="shared" ca="1" si="18"/>
        <v>2</v>
      </c>
      <c r="AT67">
        <f t="shared" ca="1" si="18"/>
        <v>6</v>
      </c>
      <c r="AU67">
        <f t="shared" ref="AU67:AX76" ca="1" si="21">RANDBETWEEN(1,6)</f>
        <v>1</v>
      </c>
      <c r="AV67">
        <f t="shared" ca="1" si="21"/>
        <v>6</v>
      </c>
      <c r="AW67">
        <f t="shared" ca="1" si="21"/>
        <v>1</v>
      </c>
      <c r="AX67">
        <f t="shared" ca="1" si="21"/>
        <v>3</v>
      </c>
    </row>
    <row r="68" spans="1:50" x14ac:dyDescent="0.2">
      <c r="A68">
        <f t="shared" ca="1" si="20"/>
        <v>5</v>
      </c>
      <c r="B68">
        <f t="shared" ca="1" si="20"/>
        <v>6</v>
      </c>
      <c r="C68">
        <f t="shared" ca="1" si="20"/>
        <v>3</v>
      </c>
      <c r="D68">
        <f t="shared" ca="1" si="20"/>
        <v>3</v>
      </c>
      <c r="E68">
        <f t="shared" ca="1" si="20"/>
        <v>2</v>
      </c>
      <c r="F68">
        <f t="shared" ca="1" si="20"/>
        <v>6</v>
      </c>
      <c r="G68">
        <f t="shared" ca="1" si="20"/>
        <v>2</v>
      </c>
      <c r="H68">
        <f t="shared" ca="1" si="20"/>
        <v>3</v>
      </c>
      <c r="I68">
        <f t="shared" ca="1" si="20"/>
        <v>5</v>
      </c>
      <c r="J68">
        <f t="shared" ca="1" si="20"/>
        <v>3</v>
      </c>
      <c r="K68">
        <f t="shared" ca="1" si="20"/>
        <v>2</v>
      </c>
      <c r="L68">
        <f t="shared" ca="1" si="20"/>
        <v>6</v>
      </c>
      <c r="M68">
        <f t="shared" ca="1" si="20"/>
        <v>3</v>
      </c>
      <c r="N68">
        <f t="shared" ca="1" si="20"/>
        <v>4</v>
      </c>
      <c r="O68">
        <f t="shared" ca="1" si="20"/>
        <v>4</v>
      </c>
      <c r="P68">
        <f t="shared" ca="1" si="20"/>
        <v>3</v>
      </c>
      <c r="Q68">
        <f t="shared" ca="1" si="19"/>
        <v>3</v>
      </c>
      <c r="R68">
        <f t="shared" ca="1" si="19"/>
        <v>4</v>
      </c>
      <c r="S68">
        <f t="shared" ca="1" si="19"/>
        <v>2</v>
      </c>
      <c r="T68">
        <f t="shared" ca="1" si="19"/>
        <v>3</v>
      </c>
      <c r="U68">
        <f t="shared" ca="1" si="19"/>
        <v>5</v>
      </c>
      <c r="V68">
        <f t="shared" ca="1" si="19"/>
        <v>4</v>
      </c>
      <c r="W68">
        <f t="shared" ca="1" si="19"/>
        <v>3</v>
      </c>
      <c r="X68">
        <f t="shared" ca="1" si="19"/>
        <v>5</v>
      </c>
      <c r="Y68">
        <f t="shared" ca="1" si="19"/>
        <v>6</v>
      </c>
      <c r="Z68">
        <f t="shared" ca="1" si="19"/>
        <v>6</v>
      </c>
      <c r="AA68">
        <f t="shared" ca="1" si="19"/>
        <v>5</v>
      </c>
      <c r="AB68">
        <f t="shared" ca="1" si="19"/>
        <v>2</v>
      </c>
      <c r="AC68">
        <f t="shared" ca="1" si="19"/>
        <v>5</v>
      </c>
      <c r="AD68">
        <f t="shared" ca="1" si="19"/>
        <v>5</v>
      </c>
      <c r="AE68">
        <f t="shared" ca="1" si="19"/>
        <v>5</v>
      </c>
      <c r="AF68">
        <f t="shared" ref="AF68:AU76" ca="1" si="22">RANDBETWEEN(1,6)</f>
        <v>4</v>
      </c>
      <c r="AG68">
        <f t="shared" ca="1" si="22"/>
        <v>1</v>
      </c>
      <c r="AH68">
        <f t="shared" ca="1" si="22"/>
        <v>4</v>
      </c>
      <c r="AI68">
        <f t="shared" ca="1" si="22"/>
        <v>2</v>
      </c>
      <c r="AJ68">
        <f t="shared" ca="1" si="22"/>
        <v>1</v>
      </c>
      <c r="AK68">
        <f t="shared" ca="1" si="22"/>
        <v>2</v>
      </c>
      <c r="AL68">
        <f t="shared" ca="1" si="22"/>
        <v>3</v>
      </c>
      <c r="AM68">
        <f t="shared" ca="1" si="22"/>
        <v>5</v>
      </c>
      <c r="AN68">
        <f t="shared" ca="1" si="22"/>
        <v>3</v>
      </c>
      <c r="AO68">
        <f t="shared" ca="1" si="22"/>
        <v>5</v>
      </c>
      <c r="AP68">
        <f t="shared" ca="1" si="22"/>
        <v>6</v>
      </c>
      <c r="AQ68">
        <f t="shared" ca="1" si="22"/>
        <v>4</v>
      </c>
      <c r="AR68">
        <f t="shared" ca="1" si="22"/>
        <v>6</v>
      </c>
      <c r="AS68">
        <f t="shared" ca="1" si="22"/>
        <v>2</v>
      </c>
      <c r="AT68">
        <f t="shared" ca="1" si="22"/>
        <v>6</v>
      </c>
      <c r="AU68">
        <f t="shared" ca="1" si="22"/>
        <v>1</v>
      </c>
      <c r="AV68">
        <f t="shared" ca="1" si="21"/>
        <v>4</v>
      </c>
      <c r="AW68">
        <f t="shared" ca="1" si="21"/>
        <v>5</v>
      </c>
      <c r="AX68">
        <f t="shared" ca="1" si="21"/>
        <v>5</v>
      </c>
    </row>
    <row r="69" spans="1:50" x14ac:dyDescent="0.2">
      <c r="A69">
        <f t="shared" ca="1" si="20"/>
        <v>5</v>
      </c>
      <c r="B69">
        <f t="shared" ca="1" si="20"/>
        <v>1</v>
      </c>
      <c r="C69">
        <f t="shared" ca="1" si="20"/>
        <v>3</v>
      </c>
      <c r="D69">
        <f t="shared" ca="1" si="20"/>
        <v>5</v>
      </c>
      <c r="E69">
        <f t="shared" ca="1" si="20"/>
        <v>6</v>
      </c>
      <c r="F69">
        <f t="shared" ca="1" si="20"/>
        <v>6</v>
      </c>
      <c r="G69">
        <f t="shared" ca="1" si="20"/>
        <v>2</v>
      </c>
      <c r="H69">
        <f t="shared" ca="1" si="20"/>
        <v>5</v>
      </c>
      <c r="I69">
        <f t="shared" ca="1" si="20"/>
        <v>2</v>
      </c>
      <c r="J69">
        <f t="shared" ca="1" si="20"/>
        <v>4</v>
      </c>
      <c r="K69">
        <f t="shared" ca="1" si="20"/>
        <v>5</v>
      </c>
      <c r="L69">
        <f t="shared" ca="1" si="20"/>
        <v>4</v>
      </c>
      <c r="M69">
        <f t="shared" ca="1" si="20"/>
        <v>3</v>
      </c>
      <c r="N69">
        <f t="shared" ca="1" si="20"/>
        <v>4</v>
      </c>
      <c r="O69">
        <f t="shared" ca="1" si="20"/>
        <v>1</v>
      </c>
      <c r="P69">
        <f t="shared" ca="1" si="20"/>
        <v>4</v>
      </c>
      <c r="Q69">
        <f t="shared" ca="1" si="19"/>
        <v>3</v>
      </c>
      <c r="R69">
        <f t="shared" ca="1" si="19"/>
        <v>6</v>
      </c>
      <c r="S69">
        <f t="shared" ca="1" si="19"/>
        <v>2</v>
      </c>
      <c r="T69">
        <f t="shared" ca="1" si="19"/>
        <v>1</v>
      </c>
      <c r="U69">
        <f t="shared" ca="1" si="19"/>
        <v>6</v>
      </c>
      <c r="V69">
        <f t="shared" ca="1" si="19"/>
        <v>1</v>
      </c>
      <c r="W69">
        <f t="shared" ca="1" si="19"/>
        <v>3</v>
      </c>
      <c r="X69">
        <f t="shared" ca="1" si="19"/>
        <v>3</v>
      </c>
      <c r="Y69">
        <f t="shared" ca="1" si="19"/>
        <v>3</v>
      </c>
      <c r="Z69">
        <f t="shared" ca="1" si="19"/>
        <v>4</v>
      </c>
      <c r="AA69">
        <f t="shared" ca="1" si="19"/>
        <v>2</v>
      </c>
      <c r="AB69">
        <f t="shared" ca="1" si="19"/>
        <v>2</v>
      </c>
      <c r="AC69">
        <f t="shared" ca="1" si="19"/>
        <v>1</v>
      </c>
      <c r="AD69">
        <f t="shared" ca="1" si="19"/>
        <v>2</v>
      </c>
      <c r="AE69">
        <f t="shared" ca="1" si="19"/>
        <v>4</v>
      </c>
      <c r="AF69">
        <f t="shared" ca="1" si="22"/>
        <v>2</v>
      </c>
      <c r="AG69">
        <f t="shared" ca="1" si="22"/>
        <v>1</v>
      </c>
      <c r="AH69">
        <f t="shared" ca="1" si="22"/>
        <v>4</v>
      </c>
      <c r="AI69">
        <f t="shared" ca="1" si="22"/>
        <v>1</v>
      </c>
      <c r="AJ69">
        <f t="shared" ca="1" si="22"/>
        <v>5</v>
      </c>
      <c r="AK69">
        <f t="shared" ca="1" si="22"/>
        <v>3</v>
      </c>
      <c r="AL69">
        <f t="shared" ca="1" si="22"/>
        <v>4</v>
      </c>
      <c r="AM69">
        <f t="shared" ca="1" si="22"/>
        <v>4</v>
      </c>
      <c r="AN69">
        <f t="shared" ca="1" si="22"/>
        <v>6</v>
      </c>
      <c r="AO69">
        <f t="shared" ca="1" si="22"/>
        <v>4</v>
      </c>
      <c r="AP69">
        <f t="shared" ca="1" si="22"/>
        <v>4</v>
      </c>
      <c r="AQ69">
        <f t="shared" ca="1" si="22"/>
        <v>1</v>
      </c>
      <c r="AR69">
        <f t="shared" ca="1" si="22"/>
        <v>4</v>
      </c>
      <c r="AS69">
        <f t="shared" ca="1" si="22"/>
        <v>3</v>
      </c>
      <c r="AT69">
        <f t="shared" ca="1" si="22"/>
        <v>2</v>
      </c>
      <c r="AU69">
        <f t="shared" ca="1" si="22"/>
        <v>1</v>
      </c>
      <c r="AV69">
        <f t="shared" ca="1" si="21"/>
        <v>2</v>
      </c>
      <c r="AW69">
        <f t="shared" ca="1" si="21"/>
        <v>3</v>
      </c>
      <c r="AX69">
        <f t="shared" ca="1" si="21"/>
        <v>5</v>
      </c>
    </row>
    <row r="70" spans="1:50" x14ac:dyDescent="0.2">
      <c r="A70">
        <f t="shared" ca="1" si="20"/>
        <v>1</v>
      </c>
      <c r="B70">
        <f t="shared" ca="1" si="20"/>
        <v>4</v>
      </c>
      <c r="C70">
        <f t="shared" ca="1" si="20"/>
        <v>2</v>
      </c>
      <c r="D70">
        <f t="shared" ca="1" si="20"/>
        <v>3</v>
      </c>
      <c r="E70">
        <f t="shared" ca="1" si="20"/>
        <v>2</v>
      </c>
      <c r="F70">
        <f t="shared" ca="1" si="20"/>
        <v>5</v>
      </c>
      <c r="G70">
        <f t="shared" ca="1" si="20"/>
        <v>2</v>
      </c>
      <c r="H70">
        <f t="shared" ca="1" si="20"/>
        <v>1</v>
      </c>
      <c r="I70">
        <f t="shared" ca="1" si="20"/>
        <v>5</v>
      </c>
      <c r="J70">
        <f t="shared" ca="1" si="20"/>
        <v>5</v>
      </c>
      <c r="K70">
        <f t="shared" ca="1" si="20"/>
        <v>1</v>
      </c>
      <c r="L70">
        <f t="shared" ca="1" si="20"/>
        <v>5</v>
      </c>
      <c r="M70">
        <f t="shared" ca="1" si="20"/>
        <v>2</v>
      </c>
      <c r="N70">
        <f t="shared" ca="1" si="20"/>
        <v>2</v>
      </c>
      <c r="O70">
        <f t="shared" ca="1" si="20"/>
        <v>6</v>
      </c>
      <c r="P70">
        <f t="shared" ca="1" si="20"/>
        <v>6</v>
      </c>
      <c r="Q70">
        <f t="shared" ca="1" si="19"/>
        <v>4</v>
      </c>
      <c r="R70">
        <f t="shared" ca="1" si="19"/>
        <v>6</v>
      </c>
      <c r="S70">
        <f t="shared" ca="1" si="19"/>
        <v>2</v>
      </c>
      <c r="T70">
        <f t="shared" ca="1" si="19"/>
        <v>1</v>
      </c>
      <c r="U70">
        <f t="shared" ca="1" si="19"/>
        <v>5</v>
      </c>
      <c r="V70">
        <f t="shared" ca="1" si="19"/>
        <v>1</v>
      </c>
      <c r="W70">
        <f t="shared" ca="1" si="19"/>
        <v>5</v>
      </c>
      <c r="X70">
        <f t="shared" ca="1" si="19"/>
        <v>5</v>
      </c>
      <c r="Y70">
        <f t="shared" ca="1" si="19"/>
        <v>1</v>
      </c>
      <c r="Z70">
        <f t="shared" ca="1" si="19"/>
        <v>1</v>
      </c>
      <c r="AA70">
        <f t="shared" ca="1" si="19"/>
        <v>1</v>
      </c>
      <c r="AB70">
        <f t="shared" ca="1" si="19"/>
        <v>4</v>
      </c>
      <c r="AC70">
        <f t="shared" ca="1" si="19"/>
        <v>3</v>
      </c>
      <c r="AD70">
        <f t="shared" ca="1" si="19"/>
        <v>2</v>
      </c>
      <c r="AE70">
        <f t="shared" ca="1" si="19"/>
        <v>6</v>
      </c>
      <c r="AF70">
        <f t="shared" ca="1" si="22"/>
        <v>4</v>
      </c>
      <c r="AG70">
        <f t="shared" ca="1" si="22"/>
        <v>5</v>
      </c>
      <c r="AH70">
        <f t="shared" ca="1" si="22"/>
        <v>1</v>
      </c>
      <c r="AI70">
        <f t="shared" ca="1" si="22"/>
        <v>3</v>
      </c>
      <c r="AJ70">
        <f t="shared" ca="1" si="22"/>
        <v>3</v>
      </c>
      <c r="AK70">
        <f t="shared" ca="1" si="22"/>
        <v>6</v>
      </c>
      <c r="AL70">
        <f t="shared" ca="1" si="22"/>
        <v>2</v>
      </c>
      <c r="AM70">
        <f t="shared" ca="1" si="22"/>
        <v>2</v>
      </c>
      <c r="AN70">
        <f t="shared" ca="1" si="22"/>
        <v>4</v>
      </c>
      <c r="AO70">
        <f t="shared" ca="1" si="22"/>
        <v>2</v>
      </c>
      <c r="AP70">
        <f t="shared" ca="1" si="22"/>
        <v>1</v>
      </c>
      <c r="AQ70">
        <f t="shared" ca="1" si="22"/>
        <v>3</v>
      </c>
      <c r="AR70">
        <f t="shared" ca="1" si="22"/>
        <v>3</v>
      </c>
      <c r="AS70">
        <f t="shared" ca="1" si="22"/>
        <v>6</v>
      </c>
      <c r="AT70">
        <f t="shared" ca="1" si="22"/>
        <v>6</v>
      </c>
      <c r="AU70">
        <f t="shared" ca="1" si="22"/>
        <v>4</v>
      </c>
      <c r="AV70">
        <f t="shared" ca="1" si="21"/>
        <v>6</v>
      </c>
      <c r="AW70">
        <f t="shared" ca="1" si="21"/>
        <v>3</v>
      </c>
      <c r="AX70">
        <f t="shared" ca="1" si="21"/>
        <v>3</v>
      </c>
    </row>
    <row r="71" spans="1:50" x14ac:dyDescent="0.2">
      <c r="A71">
        <f t="shared" ca="1" si="20"/>
        <v>6</v>
      </c>
      <c r="B71">
        <f t="shared" ca="1" si="20"/>
        <v>3</v>
      </c>
      <c r="C71">
        <f t="shared" ca="1" si="20"/>
        <v>5</v>
      </c>
      <c r="D71">
        <f t="shared" ca="1" si="20"/>
        <v>3</v>
      </c>
      <c r="E71">
        <f t="shared" ca="1" si="20"/>
        <v>3</v>
      </c>
      <c r="F71">
        <f t="shared" ca="1" si="20"/>
        <v>2</v>
      </c>
      <c r="G71">
        <f t="shared" ca="1" si="20"/>
        <v>2</v>
      </c>
      <c r="H71">
        <f t="shared" ca="1" si="20"/>
        <v>3</v>
      </c>
      <c r="I71">
        <f t="shared" ca="1" si="20"/>
        <v>2</v>
      </c>
      <c r="J71">
        <f t="shared" ca="1" si="20"/>
        <v>2</v>
      </c>
      <c r="K71">
        <f t="shared" ca="1" si="20"/>
        <v>3</v>
      </c>
      <c r="L71">
        <f t="shared" ca="1" si="20"/>
        <v>1</v>
      </c>
      <c r="M71">
        <f t="shared" ca="1" si="20"/>
        <v>3</v>
      </c>
      <c r="N71">
        <f t="shared" ca="1" si="20"/>
        <v>6</v>
      </c>
      <c r="O71">
        <f t="shared" ca="1" si="20"/>
        <v>6</v>
      </c>
      <c r="P71">
        <f t="shared" ca="1" si="20"/>
        <v>1</v>
      </c>
      <c r="Q71">
        <f t="shared" ca="1" si="19"/>
        <v>6</v>
      </c>
      <c r="R71">
        <f t="shared" ca="1" si="19"/>
        <v>3</v>
      </c>
      <c r="S71">
        <f t="shared" ca="1" si="19"/>
        <v>5</v>
      </c>
      <c r="T71">
        <f t="shared" ca="1" si="19"/>
        <v>1</v>
      </c>
      <c r="U71">
        <f t="shared" ca="1" si="19"/>
        <v>5</v>
      </c>
      <c r="V71">
        <f t="shared" ca="1" si="19"/>
        <v>5</v>
      </c>
      <c r="W71">
        <f t="shared" ca="1" si="19"/>
        <v>5</v>
      </c>
      <c r="X71">
        <f t="shared" ca="1" si="19"/>
        <v>1</v>
      </c>
      <c r="Y71">
        <f t="shared" ca="1" si="19"/>
        <v>2</v>
      </c>
      <c r="Z71">
        <f t="shared" ca="1" si="19"/>
        <v>3</v>
      </c>
      <c r="AA71">
        <f t="shared" ca="1" si="19"/>
        <v>2</v>
      </c>
      <c r="AB71">
        <f t="shared" ca="1" si="19"/>
        <v>1</v>
      </c>
      <c r="AC71">
        <f t="shared" ca="1" si="19"/>
        <v>1</v>
      </c>
      <c r="AD71">
        <f t="shared" ca="1" si="19"/>
        <v>5</v>
      </c>
      <c r="AE71">
        <f t="shared" ca="1" si="19"/>
        <v>1</v>
      </c>
      <c r="AF71">
        <f t="shared" ca="1" si="22"/>
        <v>2</v>
      </c>
      <c r="AG71">
        <f t="shared" ca="1" si="22"/>
        <v>2</v>
      </c>
      <c r="AH71">
        <f t="shared" ca="1" si="22"/>
        <v>2</v>
      </c>
      <c r="AI71">
        <f t="shared" ca="1" si="22"/>
        <v>3</v>
      </c>
      <c r="AJ71">
        <f t="shared" ca="1" si="22"/>
        <v>1</v>
      </c>
      <c r="AK71">
        <f t="shared" ca="1" si="22"/>
        <v>2</v>
      </c>
      <c r="AL71">
        <f t="shared" ca="1" si="22"/>
        <v>2</v>
      </c>
      <c r="AM71">
        <f t="shared" ca="1" si="22"/>
        <v>5</v>
      </c>
      <c r="AN71">
        <f t="shared" ca="1" si="22"/>
        <v>4</v>
      </c>
      <c r="AO71">
        <f t="shared" ca="1" si="22"/>
        <v>6</v>
      </c>
      <c r="AP71">
        <f t="shared" ca="1" si="22"/>
        <v>6</v>
      </c>
      <c r="AQ71">
        <f t="shared" ca="1" si="22"/>
        <v>6</v>
      </c>
      <c r="AR71">
        <f t="shared" ca="1" si="22"/>
        <v>3</v>
      </c>
      <c r="AS71">
        <f t="shared" ca="1" si="22"/>
        <v>5</v>
      </c>
      <c r="AT71">
        <f t="shared" ca="1" si="22"/>
        <v>1</v>
      </c>
      <c r="AU71">
        <f t="shared" ca="1" si="22"/>
        <v>5</v>
      </c>
      <c r="AV71">
        <f t="shared" ca="1" si="21"/>
        <v>4</v>
      </c>
      <c r="AW71">
        <f t="shared" ca="1" si="21"/>
        <v>1</v>
      </c>
      <c r="AX71">
        <f t="shared" ca="1" si="21"/>
        <v>3</v>
      </c>
    </row>
    <row r="72" spans="1:50" x14ac:dyDescent="0.2">
      <c r="A72">
        <f t="shared" ca="1" si="20"/>
        <v>3</v>
      </c>
      <c r="B72">
        <f t="shared" ca="1" si="20"/>
        <v>6</v>
      </c>
      <c r="C72">
        <f t="shared" ca="1" si="20"/>
        <v>3</v>
      </c>
      <c r="D72">
        <f t="shared" ca="1" si="20"/>
        <v>6</v>
      </c>
      <c r="E72">
        <f t="shared" ca="1" si="20"/>
        <v>5</v>
      </c>
      <c r="F72">
        <f t="shared" ca="1" si="20"/>
        <v>4</v>
      </c>
      <c r="G72">
        <f t="shared" ca="1" si="20"/>
        <v>2</v>
      </c>
      <c r="H72">
        <f t="shared" ca="1" si="20"/>
        <v>1</v>
      </c>
      <c r="I72">
        <f t="shared" ca="1" si="20"/>
        <v>3</v>
      </c>
      <c r="J72">
        <f t="shared" ca="1" si="20"/>
        <v>1</v>
      </c>
      <c r="K72">
        <f t="shared" ca="1" si="20"/>
        <v>6</v>
      </c>
      <c r="L72">
        <f t="shared" ca="1" si="20"/>
        <v>4</v>
      </c>
      <c r="M72">
        <f t="shared" ca="1" si="20"/>
        <v>3</v>
      </c>
      <c r="N72">
        <f t="shared" ca="1" si="20"/>
        <v>6</v>
      </c>
      <c r="O72">
        <f t="shared" ca="1" si="20"/>
        <v>2</v>
      </c>
      <c r="P72">
        <f t="shared" ca="1" si="20"/>
        <v>6</v>
      </c>
      <c r="Q72">
        <f t="shared" ca="1" si="19"/>
        <v>6</v>
      </c>
      <c r="R72">
        <f t="shared" ca="1" si="19"/>
        <v>1</v>
      </c>
      <c r="S72">
        <f t="shared" ca="1" si="19"/>
        <v>4</v>
      </c>
      <c r="T72">
        <f t="shared" ca="1" si="19"/>
        <v>3</v>
      </c>
      <c r="U72">
        <f t="shared" ca="1" si="19"/>
        <v>1</v>
      </c>
      <c r="V72">
        <f t="shared" ca="1" si="19"/>
        <v>6</v>
      </c>
      <c r="W72">
        <f t="shared" ca="1" si="19"/>
        <v>2</v>
      </c>
      <c r="X72">
        <f t="shared" ca="1" si="19"/>
        <v>2</v>
      </c>
      <c r="Y72">
        <f t="shared" ca="1" si="19"/>
        <v>6</v>
      </c>
      <c r="Z72">
        <f t="shared" ca="1" si="19"/>
        <v>4</v>
      </c>
      <c r="AA72">
        <f t="shared" ca="1" si="19"/>
        <v>2</v>
      </c>
      <c r="AB72">
        <f t="shared" ca="1" si="19"/>
        <v>6</v>
      </c>
      <c r="AC72">
        <f t="shared" ca="1" si="19"/>
        <v>4</v>
      </c>
      <c r="AD72">
        <f t="shared" ca="1" si="19"/>
        <v>5</v>
      </c>
      <c r="AE72">
        <f t="shared" ca="1" si="19"/>
        <v>3</v>
      </c>
      <c r="AF72">
        <f t="shared" ca="1" si="22"/>
        <v>4</v>
      </c>
      <c r="AG72">
        <f t="shared" ca="1" si="22"/>
        <v>1</v>
      </c>
      <c r="AH72">
        <f t="shared" ca="1" si="22"/>
        <v>2</v>
      </c>
      <c r="AI72">
        <f t="shared" ca="1" si="22"/>
        <v>5</v>
      </c>
      <c r="AJ72">
        <f t="shared" ca="1" si="22"/>
        <v>5</v>
      </c>
      <c r="AK72">
        <f t="shared" ca="1" si="22"/>
        <v>4</v>
      </c>
      <c r="AL72">
        <f t="shared" ca="1" si="22"/>
        <v>4</v>
      </c>
      <c r="AM72">
        <f t="shared" ca="1" si="22"/>
        <v>2</v>
      </c>
      <c r="AN72">
        <f t="shared" ca="1" si="22"/>
        <v>6</v>
      </c>
      <c r="AO72">
        <f t="shared" ca="1" si="22"/>
        <v>6</v>
      </c>
      <c r="AP72">
        <f t="shared" ca="1" si="22"/>
        <v>5</v>
      </c>
      <c r="AQ72">
        <f t="shared" ca="1" si="22"/>
        <v>6</v>
      </c>
      <c r="AR72">
        <f t="shared" ca="1" si="22"/>
        <v>2</v>
      </c>
      <c r="AS72">
        <f t="shared" ca="1" si="22"/>
        <v>5</v>
      </c>
      <c r="AT72">
        <f t="shared" ca="1" si="22"/>
        <v>5</v>
      </c>
      <c r="AU72">
        <f t="shared" ca="1" si="22"/>
        <v>1</v>
      </c>
      <c r="AV72">
        <f t="shared" ca="1" si="21"/>
        <v>6</v>
      </c>
      <c r="AW72">
        <f t="shared" ca="1" si="21"/>
        <v>3</v>
      </c>
      <c r="AX72">
        <f t="shared" ca="1" si="21"/>
        <v>5</v>
      </c>
    </row>
    <row r="73" spans="1:50" x14ac:dyDescent="0.2">
      <c r="A73">
        <f t="shared" ca="1" si="20"/>
        <v>2</v>
      </c>
      <c r="B73">
        <f t="shared" ca="1" si="20"/>
        <v>2</v>
      </c>
      <c r="C73">
        <f t="shared" ca="1" si="20"/>
        <v>5</v>
      </c>
      <c r="D73">
        <f t="shared" ca="1" si="20"/>
        <v>1</v>
      </c>
      <c r="E73">
        <f t="shared" ca="1" si="20"/>
        <v>2</v>
      </c>
      <c r="F73">
        <f t="shared" ca="1" si="20"/>
        <v>2</v>
      </c>
      <c r="G73">
        <f t="shared" ca="1" si="20"/>
        <v>1</v>
      </c>
      <c r="H73">
        <f t="shared" ca="1" si="20"/>
        <v>2</v>
      </c>
      <c r="I73">
        <f t="shared" ca="1" si="20"/>
        <v>5</v>
      </c>
      <c r="J73">
        <f t="shared" ca="1" si="20"/>
        <v>6</v>
      </c>
      <c r="K73">
        <f t="shared" ca="1" si="20"/>
        <v>5</v>
      </c>
      <c r="L73">
        <f t="shared" ca="1" si="20"/>
        <v>5</v>
      </c>
      <c r="M73">
        <f t="shared" ca="1" si="20"/>
        <v>3</v>
      </c>
      <c r="N73">
        <f t="shared" ca="1" si="20"/>
        <v>4</v>
      </c>
      <c r="O73">
        <f t="shared" ca="1" si="20"/>
        <v>5</v>
      </c>
      <c r="P73">
        <f t="shared" ca="1" si="20"/>
        <v>1</v>
      </c>
      <c r="Q73">
        <f t="shared" ca="1" si="19"/>
        <v>2</v>
      </c>
      <c r="R73">
        <f t="shared" ca="1" si="19"/>
        <v>2</v>
      </c>
      <c r="S73">
        <f t="shared" ca="1" si="19"/>
        <v>4</v>
      </c>
      <c r="T73">
        <f t="shared" ca="1" si="19"/>
        <v>6</v>
      </c>
      <c r="U73">
        <f t="shared" ca="1" si="19"/>
        <v>2</v>
      </c>
      <c r="V73">
        <f t="shared" ca="1" si="19"/>
        <v>2</v>
      </c>
      <c r="W73">
        <f t="shared" ca="1" si="19"/>
        <v>3</v>
      </c>
      <c r="X73">
        <f t="shared" ca="1" si="19"/>
        <v>1</v>
      </c>
      <c r="Y73">
        <f t="shared" ca="1" si="19"/>
        <v>5</v>
      </c>
      <c r="Z73">
        <f t="shared" ca="1" si="19"/>
        <v>2</v>
      </c>
      <c r="AA73">
        <f t="shared" ca="1" si="19"/>
        <v>1</v>
      </c>
      <c r="AB73">
        <f t="shared" ca="1" si="19"/>
        <v>6</v>
      </c>
      <c r="AC73">
        <f t="shared" ca="1" si="19"/>
        <v>3</v>
      </c>
      <c r="AD73">
        <f t="shared" ca="1" si="19"/>
        <v>2</v>
      </c>
      <c r="AE73">
        <f t="shared" ca="1" si="19"/>
        <v>3</v>
      </c>
      <c r="AF73">
        <f t="shared" ca="1" si="22"/>
        <v>6</v>
      </c>
      <c r="AG73">
        <f t="shared" ca="1" si="22"/>
        <v>4</v>
      </c>
      <c r="AH73">
        <f t="shared" ca="1" si="22"/>
        <v>6</v>
      </c>
      <c r="AI73">
        <f t="shared" ca="1" si="22"/>
        <v>6</v>
      </c>
      <c r="AJ73">
        <f t="shared" ca="1" si="22"/>
        <v>5</v>
      </c>
      <c r="AK73">
        <f t="shared" ca="1" si="22"/>
        <v>4</v>
      </c>
      <c r="AL73">
        <f t="shared" ca="1" si="22"/>
        <v>1</v>
      </c>
      <c r="AM73">
        <f t="shared" ca="1" si="22"/>
        <v>5</v>
      </c>
      <c r="AN73">
        <f t="shared" ca="1" si="22"/>
        <v>2</v>
      </c>
      <c r="AO73">
        <f t="shared" ca="1" si="22"/>
        <v>5</v>
      </c>
      <c r="AP73">
        <f t="shared" ca="1" si="22"/>
        <v>1</v>
      </c>
      <c r="AQ73">
        <f t="shared" ca="1" si="22"/>
        <v>4</v>
      </c>
      <c r="AR73">
        <f t="shared" ca="1" si="22"/>
        <v>6</v>
      </c>
      <c r="AS73">
        <f t="shared" ca="1" si="22"/>
        <v>4</v>
      </c>
      <c r="AT73">
        <f t="shared" ca="1" si="22"/>
        <v>6</v>
      </c>
      <c r="AU73">
        <f t="shared" ca="1" si="22"/>
        <v>1</v>
      </c>
      <c r="AV73">
        <f t="shared" ca="1" si="21"/>
        <v>4</v>
      </c>
      <c r="AW73">
        <f t="shared" ca="1" si="21"/>
        <v>6</v>
      </c>
      <c r="AX73">
        <f t="shared" ca="1" si="21"/>
        <v>1</v>
      </c>
    </row>
    <row r="74" spans="1:50" x14ac:dyDescent="0.2">
      <c r="A74">
        <f t="shared" ca="1" si="20"/>
        <v>5</v>
      </c>
      <c r="B74">
        <f t="shared" ca="1" si="20"/>
        <v>4</v>
      </c>
      <c r="C74">
        <f t="shared" ca="1" si="20"/>
        <v>1</v>
      </c>
      <c r="D74">
        <f t="shared" ca="1" si="20"/>
        <v>5</v>
      </c>
      <c r="E74">
        <f t="shared" ca="1" si="20"/>
        <v>3</v>
      </c>
      <c r="F74">
        <f t="shared" ca="1" si="20"/>
        <v>6</v>
      </c>
      <c r="G74">
        <f t="shared" ca="1" si="20"/>
        <v>3</v>
      </c>
      <c r="H74">
        <f t="shared" ca="1" si="20"/>
        <v>3</v>
      </c>
      <c r="I74">
        <f t="shared" ca="1" si="20"/>
        <v>3</v>
      </c>
      <c r="J74">
        <f t="shared" ca="1" si="20"/>
        <v>1</v>
      </c>
      <c r="K74">
        <f t="shared" ca="1" si="20"/>
        <v>2</v>
      </c>
      <c r="L74">
        <f t="shared" ca="1" si="20"/>
        <v>3</v>
      </c>
      <c r="M74">
        <f t="shared" ca="1" si="20"/>
        <v>3</v>
      </c>
      <c r="N74">
        <f t="shared" ca="1" si="20"/>
        <v>1</v>
      </c>
      <c r="O74">
        <f t="shared" ca="1" si="20"/>
        <v>3</v>
      </c>
      <c r="P74">
        <f t="shared" ca="1" si="20"/>
        <v>1</v>
      </c>
      <c r="Q74">
        <f t="shared" ca="1" si="19"/>
        <v>3</v>
      </c>
      <c r="R74">
        <f t="shared" ca="1" si="19"/>
        <v>3</v>
      </c>
      <c r="S74">
        <f t="shared" ca="1" si="19"/>
        <v>6</v>
      </c>
      <c r="T74">
        <f t="shared" ca="1" si="19"/>
        <v>6</v>
      </c>
      <c r="U74">
        <f t="shared" ca="1" si="19"/>
        <v>3</v>
      </c>
      <c r="V74">
        <f t="shared" ca="1" si="19"/>
        <v>5</v>
      </c>
      <c r="W74">
        <f t="shared" ca="1" si="19"/>
        <v>5</v>
      </c>
      <c r="X74">
        <f t="shared" ca="1" si="19"/>
        <v>2</v>
      </c>
      <c r="Y74">
        <f t="shared" ca="1" si="19"/>
        <v>6</v>
      </c>
      <c r="Z74">
        <f t="shared" ca="1" si="19"/>
        <v>1</v>
      </c>
      <c r="AA74">
        <f t="shared" ca="1" si="19"/>
        <v>5</v>
      </c>
      <c r="AB74">
        <f t="shared" ca="1" si="19"/>
        <v>5</v>
      </c>
      <c r="AC74">
        <f t="shared" ca="1" si="19"/>
        <v>2</v>
      </c>
      <c r="AD74">
        <f t="shared" ca="1" si="19"/>
        <v>4</v>
      </c>
      <c r="AE74">
        <f t="shared" ca="1" si="19"/>
        <v>5</v>
      </c>
      <c r="AF74">
        <f t="shared" ca="1" si="22"/>
        <v>6</v>
      </c>
      <c r="AG74">
        <f t="shared" ca="1" si="22"/>
        <v>1</v>
      </c>
      <c r="AH74">
        <f t="shared" ca="1" si="22"/>
        <v>6</v>
      </c>
      <c r="AI74">
        <f t="shared" ca="1" si="22"/>
        <v>4</v>
      </c>
      <c r="AJ74">
        <f t="shared" ca="1" si="22"/>
        <v>2</v>
      </c>
      <c r="AK74">
        <f t="shared" ca="1" si="22"/>
        <v>6</v>
      </c>
      <c r="AL74">
        <f t="shared" ca="1" si="22"/>
        <v>6</v>
      </c>
      <c r="AM74">
        <f t="shared" ca="1" si="22"/>
        <v>4</v>
      </c>
      <c r="AN74">
        <f t="shared" ca="1" si="22"/>
        <v>6</v>
      </c>
      <c r="AO74">
        <f t="shared" ca="1" si="22"/>
        <v>3</v>
      </c>
      <c r="AP74">
        <f t="shared" ca="1" si="22"/>
        <v>3</v>
      </c>
      <c r="AQ74">
        <f t="shared" ca="1" si="22"/>
        <v>1</v>
      </c>
      <c r="AR74">
        <f t="shared" ca="1" si="22"/>
        <v>6</v>
      </c>
      <c r="AS74">
        <f t="shared" ca="1" si="22"/>
        <v>1</v>
      </c>
      <c r="AT74">
        <f t="shared" ca="1" si="22"/>
        <v>2</v>
      </c>
      <c r="AU74">
        <f t="shared" ca="1" si="22"/>
        <v>4</v>
      </c>
      <c r="AV74">
        <f t="shared" ca="1" si="21"/>
        <v>4</v>
      </c>
      <c r="AW74">
        <f t="shared" ca="1" si="21"/>
        <v>5</v>
      </c>
      <c r="AX74">
        <f t="shared" ca="1" si="21"/>
        <v>1</v>
      </c>
    </row>
    <row r="75" spans="1:50" x14ac:dyDescent="0.2">
      <c r="A75">
        <f t="shared" ca="1" si="20"/>
        <v>5</v>
      </c>
      <c r="B75">
        <f t="shared" ca="1" si="20"/>
        <v>2</v>
      </c>
      <c r="C75">
        <f t="shared" ca="1" si="20"/>
        <v>3</v>
      </c>
      <c r="D75">
        <f t="shared" ca="1" si="20"/>
        <v>5</v>
      </c>
      <c r="E75">
        <f t="shared" ca="1" si="20"/>
        <v>4</v>
      </c>
      <c r="F75">
        <f t="shared" ca="1" si="20"/>
        <v>1</v>
      </c>
      <c r="G75">
        <f t="shared" ca="1" si="20"/>
        <v>1</v>
      </c>
      <c r="H75">
        <f t="shared" ca="1" si="20"/>
        <v>3</v>
      </c>
      <c r="I75">
        <f t="shared" ca="1" si="20"/>
        <v>6</v>
      </c>
      <c r="J75">
        <f t="shared" ca="1" si="20"/>
        <v>3</v>
      </c>
      <c r="K75">
        <f t="shared" ca="1" si="20"/>
        <v>6</v>
      </c>
      <c r="L75">
        <f t="shared" ca="1" si="20"/>
        <v>2</v>
      </c>
      <c r="M75">
        <f t="shared" ca="1" si="20"/>
        <v>1</v>
      </c>
      <c r="N75">
        <f t="shared" ca="1" si="20"/>
        <v>6</v>
      </c>
      <c r="O75">
        <f t="shared" ca="1" si="20"/>
        <v>2</v>
      </c>
      <c r="P75">
        <f t="shared" ca="1" si="20"/>
        <v>1</v>
      </c>
      <c r="Q75">
        <f t="shared" ca="1" si="19"/>
        <v>5</v>
      </c>
      <c r="R75">
        <f t="shared" ca="1" si="19"/>
        <v>6</v>
      </c>
      <c r="S75">
        <f t="shared" ca="1" si="19"/>
        <v>6</v>
      </c>
      <c r="T75">
        <f t="shared" ca="1" si="19"/>
        <v>2</v>
      </c>
      <c r="U75">
        <f t="shared" ca="1" si="19"/>
        <v>1</v>
      </c>
      <c r="V75">
        <f t="shared" ca="1" si="19"/>
        <v>3</v>
      </c>
      <c r="W75">
        <f t="shared" ca="1" si="19"/>
        <v>5</v>
      </c>
      <c r="X75">
        <f t="shared" ca="1" si="19"/>
        <v>6</v>
      </c>
      <c r="Y75">
        <f t="shared" ca="1" si="19"/>
        <v>6</v>
      </c>
      <c r="Z75">
        <f t="shared" ca="1" si="19"/>
        <v>1</v>
      </c>
      <c r="AA75">
        <f t="shared" ca="1" si="19"/>
        <v>4</v>
      </c>
      <c r="AB75">
        <f t="shared" ca="1" si="19"/>
        <v>4</v>
      </c>
      <c r="AC75">
        <f t="shared" ca="1" si="19"/>
        <v>1</v>
      </c>
      <c r="AD75">
        <f t="shared" ca="1" si="19"/>
        <v>5</v>
      </c>
      <c r="AE75">
        <f t="shared" ca="1" si="19"/>
        <v>5</v>
      </c>
      <c r="AF75">
        <f t="shared" ca="1" si="22"/>
        <v>6</v>
      </c>
      <c r="AG75">
        <f t="shared" ca="1" si="22"/>
        <v>4</v>
      </c>
      <c r="AH75">
        <f t="shared" ca="1" si="22"/>
        <v>6</v>
      </c>
      <c r="AI75">
        <f t="shared" ca="1" si="22"/>
        <v>5</v>
      </c>
      <c r="AJ75">
        <f t="shared" ca="1" si="22"/>
        <v>2</v>
      </c>
      <c r="AK75">
        <f t="shared" ca="1" si="22"/>
        <v>4</v>
      </c>
      <c r="AL75">
        <f t="shared" ca="1" si="22"/>
        <v>1</v>
      </c>
      <c r="AM75">
        <f t="shared" ca="1" si="22"/>
        <v>2</v>
      </c>
      <c r="AN75">
        <f t="shared" ca="1" si="22"/>
        <v>2</v>
      </c>
      <c r="AO75">
        <f t="shared" ca="1" si="22"/>
        <v>3</v>
      </c>
      <c r="AP75">
        <f t="shared" ca="1" si="22"/>
        <v>5</v>
      </c>
      <c r="AQ75">
        <f t="shared" ca="1" si="22"/>
        <v>1</v>
      </c>
      <c r="AR75">
        <f t="shared" ca="1" si="22"/>
        <v>6</v>
      </c>
      <c r="AS75">
        <f t="shared" ca="1" si="22"/>
        <v>5</v>
      </c>
      <c r="AT75">
        <f t="shared" ca="1" si="22"/>
        <v>1</v>
      </c>
      <c r="AU75">
        <f t="shared" ca="1" si="22"/>
        <v>6</v>
      </c>
      <c r="AV75">
        <f t="shared" ca="1" si="21"/>
        <v>4</v>
      </c>
      <c r="AW75">
        <f t="shared" ca="1" si="21"/>
        <v>3</v>
      </c>
      <c r="AX75">
        <f t="shared" ca="1" si="21"/>
        <v>1</v>
      </c>
    </row>
    <row r="76" spans="1:50" x14ac:dyDescent="0.2">
      <c r="A76">
        <f ca="1">RANDBETWEEN(1,6)</f>
        <v>5</v>
      </c>
      <c r="B76">
        <f t="shared" ca="1" si="20"/>
        <v>3</v>
      </c>
      <c r="C76">
        <f t="shared" ca="1" si="20"/>
        <v>1</v>
      </c>
      <c r="D76">
        <f t="shared" ca="1" si="20"/>
        <v>3</v>
      </c>
      <c r="E76">
        <f t="shared" ca="1" si="20"/>
        <v>4</v>
      </c>
      <c r="F76">
        <f t="shared" ca="1" si="20"/>
        <v>4</v>
      </c>
      <c r="G76">
        <f t="shared" ca="1" si="20"/>
        <v>2</v>
      </c>
      <c r="H76">
        <f t="shared" ca="1" si="20"/>
        <v>4</v>
      </c>
      <c r="I76">
        <f t="shared" ca="1" si="20"/>
        <v>1</v>
      </c>
      <c r="J76">
        <f t="shared" ca="1" si="20"/>
        <v>1</v>
      </c>
      <c r="K76">
        <f t="shared" ca="1" si="20"/>
        <v>1</v>
      </c>
      <c r="L76">
        <f t="shared" ca="1" si="20"/>
        <v>2</v>
      </c>
      <c r="M76">
        <f t="shared" ca="1" si="20"/>
        <v>2</v>
      </c>
      <c r="N76">
        <f t="shared" ca="1" si="20"/>
        <v>1</v>
      </c>
      <c r="O76">
        <f t="shared" ca="1" si="20"/>
        <v>2</v>
      </c>
      <c r="P76">
        <f t="shared" ca="1" si="20"/>
        <v>2</v>
      </c>
      <c r="Q76">
        <f t="shared" ca="1" si="19"/>
        <v>1</v>
      </c>
      <c r="R76">
        <f t="shared" ca="1" si="19"/>
        <v>2</v>
      </c>
      <c r="S76">
        <f t="shared" ca="1" si="19"/>
        <v>1</v>
      </c>
      <c r="T76">
        <f t="shared" ca="1" si="19"/>
        <v>6</v>
      </c>
      <c r="U76">
        <f t="shared" ca="1" si="19"/>
        <v>4</v>
      </c>
      <c r="V76">
        <f t="shared" ca="1" si="19"/>
        <v>5</v>
      </c>
      <c r="W76">
        <f t="shared" ca="1" si="19"/>
        <v>6</v>
      </c>
      <c r="X76">
        <f t="shared" ca="1" si="19"/>
        <v>2</v>
      </c>
      <c r="Y76">
        <f t="shared" ca="1" si="19"/>
        <v>5</v>
      </c>
      <c r="Z76">
        <f t="shared" ca="1" si="19"/>
        <v>1</v>
      </c>
      <c r="AA76">
        <f t="shared" ca="1" si="19"/>
        <v>2</v>
      </c>
      <c r="AB76">
        <f t="shared" ca="1" si="19"/>
        <v>2</v>
      </c>
      <c r="AC76">
        <f t="shared" ca="1" si="19"/>
        <v>3</v>
      </c>
      <c r="AD76">
        <f t="shared" ca="1" si="19"/>
        <v>6</v>
      </c>
      <c r="AE76">
        <f t="shared" ca="1" si="19"/>
        <v>2</v>
      </c>
      <c r="AF76">
        <f t="shared" ca="1" si="22"/>
        <v>3</v>
      </c>
      <c r="AG76">
        <f t="shared" ca="1" si="22"/>
        <v>4</v>
      </c>
      <c r="AH76">
        <f t="shared" ca="1" si="22"/>
        <v>3</v>
      </c>
      <c r="AI76">
        <f t="shared" ca="1" si="22"/>
        <v>5</v>
      </c>
      <c r="AJ76">
        <f t="shared" ca="1" si="22"/>
        <v>4</v>
      </c>
      <c r="AK76">
        <f t="shared" ca="1" si="22"/>
        <v>1</v>
      </c>
      <c r="AL76">
        <f t="shared" ca="1" si="22"/>
        <v>4</v>
      </c>
      <c r="AM76">
        <f t="shared" ca="1" si="22"/>
        <v>2</v>
      </c>
      <c r="AN76">
        <f t="shared" ca="1" si="22"/>
        <v>2</v>
      </c>
      <c r="AO76">
        <f t="shared" ca="1" si="22"/>
        <v>5</v>
      </c>
      <c r="AP76">
        <f t="shared" ca="1" si="22"/>
        <v>6</v>
      </c>
      <c r="AQ76">
        <f t="shared" ca="1" si="22"/>
        <v>1</v>
      </c>
      <c r="AR76">
        <f t="shared" ca="1" si="22"/>
        <v>4</v>
      </c>
      <c r="AS76">
        <f t="shared" ca="1" si="22"/>
        <v>4</v>
      </c>
      <c r="AT76">
        <f t="shared" ca="1" si="22"/>
        <v>1</v>
      </c>
      <c r="AU76">
        <f t="shared" ca="1" si="22"/>
        <v>5</v>
      </c>
      <c r="AV76">
        <f t="shared" ca="1" si="21"/>
        <v>1</v>
      </c>
      <c r="AW76">
        <f t="shared" ca="1" si="21"/>
        <v>1</v>
      </c>
      <c r="AX76">
        <f ca="1">RANDBETWEEN(1,6)</f>
        <v>4</v>
      </c>
    </row>
    <row r="77" spans="1:50" x14ac:dyDescent="0.2">
      <c r="A77">
        <f t="shared" ref="A77:P92" ca="1" si="23">RANDBETWEEN(1,6)</f>
        <v>6</v>
      </c>
      <c r="B77">
        <f t="shared" ca="1" si="20"/>
        <v>2</v>
      </c>
      <c r="C77">
        <f t="shared" ca="1" si="20"/>
        <v>4</v>
      </c>
      <c r="D77">
        <f t="shared" ca="1" si="20"/>
        <v>5</v>
      </c>
      <c r="E77">
        <f t="shared" ca="1" si="20"/>
        <v>1</v>
      </c>
      <c r="F77">
        <f t="shared" ca="1" si="20"/>
        <v>6</v>
      </c>
      <c r="G77">
        <f t="shared" ca="1" si="20"/>
        <v>5</v>
      </c>
      <c r="H77">
        <f t="shared" ca="1" si="20"/>
        <v>5</v>
      </c>
      <c r="I77">
        <f t="shared" ca="1" si="20"/>
        <v>6</v>
      </c>
      <c r="J77">
        <f t="shared" ca="1" si="20"/>
        <v>5</v>
      </c>
      <c r="K77">
        <f t="shared" ca="1" si="20"/>
        <v>1</v>
      </c>
      <c r="L77">
        <f t="shared" ca="1" si="20"/>
        <v>5</v>
      </c>
      <c r="M77">
        <f t="shared" ca="1" si="20"/>
        <v>6</v>
      </c>
      <c r="N77">
        <f t="shared" ca="1" si="20"/>
        <v>3</v>
      </c>
      <c r="O77">
        <f t="shared" ca="1" si="20"/>
        <v>5</v>
      </c>
      <c r="P77">
        <f t="shared" ca="1" si="20"/>
        <v>5</v>
      </c>
      <c r="Q77">
        <f t="shared" ref="Q77:AX84" ca="1" si="24">RANDBETWEEN(1,6)</f>
        <v>4</v>
      </c>
      <c r="R77">
        <f t="shared" ca="1" si="24"/>
        <v>5</v>
      </c>
      <c r="S77">
        <f t="shared" ca="1" si="24"/>
        <v>5</v>
      </c>
      <c r="T77">
        <f t="shared" ca="1" si="24"/>
        <v>3</v>
      </c>
      <c r="U77">
        <f t="shared" ca="1" si="24"/>
        <v>5</v>
      </c>
      <c r="V77">
        <f t="shared" ca="1" si="24"/>
        <v>6</v>
      </c>
      <c r="W77">
        <f t="shared" ca="1" si="24"/>
        <v>5</v>
      </c>
      <c r="X77">
        <f t="shared" ca="1" si="24"/>
        <v>1</v>
      </c>
      <c r="Y77">
        <f t="shared" ca="1" si="24"/>
        <v>2</v>
      </c>
      <c r="Z77">
        <f t="shared" ca="1" si="24"/>
        <v>5</v>
      </c>
      <c r="AA77">
        <f t="shared" ca="1" si="24"/>
        <v>2</v>
      </c>
      <c r="AB77">
        <f t="shared" ca="1" si="24"/>
        <v>4</v>
      </c>
      <c r="AC77">
        <f t="shared" ca="1" si="24"/>
        <v>4</v>
      </c>
      <c r="AD77">
        <f t="shared" ca="1" si="24"/>
        <v>3</v>
      </c>
      <c r="AE77">
        <f t="shared" ca="1" si="24"/>
        <v>3</v>
      </c>
      <c r="AF77">
        <f t="shared" ca="1" si="24"/>
        <v>2</v>
      </c>
      <c r="AG77">
        <f t="shared" ca="1" si="24"/>
        <v>6</v>
      </c>
      <c r="AH77">
        <f t="shared" ca="1" si="24"/>
        <v>3</v>
      </c>
      <c r="AI77">
        <f t="shared" ca="1" si="24"/>
        <v>4</v>
      </c>
      <c r="AJ77">
        <f t="shared" ca="1" si="24"/>
        <v>5</v>
      </c>
      <c r="AK77">
        <f t="shared" ca="1" si="24"/>
        <v>5</v>
      </c>
      <c r="AL77">
        <f t="shared" ca="1" si="24"/>
        <v>4</v>
      </c>
      <c r="AM77">
        <f t="shared" ca="1" si="24"/>
        <v>6</v>
      </c>
      <c r="AN77">
        <f t="shared" ca="1" si="24"/>
        <v>4</v>
      </c>
      <c r="AO77">
        <f t="shared" ca="1" si="24"/>
        <v>4</v>
      </c>
      <c r="AP77">
        <f t="shared" ca="1" si="24"/>
        <v>5</v>
      </c>
      <c r="AQ77">
        <f t="shared" ca="1" si="24"/>
        <v>3</v>
      </c>
      <c r="AR77">
        <f t="shared" ca="1" si="24"/>
        <v>1</v>
      </c>
      <c r="AS77">
        <f t="shared" ca="1" si="24"/>
        <v>5</v>
      </c>
      <c r="AT77">
        <f t="shared" ca="1" si="24"/>
        <v>5</v>
      </c>
      <c r="AU77">
        <f t="shared" ca="1" si="24"/>
        <v>6</v>
      </c>
      <c r="AV77">
        <f t="shared" ca="1" si="24"/>
        <v>5</v>
      </c>
      <c r="AW77">
        <f t="shared" ca="1" si="24"/>
        <v>3</v>
      </c>
      <c r="AX77">
        <f t="shared" ca="1" si="24"/>
        <v>1</v>
      </c>
    </row>
    <row r="78" spans="1:50" x14ac:dyDescent="0.2">
      <c r="A78">
        <f t="shared" ca="1" si="23"/>
        <v>2</v>
      </c>
      <c r="B78">
        <f t="shared" ca="1" si="23"/>
        <v>3</v>
      </c>
      <c r="C78">
        <f t="shared" ca="1" si="23"/>
        <v>6</v>
      </c>
      <c r="D78">
        <f t="shared" ca="1" si="23"/>
        <v>5</v>
      </c>
      <c r="E78">
        <f t="shared" ca="1" si="23"/>
        <v>1</v>
      </c>
      <c r="F78">
        <f t="shared" ca="1" si="23"/>
        <v>4</v>
      </c>
      <c r="G78">
        <f t="shared" ca="1" si="23"/>
        <v>3</v>
      </c>
      <c r="H78">
        <f t="shared" ca="1" si="23"/>
        <v>1</v>
      </c>
      <c r="I78">
        <f t="shared" ca="1" si="23"/>
        <v>6</v>
      </c>
      <c r="J78">
        <f t="shared" ca="1" si="23"/>
        <v>3</v>
      </c>
      <c r="K78">
        <f t="shared" ca="1" si="23"/>
        <v>2</v>
      </c>
      <c r="L78">
        <f t="shared" ca="1" si="23"/>
        <v>2</v>
      </c>
      <c r="M78">
        <f t="shared" ca="1" si="23"/>
        <v>4</v>
      </c>
      <c r="N78">
        <f t="shared" ca="1" si="23"/>
        <v>3</v>
      </c>
      <c r="O78">
        <f t="shared" ca="1" si="23"/>
        <v>4</v>
      </c>
      <c r="P78">
        <f t="shared" ca="1" si="23"/>
        <v>3</v>
      </c>
      <c r="Q78">
        <f t="shared" ca="1" si="24"/>
        <v>2</v>
      </c>
      <c r="R78">
        <f t="shared" ca="1" si="24"/>
        <v>3</v>
      </c>
      <c r="S78">
        <f t="shared" ca="1" si="24"/>
        <v>5</v>
      </c>
      <c r="T78">
        <f t="shared" ca="1" si="24"/>
        <v>1</v>
      </c>
      <c r="U78">
        <f t="shared" ca="1" si="24"/>
        <v>6</v>
      </c>
      <c r="V78">
        <f t="shared" ca="1" si="24"/>
        <v>4</v>
      </c>
      <c r="W78">
        <f t="shared" ca="1" si="24"/>
        <v>6</v>
      </c>
      <c r="X78">
        <f t="shared" ca="1" si="24"/>
        <v>3</v>
      </c>
      <c r="Y78">
        <f t="shared" ca="1" si="24"/>
        <v>4</v>
      </c>
      <c r="Z78">
        <f t="shared" ca="1" si="24"/>
        <v>6</v>
      </c>
      <c r="AA78">
        <f t="shared" ca="1" si="24"/>
        <v>3</v>
      </c>
      <c r="AB78">
        <f t="shared" ca="1" si="24"/>
        <v>2</v>
      </c>
      <c r="AC78">
        <f t="shared" ca="1" si="24"/>
        <v>6</v>
      </c>
      <c r="AD78">
        <f t="shared" ca="1" si="24"/>
        <v>1</v>
      </c>
      <c r="AE78">
        <f t="shared" ca="1" si="24"/>
        <v>1</v>
      </c>
      <c r="AF78">
        <f t="shared" ca="1" si="24"/>
        <v>5</v>
      </c>
      <c r="AG78">
        <f t="shared" ca="1" si="24"/>
        <v>5</v>
      </c>
      <c r="AH78">
        <f t="shared" ca="1" si="24"/>
        <v>2</v>
      </c>
      <c r="AI78">
        <f t="shared" ca="1" si="24"/>
        <v>2</v>
      </c>
      <c r="AJ78">
        <f t="shared" ca="1" si="24"/>
        <v>4</v>
      </c>
      <c r="AK78">
        <f t="shared" ca="1" si="24"/>
        <v>5</v>
      </c>
      <c r="AL78">
        <f t="shared" ca="1" si="24"/>
        <v>1</v>
      </c>
      <c r="AM78">
        <f t="shared" ca="1" si="24"/>
        <v>5</v>
      </c>
      <c r="AN78">
        <f t="shared" ca="1" si="24"/>
        <v>2</v>
      </c>
      <c r="AO78">
        <f t="shared" ca="1" si="24"/>
        <v>4</v>
      </c>
      <c r="AP78">
        <f t="shared" ca="1" si="24"/>
        <v>3</v>
      </c>
      <c r="AQ78">
        <f t="shared" ca="1" si="24"/>
        <v>1</v>
      </c>
      <c r="AR78">
        <f t="shared" ca="1" si="24"/>
        <v>5</v>
      </c>
      <c r="AS78">
        <f t="shared" ca="1" si="24"/>
        <v>5</v>
      </c>
      <c r="AT78">
        <f t="shared" ca="1" si="24"/>
        <v>4</v>
      </c>
      <c r="AU78">
        <f t="shared" ca="1" si="24"/>
        <v>6</v>
      </c>
      <c r="AV78">
        <f t="shared" ca="1" si="24"/>
        <v>1</v>
      </c>
      <c r="AW78">
        <f t="shared" ca="1" si="24"/>
        <v>4</v>
      </c>
      <c r="AX78">
        <f t="shared" ca="1" si="24"/>
        <v>1</v>
      </c>
    </row>
    <row r="79" spans="1:50" x14ac:dyDescent="0.2">
      <c r="A79">
        <f t="shared" ca="1" si="23"/>
        <v>5</v>
      </c>
      <c r="B79">
        <f t="shared" ca="1" si="23"/>
        <v>4</v>
      </c>
      <c r="C79">
        <f t="shared" ca="1" si="23"/>
        <v>1</v>
      </c>
      <c r="D79">
        <f t="shared" ca="1" si="23"/>
        <v>1</v>
      </c>
      <c r="E79">
        <f t="shared" ca="1" si="23"/>
        <v>3</v>
      </c>
      <c r="F79">
        <f t="shared" ca="1" si="23"/>
        <v>2</v>
      </c>
      <c r="G79">
        <f t="shared" ca="1" si="23"/>
        <v>5</v>
      </c>
      <c r="H79">
        <f t="shared" ca="1" si="23"/>
        <v>3</v>
      </c>
      <c r="I79">
        <f t="shared" ca="1" si="23"/>
        <v>2</v>
      </c>
      <c r="J79">
        <f t="shared" ca="1" si="23"/>
        <v>3</v>
      </c>
      <c r="K79">
        <f t="shared" ca="1" si="23"/>
        <v>5</v>
      </c>
      <c r="L79">
        <f t="shared" ca="1" si="23"/>
        <v>5</v>
      </c>
      <c r="M79">
        <f t="shared" ca="1" si="23"/>
        <v>5</v>
      </c>
      <c r="N79">
        <f t="shared" ca="1" si="23"/>
        <v>2</v>
      </c>
      <c r="O79">
        <f t="shared" ca="1" si="23"/>
        <v>4</v>
      </c>
      <c r="P79">
        <f t="shared" ca="1" si="23"/>
        <v>1</v>
      </c>
      <c r="Q79">
        <f t="shared" ca="1" si="24"/>
        <v>2</v>
      </c>
      <c r="R79">
        <f t="shared" ca="1" si="24"/>
        <v>2</v>
      </c>
      <c r="S79">
        <f t="shared" ca="1" si="24"/>
        <v>2</v>
      </c>
      <c r="T79">
        <f t="shared" ca="1" si="24"/>
        <v>6</v>
      </c>
      <c r="U79">
        <f t="shared" ca="1" si="24"/>
        <v>6</v>
      </c>
      <c r="V79">
        <f t="shared" ca="1" si="24"/>
        <v>4</v>
      </c>
      <c r="W79">
        <f t="shared" ca="1" si="24"/>
        <v>3</v>
      </c>
      <c r="X79">
        <f t="shared" ca="1" si="24"/>
        <v>1</v>
      </c>
      <c r="Y79">
        <f t="shared" ca="1" si="24"/>
        <v>1</v>
      </c>
      <c r="Z79">
        <f t="shared" ca="1" si="24"/>
        <v>2</v>
      </c>
      <c r="AA79">
        <f t="shared" ca="1" si="24"/>
        <v>2</v>
      </c>
      <c r="AB79">
        <f t="shared" ca="1" si="24"/>
        <v>5</v>
      </c>
      <c r="AC79">
        <f t="shared" ca="1" si="24"/>
        <v>1</v>
      </c>
      <c r="AD79">
        <f t="shared" ca="1" si="24"/>
        <v>5</v>
      </c>
      <c r="AE79">
        <f t="shared" ca="1" si="24"/>
        <v>2</v>
      </c>
      <c r="AF79">
        <f t="shared" ca="1" si="24"/>
        <v>1</v>
      </c>
      <c r="AG79">
        <f t="shared" ca="1" si="24"/>
        <v>5</v>
      </c>
      <c r="AH79">
        <f t="shared" ca="1" si="24"/>
        <v>3</v>
      </c>
      <c r="AI79">
        <f t="shared" ca="1" si="24"/>
        <v>3</v>
      </c>
      <c r="AJ79">
        <f t="shared" ca="1" si="24"/>
        <v>1</v>
      </c>
      <c r="AK79">
        <f t="shared" ca="1" si="24"/>
        <v>1</v>
      </c>
      <c r="AL79">
        <f t="shared" ca="1" si="24"/>
        <v>5</v>
      </c>
      <c r="AM79">
        <f t="shared" ca="1" si="24"/>
        <v>1</v>
      </c>
      <c r="AN79">
        <f t="shared" ca="1" si="24"/>
        <v>6</v>
      </c>
      <c r="AO79">
        <f t="shared" ca="1" si="24"/>
        <v>4</v>
      </c>
      <c r="AP79">
        <f t="shared" ca="1" si="24"/>
        <v>1</v>
      </c>
      <c r="AQ79">
        <f t="shared" ca="1" si="24"/>
        <v>3</v>
      </c>
      <c r="AR79">
        <f t="shared" ca="1" si="24"/>
        <v>4</v>
      </c>
      <c r="AS79">
        <f t="shared" ca="1" si="24"/>
        <v>6</v>
      </c>
      <c r="AT79">
        <f t="shared" ca="1" si="24"/>
        <v>3</v>
      </c>
      <c r="AU79">
        <f t="shared" ca="1" si="24"/>
        <v>3</v>
      </c>
      <c r="AV79">
        <f t="shared" ca="1" si="24"/>
        <v>4</v>
      </c>
      <c r="AW79">
        <f t="shared" ca="1" si="24"/>
        <v>3</v>
      </c>
      <c r="AX79">
        <f t="shared" ca="1" si="24"/>
        <v>5</v>
      </c>
    </row>
    <row r="80" spans="1:50" x14ac:dyDescent="0.2">
      <c r="A80">
        <f t="shared" ca="1" si="23"/>
        <v>5</v>
      </c>
      <c r="B80">
        <f t="shared" ca="1" si="23"/>
        <v>5</v>
      </c>
      <c r="C80">
        <f t="shared" ca="1" si="23"/>
        <v>6</v>
      </c>
      <c r="D80">
        <f t="shared" ca="1" si="23"/>
        <v>4</v>
      </c>
      <c r="E80">
        <f t="shared" ca="1" si="23"/>
        <v>1</v>
      </c>
      <c r="F80">
        <f t="shared" ca="1" si="23"/>
        <v>3</v>
      </c>
      <c r="G80">
        <f t="shared" ca="1" si="23"/>
        <v>3</v>
      </c>
      <c r="H80">
        <f t="shared" ca="1" si="23"/>
        <v>4</v>
      </c>
      <c r="I80">
        <f t="shared" ca="1" si="23"/>
        <v>4</v>
      </c>
      <c r="J80">
        <f t="shared" ca="1" si="23"/>
        <v>5</v>
      </c>
      <c r="K80">
        <f t="shared" ca="1" si="23"/>
        <v>1</v>
      </c>
      <c r="L80">
        <f t="shared" ca="1" si="23"/>
        <v>6</v>
      </c>
      <c r="M80">
        <f t="shared" ca="1" si="23"/>
        <v>5</v>
      </c>
      <c r="N80">
        <f t="shared" ca="1" si="23"/>
        <v>5</v>
      </c>
      <c r="O80">
        <f t="shared" ca="1" si="23"/>
        <v>6</v>
      </c>
      <c r="P80">
        <f t="shared" ca="1" si="23"/>
        <v>1</v>
      </c>
      <c r="Q80">
        <f t="shared" ca="1" si="24"/>
        <v>4</v>
      </c>
      <c r="R80">
        <f t="shared" ca="1" si="24"/>
        <v>2</v>
      </c>
      <c r="S80">
        <f t="shared" ca="1" si="24"/>
        <v>5</v>
      </c>
      <c r="T80">
        <f t="shared" ca="1" si="24"/>
        <v>4</v>
      </c>
      <c r="U80">
        <f t="shared" ca="1" si="24"/>
        <v>5</v>
      </c>
      <c r="V80">
        <f t="shared" ca="1" si="24"/>
        <v>5</v>
      </c>
      <c r="W80">
        <f t="shared" ca="1" si="24"/>
        <v>1</v>
      </c>
      <c r="X80">
        <f t="shared" ca="1" si="24"/>
        <v>3</v>
      </c>
      <c r="Y80">
        <f t="shared" ca="1" si="24"/>
        <v>4</v>
      </c>
      <c r="Z80">
        <f t="shared" ca="1" si="24"/>
        <v>5</v>
      </c>
      <c r="AA80">
        <f t="shared" ca="1" si="24"/>
        <v>4</v>
      </c>
      <c r="AB80">
        <f t="shared" ca="1" si="24"/>
        <v>6</v>
      </c>
      <c r="AC80">
        <f t="shared" ca="1" si="24"/>
        <v>1</v>
      </c>
      <c r="AD80">
        <f t="shared" ca="1" si="24"/>
        <v>3</v>
      </c>
      <c r="AE80">
        <f t="shared" ca="1" si="24"/>
        <v>5</v>
      </c>
      <c r="AF80">
        <f t="shared" ca="1" si="24"/>
        <v>6</v>
      </c>
      <c r="AG80">
        <f t="shared" ca="1" si="24"/>
        <v>4</v>
      </c>
      <c r="AH80">
        <f t="shared" ca="1" si="24"/>
        <v>5</v>
      </c>
      <c r="AI80">
        <f t="shared" ca="1" si="24"/>
        <v>2</v>
      </c>
      <c r="AJ80">
        <f t="shared" ca="1" si="24"/>
        <v>2</v>
      </c>
      <c r="AK80">
        <f t="shared" ca="1" si="24"/>
        <v>6</v>
      </c>
      <c r="AL80">
        <f t="shared" ca="1" si="24"/>
        <v>5</v>
      </c>
      <c r="AM80">
        <f t="shared" ca="1" si="24"/>
        <v>6</v>
      </c>
      <c r="AN80">
        <f t="shared" ca="1" si="24"/>
        <v>4</v>
      </c>
      <c r="AO80">
        <f t="shared" ca="1" si="24"/>
        <v>3</v>
      </c>
      <c r="AP80">
        <f t="shared" ca="1" si="24"/>
        <v>3</v>
      </c>
      <c r="AQ80">
        <f t="shared" ca="1" si="24"/>
        <v>6</v>
      </c>
      <c r="AR80">
        <f t="shared" ca="1" si="24"/>
        <v>1</v>
      </c>
      <c r="AS80">
        <f t="shared" ca="1" si="24"/>
        <v>3</v>
      </c>
      <c r="AT80">
        <f t="shared" ca="1" si="24"/>
        <v>1</v>
      </c>
      <c r="AU80">
        <f t="shared" ca="1" si="24"/>
        <v>5</v>
      </c>
      <c r="AV80">
        <f t="shared" ca="1" si="24"/>
        <v>3</v>
      </c>
      <c r="AW80">
        <f t="shared" ca="1" si="24"/>
        <v>6</v>
      </c>
      <c r="AX80">
        <f t="shared" ca="1" si="24"/>
        <v>3</v>
      </c>
    </row>
    <row r="81" spans="1:50" x14ac:dyDescent="0.2">
      <c r="A81">
        <f t="shared" ca="1" si="23"/>
        <v>5</v>
      </c>
      <c r="B81">
        <f t="shared" ca="1" si="23"/>
        <v>4</v>
      </c>
      <c r="C81">
        <f t="shared" ca="1" si="23"/>
        <v>5</v>
      </c>
      <c r="D81">
        <f t="shared" ca="1" si="23"/>
        <v>3</v>
      </c>
      <c r="E81">
        <f t="shared" ca="1" si="23"/>
        <v>1</v>
      </c>
      <c r="F81">
        <f t="shared" ca="1" si="23"/>
        <v>6</v>
      </c>
      <c r="G81">
        <f t="shared" ca="1" si="23"/>
        <v>5</v>
      </c>
      <c r="H81">
        <f t="shared" ca="1" si="23"/>
        <v>2</v>
      </c>
      <c r="I81">
        <f t="shared" ca="1" si="23"/>
        <v>3</v>
      </c>
      <c r="J81">
        <f t="shared" ca="1" si="23"/>
        <v>5</v>
      </c>
      <c r="K81">
        <f t="shared" ca="1" si="23"/>
        <v>5</v>
      </c>
      <c r="L81">
        <f t="shared" ca="1" si="23"/>
        <v>6</v>
      </c>
      <c r="M81">
        <f t="shared" ca="1" si="23"/>
        <v>2</v>
      </c>
      <c r="N81">
        <f t="shared" ca="1" si="23"/>
        <v>4</v>
      </c>
      <c r="O81">
        <f t="shared" ca="1" si="23"/>
        <v>1</v>
      </c>
      <c r="P81">
        <f t="shared" ca="1" si="23"/>
        <v>5</v>
      </c>
      <c r="Q81">
        <f t="shared" ca="1" si="24"/>
        <v>1</v>
      </c>
      <c r="R81">
        <f t="shared" ca="1" si="24"/>
        <v>2</v>
      </c>
      <c r="S81">
        <f t="shared" ca="1" si="24"/>
        <v>1</v>
      </c>
      <c r="T81">
        <f t="shared" ca="1" si="24"/>
        <v>2</v>
      </c>
      <c r="U81">
        <f t="shared" ca="1" si="24"/>
        <v>1</v>
      </c>
      <c r="V81">
        <f t="shared" ca="1" si="24"/>
        <v>1</v>
      </c>
      <c r="W81">
        <f t="shared" ca="1" si="24"/>
        <v>5</v>
      </c>
      <c r="X81">
        <f t="shared" ca="1" si="24"/>
        <v>4</v>
      </c>
      <c r="Y81">
        <f t="shared" ca="1" si="24"/>
        <v>3</v>
      </c>
      <c r="Z81">
        <f t="shared" ca="1" si="24"/>
        <v>4</v>
      </c>
      <c r="AA81">
        <f t="shared" ca="1" si="24"/>
        <v>2</v>
      </c>
      <c r="AB81">
        <f t="shared" ca="1" si="24"/>
        <v>1</v>
      </c>
      <c r="AC81">
        <f t="shared" ca="1" si="24"/>
        <v>4</v>
      </c>
      <c r="AD81">
        <f t="shared" ca="1" si="24"/>
        <v>5</v>
      </c>
      <c r="AE81">
        <f t="shared" ca="1" si="24"/>
        <v>2</v>
      </c>
      <c r="AF81">
        <f t="shared" ca="1" si="24"/>
        <v>2</v>
      </c>
      <c r="AG81">
        <f t="shared" ca="1" si="24"/>
        <v>3</v>
      </c>
      <c r="AH81">
        <f t="shared" ca="1" si="24"/>
        <v>5</v>
      </c>
      <c r="AI81">
        <f t="shared" ca="1" si="24"/>
        <v>5</v>
      </c>
      <c r="AJ81">
        <f t="shared" ca="1" si="24"/>
        <v>4</v>
      </c>
      <c r="AK81">
        <f t="shared" ca="1" si="24"/>
        <v>6</v>
      </c>
      <c r="AL81">
        <f t="shared" ca="1" si="24"/>
        <v>1</v>
      </c>
      <c r="AM81">
        <f t="shared" ca="1" si="24"/>
        <v>6</v>
      </c>
      <c r="AN81">
        <f t="shared" ca="1" si="24"/>
        <v>3</v>
      </c>
      <c r="AO81">
        <f t="shared" ca="1" si="24"/>
        <v>6</v>
      </c>
      <c r="AP81">
        <f t="shared" ca="1" si="24"/>
        <v>3</v>
      </c>
      <c r="AQ81">
        <f t="shared" ca="1" si="24"/>
        <v>4</v>
      </c>
      <c r="AR81">
        <f t="shared" ca="1" si="24"/>
        <v>6</v>
      </c>
      <c r="AS81">
        <f t="shared" ca="1" si="24"/>
        <v>3</v>
      </c>
      <c r="AT81">
        <f t="shared" ca="1" si="24"/>
        <v>2</v>
      </c>
      <c r="AU81">
        <f t="shared" ca="1" si="24"/>
        <v>4</v>
      </c>
      <c r="AV81">
        <f t="shared" ca="1" si="24"/>
        <v>6</v>
      </c>
      <c r="AW81">
        <f t="shared" ca="1" si="24"/>
        <v>4</v>
      </c>
      <c r="AX81">
        <f t="shared" ca="1" si="24"/>
        <v>1</v>
      </c>
    </row>
    <row r="82" spans="1:50" x14ac:dyDescent="0.2">
      <c r="A82">
        <f t="shared" ca="1" si="23"/>
        <v>3</v>
      </c>
      <c r="B82">
        <f t="shared" ca="1" si="23"/>
        <v>1</v>
      </c>
      <c r="C82">
        <f t="shared" ca="1" si="23"/>
        <v>1</v>
      </c>
      <c r="D82">
        <f t="shared" ca="1" si="23"/>
        <v>2</v>
      </c>
      <c r="E82">
        <f t="shared" ca="1" si="23"/>
        <v>1</v>
      </c>
      <c r="F82">
        <f t="shared" ca="1" si="23"/>
        <v>5</v>
      </c>
      <c r="G82">
        <f t="shared" ca="1" si="23"/>
        <v>3</v>
      </c>
      <c r="H82">
        <f t="shared" ca="1" si="23"/>
        <v>1</v>
      </c>
      <c r="I82">
        <f t="shared" ca="1" si="23"/>
        <v>4</v>
      </c>
      <c r="J82">
        <f t="shared" ca="1" si="23"/>
        <v>3</v>
      </c>
      <c r="K82">
        <f t="shared" ca="1" si="23"/>
        <v>5</v>
      </c>
      <c r="L82">
        <f t="shared" ca="1" si="23"/>
        <v>5</v>
      </c>
      <c r="M82">
        <f t="shared" ca="1" si="23"/>
        <v>4</v>
      </c>
      <c r="N82">
        <f t="shared" ca="1" si="23"/>
        <v>1</v>
      </c>
      <c r="O82">
        <f t="shared" ca="1" si="23"/>
        <v>3</v>
      </c>
      <c r="P82">
        <f t="shared" ca="1" si="23"/>
        <v>1</v>
      </c>
      <c r="Q82">
        <f t="shared" ca="1" si="24"/>
        <v>1</v>
      </c>
      <c r="R82">
        <f t="shared" ca="1" si="24"/>
        <v>1</v>
      </c>
      <c r="S82">
        <f t="shared" ca="1" si="24"/>
        <v>1</v>
      </c>
      <c r="T82">
        <f t="shared" ca="1" si="24"/>
        <v>6</v>
      </c>
      <c r="U82">
        <f t="shared" ca="1" si="24"/>
        <v>3</v>
      </c>
      <c r="V82">
        <f t="shared" ca="1" si="24"/>
        <v>4</v>
      </c>
      <c r="W82">
        <f t="shared" ca="1" si="24"/>
        <v>2</v>
      </c>
      <c r="X82">
        <f t="shared" ca="1" si="24"/>
        <v>1</v>
      </c>
      <c r="Y82">
        <f t="shared" ca="1" si="24"/>
        <v>5</v>
      </c>
      <c r="Z82">
        <f t="shared" ca="1" si="24"/>
        <v>3</v>
      </c>
      <c r="AA82">
        <f t="shared" ca="1" si="24"/>
        <v>1</v>
      </c>
      <c r="AB82">
        <f t="shared" ca="1" si="24"/>
        <v>4</v>
      </c>
      <c r="AC82">
        <f t="shared" ca="1" si="24"/>
        <v>5</v>
      </c>
      <c r="AD82">
        <f t="shared" ca="1" si="24"/>
        <v>6</v>
      </c>
      <c r="AE82">
        <f t="shared" ca="1" si="24"/>
        <v>2</v>
      </c>
      <c r="AF82">
        <f t="shared" ca="1" si="24"/>
        <v>3</v>
      </c>
      <c r="AG82">
        <f t="shared" ca="1" si="24"/>
        <v>3</v>
      </c>
      <c r="AH82">
        <f t="shared" ca="1" si="24"/>
        <v>1</v>
      </c>
      <c r="AI82">
        <f t="shared" ca="1" si="24"/>
        <v>1</v>
      </c>
      <c r="AJ82">
        <f t="shared" ca="1" si="24"/>
        <v>5</v>
      </c>
      <c r="AK82">
        <f t="shared" ca="1" si="24"/>
        <v>5</v>
      </c>
      <c r="AL82">
        <f t="shared" ca="1" si="24"/>
        <v>2</v>
      </c>
      <c r="AM82">
        <f t="shared" ca="1" si="24"/>
        <v>5</v>
      </c>
      <c r="AN82">
        <f t="shared" ca="1" si="24"/>
        <v>3</v>
      </c>
      <c r="AO82">
        <f t="shared" ca="1" si="24"/>
        <v>4</v>
      </c>
      <c r="AP82">
        <f t="shared" ca="1" si="24"/>
        <v>3</v>
      </c>
      <c r="AQ82">
        <f t="shared" ca="1" si="24"/>
        <v>6</v>
      </c>
      <c r="AR82">
        <f t="shared" ca="1" si="24"/>
        <v>4</v>
      </c>
      <c r="AS82">
        <f t="shared" ca="1" si="24"/>
        <v>2</v>
      </c>
      <c r="AT82">
        <f t="shared" ca="1" si="24"/>
        <v>1</v>
      </c>
      <c r="AU82">
        <f t="shared" ca="1" si="24"/>
        <v>6</v>
      </c>
      <c r="AV82">
        <f t="shared" ca="1" si="24"/>
        <v>4</v>
      </c>
      <c r="AW82">
        <f t="shared" ca="1" si="24"/>
        <v>6</v>
      </c>
      <c r="AX82">
        <f t="shared" ca="1" si="24"/>
        <v>4</v>
      </c>
    </row>
    <row r="83" spans="1:50" x14ac:dyDescent="0.2">
      <c r="A83">
        <f ca="1">RANDBETWEEN(1,6)</f>
        <v>3</v>
      </c>
      <c r="B83">
        <f t="shared" ca="1" si="23"/>
        <v>6</v>
      </c>
      <c r="C83">
        <f t="shared" ca="1" si="23"/>
        <v>5</v>
      </c>
      <c r="D83">
        <f t="shared" ca="1" si="23"/>
        <v>3</v>
      </c>
      <c r="E83">
        <f t="shared" ca="1" si="23"/>
        <v>6</v>
      </c>
      <c r="F83">
        <f t="shared" ca="1" si="23"/>
        <v>6</v>
      </c>
      <c r="G83">
        <f t="shared" ca="1" si="23"/>
        <v>6</v>
      </c>
      <c r="H83">
        <f t="shared" ca="1" si="23"/>
        <v>5</v>
      </c>
      <c r="I83">
        <f t="shared" ca="1" si="23"/>
        <v>4</v>
      </c>
      <c r="J83">
        <f t="shared" ca="1" si="23"/>
        <v>3</v>
      </c>
      <c r="K83">
        <f t="shared" ca="1" si="23"/>
        <v>6</v>
      </c>
      <c r="L83">
        <f t="shared" ca="1" si="23"/>
        <v>6</v>
      </c>
      <c r="M83">
        <f t="shared" ca="1" si="23"/>
        <v>2</v>
      </c>
      <c r="N83">
        <f t="shared" ca="1" si="23"/>
        <v>6</v>
      </c>
      <c r="O83">
        <f t="shared" ca="1" si="23"/>
        <v>3</v>
      </c>
      <c r="P83">
        <f t="shared" ca="1" si="23"/>
        <v>6</v>
      </c>
      <c r="Q83">
        <f t="shared" ca="1" si="24"/>
        <v>6</v>
      </c>
      <c r="R83">
        <f t="shared" ca="1" si="24"/>
        <v>2</v>
      </c>
      <c r="S83">
        <f t="shared" ca="1" si="24"/>
        <v>4</v>
      </c>
      <c r="T83">
        <f t="shared" ca="1" si="24"/>
        <v>4</v>
      </c>
      <c r="U83">
        <f t="shared" ca="1" si="24"/>
        <v>1</v>
      </c>
      <c r="V83">
        <f t="shared" ca="1" si="24"/>
        <v>5</v>
      </c>
      <c r="W83">
        <f t="shared" ca="1" si="24"/>
        <v>6</v>
      </c>
      <c r="X83">
        <f t="shared" ca="1" si="24"/>
        <v>2</v>
      </c>
      <c r="Y83">
        <f t="shared" ca="1" si="24"/>
        <v>2</v>
      </c>
      <c r="Z83">
        <f t="shared" ca="1" si="24"/>
        <v>2</v>
      </c>
      <c r="AA83">
        <f t="shared" ca="1" si="24"/>
        <v>5</v>
      </c>
      <c r="AB83">
        <f t="shared" ca="1" si="24"/>
        <v>3</v>
      </c>
      <c r="AC83">
        <f t="shared" ca="1" si="24"/>
        <v>1</v>
      </c>
      <c r="AD83">
        <f t="shared" ca="1" si="24"/>
        <v>5</v>
      </c>
      <c r="AE83">
        <f t="shared" ca="1" si="24"/>
        <v>2</v>
      </c>
      <c r="AF83">
        <f t="shared" ca="1" si="24"/>
        <v>3</v>
      </c>
      <c r="AG83">
        <f t="shared" ca="1" si="24"/>
        <v>5</v>
      </c>
      <c r="AH83">
        <f t="shared" ca="1" si="24"/>
        <v>3</v>
      </c>
      <c r="AI83">
        <f t="shared" ca="1" si="24"/>
        <v>3</v>
      </c>
      <c r="AJ83">
        <f t="shared" ca="1" si="24"/>
        <v>3</v>
      </c>
      <c r="AK83">
        <f t="shared" ca="1" si="24"/>
        <v>2</v>
      </c>
      <c r="AL83">
        <f t="shared" ca="1" si="24"/>
        <v>5</v>
      </c>
      <c r="AM83">
        <f t="shared" ca="1" si="24"/>
        <v>4</v>
      </c>
      <c r="AN83">
        <f t="shared" ca="1" si="24"/>
        <v>6</v>
      </c>
      <c r="AO83">
        <f t="shared" ca="1" si="24"/>
        <v>4</v>
      </c>
      <c r="AP83">
        <f t="shared" ca="1" si="24"/>
        <v>5</v>
      </c>
      <c r="AQ83">
        <f t="shared" ca="1" si="24"/>
        <v>4</v>
      </c>
      <c r="AR83">
        <f t="shared" ca="1" si="24"/>
        <v>3</v>
      </c>
      <c r="AS83">
        <f t="shared" ca="1" si="24"/>
        <v>3</v>
      </c>
      <c r="AT83">
        <f t="shared" ca="1" si="24"/>
        <v>2</v>
      </c>
      <c r="AU83">
        <f t="shared" ca="1" si="24"/>
        <v>1</v>
      </c>
      <c r="AV83">
        <f t="shared" ca="1" si="24"/>
        <v>4</v>
      </c>
      <c r="AW83">
        <f t="shared" ca="1" si="24"/>
        <v>2</v>
      </c>
      <c r="AX83">
        <f ca="1">RANDBETWEEN(1,6)</f>
        <v>4</v>
      </c>
    </row>
    <row r="84" spans="1:50" x14ac:dyDescent="0.2">
      <c r="A84">
        <f t="shared" ref="A84:A89" ca="1" si="25">RANDBETWEEN(1,6)</f>
        <v>2</v>
      </c>
      <c r="B84">
        <f t="shared" ca="1" si="23"/>
        <v>1</v>
      </c>
      <c r="C84">
        <f t="shared" ca="1" si="23"/>
        <v>1</v>
      </c>
      <c r="D84">
        <f t="shared" ca="1" si="23"/>
        <v>1</v>
      </c>
      <c r="E84">
        <f t="shared" ca="1" si="23"/>
        <v>1</v>
      </c>
      <c r="F84">
        <f t="shared" ca="1" si="23"/>
        <v>1</v>
      </c>
      <c r="G84">
        <f t="shared" ca="1" si="23"/>
        <v>1</v>
      </c>
      <c r="H84">
        <f t="shared" ca="1" si="23"/>
        <v>5</v>
      </c>
      <c r="I84">
        <f t="shared" ca="1" si="23"/>
        <v>2</v>
      </c>
      <c r="J84">
        <f t="shared" ca="1" si="23"/>
        <v>2</v>
      </c>
      <c r="K84">
        <f t="shared" ca="1" si="23"/>
        <v>2</v>
      </c>
      <c r="L84">
        <f t="shared" ca="1" si="23"/>
        <v>6</v>
      </c>
      <c r="M84">
        <f t="shared" ca="1" si="23"/>
        <v>6</v>
      </c>
      <c r="N84">
        <f t="shared" ca="1" si="23"/>
        <v>1</v>
      </c>
      <c r="O84">
        <f t="shared" ca="1" si="23"/>
        <v>1</v>
      </c>
      <c r="P84">
        <f t="shared" ca="1" si="23"/>
        <v>2</v>
      </c>
      <c r="Q84">
        <f t="shared" ca="1" si="24"/>
        <v>3</v>
      </c>
      <c r="R84">
        <f t="shared" ca="1" si="24"/>
        <v>1</v>
      </c>
      <c r="S84">
        <f t="shared" ca="1" si="24"/>
        <v>2</v>
      </c>
      <c r="T84">
        <f t="shared" ca="1" si="24"/>
        <v>5</v>
      </c>
      <c r="U84">
        <f t="shared" ca="1" si="24"/>
        <v>4</v>
      </c>
      <c r="V84">
        <f t="shared" ca="1" si="24"/>
        <v>2</v>
      </c>
      <c r="W84">
        <f t="shared" ca="1" si="24"/>
        <v>3</v>
      </c>
      <c r="X84">
        <f t="shared" ca="1" si="24"/>
        <v>1</v>
      </c>
      <c r="Y84">
        <f t="shared" ca="1" si="24"/>
        <v>1</v>
      </c>
      <c r="Z84">
        <f t="shared" ca="1" si="24"/>
        <v>1</v>
      </c>
      <c r="AA84">
        <f t="shared" ca="1" si="24"/>
        <v>4</v>
      </c>
      <c r="AB84">
        <f t="shared" ca="1" si="24"/>
        <v>5</v>
      </c>
      <c r="AC84">
        <f t="shared" ca="1" si="24"/>
        <v>1</v>
      </c>
      <c r="AD84">
        <f t="shared" ca="1" si="24"/>
        <v>1</v>
      </c>
      <c r="AE84">
        <f t="shared" ca="1" si="24"/>
        <v>6</v>
      </c>
      <c r="AF84">
        <f t="shared" ca="1" si="24"/>
        <v>3</v>
      </c>
      <c r="AG84">
        <f t="shared" ca="1" si="24"/>
        <v>3</v>
      </c>
      <c r="AH84">
        <f t="shared" ca="1" si="24"/>
        <v>5</v>
      </c>
      <c r="AI84">
        <f t="shared" ref="AI84:AX89" ca="1" si="26">RANDBETWEEN(1,6)</f>
        <v>5</v>
      </c>
      <c r="AJ84">
        <f t="shared" ca="1" si="26"/>
        <v>3</v>
      </c>
      <c r="AK84">
        <f t="shared" ca="1" si="26"/>
        <v>1</v>
      </c>
      <c r="AL84">
        <f t="shared" ca="1" si="26"/>
        <v>1</v>
      </c>
      <c r="AM84">
        <f t="shared" ca="1" si="26"/>
        <v>5</v>
      </c>
      <c r="AN84">
        <f t="shared" ca="1" si="26"/>
        <v>4</v>
      </c>
      <c r="AO84">
        <f t="shared" ca="1" si="26"/>
        <v>1</v>
      </c>
      <c r="AP84">
        <f t="shared" ca="1" si="26"/>
        <v>6</v>
      </c>
      <c r="AQ84">
        <f t="shared" ca="1" si="26"/>
        <v>2</v>
      </c>
      <c r="AR84">
        <f t="shared" ca="1" si="26"/>
        <v>5</v>
      </c>
      <c r="AS84">
        <f t="shared" ca="1" si="26"/>
        <v>6</v>
      </c>
      <c r="AT84">
        <f t="shared" ca="1" si="26"/>
        <v>4</v>
      </c>
      <c r="AU84">
        <f t="shared" ca="1" si="26"/>
        <v>2</v>
      </c>
      <c r="AV84">
        <f t="shared" ca="1" si="26"/>
        <v>6</v>
      </c>
      <c r="AW84">
        <f t="shared" ca="1" si="26"/>
        <v>2</v>
      </c>
      <c r="AX84">
        <f t="shared" ca="1" si="26"/>
        <v>5</v>
      </c>
    </row>
    <row r="85" spans="1:50" x14ac:dyDescent="0.2">
      <c r="A85">
        <f t="shared" ca="1" si="25"/>
        <v>1</v>
      </c>
      <c r="B85">
        <f t="shared" ca="1" si="23"/>
        <v>5</v>
      </c>
      <c r="C85">
        <f t="shared" ca="1" si="23"/>
        <v>1</v>
      </c>
      <c r="D85">
        <f t="shared" ca="1" si="23"/>
        <v>5</v>
      </c>
      <c r="E85">
        <f t="shared" ca="1" si="23"/>
        <v>4</v>
      </c>
      <c r="F85">
        <f t="shared" ca="1" si="23"/>
        <v>2</v>
      </c>
      <c r="G85">
        <f t="shared" ca="1" si="23"/>
        <v>2</v>
      </c>
      <c r="H85">
        <f t="shared" ca="1" si="23"/>
        <v>1</v>
      </c>
      <c r="I85">
        <f t="shared" ca="1" si="23"/>
        <v>1</v>
      </c>
      <c r="J85">
        <f t="shared" ca="1" si="23"/>
        <v>1</v>
      </c>
      <c r="K85">
        <f t="shared" ca="1" si="23"/>
        <v>3</v>
      </c>
      <c r="L85">
        <f t="shared" ca="1" si="23"/>
        <v>1</v>
      </c>
      <c r="M85">
        <f t="shared" ca="1" si="23"/>
        <v>2</v>
      </c>
      <c r="N85">
        <f t="shared" ca="1" si="23"/>
        <v>1</v>
      </c>
      <c r="O85">
        <f t="shared" ca="1" si="23"/>
        <v>5</v>
      </c>
      <c r="P85">
        <f t="shared" ca="1" si="23"/>
        <v>6</v>
      </c>
      <c r="Q85">
        <f t="shared" ref="Q85:AX92" ca="1" si="27">RANDBETWEEN(1,6)</f>
        <v>1</v>
      </c>
      <c r="R85">
        <f t="shared" ca="1" si="27"/>
        <v>1</v>
      </c>
      <c r="S85">
        <f t="shared" ca="1" si="27"/>
        <v>4</v>
      </c>
      <c r="T85">
        <f t="shared" ca="1" si="27"/>
        <v>1</v>
      </c>
      <c r="U85">
        <f t="shared" ca="1" si="27"/>
        <v>1</v>
      </c>
      <c r="V85">
        <f t="shared" ca="1" si="27"/>
        <v>4</v>
      </c>
      <c r="W85">
        <f t="shared" ca="1" si="27"/>
        <v>1</v>
      </c>
      <c r="X85">
        <f t="shared" ca="1" si="27"/>
        <v>5</v>
      </c>
      <c r="Y85">
        <f t="shared" ca="1" si="27"/>
        <v>4</v>
      </c>
      <c r="Z85">
        <f t="shared" ca="1" si="27"/>
        <v>1</v>
      </c>
      <c r="AA85">
        <f t="shared" ca="1" si="27"/>
        <v>4</v>
      </c>
      <c r="AB85">
        <f t="shared" ca="1" si="27"/>
        <v>4</v>
      </c>
      <c r="AC85">
        <f t="shared" ca="1" si="27"/>
        <v>5</v>
      </c>
      <c r="AD85">
        <f t="shared" ca="1" si="27"/>
        <v>2</v>
      </c>
      <c r="AE85">
        <f t="shared" ca="1" si="27"/>
        <v>5</v>
      </c>
      <c r="AF85">
        <f t="shared" ca="1" si="27"/>
        <v>5</v>
      </c>
      <c r="AG85">
        <f t="shared" ca="1" si="27"/>
        <v>4</v>
      </c>
      <c r="AH85">
        <f t="shared" ca="1" si="27"/>
        <v>4</v>
      </c>
      <c r="AI85">
        <f t="shared" ca="1" si="27"/>
        <v>4</v>
      </c>
      <c r="AJ85">
        <f t="shared" ca="1" si="27"/>
        <v>6</v>
      </c>
      <c r="AK85">
        <f t="shared" ca="1" si="27"/>
        <v>4</v>
      </c>
      <c r="AL85">
        <f t="shared" ca="1" si="27"/>
        <v>2</v>
      </c>
      <c r="AM85">
        <f t="shared" ca="1" si="27"/>
        <v>6</v>
      </c>
      <c r="AN85">
        <f t="shared" ca="1" si="27"/>
        <v>5</v>
      </c>
      <c r="AO85">
        <f t="shared" ca="1" si="27"/>
        <v>5</v>
      </c>
      <c r="AP85">
        <f t="shared" ca="1" si="27"/>
        <v>6</v>
      </c>
      <c r="AQ85">
        <f t="shared" ca="1" si="27"/>
        <v>1</v>
      </c>
      <c r="AR85">
        <f t="shared" ca="1" si="27"/>
        <v>2</v>
      </c>
      <c r="AS85">
        <f t="shared" ca="1" si="27"/>
        <v>2</v>
      </c>
      <c r="AT85">
        <f t="shared" ca="1" si="27"/>
        <v>6</v>
      </c>
      <c r="AU85">
        <f t="shared" ca="1" si="27"/>
        <v>1</v>
      </c>
      <c r="AV85">
        <f t="shared" ca="1" si="27"/>
        <v>4</v>
      </c>
      <c r="AW85">
        <f t="shared" ca="1" si="27"/>
        <v>3</v>
      </c>
      <c r="AX85">
        <f t="shared" ca="1" si="26"/>
        <v>4</v>
      </c>
    </row>
    <row r="86" spans="1:50" x14ac:dyDescent="0.2">
      <c r="A86">
        <f t="shared" ca="1" si="25"/>
        <v>4</v>
      </c>
      <c r="B86">
        <f t="shared" ca="1" si="23"/>
        <v>4</v>
      </c>
      <c r="C86">
        <f t="shared" ca="1" si="23"/>
        <v>1</v>
      </c>
      <c r="D86">
        <f t="shared" ca="1" si="23"/>
        <v>5</v>
      </c>
      <c r="E86">
        <f t="shared" ca="1" si="23"/>
        <v>1</v>
      </c>
      <c r="F86">
        <f t="shared" ca="1" si="23"/>
        <v>4</v>
      </c>
      <c r="G86">
        <f t="shared" ca="1" si="23"/>
        <v>5</v>
      </c>
      <c r="H86">
        <f t="shared" ca="1" si="23"/>
        <v>2</v>
      </c>
      <c r="I86">
        <f t="shared" ca="1" si="23"/>
        <v>2</v>
      </c>
      <c r="J86">
        <f t="shared" ca="1" si="23"/>
        <v>2</v>
      </c>
      <c r="K86">
        <f t="shared" ca="1" si="23"/>
        <v>3</v>
      </c>
      <c r="L86">
        <f t="shared" ca="1" si="23"/>
        <v>4</v>
      </c>
      <c r="M86">
        <f t="shared" ca="1" si="23"/>
        <v>3</v>
      </c>
      <c r="N86">
        <f t="shared" ca="1" si="23"/>
        <v>5</v>
      </c>
      <c r="O86">
        <f t="shared" ca="1" si="23"/>
        <v>6</v>
      </c>
      <c r="P86">
        <f t="shared" ca="1" si="23"/>
        <v>1</v>
      </c>
      <c r="Q86">
        <f t="shared" ca="1" si="27"/>
        <v>4</v>
      </c>
      <c r="R86">
        <f t="shared" ca="1" si="27"/>
        <v>2</v>
      </c>
      <c r="S86">
        <f t="shared" ca="1" si="27"/>
        <v>3</v>
      </c>
      <c r="T86">
        <f t="shared" ca="1" si="27"/>
        <v>4</v>
      </c>
      <c r="U86">
        <f t="shared" ca="1" si="27"/>
        <v>6</v>
      </c>
      <c r="V86">
        <f t="shared" ca="1" si="27"/>
        <v>1</v>
      </c>
      <c r="W86">
        <f t="shared" ca="1" si="27"/>
        <v>4</v>
      </c>
      <c r="X86">
        <f t="shared" ca="1" si="27"/>
        <v>5</v>
      </c>
      <c r="Y86">
        <f t="shared" ca="1" si="27"/>
        <v>1</v>
      </c>
      <c r="Z86">
        <f t="shared" ca="1" si="27"/>
        <v>3</v>
      </c>
      <c r="AA86">
        <f t="shared" ca="1" si="27"/>
        <v>5</v>
      </c>
      <c r="AB86">
        <f t="shared" ca="1" si="27"/>
        <v>6</v>
      </c>
      <c r="AC86">
        <f t="shared" ca="1" si="27"/>
        <v>1</v>
      </c>
      <c r="AD86">
        <f t="shared" ca="1" si="27"/>
        <v>5</v>
      </c>
      <c r="AE86">
        <f t="shared" ca="1" si="27"/>
        <v>6</v>
      </c>
      <c r="AF86">
        <f t="shared" ca="1" si="27"/>
        <v>4</v>
      </c>
      <c r="AG86">
        <f t="shared" ca="1" si="27"/>
        <v>2</v>
      </c>
      <c r="AH86">
        <f t="shared" ca="1" si="27"/>
        <v>3</v>
      </c>
      <c r="AI86">
        <f t="shared" ca="1" si="27"/>
        <v>3</v>
      </c>
      <c r="AJ86">
        <f t="shared" ca="1" si="27"/>
        <v>2</v>
      </c>
      <c r="AK86">
        <f t="shared" ca="1" si="27"/>
        <v>2</v>
      </c>
      <c r="AL86">
        <f t="shared" ca="1" si="27"/>
        <v>4</v>
      </c>
      <c r="AM86">
        <f t="shared" ca="1" si="27"/>
        <v>5</v>
      </c>
      <c r="AN86">
        <f t="shared" ca="1" si="27"/>
        <v>5</v>
      </c>
      <c r="AO86">
        <f t="shared" ca="1" si="27"/>
        <v>4</v>
      </c>
      <c r="AP86">
        <f t="shared" ca="1" si="27"/>
        <v>2</v>
      </c>
      <c r="AQ86">
        <f t="shared" ca="1" si="27"/>
        <v>4</v>
      </c>
      <c r="AR86">
        <f t="shared" ca="1" si="27"/>
        <v>4</v>
      </c>
      <c r="AS86">
        <f t="shared" ca="1" si="27"/>
        <v>5</v>
      </c>
      <c r="AT86">
        <f t="shared" ca="1" si="27"/>
        <v>1</v>
      </c>
      <c r="AU86">
        <f t="shared" ca="1" si="27"/>
        <v>6</v>
      </c>
      <c r="AV86">
        <f t="shared" ca="1" si="27"/>
        <v>6</v>
      </c>
      <c r="AW86">
        <f t="shared" ca="1" si="27"/>
        <v>5</v>
      </c>
      <c r="AX86">
        <f t="shared" ca="1" si="26"/>
        <v>5</v>
      </c>
    </row>
    <row r="87" spans="1:50" x14ac:dyDescent="0.2">
      <c r="A87">
        <f t="shared" ca="1" si="25"/>
        <v>3</v>
      </c>
      <c r="B87">
        <f t="shared" ca="1" si="23"/>
        <v>5</v>
      </c>
      <c r="C87">
        <f t="shared" ca="1" si="23"/>
        <v>4</v>
      </c>
      <c r="D87">
        <f t="shared" ca="1" si="23"/>
        <v>1</v>
      </c>
      <c r="E87">
        <f t="shared" ca="1" si="23"/>
        <v>3</v>
      </c>
      <c r="F87">
        <f t="shared" ca="1" si="23"/>
        <v>2</v>
      </c>
      <c r="G87">
        <f t="shared" ca="1" si="23"/>
        <v>2</v>
      </c>
      <c r="H87">
        <f t="shared" ca="1" si="23"/>
        <v>6</v>
      </c>
      <c r="I87">
        <f t="shared" ca="1" si="23"/>
        <v>2</v>
      </c>
      <c r="J87">
        <f t="shared" ca="1" si="23"/>
        <v>2</v>
      </c>
      <c r="K87">
        <f t="shared" ca="1" si="23"/>
        <v>1</v>
      </c>
      <c r="L87">
        <f t="shared" ca="1" si="23"/>
        <v>6</v>
      </c>
      <c r="M87">
        <f t="shared" ca="1" si="23"/>
        <v>2</v>
      </c>
      <c r="N87">
        <f t="shared" ca="1" si="23"/>
        <v>2</v>
      </c>
      <c r="O87">
        <f t="shared" ca="1" si="23"/>
        <v>1</v>
      </c>
      <c r="P87">
        <f t="shared" ca="1" si="23"/>
        <v>2</v>
      </c>
      <c r="Q87">
        <f t="shared" ca="1" si="27"/>
        <v>6</v>
      </c>
      <c r="R87">
        <f t="shared" ca="1" si="27"/>
        <v>3</v>
      </c>
      <c r="S87">
        <f t="shared" ca="1" si="27"/>
        <v>1</v>
      </c>
      <c r="T87">
        <f t="shared" ca="1" si="27"/>
        <v>3</v>
      </c>
      <c r="U87">
        <f t="shared" ca="1" si="27"/>
        <v>4</v>
      </c>
      <c r="V87">
        <f t="shared" ca="1" si="27"/>
        <v>5</v>
      </c>
      <c r="W87">
        <f t="shared" ca="1" si="27"/>
        <v>5</v>
      </c>
      <c r="X87">
        <f t="shared" ca="1" si="27"/>
        <v>6</v>
      </c>
      <c r="Y87">
        <f t="shared" ca="1" si="27"/>
        <v>5</v>
      </c>
      <c r="Z87">
        <f t="shared" ca="1" si="27"/>
        <v>1</v>
      </c>
      <c r="AA87">
        <f t="shared" ca="1" si="27"/>
        <v>2</v>
      </c>
      <c r="AB87">
        <f t="shared" ca="1" si="27"/>
        <v>3</v>
      </c>
      <c r="AC87">
        <f t="shared" ca="1" si="27"/>
        <v>1</v>
      </c>
      <c r="AD87">
        <f t="shared" ca="1" si="27"/>
        <v>1</v>
      </c>
      <c r="AE87">
        <f t="shared" ca="1" si="27"/>
        <v>4</v>
      </c>
      <c r="AF87">
        <f t="shared" ca="1" si="27"/>
        <v>5</v>
      </c>
      <c r="AG87">
        <f t="shared" ca="1" si="27"/>
        <v>2</v>
      </c>
      <c r="AH87">
        <f t="shared" ca="1" si="27"/>
        <v>6</v>
      </c>
      <c r="AI87">
        <f t="shared" ca="1" si="27"/>
        <v>1</v>
      </c>
      <c r="AJ87">
        <f t="shared" ca="1" si="27"/>
        <v>2</v>
      </c>
      <c r="AK87">
        <f t="shared" ca="1" si="27"/>
        <v>1</v>
      </c>
      <c r="AL87">
        <f t="shared" ca="1" si="27"/>
        <v>6</v>
      </c>
      <c r="AM87">
        <f t="shared" ca="1" si="27"/>
        <v>2</v>
      </c>
      <c r="AN87">
        <f t="shared" ca="1" si="27"/>
        <v>1</v>
      </c>
      <c r="AO87">
        <f t="shared" ca="1" si="27"/>
        <v>4</v>
      </c>
      <c r="AP87">
        <f t="shared" ca="1" si="27"/>
        <v>2</v>
      </c>
      <c r="AQ87">
        <f t="shared" ca="1" si="27"/>
        <v>6</v>
      </c>
      <c r="AR87">
        <f t="shared" ca="1" si="27"/>
        <v>3</v>
      </c>
      <c r="AS87">
        <f t="shared" ca="1" si="27"/>
        <v>2</v>
      </c>
      <c r="AT87">
        <f t="shared" ca="1" si="27"/>
        <v>4</v>
      </c>
      <c r="AU87">
        <f t="shared" ca="1" si="27"/>
        <v>4</v>
      </c>
      <c r="AV87">
        <f t="shared" ca="1" si="27"/>
        <v>3</v>
      </c>
      <c r="AW87">
        <f t="shared" ca="1" si="27"/>
        <v>5</v>
      </c>
      <c r="AX87">
        <f t="shared" ca="1" si="26"/>
        <v>1</v>
      </c>
    </row>
    <row r="88" spans="1:50" x14ac:dyDescent="0.2">
      <c r="A88">
        <f t="shared" ca="1" si="25"/>
        <v>2</v>
      </c>
      <c r="B88">
        <f t="shared" ca="1" si="23"/>
        <v>6</v>
      </c>
      <c r="C88">
        <f t="shared" ca="1" si="23"/>
        <v>5</v>
      </c>
      <c r="D88">
        <f t="shared" ca="1" si="23"/>
        <v>1</v>
      </c>
      <c r="E88">
        <f t="shared" ca="1" si="23"/>
        <v>3</v>
      </c>
      <c r="F88">
        <f t="shared" ca="1" si="23"/>
        <v>2</v>
      </c>
      <c r="G88">
        <f t="shared" ca="1" si="23"/>
        <v>6</v>
      </c>
      <c r="H88">
        <f t="shared" ca="1" si="23"/>
        <v>3</v>
      </c>
      <c r="I88">
        <f t="shared" ca="1" si="23"/>
        <v>6</v>
      </c>
      <c r="J88">
        <f t="shared" ca="1" si="23"/>
        <v>3</v>
      </c>
      <c r="K88">
        <f t="shared" ca="1" si="23"/>
        <v>2</v>
      </c>
      <c r="L88">
        <f t="shared" ca="1" si="23"/>
        <v>3</v>
      </c>
      <c r="M88">
        <f t="shared" ca="1" si="23"/>
        <v>1</v>
      </c>
      <c r="N88">
        <f t="shared" ca="1" si="23"/>
        <v>4</v>
      </c>
      <c r="O88">
        <f t="shared" ca="1" si="23"/>
        <v>6</v>
      </c>
      <c r="P88">
        <f t="shared" ca="1" si="23"/>
        <v>1</v>
      </c>
      <c r="Q88">
        <f t="shared" ca="1" si="27"/>
        <v>4</v>
      </c>
      <c r="R88">
        <f t="shared" ca="1" si="27"/>
        <v>5</v>
      </c>
      <c r="S88">
        <f t="shared" ca="1" si="27"/>
        <v>6</v>
      </c>
      <c r="T88">
        <f t="shared" ca="1" si="27"/>
        <v>4</v>
      </c>
      <c r="U88">
        <f t="shared" ca="1" si="27"/>
        <v>1</v>
      </c>
      <c r="V88">
        <f t="shared" ca="1" si="27"/>
        <v>1</v>
      </c>
      <c r="W88">
        <f t="shared" ca="1" si="27"/>
        <v>5</v>
      </c>
      <c r="X88">
        <f t="shared" ca="1" si="27"/>
        <v>4</v>
      </c>
      <c r="Y88">
        <f t="shared" ca="1" si="27"/>
        <v>1</v>
      </c>
      <c r="Z88">
        <f t="shared" ca="1" si="27"/>
        <v>6</v>
      </c>
      <c r="AA88">
        <f t="shared" ca="1" si="27"/>
        <v>2</v>
      </c>
      <c r="AB88">
        <f t="shared" ca="1" si="27"/>
        <v>5</v>
      </c>
      <c r="AC88">
        <f t="shared" ca="1" si="27"/>
        <v>2</v>
      </c>
      <c r="AD88">
        <f t="shared" ca="1" si="27"/>
        <v>4</v>
      </c>
      <c r="AE88">
        <f t="shared" ca="1" si="27"/>
        <v>1</v>
      </c>
      <c r="AF88">
        <f t="shared" ca="1" si="27"/>
        <v>5</v>
      </c>
      <c r="AG88">
        <f t="shared" ca="1" si="27"/>
        <v>1</v>
      </c>
      <c r="AH88">
        <f t="shared" ca="1" si="27"/>
        <v>1</v>
      </c>
      <c r="AI88">
        <f t="shared" ca="1" si="27"/>
        <v>2</v>
      </c>
      <c r="AJ88">
        <f t="shared" ca="1" si="27"/>
        <v>6</v>
      </c>
      <c r="AK88">
        <f t="shared" ca="1" si="27"/>
        <v>6</v>
      </c>
      <c r="AL88">
        <f t="shared" ca="1" si="27"/>
        <v>4</v>
      </c>
      <c r="AM88">
        <f t="shared" ca="1" si="27"/>
        <v>2</v>
      </c>
      <c r="AN88">
        <f t="shared" ca="1" si="27"/>
        <v>5</v>
      </c>
      <c r="AO88">
        <f t="shared" ca="1" si="27"/>
        <v>1</v>
      </c>
      <c r="AP88">
        <f t="shared" ca="1" si="27"/>
        <v>5</v>
      </c>
      <c r="AQ88">
        <f t="shared" ca="1" si="27"/>
        <v>4</v>
      </c>
      <c r="AR88">
        <f t="shared" ca="1" si="27"/>
        <v>5</v>
      </c>
      <c r="AS88">
        <f t="shared" ca="1" si="27"/>
        <v>6</v>
      </c>
      <c r="AT88">
        <f t="shared" ca="1" si="27"/>
        <v>5</v>
      </c>
      <c r="AU88">
        <f t="shared" ca="1" si="27"/>
        <v>5</v>
      </c>
      <c r="AV88">
        <f t="shared" ca="1" si="27"/>
        <v>4</v>
      </c>
      <c r="AW88">
        <f t="shared" ca="1" si="27"/>
        <v>4</v>
      </c>
      <c r="AX88">
        <f t="shared" ca="1" si="26"/>
        <v>1</v>
      </c>
    </row>
    <row r="89" spans="1:50" x14ac:dyDescent="0.2">
      <c r="A89">
        <f t="shared" ca="1" si="25"/>
        <v>6</v>
      </c>
      <c r="B89">
        <f t="shared" ca="1" si="23"/>
        <v>2</v>
      </c>
      <c r="C89">
        <f t="shared" ca="1" si="23"/>
        <v>4</v>
      </c>
      <c r="D89">
        <f t="shared" ca="1" si="23"/>
        <v>1</v>
      </c>
      <c r="E89">
        <f t="shared" ca="1" si="23"/>
        <v>5</v>
      </c>
      <c r="F89">
        <f t="shared" ca="1" si="23"/>
        <v>3</v>
      </c>
      <c r="G89">
        <f t="shared" ca="1" si="23"/>
        <v>2</v>
      </c>
      <c r="H89">
        <f t="shared" ca="1" si="23"/>
        <v>6</v>
      </c>
      <c r="I89">
        <f t="shared" ca="1" si="23"/>
        <v>2</v>
      </c>
      <c r="J89">
        <f t="shared" ca="1" si="23"/>
        <v>2</v>
      </c>
      <c r="K89">
        <f t="shared" ca="1" si="23"/>
        <v>5</v>
      </c>
      <c r="L89">
        <f t="shared" ca="1" si="23"/>
        <v>6</v>
      </c>
      <c r="M89">
        <f t="shared" ca="1" si="23"/>
        <v>2</v>
      </c>
      <c r="N89">
        <f t="shared" ca="1" si="23"/>
        <v>1</v>
      </c>
      <c r="O89">
        <f t="shared" ca="1" si="23"/>
        <v>6</v>
      </c>
      <c r="P89">
        <f t="shared" ca="1" si="23"/>
        <v>5</v>
      </c>
      <c r="Q89">
        <f t="shared" ca="1" si="27"/>
        <v>4</v>
      </c>
      <c r="R89">
        <f t="shared" ca="1" si="27"/>
        <v>6</v>
      </c>
      <c r="S89">
        <f t="shared" ca="1" si="27"/>
        <v>3</v>
      </c>
      <c r="T89">
        <f t="shared" ca="1" si="27"/>
        <v>1</v>
      </c>
      <c r="U89">
        <f t="shared" ca="1" si="27"/>
        <v>6</v>
      </c>
      <c r="V89">
        <f t="shared" ca="1" si="27"/>
        <v>5</v>
      </c>
      <c r="W89">
        <f t="shared" ca="1" si="27"/>
        <v>1</v>
      </c>
      <c r="X89">
        <f t="shared" ca="1" si="27"/>
        <v>1</v>
      </c>
      <c r="Y89">
        <f t="shared" ca="1" si="27"/>
        <v>3</v>
      </c>
      <c r="Z89">
        <f t="shared" ca="1" si="27"/>
        <v>4</v>
      </c>
      <c r="AA89">
        <f t="shared" ca="1" si="27"/>
        <v>6</v>
      </c>
      <c r="AB89">
        <f t="shared" ca="1" si="27"/>
        <v>6</v>
      </c>
      <c r="AC89">
        <f t="shared" ca="1" si="27"/>
        <v>5</v>
      </c>
      <c r="AD89">
        <f t="shared" ca="1" si="27"/>
        <v>5</v>
      </c>
      <c r="AE89">
        <f t="shared" ca="1" si="27"/>
        <v>5</v>
      </c>
      <c r="AF89">
        <f t="shared" ca="1" si="27"/>
        <v>4</v>
      </c>
      <c r="AG89">
        <f t="shared" ca="1" si="27"/>
        <v>1</v>
      </c>
      <c r="AH89">
        <f t="shared" ca="1" si="27"/>
        <v>6</v>
      </c>
      <c r="AI89">
        <f t="shared" ca="1" si="27"/>
        <v>2</v>
      </c>
      <c r="AJ89">
        <f t="shared" ca="1" si="27"/>
        <v>4</v>
      </c>
      <c r="AK89">
        <f t="shared" ca="1" si="27"/>
        <v>4</v>
      </c>
      <c r="AL89">
        <f t="shared" ca="1" si="27"/>
        <v>1</v>
      </c>
      <c r="AM89">
        <f t="shared" ca="1" si="27"/>
        <v>3</v>
      </c>
      <c r="AN89">
        <f t="shared" ca="1" si="27"/>
        <v>4</v>
      </c>
      <c r="AO89">
        <f t="shared" ca="1" si="27"/>
        <v>4</v>
      </c>
      <c r="AP89">
        <f t="shared" ca="1" si="27"/>
        <v>2</v>
      </c>
      <c r="AQ89">
        <f t="shared" ca="1" si="27"/>
        <v>5</v>
      </c>
      <c r="AR89">
        <f t="shared" ca="1" si="27"/>
        <v>6</v>
      </c>
      <c r="AS89">
        <f t="shared" ca="1" si="27"/>
        <v>4</v>
      </c>
      <c r="AT89">
        <f t="shared" ca="1" si="27"/>
        <v>2</v>
      </c>
      <c r="AU89">
        <f t="shared" ca="1" si="27"/>
        <v>6</v>
      </c>
      <c r="AV89">
        <f t="shared" ca="1" si="27"/>
        <v>4</v>
      </c>
      <c r="AW89">
        <f t="shared" ca="1" si="27"/>
        <v>3</v>
      </c>
      <c r="AX89">
        <f t="shared" ca="1" si="26"/>
        <v>1</v>
      </c>
    </row>
    <row r="90" spans="1:50" x14ac:dyDescent="0.2">
      <c r="A90">
        <f ca="1">RANDBETWEEN(1,6)</f>
        <v>4</v>
      </c>
      <c r="B90">
        <f t="shared" ca="1" si="23"/>
        <v>5</v>
      </c>
      <c r="C90">
        <f t="shared" ca="1" si="23"/>
        <v>1</v>
      </c>
      <c r="D90">
        <f t="shared" ca="1" si="23"/>
        <v>6</v>
      </c>
      <c r="E90">
        <f t="shared" ca="1" si="23"/>
        <v>2</v>
      </c>
      <c r="F90">
        <f t="shared" ca="1" si="23"/>
        <v>2</v>
      </c>
      <c r="G90">
        <f t="shared" ca="1" si="23"/>
        <v>2</v>
      </c>
      <c r="H90">
        <f t="shared" ca="1" si="23"/>
        <v>5</v>
      </c>
      <c r="I90">
        <f t="shared" ca="1" si="23"/>
        <v>4</v>
      </c>
      <c r="J90">
        <f t="shared" ca="1" si="23"/>
        <v>4</v>
      </c>
      <c r="K90">
        <f t="shared" ca="1" si="23"/>
        <v>4</v>
      </c>
      <c r="L90">
        <f t="shared" ca="1" si="23"/>
        <v>6</v>
      </c>
      <c r="M90">
        <f t="shared" ca="1" si="23"/>
        <v>1</v>
      </c>
      <c r="N90">
        <f t="shared" ca="1" si="23"/>
        <v>6</v>
      </c>
      <c r="O90">
        <f t="shared" ca="1" si="23"/>
        <v>1</v>
      </c>
      <c r="P90">
        <f t="shared" ca="1" si="23"/>
        <v>1</v>
      </c>
      <c r="Q90">
        <f t="shared" ca="1" si="27"/>
        <v>6</v>
      </c>
      <c r="R90">
        <f t="shared" ca="1" si="27"/>
        <v>2</v>
      </c>
      <c r="S90">
        <f t="shared" ca="1" si="27"/>
        <v>2</v>
      </c>
      <c r="T90">
        <f t="shared" ca="1" si="27"/>
        <v>4</v>
      </c>
      <c r="U90">
        <f t="shared" ca="1" si="27"/>
        <v>3</v>
      </c>
      <c r="V90">
        <f t="shared" ca="1" si="27"/>
        <v>2</v>
      </c>
      <c r="W90">
        <f t="shared" ca="1" si="27"/>
        <v>6</v>
      </c>
      <c r="X90">
        <f t="shared" ca="1" si="27"/>
        <v>4</v>
      </c>
      <c r="Y90">
        <f t="shared" ca="1" si="27"/>
        <v>6</v>
      </c>
      <c r="Z90">
        <f t="shared" ca="1" si="27"/>
        <v>4</v>
      </c>
      <c r="AA90">
        <f t="shared" ca="1" si="27"/>
        <v>3</v>
      </c>
      <c r="AB90">
        <f t="shared" ca="1" si="27"/>
        <v>6</v>
      </c>
      <c r="AC90">
        <f t="shared" ca="1" si="27"/>
        <v>3</v>
      </c>
      <c r="AD90">
        <f t="shared" ca="1" si="27"/>
        <v>1</v>
      </c>
      <c r="AE90">
        <f t="shared" ca="1" si="27"/>
        <v>6</v>
      </c>
      <c r="AF90">
        <f t="shared" ca="1" si="27"/>
        <v>6</v>
      </c>
      <c r="AG90">
        <f t="shared" ca="1" si="27"/>
        <v>5</v>
      </c>
      <c r="AH90">
        <f t="shared" ca="1" si="27"/>
        <v>3</v>
      </c>
      <c r="AI90">
        <f t="shared" ca="1" si="27"/>
        <v>2</v>
      </c>
      <c r="AJ90">
        <f t="shared" ca="1" si="27"/>
        <v>3</v>
      </c>
      <c r="AK90">
        <f t="shared" ca="1" si="27"/>
        <v>1</v>
      </c>
      <c r="AL90">
        <f t="shared" ca="1" si="27"/>
        <v>3</v>
      </c>
      <c r="AM90">
        <f t="shared" ca="1" si="27"/>
        <v>5</v>
      </c>
      <c r="AN90">
        <f t="shared" ca="1" si="27"/>
        <v>2</v>
      </c>
      <c r="AO90">
        <f t="shared" ca="1" si="27"/>
        <v>2</v>
      </c>
      <c r="AP90">
        <f t="shared" ca="1" si="27"/>
        <v>1</v>
      </c>
      <c r="AQ90">
        <f t="shared" ca="1" si="27"/>
        <v>5</v>
      </c>
      <c r="AR90">
        <f t="shared" ca="1" si="27"/>
        <v>6</v>
      </c>
      <c r="AS90">
        <f t="shared" ca="1" si="27"/>
        <v>2</v>
      </c>
      <c r="AT90">
        <f t="shared" ca="1" si="27"/>
        <v>6</v>
      </c>
      <c r="AU90">
        <f t="shared" ca="1" si="27"/>
        <v>2</v>
      </c>
      <c r="AV90">
        <f t="shared" ca="1" si="27"/>
        <v>1</v>
      </c>
      <c r="AW90">
        <f t="shared" ca="1" si="27"/>
        <v>3</v>
      </c>
      <c r="AX90">
        <f ca="1">RANDBETWEEN(1,6)</f>
        <v>1</v>
      </c>
    </row>
    <row r="91" spans="1:50" x14ac:dyDescent="0.2">
      <c r="A91">
        <f t="shared" ref="A91:P101" ca="1" si="28">RANDBETWEEN(1,6)</f>
        <v>1</v>
      </c>
      <c r="B91">
        <f t="shared" ca="1" si="23"/>
        <v>3</v>
      </c>
      <c r="C91">
        <f t="shared" ca="1" si="23"/>
        <v>6</v>
      </c>
      <c r="D91">
        <f t="shared" ca="1" si="23"/>
        <v>4</v>
      </c>
      <c r="E91">
        <f t="shared" ca="1" si="23"/>
        <v>1</v>
      </c>
      <c r="F91">
        <f t="shared" ca="1" si="23"/>
        <v>2</v>
      </c>
      <c r="G91">
        <f t="shared" ca="1" si="23"/>
        <v>2</v>
      </c>
      <c r="H91">
        <f t="shared" ca="1" si="23"/>
        <v>1</v>
      </c>
      <c r="I91">
        <f t="shared" ca="1" si="23"/>
        <v>4</v>
      </c>
      <c r="J91">
        <f t="shared" ca="1" si="23"/>
        <v>3</v>
      </c>
      <c r="K91">
        <f t="shared" ca="1" si="23"/>
        <v>1</v>
      </c>
      <c r="L91">
        <f t="shared" ca="1" si="23"/>
        <v>5</v>
      </c>
      <c r="M91">
        <f t="shared" ca="1" si="23"/>
        <v>4</v>
      </c>
      <c r="N91">
        <f t="shared" ca="1" si="23"/>
        <v>4</v>
      </c>
      <c r="O91">
        <f t="shared" ca="1" si="23"/>
        <v>6</v>
      </c>
      <c r="P91">
        <f t="shared" ca="1" si="23"/>
        <v>1</v>
      </c>
      <c r="Q91">
        <f t="shared" ca="1" si="27"/>
        <v>4</v>
      </c>
      <c r="R91">
        <f t="shared" ca="1" si="27"/>
        <v>5</v>
      </c>
      <c r="S91">
        <f t="shared" ca="1" si="27"/>
        <v>1</v>
      </c>
      <c r="T91">
        <f t="shared" ca="1" si="27"/>
        <v>4</v>
      </c>
      <c r="U91">
        <f t="shared" ca="1" si="27"/>
        <v>6</v>
      </c>
      <c r="V91">
        <f t="shared" ca="1" si="27"/>
        <v>4</v>
      </c>
      <c r="W91">
        <f t="shared" ca="1" si="27"/>
        <v>6</v>
      </c>
      <c r="X91">
        <f t="shared" ca="1" si="27"/>
        <v>3</v>
      </c>
      <c r="Y91">
        <f t="shared" ca="1" si="27"/>
        <v>2</v>
      </c>
      <c r="Z91">
        <f t="shared" ca="1" si="27"/>
        <v>4</v>
      </c>
      <c r="AA91">
        <f t="shared" ca="1" si="27"/>
        <v>5</v>
      </c>
      <c r="AB91">
        <f t="shared" ca="1" si="27"/>
        <v>3</v>
      </c>
      <c r="AC91">
        <f t="shared" ca="1" si="27"/>
        <v>4</v>
      </c>
      <c r="AD91">
        <f t="shared" ca="1" si="27"/>
        <v>4</v>
      </c>
      <c r="AE91">
        <f t="shared" ca="1" si="27"/>
        <v>5</v>
      </c>
      <c r="AF91">
        <f t="shared" ca="1" si="27"/>
        <v>5</v>
      </c>
      <c r="AG91">
        <f t="shared" ca="1" si="27"/>
        <v>6</v>
      </c>
      <c r="AH91">
        <f t="shared" ca="1" si="27"/>
        <v>3</v>
      </c>
      <c r="AI91">
        <f t="shared" ca="1" si="27"/>
        <v>3</v>
      </c>
      <c r="AJ91">
        <f t="shared" ca="1" si="27"/>
        <v>2</v>
      </c>
      <c r="AK91">
        <f t="shared" ca="1" si="27"/>
        <v>2</v>
      </c>
      <c r="AL91">
        <f t="shared" ca="1" si="27"/>
        <v>4</v>
      </c>
      <c r="AM91">
        <f t="shared" ca="1" si="27"/>
        <v>4</v>
      </c>
      <c r="AN91">
        <f t="shared" ca="1" si="27"/>
        <v>1</v>
      </c>
      <c r="AO91">
        <f t="shared" ca="1" si="27"/>
        <v>2</v>
      </c>
      <c r="AP91">
        <f t="shared" ca="1" si="27"/>
        <v>3</v>
      </c>
      <c r="AQ91">
        <f t="shared" ca="1" si="27"/>
        <v>3</v>
      </c>
      <c r="AR91">
        <f t="shared" ca="1" si="27"/>
        <v>6</v>
      </c>
      <c r="AS91">
        <f t="shared" ca="1" si="27"/>
        <v>5</v>
      </c>
      <c r="AT91">
        <f t="shared" ca="1" si="27"/>
        <v>1</v>
      </c>
      <c r="AU91">
        <f t="shared" ca="1" si="27"/>
        <v>3</v>
      </c>
      <c r="AV91">
        <f t="shared" ca="1" si="27"/>
        <v>5</v>
      </c>
      <c r="AW91">
        <f t="shared" ca="1" si="27"/>
        <v>3</v>
      </c>
      <c r="AX91">
        <f t="shared" ca="1" si="27"/>
        <v>2</v>
      </c>
    </row>
    <row r="92" spans="1:50" x14ac:dyDescent="0.2">
      <c r="A92">
        <f t="shared" ca="1" si="28"/>
        <v>4</v>
      </c>
      <c r="B92">
        <f t="shared" ca="1" si="23"/>
        <v>1</v>
      </c>
      <c r="C92">
        <f t="shared" ca="1" si="23"/>
        <v>4</v>
      </c>
      <c r="D92">
        <f t="shared" ca="1" si="23"/>
        <v>4</v>
      </c>
      <c r="E92">
        <f t="shared" ca="1" si="23"/>
        <v>2</v>
      </c>
      <c r="F92">
        <f t="shared" ca="1" si="23"/>
        <v>3</v>
      </c>
      <c r="G92">
        <f t="shared" ca="1" si="23"/>
        <v>1</v>
      </c>
      <c r="H92">
        <f t="shared" ca="1" si="23"/>
        <v>6</v>
      </c>
      <c r="I92">
        <f t="shared" ca="1" si="23"/>
        <v>3</v>
      </c>
      <c r="J92">
        <f t="shared" ca="1" si="23"/>
        <v>5</v>
      </c>
      <c r="K92">
        <f t="shared" ca="1" si="23"/>
        <v>1</v>
      </c>
      <c r="L92">
        <f t="shared" ca="1" si="23"/>
        <v>1</v>
      </c>
      <c r="M92">
        <f t="shared" ca="1" si="23"/>
        <v>5</v>
      </c>
      <c r="N92">
        <f t="shared" ca="1" si="23"/>
        <v>2</v>
      </c>
      <c r="O92">
        <f t="shared" ca="1" si="23"/>
        <v>2</v>
      </c>
      <c r="P92">
        <f t="shared" ca="1" si="23"/>
        <v>5</v>
      </c>
      <c r="Q92">
        <f t="shared" ca="1" si="27"/>
        <v>4</v>
      </c>
      <c r="R92">
        <f t="shared" ca="1" si="27"/>
        <v>1</v>
      </c>
      <c r="S92">
        <f t="shared" ca="1" si="27"/>
        <v>6</v>
      </c>
      <c r="T92">
        <f t="shared" ca="1" si="27"/>
        <v>3</v>
      </c>
      <c r="U92">
        <f t="shared" ca="1" si="27"/>
        <v>2</v>
      </c>
      <c r="V92">
        <f t="shared" ca="1" si="27"/>
        <v>1</v>
      </c>
      <c r="W92">
        <f t="shared" ca="1" si="27"/>
        <v>2</v>
      </c>
      <c r="X92">
        <f t="shared" ca="1" si="27"/>
        <v>5</v>
      </c>
      <c r="Y92">
        <f t="shared" ca="1" si="27"/>
        <v>5</v>
      </c>
      <c r="Z92">
        <f t="shared" ca="1" si="27"/>
        <v>1</v>
      </c>
      <c r="AA92">
        <f t="shared" ca="1" si="27"/>
        <v>2</v>
      </c>
      <c r="AB92">
        <f t="shared" ca="1" si="27"/>
        <v>1</v>
      </c>
      <c r="AC92">
        <f t="shared" ca="1" si="27"/>
        <v>6</v>
      </c>
      <c r="AD92">
        <f t="shared" ca="1" si="27"/>
        <v>5</v>
      </c>
      <c r="AE92">
        <f t="shared" ca="1" si="27"/>
        <v>4</v>
      </c>
      <c r="AF92">
        <f t="shared" ca="1" si="27"/>
        <v>6</v>
      </c>
      <c r="AG92">
        <f t="shared" ca="1" si="27"/>
        <v>5</v>
      </c>
      <c r="AH92">
        <f t="shared" ca="1" si="27"/>
        <v>3</v>
      </c>
      <c r="AI92">
        <f t="shared" ca="1" si="27"/>
        <v>4</v>
      </c>
      <c r="AJ92">
        <f t="shared" ca="1" si="27"/>
        <v>3</v>
      </c>
      <c r="AK92">
        <f t="shared" ca="1" si="27"/>
        <v>5</v>
      </c>
      <c r="AL92">
        <f t="shared" ca="1" si="27"/>
        <v>2</v>
      </c>
      <c r="AM92">
        <f t="shared" ca="1" si="27"/>
        <v>4</v>
      </c>
      <c r="AN92">
        <f t="shared" ref="AN92:AX93" ca="1" si="29">RANDBETWEEN(1,6)</f>
        <v>2</v>
      </c>
      <c r="AO92">
        <f t="shared" ca="1" si="29"/>
        <v>5</v>
      </c>
      <c r="AP92">
        <f t="shared" ca="1" si="29"/>
        <v>4</v>
      </c>
      <c r="AQ92">
        <f t="shared" ca="1" si="29"/>
        <v>3</v>
      </c>
      <c r="AR92">
        <f t="shared" ca="1" si="29"/>
        <v>4</v>
      </c>
      <c r="AS92">
        <f t="shared" ca="1" si="29"/>
        <v>3</v>
      </c>
      <c r="AT92">
        <f t="shared" ca="1" si="29"/>
        <v>6</v>
      </c>
      <c r="AU92">
        <f t="shared" ca="1" si="29"/>
        <v>3</v>
      </c>
      <c r="AV92">
        <f t="shared" ca="1" si="29"/>
        <v>4</v>
      </c>
      <c r="AW92">
        <f t="shared" ca="1" si="29"/>
        <v>4</v>
      </c>
      <c r="AX92">
        <f t="shared" ca="1" si="29"/>
        <v>2</v>
      </c>
    </row>
    <row r="93" spans="1:50" x14ac:dyDescent="0.2">
      <c r="A93">
        <f t="shared" ca="1" si="28"/>
        <v>4</v>
      </c>
      <c r="B93">
        <f t="shared" ca="1" si="28"/>
        <v>6</v>
      </c>
      <c r="C93">
        <f t="shared" ca="1" si="28"/>
        <v>3</v>
      </c>
      <c r="D93">
        <f t="shared" ca="1" si="28"/>
        <v>6</v>
      </c>
      <c r="E93">
        <f t="shared" ca="1" si="28"/>
        <v>2</v>
      </c>
      <c r="F93">
        <f t="shared" ca="1" si="28"/>
        <v>1</v>
      </c>
      <c r="G93">
        <f t="shared" ca="1" si="28"/>
        <v>5</v>
      </c>
      <c r="H93">
        <f t="shared" ca="1" si="28"/>
        <v>1</v>
      </c>
      <c r="I93">
        <f t="shared" ca="1" si="28"/>
        <v>1</v>
      </c>
      <c r="J93">
        <f t="shared" ca="1" si="28"/>
        <v>2</v>
      </c>
      <c r="K93">
        <f t="shared" ca="1" si="28"/>
        <v>6</v>
      </c>
      <c r="L93">
        <f t="shared" ca="1" si="28"/>
        <v>2</v>
      </c>
      <c r="M93">
        <f t="shared" ca="1" si="28"/>
        <v>1</v>
      </c>
      <c r="N93">
        <f t="shared" ca="1" si="28"/>
        <v>3</v>
      </c>
      <c r="O93">
        <f t="shared" ca="1" si="28"/>
        <v>3</v>
      </c>
      <c r="P93">
        <f t="shared" ca="1" si="28"/>
        <v>2</v>
      </c>
      <c r="Q93">
        <f t="shared" ref="Q93:AX100" ca="1" si="30">RANDBETWEEN(1,6)</f>
        <v>5</v>
      </c>
      <c r="R93">
        <f t="shared" ca="1" si="30"/>
        <v>1</v>
      </c>
      <c r="S93">
        <f t="shared" ca="1" si="30"/>
        <v>4</v>
      </c>
      <c r="T93">
        <f t="shared" ca="1" si="30"/>
        <v>5</v>
      </c>
      <c r="U93">
        <f t="shared" ca="1" si="30"/>
        <v>3</v>
      </c>
      <c r="V93">
        <f t="shared" ca="1" si="30"/>
        <v>3</v>
      </c>
      <c r="W93">
        <f t="shared" ca="1" si="30"/>
        <v>1</v>
      </c>
      <c r="X93">
        <f t="shared" ca="1" si="30"/>
        <v>6</v>
      </c>
      <c r="Y93">
        <f t="shared" ca="1" si="30"/>
        <v>5</v>
      </c>
      <c r="Z93">
        <f t="shared" ca="1" si="30"/>
        <v>1</v>
      </c>
      <c r="AA93">
        <f t="shared" ca="1" si="30"/>
        <v>5</v>
      </c>
      <c r="AB93">
        <f t="shared" ca="1" si="30"/>
        <v>1</v>
      </c>
      <c r="AC93">
        <f t="shared" ca="1" si="30"/>
        <v>1</v>
      </c>
      <c r="AD93">
        <f t="shared" ca="1" si="30"/>
        <v>2</v>
      </c>
      <c r="AE93">
        <f t="shared" ca="1" si="30"/>
        <v>3</v>
      </c>
      <c r="AF93">
        <f t="shared" ca="1" si="30"/>
        <v>1</v>
      </c>
      <c r="AG93">
        <f t="shared" ca="1" si="30"/>
        <v>6</v>
      </c>
      <c r="AH93">
        <f t="shared" ca="1" si="30"/>
        <v>2</v>
      </c>
      <c r="AI93">
        <f t="shared" ca="1" si="30"/>
        <v>5</v>
      </c>
      <c r="AJ93">
        <f t="shared" ca="1" si="30"/>
        <v>1</v>
      </c>
      <c r="AK93">
        <f t="shared" ca="1" si="30"/>
        <v>5</v>
      </c>
      <c r="AL93">
        <f t="shared" ca="1" si="30"/>
        <v>3</v>
      </c>
      <c r="AM93">
        <f t="shared" ca="1" si="30"/>
        <v>5</v>
      </c>
      <c r="AN93">
        <f t="shared" ca="1" si="30"/>
        <v>6</v>
      </c>
      <c r="AO93">
        <f t="shared" ca="1" si="30"/>
        <v>5</v>
      </c>
      <c r="AP93">
        <f t="shared" ca="1" si="30"/>
        <v>5</v>
      </c>
      <c r="AQ93">
        <f t="shared" ca="1" si="30"/>
        <v>6</v>
      </c>
      <c r="AR93">
        <f t="shared" ca="1" si="30"/>
        <v>4</v>
      </c>
      <c r="AS93">
        <f t="shared" ca="1" si="30"/>
        <v>6</v>
      </c>
      <c r="AT93">
        <f t="shared" ca="1" si="30"/>
        <v>1</v>
      </c>
      <c r="AU93">
        <f t="shared" ca="1" si="30"/>
        <v>6</v>
      </c>
      <c r="AV93">
        <f t="shared" ca="1" si="30"/>
        <v>5</v>
      </c>
      <c r="AW93">
        <f t="shared" ca="1" si="30"/>
        <v>2</v>
      </c>
      <c r="AX93">
        <f t="shared" ca="1" si="29"/>
        <v>2</v>
      </c>
    </row>
    <row r="94" spans="1:50" x14ac:dyDescent="0.2">
      <c r="A94">
        <f ca="1">RANDBETWEEN(1,6)</f>
        <v>6</v>
      </c>
      <c r="B94">
        <f t="shared" ca="1" si="28"/>
        <v>6</v>
      </c>
      <c r="C94">
        <f t="shared" ca="1" si="28"/>
        <v>3</v>
      </c>
      <c r="D94">
        <f t="shared" ca="1" si="28"/>
        <v>3</v>
      </c>
      <c r="E94">
        <f t="shared" ca="1" si="28"/>
        <v>4</v>
      </c>
      <c r="F94">
        <f t="shared" ca="1" si="28"/>
        <v>4</v>
      </c>
      <c r="G94">
        <f t="shared" ca="1" si="28"/>
        <v>4</v>
      </c>
      <c r="H94">
        <f t="shared" ca="1" si="28"/>
        <v>3</v>
      </c>
      <c r="I94">
        <f t="shared" ca="1" si="28"/>
        <v>1</v>
      </c>
      <c r="J94">
        <f t="shared" ca="1" si="28"/>
        <v>1</v>
      </c>
      <c r="K94">
        <f t="shared" ca="1" si="28"/>
        <v>2</v>
      </c>
      <c r="L94">
        <f t="shared" ca="1" si="28"/>
        <v>2</v>
      </c>
      <c r="M94">
        <f t="shared" ca="1" si="28"/>
        <v>2</v>
      </c>
      <c r="N94">
        <f t="shared" ca="1" si="28"/>
        <v>3</v>
      </c>
      <c r="O94">
        <f t="shared" ca="1" si="28"/>
        <v>2</v>
      </c>
      <c r="P94">
        <f t="shared" ca="1" si="28"/>
        <v>1</v>
      </c>
      <c r="Q94">
        <f t="shared" ca="1" si="30"/>
        <v>6</v>
      </c>
      <c r="R94">
        <f t="shared" ca="1" si="30"/>
        <v>2</v>
      </c>
      <c r="S94">
        <f t="shared" ca="1" si="30"/>
        <v>4</v>
      </c>
      <c r="T94">
        <f t="shared" ca="1" si="30"/>
        <v>1</v>
      </c>
      <c r="U94">
        <f t="shared" ca="1" si="30"/>
        <v>4</v>
      </c>
      <c r="V94">
        <f t="shared" ca="1" si="30"/>
        <v>4</v>
      </c>
      <c r="W94">
        <f t="shared" ca="1" si="30"/>
        <v>5</v>
      </c>
      <c r="X94">
        <f t="shared" ca="1" si="30"/>
        <v>1</v>
      </c>
      <c r="Y94">
        <f t="shared" ca="1" si="30"/>
        <v>3</v>
      </c>
      <c r="Z94">
        <f t="shared" ca="1" si="30"/>
        <v>4</v>
      </c>
      <c r="AA94">
        <f t="shared" ca="1" si="30"/>
        <v>5</v>
      </c>
      <c r="AB94">
        <f t="shared" ca="1" si="30"/>
        <v>6</v>
      </c>
      <c r="AC94">
        <f t="shared" ca="1" si="30"/>
        <v>6</v>
      </c>
      <c r="AD94">
        <f t="shared" ca="1" si="30"/>
        <v>1</v>
      </c>
      <c r="AE94">
        <f t="shared" ca="1" si="30"/>
        <v>1</v>
      </c>
      <c r="AF94">
        <f t="shared" ca="1" si="30"/>
        <v>5</v>
      </c>
      <c r="AG94">
        <f t="shared" ca="1" si="30"/>
        <v>6</v>
      </c>
      <c r="AH94">
        <f t="shared" ca="1" si="30"/>
        <v>3</v>
      </c>
      <c r="AI94">
        <f t="shared" ca="1" si="30"/>
        <v>2</v>
      </c>
      <c r="AJ94">
        <f t="shared" ca="1" si="30"/>
        <v>5</v>
      </c>
      <c r="AK94">
        <f t="shared" ca="1" si="30"/>
        <v>3</v>
      </c>
      <c r="AL94">
        <f t="shared" ca="1" si="30"/>
        <v>4</v>
      </c>
      <c r="AM94">
        <f t="shared" ca="1" si="30"/>
        <v>2</v>
      </c>
      <c r="AN94">
        <f t="shared" ca="1" si="30"/>
        <v>3</v>
      </c>
      <c r="AO94">
        <f t="shared" ca="1" si="30"/>
        <v>6</v>
      </c>
      <c r="AP94">
        <f t="shared" ca="1" si="30"/>
        <v>1</v>
      </c>
      <c r="AQ94">
        <f t="shared" ca="1" si="30"/>
        <v>2</v>
      </c>
      <c r="AR94">
        <f t="shared" ca="1" si="30"/>
        <v>5</v>
      </c>
      <c r="AS94">
        <f t="shared" ca="1" si="30"/>
        <v>6</v>
      </c>
      <c r="AT94">
        <f t="shared" ca="1" si="30"/>
        <v>3</v>
      </c>
      <c r="AU94">
        <f t="shared" ca="1" si="30"/>
        <v>4</v>
      </c>
      <c r="AV94">
        <f t="shared" ca="1" si="30"/>
        <v>2</v>
      </c>
      <c r="AW94">
        <f t="shared" ca="1" si="30"/>
        <v>1</v>
      </c>
      <c r="AX94">
        <f ca="1">RANDBETWEEN(1,6)</f>
        <v>1</v>
      </c>
    </row>
    <row r="95" spans="1:50" x14ac:dyDescent="0.2">
      <c r="A95">
        <f t="shared" ref="A95:A96" ca="1" si="31">RANDBETWEEN(1,6)</f>
        <v>5</v>
      </c>
      <c r="B95">
        <f t="shared" ca="1" si="28"/>
        <v>2</v>
      </c>
      <c r="C95">
        <f t="shared" ca="1" si="28"/>
        <v>3</v>
      </c>
      <c r="D95">
        <f t="shared" ca="1" si="28"/>
        <v>1</v>
      </c>
      <c r="E95">
        <f t="shared" ca="1" si="28"/>
        <v>1</v>
      </c>
      <c r="F95">
        <f t="shared" ca="1" si="28"/>
        <v>5</v>
      </c>
      <c r="G95">
        <f t="shared" ca="1" si="28"/>
        <v>3</v>
      </c>
      <c r="H95">
        <f t="shared" ca="1" si="28"/>
        <v>3</v>
      </c>
      <c r="I95">
        <f t="shared" ca="1" si="28"/>
        <v>3</v>
      </c>
      <c r="J95">
        <f t="shared" ca="1" si="28"/>
        <v>3</v>
      </c>
      <c r="K95">
        <f t="shared" ca="1" si="28"/>
        <v>2</v>
      </c>
      <c r="L95">
        <f t="shared" ca="1" si="28"/>
        <v>5</v>
      </c>
      <c r="M95">
        <f t="shared" ca="1" si="28"/>
        <v>2</v>
      </c>
      <c r="N95">
        <f t="shared" ca="1" si="28"/>
        <v>4</v>
      </c>
      <c r="O95">
        <f t="shared" ca="1" si="28"/>
        <v>6</v>
      </c>
      <c r="P95">
        <f t="shared" ca="1" si="28"/>
        <v>3</v>
      </c>
      <c r="Q95">
        <f t="shared" ca="1" si="30"/>
        <v>4</v>
      </c>
      <c r="R95">
        <f t="shared" ca="1" si="30"/>
        <v>4</v>
      </c>
      <c r="S95">
        <f t="shared" ca="1" si="30"/>
        <v>5</v>
      </c>
      <c r="T95">
        <f t="shared" ca="1" si="30"/>
        <v>4</v>
      </c>
      <c r="U95">
        <f t="shared" ca="1" si="30"/>
        <v>6</v>
      </c>
      <c r="V95">
        <f t="shared" ca="1" si="30"/>
        <v>2</v>
      </c>
      <c r="W95">
        <f t="shared" ca="1" si="30"/>
        <v>1</v>
      </c>
      <c r="X95">
        <f t="shared" ca="1" si="30"/>
        <v>2</v>
      </c>
      <c r="Y95">
        <f t="shared" ca="1" si="30"/>
        <v>1</v>
      </c>
      <c r="Z95">
        <f t="shared" ca="1" si="30"/>
        <v>5</v>
      </c>
      <c r="AA95">
        <f t="shared" ca="1" si="30"/>
        <v>1</v>
      </c>
      <c r="AB95">
        <f t="shared" ca="1" si="30"/>
        <v>3</v>
      </c>
      <c r="AC95">
        <f t="shared" ca="1" si="30"/>
        <v>4</v>
      </c>
      <c r="AD95">
        <f t="shared" ca="1" si="30"/>
        <v>1</v>
      </c>
      <c r="AE95">
        <f t="shared" ca="1" si="30"/>
        <v>1</v>
      </c>
      <c r="AF95">
        <f t="shared" ca="1" si="30"/>
        <v>6</v>
      </c>
      <c r="AG95">
        <f t="shared" ca="1" si="30"/>
        <v>3</v>
      </c>
      <c r="AH95">
        <f t="shared" ca="1" si="30"/>
        <v>1</v>
      </c>
      <c r="AI95">
        <f t="shared" ca="1" si="30"/>
        <v>4</v>
      </c>
      <c r="AJ95">
        <f t="shared" ca="1" si="30"/>
        <v>1</v>
      </c>
      <c r="AK95">
        <f t="shared" ca="1" si="30"/>
        <v>5</v>
      </c>
      <c r="AL95">
        <f t="shared" ca="1" si="30"/>
        <v>3</v>
      </c>
      <c r="AM95">
        <f t="shared" ca="1" si="30"/>
        <v>4</v>
      </c>
      <c r="AN95">
        <f t="shared" ca="1" si="30"/>
        <v>2</v>
      </c>
      <c r="AO95">
        <f t="shared" ca="1" si="30"/>
        <v>3</v>
      </c>
      <c r="AP95">
        <f t="shared" ca="1" si="30"/>
        <v>5</v>
      </c>
      <c r="AQ95">
        <f t="shared" ca="1" si="30"/>
        <v>3</v>
      </c>
      <c r="AR95">
        <f t="shared" ca="1" si="30"/>
        <v>4</v>
      </c>
      <c r="AS95">
        <f t="shared" ca="1" si="30"/>
        <v>5</v>
      </c>
      <c r="AT95">
        <f t="shared" ca="1" si="30"/>
        <v>4</v>
      </c>
      <c r="AU95">
        <f t="shared" ca="1" si="30"/>
        <v>2</v>
      </c>
      <c r="AV95">
        <f t="shared" ca="1" si="30"/>
        <v>6</v>
      </c>
      <c r="AW95">
        <f t="shared" ca="1" si="30"/>
        <v>2</v>
      </c>
      <c r="AX95">
        <f t="shared" ca="1" si="30"/>
        <v>4</v>
      </c>
    </row>
    <row r="96" spans="1:50" x14ac:dyDescent="0.2">
      <c r="A96">
        <f t="shared" ca="1" si="31"/>
        <v>3</v>
      </c>
      <c r="B96">
        <f t="shared" ca="1" si="28"/>
        <v>1</v>
      </c>
      <c r="C96">
        <f t="shared" ca="1" si="28"/>
        <v>2</v>
      </c>
      <c r="D96">
        <f t="shared" ca="1" si="28"/>
        <v>1</v>
      </c>
      <c r="E96">
        <f t="shared" ca="1" si="28"/>
        <v>5</v>
      </c>
      <c r="F96">
        <f t="shared" ca="1" si="28"/>
        <v>1</v>
      </c>
      <c r="G96">
        <f t="shared" ca="1" si="28"/>
        <v>1</v>
      </c>
      <c r="H96">
        <f t="shared" ca="1" si="28"/>
        <v>4</v>
      </c>
      <c r="I96">
        <f t="shared" ca="1" si="28"/>
        <v>6</v>
      </c>
      <c r="J96">
        <f t="shared" ca="1" si="28"/>
        <v>3</v>
      </c>
      <c r="K96">
        <f t="shared" ca="1" si="28"/>
        <v>2</v>
      </c>
      <c r="L96">
        <f t="shared" ca="1" si="28"/>
        <v>1</v>
      </c>
      <c r="M96">
        <f t="shared" ca="1" si="28"/>
        <v>1</v>
      </c>
      <c r="N96">
        <f t="shared" ca="1" si="28"/>
        <v>5</v>
      </c>
      <c r="O96">
        <f t="shared" ca="1" si="28"/>
        <v>1</v>
      </c>
      <c r="P96">
        <f t="shared" ca="1" si="28"/>
        <v>4</v>
      </c>
      <c r="Q96">
        <f t="shared" ca="1" si="30"/>
        <v>1</v>
      </c>
      <c r="R96">
        <f t="shared" ca="1" si="30"/>
        <v>4</v>
      </c>
      <c r="S96">
        <f t="shared" ca="1" si="30"/>
        <v>3</v>
      </c>
      <c r="T96">
        <f t="shared" ca="1" si="30"/>
        <v>5</v>
      </c>
      <c r="U96">
        <f t="shared" ca="1" si="30"/>
        <v>6</v>
      </c>
      <c r="V96">
        <f t="shared" ca="1" si="30"/>
        <v>1</v>
      </c>
      <c r="W96">
        <f t="shared" ca="1" si="30"/>
        <v>6</v>
      </c>
      <c r="X96">
        <f t="shared" ca="1" si="30"/>
        <v>5</v>
      </c>
      <c r="Y96">
        <f t="shared" ca="1" si="30"/>
        <v>5</v>
      </c>
      <c r="Z96">
        <f t="shared" ca="1" si="30"/>
        <v>3</v>
      </c>
      <c r="AA96">
        <f t="shared" ca="1" si="30"/>
        <v>1</v>
      </c>
      <c r="AB96">
        <f t="shared" ca="1" si="30"/>
        <v>5</v>
      </c>
      <c r="AC96">
        <f t="shared" ca="1" si="30"/>
        <v>6</v>
      </c>
      <c r="AD96">
        <f t="shared" ca="1" si="30"/>
        <v>3</v>
      </c>
      <c r="AE96">
        <f t="shared" ca="1" si="30"/>
        <v>1</v>
      </c>
      <c r="AF96">
        <f t="shared" ca="1" si="30"/>
        <v>3</v>
      </c>
      <c r="AG96">
        <f t="shared" ca="1" si="30"/>
        <v>1</v>
      </c>
      <c r="AH96">
        <f t="shared" ca="1" si="30"/>
        <v>4</v>
      </c>
      <c r="AI96">
        <f t="shared" ca="1" si="30"/>
        <v>5</v>
      </c>
      <c r="AJ96">
        <f t="shared" ca="1" si="30"/>
        <v>5</v>
      </c>
      <c r="AK96">
        <f t="shared" ca="1" si="30"/>
        <v>1</v>
      </c>
      <c r="AL96">
        <f t="shared" ca="1" si="30"/>
        <v>2</v>
      </c>
      <c r="AM96">
        <f t="shared" ca="1" si="30"/>
        <v>6</v>
      </c>
      <c r="AN96">
        <f t="shared" ca="1" si="30"/>
        <v>3</v>
      </c>
      <c r="AO96">
        <f t="shared" ca="1" si="30"/>
        <v>6</v>
      </c>
      <c r="AP96">
        <f t="shared" ca="1" si="30"/>
        <v>2</v>
      </c>
      <c r="AQ96">
        <f t="shared" ca="1" si="30"/>
        <v>6</v>
      </c>
      <c r="AR96">
        <f t="shared" ca="1" si="30"/>
        <v>2</v>
      </c>
      <c r="AS96">
        <f t="shared" ca="1" si="30"/>
        <v>6</v>
      </c>
      <c r="AT96">
        <f t="shared" ca="1" si="30"/>
        <v>5</v>
      </c>
      <c r="AU96">
        <f t="shared" ca="1" si="30"/>
        <v>2</v>
      </c>
      <c r="AV96">
        <f t="shared" ca="1" si="30"/>
        <v>3</v>
      </c>
      <c r="AW96">
        <f t="shared" ca="1" si="30"/>
        <v>4</v>
      </c>
      <c r="AX96">
        <f t="shared" ca="1" si="30"/>
        <v>6</v>
      </c>
    </row>
    <row r="97" spans="1:50" x14ac:dyDescent="0.2">
      <c r="A97">
        <f ca="1">RANDBETWEEN(1,6)</f>
        <v>2</v>
      </c>
      <c r="B97">
        <f t="shared" ca="1" si="28"/>
        <v>1</v>
      </c>
      <c r="C97">
        <f t="shared" ca="1" si="28"/>
        <v>6</v>
      </c>
      <c r="D97">
        <f t="shared" ca="1" si="28"/>
        <v>1</v>
      </c>
      <c r="E97">
        <f t="shared" ca="1" si="28"/>
        <v>4</v>
      </c>
      <c r="F97">
        <f t="shared" ca="1" si="28"/>
        <v>6</v>
      </c>
      <c r="G97">
        <f t="shared" ca="1" si="28"/>
        <v>4</v>
      </c>
      <c r="H97">
        <f t="shared" ca="1" si="28"/>
        <v>1</v>
      </c>
      <c r="I97">
        <f t="shared" ca="1" si="28"/>
        <v>3</v>
      </c>
      <c r="J97">
        <f t="shared" ca="1" si="28"/>
        <v>4</v>
      </c>
      <c r="K97">
        <f t="shared" ca="1" si="28"/>
        <v>3</v>
      </c>
      <c r="L97">
        <f t="shared" ca="1" si="28"/>
        <v>3</v>
      </c>
      <c r="M97">
        <f t="shared" ca="1" si="28"/>
        <v>5</v>
      </c>
      <c r="N97">
        <f t="shared" ca="1" si="28"/>
        <v>4</v>
      </c>
      <c r="O97">
        <f t="shared" ca="1" si="28"/>
        <v>1</v>
      </c>
      <c r="P97">
        <f t="shared" ca="1" si="28"/>
        <v>1</v>
      </c>
      <c r="Q97">
        <f t="shared" ca="1" si="30"/>
        <v>5</v>
      </c>
      <c r="R97">
        <f t="shared" ca="1" si="30"/>
        <v>5</v>
      </c>
      <c r="S97">
        <f t="shared" ca="1" si="30"/>
        <v>5</v>
      </c>
      <c r="T97">
        <f t="shared" ca="1" si="30"/>
        <v>2</v>
      </c>
      <c r="U97">
        <f t="shared" ca="1" si="30"/>
        <v>3</v>
      </c>
      <c r="V97">
        <f t="shared" ca="1" si="30"/>
        <v>1</v>
      </c>
      <c r="W97">
        <f t="shared" ca="1" si="30"/>
        <v>6</v>
      </c>
      <c r="X97">
        <f t="shared" ca="1" si="30"/>
        <v>2</v>
      </c>
      <c r="Y97">
        <f t="shared" ca="1" si="30"/>
        <v>4</v>
      </c>
      <c r="Z97">
        <f t="shared" ca="1" si="30"/>
        <v>6</v>
      </c>
      <c r="AA97">
        <f t="shared" ca="1" si="30"/>
        <v>5</v>
      </c>
      <c r="AB97">
        <f t="shared" ca="1" si="30"/>
        <v>4</v>
      </c>
      <c r="AC97">
        <f t="shared" ca="1" si="30"/>
        <v>1</v>
      </c>
      <c r="AD97">
        <f t="shared" ca="1" si="30"/>
        <v>2</v>
      </c>
      <c r="AE97">
        <f t="shared" ca="1" si="30"/>
        <v>3</v>
      </c>
      <c r="AF97">
        <f t="shared" ca="1" si="30"/>
        <v>3</v>
      </c>
      <c r="AG97">
        <f t="shared" ca="1" si="30"/>
        <v>6</v>
      </c>
      <c r="AH97">
        <f t="shared" ca="1" si="30"/>
        <v>5</v>
      </c>
      <c r="AI97">
        <f t="shared" ca="1" si="30"/>
        <v>1</v>
      </c>
      <c r="AJ97">
        <f t="shared" ca="1" si="30"/>
        <v>1</v>
      </c>
      <c r="AK97">
        <f t="shared" ca="1" si="30"/>
        <v>4</v>
      </c>
      <c r="AL97">
        <f t="shared" ca="1" si="30"/>
        <v>1</v>
      </c>
      <c r="AM97">
        <f t="shared" ca="1" si="30"/>
        <v>2</v>
      </c>
      <c r="AN97">
        <f t="shared" ca="1" si="30"/>
        <v>4</v>
      </c>
      <c r="AO97">
        <f t="shared" ca="1" si="30"/>
        <v>5</v>
      </c>
      <c r="AP97">
        <f t="shared" ca="1" si="30"/>
        <v>5</v>
      </c>
      <c r="AQ97">
        <f t="shared" ca="1" si="30"/>
        <v>1</v>
      </c>
      <c r="AR97">
        <f t="shared" ca="1" si="30"/>
        <v>2</v>
      </c>
      <c r="AS97">
        <f t="shared" ca="1" si="30"/>
        <v>5</v>
      </c>
      <c r="AT97">
        <f t="shared" ca="1" si="30"/>
        <v>1</v>
      </c>
      <c r="AU97">
        <f t="shared" ca="1" si="30"/>
        <v>1</v>
      </c>
      <c r="AV97">
        <f t="shared" ca="1" si="30"/>
        <v>5</v>
      </c>
      <c r="AW97">
        <f t="shared" ca="1" si="30"/>
        <v>4</v>
      </c>
      <c r="AX97">
        <f ca="1">RANDBETWEEN(1,6)</f>
        <v>2</v>
      </c>
    </row>
    <row r="98" spans="1:50" x14ac:dyDescent="0.2">
      <c r="A98">
        <f t="shared" ref="A98" ca="1" si="32">RANDBETWEEN(1,6)</f>
        <v>4</v>
      </c>
      <c r="B98">
        <f t="shared" ca="1" si="28"/>
        <v>5</v>
      </c>
      <c r="C98">
        <f t="shared" ca="1" si="28"/>
        <v>2</v>
      </c>
      <c r="D98">
        <f t="shared" ca="1" si="28"/>
        <v>6</v>
      </c>
      <c r="E98">
        <f t="shared" ca="1" si="28"/>
        <v>3</v>
      </c>
      <c r="F98">
        <f t="shared" ca="1" si="28"/>
        <v>5</v>
      </c>
      <c r="G98">
        <f t="shared" ca="1" si="28"/>
        <v>1</v>
      </c>
      <c r="H98">
        <f t="shared" ca="1" si="28"/>
        <v>5</v>
      </c>
      <c r="I98">
        <f t="shared" ca="1" si="28"/>
        <v>4</v>
      </c>
      <c r="J98">
        <f t="shared" ca="1" si="28"/>
        <v>4</v>
      </c>
      <c r="K98">
        <f t="shared" ca="1" si="28"/>
        <v>3</v>
      </c>
      <c r="L98">
        <f t="shared" ca="1" si="28"/>
        <v>4</v>
      </c>
      <c r="M98">
        <f t="shared" ca="1" si="28"/>
        <v>3</v>
      </c>
      <c r="N98">
        <f t="shared" ca="1" si="28"/>
        <v>3</v>
      </c>
      <c r="O98">
        <f t="shared" ca="1" si="28"/>
        <v>6</v>
      </c>
      <c r="P98">
        <f t="shared" ca="1" si="28"/>
        <v>5</v>
      </c>
      <c r="Q98">
        <f t="shared" ca="1" si="30"/>
        <v>1</v>
      </c>
      <c r="R98">
        <f t="shared" ca="1" si="30"/>
        <v>1</v>
      </c>
      <c r="S98">
        <f t="shared" ca="1" si="30"/>
        <v>2</v>
      </c>
      <c r="T98">
        <f t="shared" ca="1" si="30"/>
        <v>5</v>
      </c>
      <c r="U98">
        <f t="shared" ca="1" si="30"/>
        <v>1</v>
      </c>
      <c r="V98">
        <f t="shared" ca="1" si="30"/>
        <v>1</v>
      </c>
      <c r="W98">
        <f t="shared" ca="1" si="30"/>
        <v>4</v>
      </c>
      <c r="X98">
        <f t="shared" ca="1" si="30"/>
        <v>4</v>
      </c>
      <c r="Y98">
        <f t="shared" ca="1" si="30"/>
        <v>3</v>
      </c>
      <c r="Z98">
        <f t="shared" ca="1" si="30"/>
        <v>5</v>
      </c>
      <c r="AA98">
        <f t="shared" ca="1" si="30"/>
        <v>4</v>
      </c>
      <c r="AB98">
        <f t="shared" ca="1" si="30"/>
        <v>4</v>
      </c>
      <c r="AC98">
        <f t="shared" ca="1" si="30"/>
        <v>6</v>
      </c>
      <c r="AD98">
        <f t="shared" ca="1" si="30"/>
        <v>5</v>
      </c>
      <c r="AE98">
        <f t="shared" ca="1" si="30"/>
        <v>6</v>
      </c>
      <c r="AF98">
        <f t="shared" ca="1" si="30"/>
        <v>1</v>
      </c>
      <c r="AG98">
        <f t="shared" ca="1" si="30"/>
        <v>3</v>
      </c>
      <c r="AH98">
        <f t="shared" ca="1" si="30"/>
        <v>4</v>
      </c>
      <c r="AI98">
        <f t="shared" ca="1" si="30"/>
        <v>2</v>
      </c>
      <c r="AJ98">
        <f t="shared" ca="1" si="30"/>
        <v>4</v>
      </c>
      <c r="AK98">
        <f t="shared" ca="1" si="30"/>
        <v>4</v>
      </c>
      <c r="AL98">
        <f t="shared" ca="1" si="30"/>
        <v>2</v>
      </c>
      <c r="AM98">
        <f t="shared" ca="1" si="30"/>
        <v>6</v>
      </c>
      <c r="AN98">
        <f t="shared" ca="1" si="30"/>
        <v>1</v>
      </c>
      <c r="AO98">
        <f t="shared" ca="1" si="30"/>
        <v>4</v>
      </c>
      <c r="AP98">
        <f t="shared" ca="1" si="30"/>
        <v>2</v>
      </c>
      <c r="AQ98">
        <f t="shared" ca="1" si="30"/>
        <v>1</v>
      </c>
      <c r="AR98">
        <f t="shared" ca="1" si="30"/>
        <v>6</v>
      </c>
      <c r="AS98">
        <f t="shared" ca="1" si="30"/>
        <v>5</v>
      </c>
      <c r="AT98">
        <f t="shared" ca="1" si="30"/>
        <v>3</v>
      </c>
      <c r="AU98">
        <f t="shared" ca="1" si="30"/>
        <v>6</v>
      </c>
      <c r="AV98">
        <f t="shared" ca="1" si="30"/>
        <v>3</v>
      </c>
      <c r="AW98">
        <f t="shared" ca="1" si="30"/>
        <v>4</v>
      </c>
      <c r="AX98">
        <f t="shared" ca="1" si="30"/>
        <v>2</v>
      </c>
    </row>
    <row r="99" spans="1:50" x14ac:dyDescent="0.2">
      <c r="A99">
        <f ca="1">RANDBETWEEN(1,6)</f>
        <v>3</v>
      </c>
      <c r="B99">
        <f t="shared" ca="1" si="28"/>
        <v>5</v>
      </c>
      <c r="C99">
        <f t="shared" ca="1" si="28"/>
        <v>2</v>
      </c>
      <c r="D99">
        <f t="shared" ca="1" si="28"/>
        <v>5</v>
      </c>
      <c r="E99">
        <f t="shared" ca="1" si="28"/>
        <v>2</v>
      </c>
      <c r="F99">
        <f t="shared" ca="1" si="28"/>
        <v>2</v>
      </c>
      <c r="G99">
        <f t="shared" ca="1" si="28"/>
        <v>5</v>
      </c>
      <c r="H99">
        <f t="shared" ca="1" si="28"/>
        <v>2</v>
      </c>
      <c r="I99">
        <f t="shared" ca="1" si="28"/>
        <v>5</v>
      </c>
      <c r="J99">
        <f t="shared" ca="1" si="28"/>
        <v>4</v>
      </c>
      <c r="K99">
        <f t="shared" ca="1" si="28"/>
        <v>5</v>
      </c>
      <c r="L99">
        <f t="shared" ca="1" si="28"/>
        <v>2</v>
      </c>
      <c r="M99">
        <f t="shared" ca="1" si="28"/>
        <v>6</v>
      </c>
      <c r="N99">
        <f t="shared" ca="1" si="28"/>
        <v>3</v>
      </c>
      <c r="O99">
        <f t="shared" ca="1" si="28"/>
        <v>6</v>
      </c>
      <c r="P99">
        <f t="shared" ca="1" si="28"/>
        <v>6</v>
      </c>
      <c r="Q99">
        <f t="shared" ca="1" si="30"/>
        <v>4</v>
      </c>
      <c r="R99">
        <f t="shared" ca="1" si="30"/>
        <v>6</v>
      </c>
      <c r="S99">
        <f t="shared" ca="1" si="30"/>
        <v>6</v>
      </c>
      <c r="T99">
        <f t="shared" ca="1" si="30"/>
        <v>1</v>
      </c>
      <c r="U99">
        <f t="shared" ca="1" si="30"/>
        <v>6</v>
      </c>
      <c r="V99">
        <f t="shared" ca="1" si="30"/>
        <v>1</v>
      </c>
      <c r="W99">
        <f t="shared" ca="1" si="30"/>
        <v>3</v>
      </c>
      <c r="X99">
        <f t="shared" ca="1" si="30"/>
        <v>3</v>
      </c>
      <c r="Y99">
        <f t="shared" ca="1" si="30"/>
        <v>4</v>
      </c>
      <c r="Z99">
        <f t="shared" ca="1" si="30"/>
        <v>2</v>
      </c>
      <c r="AA99">
        <f t="shared" ca="1" si="30"/>
        <v>4</v>
      </c>
      <c r="AB99">
        <f t="shared" ca="1" si="30"/>
        <v>5</v>
      </c>
      <c r="AC99">
        <f t="shared" ca="1" si="30"/>
        <v>5</v>
      </c>
      <c r="AD99">
        <f t="shared" ca="1" si="30"/>
        <v>1</v>
      </c>
      <c r="AE99">
        <f t="shared" ca="1" si="30"/>
        <v>6</v>
      </c>
      <c r="AF99">
        <f t="shared" ca="1" si="30"/>
        <v>4</v>
      </c>
      <c r="AG99">
        <f t="shared" ca="1" si="30"/>
        <v>5</v>
      </c>
      <c r="AH99">
        <f t="shared" ca="1" si="30"/>
        <v>3</v>
      </c>
      <c r="AI99">
        <f t="shared" ca="1" si="30"/>
        <v>3</v>
      </c>
      <c r="AJ99">
        <f t="shared" ca="1" si="30"/>
        <v>3</v>
      </c>
      <c r="AK99">
        <f t="shared" ca="1" si="30"/>
        <v>6</v>
      </c>
      <c r="AL99">
        <f t="shared" ca="1" si="30"/>
        <v>1</v>
      </c>
      <c r="AM99">
        <f t="shared" ca="1" si="30"/>
        <v>3</v>
      </c>
      <c r="AN99">
        <f t="shared" ca="1" si="30"/>
        <v>5</v>
      </c>
      <c r="AO99">
        <f t="shared" ca="1" si="30"/>
        <v>5</v>
      </c>
      <c r="AP99">
        <f t="shared" ca="1" si="30"/>
        <v>3</v>
      </c>
      <c r="AQ99">
        <f t="shared" ca="1" si="30"/>
        <v>2</v>
      </c>
      <c r="AR99">
        <f t="shared" ca="1" si="30"/>
        <v>1</v>
      </c>
      <c r="AS99">
        <f t="shared" ca="1" si="30"/>
        <v>1</v>
      </c>
      <c r="AT99">
        <f t="shared" ca="1" si="30"/>
        <v>6</v>
      </c>
      <c r="AU99">
        <f t="shared" ca="1" si="30"/>
        <v>6</v>
      </c>
      <c r="AV99">
        <f t="shared" ca="1" si="30"/>
        <v>6</v>
      </c>
      <c r="AW99">
        <f t="shared" ca="1" si="30"/>
        <v>6</v>
      </c>
      <c r="AX99">
        <f ca="1">RANDBETWEEN(1,6)</f>
        <v>2</v>
      </c>
    </row>
    <row r="100" spans="1:50" x14ac:dyDescent="0.2">
      <c r="A100">
        <f t="shared" ref="A100:A101" ca="1" si="33">RANDBETWEEN(1,6)</f>
        <v>5</v>
      </c>
      <c r="B100">
        <f t="shared" ca="1" si="28"/>
        <v>5</v>
      </c>
      <c r="C100">
        <f t="shared" ca="1" si="28"/>
        <v>5</v>
      </c>
      <c r="D100">
        <f t="shared" ca="1" si="28"/>
        <v>3</v>
      </c>
      <c r="E100">
        <f t="shared" ca="1" si="28"/>
        <v>1</v>
      </c>
      <c r="F100">
        <f t="shared" ca="1" si="28"/>
        <v>6</v>
      </c>
      <c r="G100">
        <f t="shared" ca="1" si="28"/>
        <v>2</v>
      </c>
      <c r="H100">
        <f t="shared" ca="1" si="28"/>
        <v>5</v>
      </c>
      <c r="I100">
        <f t="shared" ca="1" si="28"/>
        <v>3</v>
      </c>
      <c r="J100">
        <f t="shared" ca="1" si="28"/>
        <v>1</v>
      </c>
      <c r="K100">
        <f t="shared" ca="1" si="28"/>
        <v>6</v>
      </c>
      <c r="L100">
        <f t="shared" ca="1" si="28"/>
        <v>1</v>
      </c>
      <c r="M100">
        <f t="shared" ca="1" si="28"/>
        <v>5</v>
      </c>
      <c r="N100">
        <f t="shared" ca="1" si="28"/>
        <v>2</v>
      </c>
      <c r="O100">
        <f t="shared" ca="1" si="28"/>
        <v>1</v>
      </c>
      <c r="P100">
        <f t="shared" ca="1" si="28"/>
        <v>6</v>
      </c>
      <c r="Q100">
        <f t="shared" ca="1" si="30"/>
        <v>6</v>
      </c>
      <c r="R100">
        <f t="shared" ca="1" si="30"/>
        <v>5</v>
      </c>
      <c r="S100">
        <f t="shared" ca="1" si="30"/>
        <v>1</v>
      </c>
      <c r="T100">
        <f t="shared" ca="1" si="30"/>
        <v>5</v>
      </c>
      <c r="U100">
        <f t="shared" ca="1" si="30"/>
        <v>4</v>
      </c>
      <c r="V100">
        <f t="shared" ca="1" si="30"/>
        <v>4</v>
      </c>
      <c r="W100">
        <f t="shared" ca="1" si="30"/>
        <v>3</v>
      </c>
      <c r="X100">
        <f t="shared" ca="1" si="30"/>
        <v>4</v>
      </c>
      <c r="Y100">
        <f t="shared" ca="1" si="30"/>
        <v>4</v>
      </c>
      <c r="Z100">
        <f t="shared" ca="1" si="30"/>
        <v>1</v>
      </c>
      <c r="AA100">
        <f t="shared" ca="1" si="30"/>
        <v>3</v>
      </c>
      <c r="AB100">
        <f t="shared" ca="1" si="30"/>
        <v>2</v>
      </c>
      <c r="AC100">
        <f t="shared" ca="1" si="30"/>
        <v>3</v>
      </c>
      <c r="AD100">
        <f t="shared" ca="1" si="30"/>
        <v>1</v>
      </c>
      <c r="AE100">
        <f t="shared" ca="1" si="30"/>
        <v>1</v>
      </c>
      <c r="AF100">
        <f t="shared" ca="1" si="30"/>
        <v>2</v>
      </c>
      <c r="AG100">
        <f t="shared" ca="1" si="30"/>
        <v>5</v>
      </c>
      <c r="AH100">
        <f t="shared" ca="1" si="30"/>
        <v>3</v>
      </c>
      <c r="AI100">
        <f t="shared" ca="1" si="30"/>
        <v>2</v>
      </c>
      <c r="AJ100">
        <f t="shared" ca="1" si="30"/>
        <v>4</v>
      </c>
      <c r="AK100">
        <f t="shared" ca="1" si="30"/>
        <v>4</v>
      </c>
      <c r="AL100">
        <f t="shared" ref="AL100:AX101" ca="1" si="34">RANDBETWEEN(1,6)</f>
        <v>2</v>
      </c>
      <c r="AM100">
        <f t="shared" ca="1" si="34"/>
        <v>1</v>
      </c>
      <c r="AN100">
        <f t="shared" ca="1" si="34"/>
        <v>2</v>
      </c>
      <c r="AO100">
        <f t="shared" ca="1" si="34"/>
        <v>6</v>
      </c>
      <c r="AP100">
        <f t="shared" ca="1" si="34"/>
        <v>5</v>
      </c>
      <c r="AQ100">
        <f t="shared" ca="1" si="34"/>
        <v>4</v>
      </c>
      <c r="AR100">
        <f t="shared" ca="1" si="34"/>
        <v>4</v>
      </c>
      <c r="AS100">
        <f t="shared" ca="1" si="34"/>
        <v>4</v>
      </c>
      <c r="AT100">
        <f t="shared" ca="1" si="34"/>
        <v>3</v>
      </c>
      <c r="AU100">
        <f t="shared" ca="1" si="34"/>
        <v>2</v>
      </c>
      <c r="AV100">
        <f t="shared" ca="1" si="34"/>
        <v>6</v>
      </c>
      <c r="AW100">
        <f t="shared" ca="1" si="34"/>
        <v>2</v>
      </c>
      <c r="AX100">
        <f t="shared" ca="1" si="34"/>
        <v>6</v>
      </c>
    </row>
    <row r="101" spans="1:50" x14ac:dyDescent="0.2">
      <c r="A101">
        <f t="shared" ca="1" si="33"/>
        <v>1</v>
      </c>
      <c r="B101">
        <f t="shared" ca="1" si="28"/>
        <v>5</v>
      </c>
      <c r="C101">
        <f t="shared" ca="1" si="28"/>
        <v>3</v>
      </c>
      <c r="D101">
        <f t="shared" ca="1" si="28"/>
        <v>5</v>
      </c>
      <c r="E101">
        <f t="shared" ca="1" si="28"/>
        <v>3</v>
      </c>
      <c r="F101">
        <f t="shared" ca="1" si="28"/>
        <v>6</v>
      </c>
      <c r="G101">
        <f t="shared" ca="1" si="28"/>
        <v>5</v>
      </c>
      <c r="H101">
        <f t="shared" ca="1" si="28"/>
        <v>3</v>
      </c>
      <c r="I101">
        <f t="shared" ca="1" si="28"/>
        <v>3</v>
      </c>
      <c r="J101">
        <f t="shared" ca="1" si="28"/>
        <v>2</v>
      </c>
      <c r="K101">
        <f t="shared" ca="1" si="28"/>
        <v>1</v>
      </c>
      <c r="L101">
        <f t="shared" ca="1" si="28"/>
        <v>5</v>
      </c>
      <c r="M101">
        <f t="shared" ca="1" si="28"/>
        <v>5</v>
      </c>
      <c r="N101">
        <f t="shared" ca="1" si="28"/>
        <v>6</v>
      </c>
      <c r="O101">
        <f t="shared" ca="1" si="28"/>
        <v>3</v>
      </c>
      <c r="P101">
        <f t="shared" ca="1" si="28"/>
        <v>2</v>
      </c>
      <c r="Q101">
        <f t="shared" ref="Q101:AW101" ca="1" si="35">RANDBETWEEN(1,6)</f>
        <v>1</v>
      </c>
      <c r="R101">
        <f t="shared" ca="1" si="35"/>
        <v>6</v>
      </c>
      <c r="S101">
        <f t="shared" ca="1" si="35"/>
        <v>6</v>
      </c>
      <c r="T101">
        <f t="shared" ca="1" si="35"/>
        <v>6</v>
      </c>
      <c r="U101">
        <f t="shared" ca="1" si="35"/>
        <v>6</v>
      </c>
      <c r="V101">
        <f t="shared" ca="1" si="35"/>
        <v>5</v>
      </c>
      <c r="W101">
        <f t="shared" ca="1" si="35"/>
        <v>1</v>
      </c>
      <c r="X101">
        <f t="shared" ca="1" si="35"/>
        <v>1</v>
      </c>
      <c r="Y101">
        <f t="shared" ca="1" si="35"/>
        <v>6</v>
      </c>
      <c r="Z101">
        <f t="shared" ca="1" si="35"/>
        <v>4</v>
      </c>
      <c r="AA101">
        <f t="shared" ca="1" si="35"/>
        <v>4</v>
      </c>
      <c r="AB101">
        <f t="shared" ca="1" si="35"/>
        <v>5</v>
      </c>
      <c r="AC101">
        <f t="shared" ca="1" si="35"/>
        <v>3</v>
      </c>
      <c r="AD101">
        <f t="shared" ca="1" si="35"/>
        <v>2</v>
      </c>
      <c r="AE101">
        <f t="shared" ca="1" si="35"/>
        <v>5</v>
      </c>
      <c r="AF101">
        <f t="shared" ca="1" si="35"/>
        <v>5</v>
      </c>
      <c r="AG101">
        <f t="shared" ca="1" si="35"/>
        <v>6</v>
      </c>
      <c r="AH101">
        <f t="shared" ca="1" si="35"/>
        <v>1</v>
      </c>
      <c r="AI101">
        <f t="shared" ca="1" si="35"/>
        <v>6</v>
      </c>
      <c r="AJ101">
        <f t="shared" ca="1" si="35"/>
        <v>1</v>
      </c>
      <c r="AK101">
        <f t="shared" ca="1" si="35"/>
        <v>5</v>
      </c>
      <c r="AL101">
        <f t="shared" ca="1" si="35"/>
        <v>3</v>
      </c>
      <c r="AM101">
        <f t="shared" ca="1" si="35"/>
        <v>2</v>
      </c>
      <c r="AN101">
        <f t="shared" ca="1" si="35"/>
        <v>4</v>
      </c>
      <c r="AO101">
        <f t="shared" ca="1" si="35"/>
        <v>1</v>
      </c>
      <c r="AP101">
        <f t="shared" ca="1" si="35"/>
        <v>5</v>
      </c>
      <c r="AQ101">
        <f t="shared" ca="1" si="35"/>
        <v>5</v>
      </c>
      <c r="AR101">
        <f t="shared" ca="1" si="35"/>
        <v>5</v>
      </c>
      <c r="AS101">
        <f t="shared" ca="1" si="35"/>
        <v>3</v>
      </c>
      <c r="AT101">
        <f t="shared" ca="1" si="35"/>
        <v>4</v>
      </c>
      <c r="AU101">
        <f t="shared" ca="1" si="35"/>
        <v>1</v>
      </c>
      <c r="AV101">
        <f t="shared" ca="1" si="35"/>
        <v>2</v>
      </c>
      <c r="AW101">
        <f t="shared" ca="1" si="35"/>
        <v>6</v>
      </c>
      <c r="AX101">
        <f t="shared" ca="1" si="34"/>
        <v>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5FDFA-3901-AD42-AAC4-90923CD9EADE}">
  <sheetPr codeName="Sheet5"/>
  <dimension ref="A1:IU264"/>
  <sheetViews>
    <sheetView workbookViewId="0">
      <selection activeCell="FF94" sqref="FF94"/>
    </sheetView>
  </sheetViews>
  <sheetFormatPr baseColWidth="10" defaultRowHeight="16" x14ac:dyDescent="0.2"/>
  <cols>
    <col min="1" max="1" width="18.5" bestFit="1" customWidth="1"/>
    <col min="2" max="2" width="13.6640625" bestFit="1" customWidth="1"/>
    <col min="13" max="13" width="11.5" customWidth="1"/>
  </cols>
  <sheetData>
    <row r="1" spans="1:255" x14ac:dyDescent="0.2">
      <c r="A1" s="45" t="s">
        <v>67</v>
      </c>
    </row>
    <row r="2" spans="1:255" x14ac:dyDescent="0.2">
      <c r="A2" t="s">
        <v>59</v>
      </c>
      <c r="B2" t="s">
        <v>60</v>
      </c>
      <c r="H2" s="46"/>
    </row>
    <row r="3" spans="1:255" x14ac:dyDescent="0.2">
      <c r="A3" s="64" t="s">
        <v>69</v>
      </c>
      <c r="B3" s="4">
        <v>1.8000000000000001E-4</v>
      </c>
    </row>
    <row r="4" spans="1:255" x14ac:dyDescent="0.2">
      <c r="A4" s="64" t="s">
        <v>70</v>
      </c>
      <c r="B4" s="4">
        <v>1.2540000000000001E-2</v>
      </c>
    </row>
    <row r="5" spans="1:255" x14ac:dyDescent="0.2">
      <c r="A5" s="64"/>
      <c r="B5" s="4"/>
    </row>
    <row r="6" spans="1:255" x14ac:dyDescent="0.2">
      <c r="A6" s="64"/>
      <c r="B6" s="6" t="s">
        <v>74</v>
      </c>
      <c r="C6" s="13">
        <f ca="1">AVERAGE(D8:IU8)</f>
        <v>1.3880652194738351E-4</v>
      </c>
    </row>
    <row r="7" spans="1:255" x14ac:dyDescent="0.2">
      <c r="A7" s="64"/>
      <c r="B7" s="6" t="s">
        <v>75</v>
      </c>
      <c r="C7" s="13">
        <f ca="1">_xlfn.STDEV.S(C8:IU8)</f>
        <v>1.3293992908898276E-3</v>
      </c>
    </row>
    <row r="8" spans="1:255" x14ac:dyDescent="0.2">
      <c r="A8" s="64"/>
      <c r="B8" s="4" t="s">
        <v>73</v>
      </c>
      <c r="D8">
        <f ca="1">LN(D9/C9)</f>
        <v>9.6719713791691925E-4</v>
      </c>
      <c r="E8">
        <f t="shared" ref="E8:BP8" ca="1" si="0">LN(E9/D9)</f>
        <v>2.1074410146324969E-3</v>
      </c>
      <c r="F8">
        <f t="shared" ca="1" si="0"/>
        <v>-9.4480360280922672E-4</v>
      </c>
      <c r="G8">
        <f t="shared" ca="1" si="0"/>
        <v>-4.8207242873071527E-4</v>
      </c>
      <c r="H8">
        <f t="shared" ca="1" si="0"/>
        <v>-8.1140798194782556E-4</v>
      </c>
      <c r="I8">
        <f t="shared" ca="1" si="0"/>
        <v>-1.0757239418817536E-3</v>
      </c>
      <c r="J8">
        <f t="shared" ca="1" si="0"/>
        <v>-1.0669255921117745E-4</v>
      </c>
      <c r="K8">
        <f t="shared" ca="1" si="0"/>
        <v>-2.031888046357799E-3</v>
      </c>
      <c r="L8">
        <f t="shared" ca="1" si="0"/>
        <v>-5.1527876045870337E-4</v>
      </c>
      <c r="M8">
        <f t="shared" ca="1" si="0"/>
        <v>4.86080136499781E-4</v>
      </c>
      <c r="N8">
        <f t="shared" ca="1" si="0"/>
        <v>1.3040095455523876E-3</v>
      </c>
      <c r="O8">
        <f t="shared" ca="1" si="0"/>
        <v>-1.1237179159369348E-3</v>
      </c>
      <c r="P8">
        <f t="shared" ca="1" si="0"/>
        <v>-1.6479519112383245E-3</v>
      </c>
      <c r="Q8">
        <f t="shared" ca="1" si="0"/>
        <v>-1.0976002120076792E-3</v>
      </c>
      <c r="R8">
        <f t="shared" ca="1" si="0"/>
        <v>1.3832882745325134E-3</v>
      </c>
      <c r="S8">
        <f t="shared" ca="1" si="0"/>
        <v>-1.2596388927549826E-3</v>
      </c>
      <c r="T8">
        <f t="shared" ca="1" si="0"/>
        <v>-2.3724722634490387E-3</v>
      </c>
      <c r="U8">
        <f t="shared" ca="1" si="0"/>
        <v>1.2343239087149478E-3</v>
      </c>
      <c r="V8">
        <f t="shared" ca="1" si="0"/>
        <v>-2.0020162036746625E-4</v>
      </c>
      <c r="W8">
        <f t="shared" ca="1" si="0"/>
        <v>1.212018771080015E-3</v>
      </c>
      <c r="X8">
        <f t="shared" ca="1" si="0"/>
        <v>-1.0200883815219774E-3</v>
      </c>
      <c r="Y8">
        <f t="shared" ca="1" si="0"/>
        <v>-1.5063898973328204E-3</v>
      </c>
      <c r="Z8">
        <f t="shared" ca="1" si="0"/>
        <v>1.0225107996128552E-3</v>
      </c>
      <c r="AA8">
        <f t="shared" ca="1" si="0"/>
        <v>1.7400012342342842E-3</v>
      </c>
      <c r="AB8">
        <f t="shared" ca="1" si="0"/>
        <v>-7.7790538143950245E-4</v>
      </c>
      <c r="AC8">
        <f t="shared" ca="1" si="0"/>
        <v>4.6116862703791566E-5</v>
      </c>
      <c r="AD8">
        <f t="shared" ca="1" si="0"/>
        <v>4.4946965770488424E-4</v>
      </c>
      <c r="AE8">
        <f t="shared" ca="1" si="0"/>
        <v>2.0176693933983986E-3</v>
      </c>
      <c r="AF8">
        <f t="shared" ca="1" si="0"/>
        <v>-5.7195129519213453E-4</v>
      </c>
      <c r="AG8">
        <f t="shared" ca="1" si="0"/>
        <v>1.6033909100185184E-4</v>
      </c>
      <c r="AH8">
        <f t="shared" ca="1" si="0"/>
        <v>1.6522730552377446E-3</v>
      </c>
      <c r="AI8">
        <f t="shared" ca="1" si="0"/>
        <v>-1.1831352726115664E-3</v>
      </c>
      <c r="AJ8">
        <f t="shared" ca="1" si="0"/>
        <v>3.2146802293679341E-3</v>
      </c>
      <c r="AK8">
        <f t="shared" ca="1" si="0"/>
        <v>2.772689428579481E-3</v>
      </c>
      <c r="AL8">
        <f t="shared" ca="1" si="0"/>
        <v>-6.7629939688034662E-4</v>
      </c>
      <c r="AM8">
        <f t="shared" ca="1" si="0"/>
        <v>4.1421713907305367E-4</v>
      </c>
      <c r="AN8">
        <f t="shared" ca="1" si="0"/>
        <v>1.2097883852805629E-3</v>
      </c>
      <c r="AO8">
        <f t="shared" ca="1" si="0"/>
        <v>8.0344856759085453E-4</v>
      </c>
      <c r="AP8">
        <f t="shared" ca="1" si="0"/>
        <v>2.5122849273299672E-3</v>
      </c>
      <c r="AQ8">
        <f t="shared" ca="1" si="0"/>
        <v>3.0963024072519219E-3</v>
      </c>
      <c r="AR8">
        <f t="shared" ca="1" si="0"/>
        <v>-8.486168069871086E-4</v>
      </c>
      <c r="AS8">
        <f t="shared" ca="1" si="0"/>
        <v>9.1415334176111172E-5</v>
      </c>
      <c r="AT8">
        <f t="shared" ca="1" si="0"/>
        <v>1.1522392060074221E-4</v>
      </c>
      <c r="AU8">
        <f t="shared" ca="1" si="0"/>
        <v>1.810656025842259E-3</v>
      </c>
      <c r="AV8">
        <f t="shared" ca="1" si="0"/>
        <v>1.4606898811274102E-3</v>
      </c>
      <c r="AW8">
        <f t="shared" ca="1" si="0"/>
        <v>-3.3361629066105524E-3</v>
      </c>
      <c r="AX8">
        <f t="shared" ca="1" si="0"/>
        <v>3.5965637934688715E-4</v>
      </c>
      <c r="AY8">
        <f t="shared" ca="1" si="0"/>
        <v>-1.0061434955409112E-3</v>
      </c>
      <c r="AZ8">
        <f t="shared" ca="1" si="0"/>
        <v>-1.0348804227008064E-3</v>
      </c>
      <c r="BA8">
        <f t="shared" ca="1" si="0"/>
        <v>4.2260553170890634E-4</v>
      </c>
      <c r="BB8">
        <f t="shared" ca="1" si="0"/>
        <v>9.8011301994521032E-4</v>
      </c>
      <c r="BC8">
        <f t="shared" ca="1" si="0"/>
        <v>1.0771513443535001E-3</v>
      </c>
      <c r="BD8">
        <f t="shared" ca="1" si="0"/>
        <v>2.4506584916322688E-3</v>
      </c>
      <c r="BE8">
        <f t="shared" ca="1" si="0"/>
        <v>-9.3821149551021543E-4</v>
      </c>
      <c r="BF8">
        <f t="shared" ca="1" si="0"/>
        <v>-7.3971254080353857E-4</v>
      </c>
      <c r="BG8">
        <f t="shared" ca="1" si="0"/>
        <v>2.4008586049879673E-3</v>
      </c>
      <c r="BH8">
        <f t="shared" ca="1" si="0"/>
        <v>-3.9721607160691938E-4</v>
      </c>
      <c r="BI8">
        <f t="shared" ca="1" si="0"/>
        <v>1.382745392623456E-3</v>
      </c>
      <c r="BJ8">
        <f t="shared" ca="1" si="0"/>
        <v>8.6613717423812751E-4</v>
      </c>
      <c r="BK8">
        <f t="shared" ca="1" si="0"/>
        <v>5.4624496464820006E-4</v>
      </c>
      <c r="BL8">
        <f t="shared" ca="1" si="0"/>
        <v>-1.1577951411240366E-3</v>
      </c>
      <c r="BM8">
        <f t="shared" ca="1" si="0"/>
        <v>-1.5481421250335974E-3</v>
      </c>
      <c r="BN8">
        <f t="shared" ca="1" si="0"/>
        <v>-2.9392870424011842E-4</v>
      </c>
      <c r="BO8">
        <f t="shared" ca="1" si="0"/>
        <v>-1.5345625859186013E-3</v>
      </c>
      <c r="BP8">
        <f t="shared" ca="1" si="0"/>
        <v>-2.078698577359199E-3</v>
      </c>
      <c r="BQ8">
        <f t="shared" ref="BQ8:EB8" ca="1" si="1">LN(BQ9/BP9)</f>
        <v>1.5374621687049368E-3</v>
      </c>
      <c r="BR8">
        <f t="shared" ca="1" si="1"/>
        <v>-1.7410637444773406E-3</v>
      </c>
      <c r="BS8">
        <f t="shared" ca="1" si="1"/>
        <v>7.702018468661874E-4</v>
      </c>
      <c r="BT8">
        <f t="shared" ca="1" si="1"/>
        <v>-2.9298817465207633E-5</v>
      </c>
      <c r="BU8">
        <f t="shared" ca="1" si="1"/>
        <v>6.1688495607828705E-6</v>
      </c>
      <c r="BV8">
        <f t="shared" ca="1" si="1"/>
        <v>5.5342389351721043E-5</v>
      </c>
      <c r="BW8">
        <f t="shared" ca="1" si="1"/>
        <v>-3.2914973683766325E-4</v>
      </c>
      <c r="BX8">
        <f t="shared" ca="1" si="1"/>
        <v>4.158940378569051E-4</v>
      </c>
      <c r="BY8">
        <f t="shared" ca="1" si="1"/>
        <v>1.7447173330642501E-4</v>
      </c>
      <c r="BZ8">
        <f t="shared" ca="1" si="1"/>
        <v>1.1419185067016592E-3</v>
      </c>
      <c r="CA8">
        <f t="shared" ca="1" si="1"/>
        <v>1.0653488968891643E-4</v>
      </c>
      <c r="CB8">
        <f t="shared" ca="1" si="1"/>
        <v>-3.4267902617668487E-4</v>
      </c>
      <c r="CC8">
        <f t="shared" ca="1" si="1"/>
        <v>-8.6713007522505256E-4</v>
      </c>
      <c r="CD8">
        <f t="shared" ca="1" si="1"/>
        <v>-5.579232162409649E-4</v>
      </c>
      <c r="CE8">
        <f t="shared" ca="1" si="1"/>
        <v>-5.9437015777369362E-4</v>
      </c>
      <c r="CF8">
        <f t="shared" ca="1" si="1"/>
        <v>4.0049878681380546E-4</v>
      </c>
      <c r="CG8">
        <f t="shared" ca="1" si="1"/>
        <v>-1.7849610511081145E-3</v>
      </c>
      <c r="CH8">
        <f t="shared" ca="1" si="1"/>
        <v>6.6861882795540058E-4</v>
      </c>
      <c r="CI8">
        <f t="shared" ca="1" si="1"/>
        <v>-2.0401800457938271E-5</v>
      </c>
      <c r="CJ8">
        <f t="shared" ca="1" si="1"/>
        <v>-1.7756434263192331E-3</v>
      </c>
      <c r="CK8">
        <f t="shared" ca="1" si="1"/>
        <v>8.935342600442397E-4</v>
      </c>
      <c r="CL8">
        <f t="shared" ca="1" si="1"/>
        <v>3.8957853917693809E-4</v>
      </c>
      <c r="CM8">
        <f t="shared" ca="1" si="1"/>
        <v>-6.6420808511254961E-4</v>
      </c>
      <c r="CN8">
        <f t="shared" ca="1" si="1"/>
        <v>1.0534665943948611E-3</v>
      </c>
      <c r="CO8">
        <f t="shared" ca="1" si="1"/>
        <v>3.9025655446683948E-4</v>
      </c>
      <c r="CP8">
        <f t="shared" ca="1" si="1"/>
        <v>-2.277769715910434E-3</v>
      </c>
      <c r="CQ8">
        <f t="shared" ca="1" si="1"/>
        <v>2.1436564559312869E-3</v>
      </c>
      <c r="CR8">
        <f t="shared" ca="1" si="1"/>
        <v>2.1495397670992834E-4</v>
      </c>
      <c r="CS8">
        <f t="shared" ca="1" si="1"/>
        <v>-7.6815604402509638E-4</v>
      </c>
      <c r="CT8">
        <f t="shared" ca="1" si="1"/>
        <v>2.9291369705144316E-3</v>
      </c>
      <c r="CU8">
        <f t="shared" ca="1" si="1"/>
        <v>2.0685083816082048E-3</v>
      </c>
      <c r="CV8">
        <f t="shared" ca="1" si="1"/>
        <v>-1.4518471123141487E-3</v>
      </c>
      <c r="CW8">
        <f t="shared" ca="1" si="1"/>
        <v>1.1893961360513101E-3</v>
      </c>
      <c r="CX8">
        <f t="shared" ca="1" si="1"/>
        <v>-1.0706063477184786E-3</v>
      </c>
      <c r="CY8">
        <f t="shared" ca="1" si="1"/>
        <v>-1.0583666532697515E-3</v>
      </c>
      <c r="CZ8">
        <f t="shared" ca="1" si="1"/>
        <v>1.5400372760425844E-3</v>
      </c>
      <c r="DA8">
        <f t="shared" ca="1" si="1"/>
        <v>-1.7059213021519853E-3</v>
      </c>
      <c r="DB8">
        <f t="shared" ca="1" si="1"/>
        <v>2.001376461568162E-4</v>
      </c>
      <c r="DC8">
        <f t="shared" ca="1" si="1"/>
        <v>-1.6481692722414682E-3</v>
      </c>
      <c r="DD8">
        <f t="shared" ca="1" si="1"/>
        <v>-5.2017256127264225E-4</v>
      </c>
      <c r="DE8">
        <f t="shared" ca="1" si="1"/>
        <v>3.6543446546689765E-4</v>
      </c>
      <c r="DF8">
        <f t="shared" ca="1" si="1"/>
        <v>1.1228698416114358E-3</v>
      </c>
      <c r="DG8">
        <f t="shared" ca="1" si="1"/>
        <v>-2.1110403572610348E-3</v>
      </c>
      <c r="DH8">
        <f t="shared" ca="1" si="1"/>
        <v>3.8456429257749912E-4</v>
      </c>
      <c r="DI8">
        <f t="shared" ca="1" si="1"/>
        <v>-1.9869218312095318E-3</v>
      </c>
      <c r="DJ8">
        <f t="shared" ca="1" si="1"/>
        <v>1.2264734106375936E-3</v>
      </c>
      <c r="DK8">
        <f t="shared" ca="1" si="1"/>
        <v>-1.0489422200672224E-4</v>
      </c>
      <c r="DL8">
        <f t="shared" ca="1" si="1"/>
        <v>9.5919959651836616E-4</v>
      </c>
      <c r="DM8">
        <f t="shared" ca="1" si="1"/>
        <v>9.9947645578561846E-4</v>
      </c>
      <c r="DN8">
        <f t="shared" ca="1" si="1"/>
        <v>1.4857394173425598E-3</v>
      </c>
      <c r="DO8">
        <f t="shared" ca="1" si="1"/>
        <v>1.5559209294068601E-4</v>
      </c>
      <c r="DP8">
        <f t="shared" ca="1" si="1"/>
        <v>-7.3324700350389023E-4</v>
      </c>
      <c r="DQ8">
        <f t="shared" ca="1" si="1"/>
        <v>3.5727985716955745E-4</v>
      </c>
      <c r="DR8">
        <f t="shared" ca="1" si="1"/>
        <v>1.4320278467060538E-3</v>
      </c>
      <c r="DS8">
        <f t="shared" ca="1" si="1"/>
        <v>-2.0140008136088812E-4</v>
      </c>
      <c r="DT8">
        <f t="shared" ca="1" si="1"/>
        <v>3.1000598738852508E-4</v>
      </c>
      <c r="DU8">
        <f t="shared" ca="1" si="1"/>
        <v>-1.6356528115148957E-3</v>
      </c>
      <c r="DV8">
        <f t="shared" ca="1" si="1"/>
        <v>2.2837104994715214E-3</v>
      </c>
      <c r="DW8">
        <f t="shared" ca="1" si="1"/>
        <v>1.1288622257388176E-3</v>
      </c>
      <c r="DX8">
        <f t="shared" ca="1" si="1"/>
        <v>-4.8288916651347569E-5</v>
      </c>
      <c r="DY8">
        <f t="shared" ca="1" si="1"/>
        <v>1.4631516840943465E-3</v>
      </c>
      <c r="DZ8">
        <f t="shared" ca="1" si="1"/>
        <v>-9.8644881309773759E-4</v>
      </c>
      <c r="EA8">
        <f t="shared" ca="1" si="1"/>
        <v>-4.4658359214613363E-4</v>
      </c>
      <c r="EB8">
        <f t="shared" ca="1" si="1"/>
        <v>2.8108708324891436E-3</v>
      </c>
      <c r="EC8">
        <f t="shared" ref="EC8:GN8" ca="1" si="2">LN(EC9/EB9)</f>
        <v>4.1099490326148712E-4</v>
      </c>
      <c r="ED8">
        <f t="shared" ca="1" si="2"/>
        <v>-8.7650682172641194E-4</v>
      </c>
      <c r="EE8">
        <f t="shared" ca="1" si="2"/>
        <v>3.3852766495685123E-4</v>
      </c>
      <c r="EF8">
        <f t="shared" ca="1" si="2"/>
        <v>2.3195198975218658E-3</v>
      </c>
      <c r="EG8">
        <f t="shared" ca="1" si="2"/>
        <v>-2.014008127782096E-3</v>
      </c>
      <c r="EH8">
        <f t="shared" ca="1" si="2"/>
        <v>-8.6997701007228716E-4</v>
      </c>
      <c r="EI8">
        <f t="shared" ca="1" si="2"/>
        <v>-1.5304235353598807E-3</v>
      </c>
      <c r="EJ8">
        <f t="shared" ca="1" si="2"/>
        <v>-3.8080952464513524E-4</v>
      </c>
      <c r="EK8">
        <f t="shared" ca="1" si="2"/>
        <v>-1.5745209363566637E-3</v>
      </c>
      <c r="EL8">
        <f t="shared" ca="1" si="2"/>
        <v>2.3093758923105195E-3</v>
      </c>
      <c r="EM8">
        <f t="shared" ca="1" si="2"/>
        <v>1.2844639041285316E-3</v>
      </c>
      <c r="EN8">
        <f t="shared" ca="1" si="2"/>
        <v>-7.1011876086062595E-4</v>
      </c>
      <c r="EO8">
        <f t="shared" ca="1" si="2"/>
        <v>2.510345970138053E-3</v>
      </c>
      <c r="EP8">
        <f t="shared" ca="1" si="2"/>
        <v>-1.1582937331024112E-4</v>
      </c>
      <c r="EQ8">
        <f t="shared" ca="1" si="2"/>
        <v>7.1020965704350961E-4</v>
      </c>
      <c r="ER8">
        <f t="shared" ca="1" si="2"/>
        <v>-7.2927215700886001E-4</v>
      </c>
      <c r="ES8">
        <f t="shared" ca="1" si="2"/>
        <v>-1.7055948435273532E-3</v>
      </c>
      <c r="ET8">
        <f t="shared" ca="1" si="2"/>
        <v>-6.9656758560570069E-4</v>
      </c>
      <c r="EU8">
        <f t="shared" ca="1" si="2"/>
        <v>2.8823202335044942E-4</v>
      </c>
      <c r="EV8">
        <f t="shared" ca="1" si="2"/>
        <v>1.0679216794754274E-3</v>
      </c>
      <c r="EW8">
        <f t="shared" ca="1" si="2"/>
        <v>2.0881812813367869E-3</v>
      </c>
      <c r="EX8">
        <f t="shared" ca="1" si="2"/>
        <v>2.3012411364669158E-3</v>
      </c>
      <c r="EY8">
        <f t="shared" ca="1" si="2"/>
        <v>1.1555226578865759E-3</v>
      </c>
      <c r="EZ8">
        <f t="shared" ca="1" si="2"/>
        <v>1.089832240384371E-3</v>
      </c>
      <c r="FA8">
        <f t="shared" ca="1" si="2"/>
        <v>-2.6251040699946772E-3</v>
      </c>
      <c r="FB8">
        <f t="shared" ca="1" si="2"/>
        <v>6.4860093346015975E-5</v>
      </c>
      <c r="FC8">
        <f t="shared" ca="1" si="2"/>
        <v>-1.3344818589709347E-3</v>
      </c>
      <c r="FD8">
        <f t="shared" ca="1" si="2"/>
        <v>-2.6011078647533107E-4</v>
      </c>
      <c r="FE8">
        <f t="shared" ca="1" si="2"/>
        <v>7.1102240103662812E-4</v>
      </c>
      <c r="FF8">
        <f t="shared" ca="1" si="2"/>
        <v>2.9748869194778237E-3</v>
      </c>
      <c r="FG8">
        <f t="shared" ca="1" si="2"/>
        <v>1.6584620604346153E-3</v>
      </c>
      <c r="FH8">
        <f t="shared" ca="1" si="2"/>
        <v>-6.6321231665040549E-4</v>
      </c>
      <c r="FI8">
        <f t="shared" ca="1" si="2"/>
        <v>1.6937083520167436E-3</v>
      </c>
      <c r="FJ8">
        <f t="shared" ca="1" si="2"/>
        <v>-2.5144947205687058E-3</v>
      </c>
      <c r="FK8">
        <f t="shared" ca="1" si="2"/>
        <v>1.2705581687895889E-4</v>
      </c>
      <c r="FL8">
        <f t="shared" ca="1" si="2"/>
        <v>3.0117063964858677E-4</v>
      </c>
      <c r="FM8">
        <f t="shared" ca="1" si="2"/>
        <v>3.6343811717887283E-4</v>
      </c>
      <c r="FN8">
        <f t="shared" ca="1" si="2"/>
        <v>1.0219157643046131E-3</v>
      </c>
      <c r="FO8">
        <f t="shared" ca="1" si="2"/>
        <v>1.2461229403416226E-3</v>
      </c>
      <c r="FP8">
        <f t="shared" ca="1" si="2"/>
        <v>1.8780104877069658E-3</v>
      </c>
      <c r="FQ8">
        <f t="shared" ca="1" si="2"/>
        <v>6.5944983110377304E-4</v>
      </c>
      <c r="FR8">
        <f t="shared" ca="1" si="2"/>
        <v>1.7809528672728969E-3</v>
      </c>
      <c r="FS8">
        <f t="shared" ca="1" si="2"/>
        <v>-1.70253956402773E-3</v>
      </c>
      <c r="FT8">
        <f t="shared" ca="1" si="2"/>
        <v>-1.4843594910199484E-3</v>
      </c>
      <c r="FU8">
        <f t="shared" ca="1" si="2"/>
        <v>2.6224063161718597E-6</v>
      </c>
      <c r="FV8">
        <f t="shared" ca="1" si="2"/>
        <v>1.8847842233240789E-3</v>
      </c>
      <c r="FW8">
        <f t="shared" ca="1" si="2"/>
        <v>-9.8881287291407148E-4</v>
      </c>
      <c r="FX8">
        <f t="shared" ca="1" si="2"/>
        <v>-1.8130349015387695E-3</v>
      </c>
      <c r="FY8">
        <f t="shared" ca="1" si="2"/>
        <v>9.891579809334361E-4</v>
      </c>
      <c r="FZ8">
        <f t="shared" ca="1" si="2"/>
        <v>2.5728372729491604E-3</v>
      </c>
      <c r="GA8">
        <f t="shared" ca="1" si="2"/>
        <v>-1.0689610327873733E-3</v>
      </c>
      <c r="GB8">
        <f t="shared" ca="1" si="2"/>
        <v>-9.2470304879887805E-4</v>
      </c>
      <c r="GC8">
        <f t="shared" ca="1" si="2"/>
        <v>-5.485742724221736E-4</v>
      </c>
      <c r="GD8">
        <f t="shared" ca="1" si="2"/>
        <v>3.9831513153787369E-4</v>
      </c>
      <c r="GE8">
        <f t="shared" ca="1" si="2"/>
        <v>-3.0409026683938628E-4</v>
      </c>
      <c r="GF8">
        <f t="shared" ca="1" si="2"/>
        <v>5.3688192300493497E-4</v>
      </c>
      <c r="GG8">
        <f t="shared" ca="1" si="2"/>
        <v>2.0099774824143429E-3</v>
      </c>
      <c r="GH8">
        <f t="shared" ca="1" si="2"/>
        <v>-1.7040337440776534E-3</v>
      </c>
      <c r="GI8">
        <f t="shared" ca="1" si="2"/>
        <v>-2.6366859017464391E-4</v>
      </c>
      <c r="GJ8">
        <f t="shared" ca="1" si="2"/>
        <v>2.5082444013263425E-4</v>
      </c>
      <c r="GK8">
        <f t="shared" ca="1" si="2"/>
        <v>-8.0090244282050686E-4</v>
      </c>
      <c r="GL8">
        <f t="shared" ca="1" si="2"/>
        <v>-6.9740504968539296E-4</v>
      </c>
      <c r="GM8">
        <f t="shared" ca="1" si="2"/>
        <v>-5.4135627296442699E-4</v>
      </c>
      <c r="GN8">
        <f t="shared" ca="1" si="2"/>
        <v>1.1064671750858056E-4</v>
      </c>
      <c r="GO8">
        <f t="shared" ref="GO8:IU8" ca="1" si="3">LN(GO9/GN9)</f>
        <v>5.0247004775153014E-4</v>
      </c>
      <c r="GP8">
        <f t="shared" ca="1" si="3"/>
        <v>1.387997232889116E-3</v>
      </c>
      <c r="GQ8">
        <f t="shared" ca="1" si="3"/>
        <v>-1.5463732468519586E-3</v>
      </c>
      <c r="GR8">
        <f t="shared" ca="1" si="3"/>
        <v>7.8490533416455911E-4</v>
      </c>
      <c r="GS8">
        <f t="shared" ca="1" si="3"/>
        <v>-1.9142018635159275E-3</v>
      </c>
      <c r="GT8">
        <f t="shared" ca="1" si="3"/>
        <v>-2.5553260606985392E-3</v>
      </c>
      <c r="GU8">
        <f t="shared" ca="1" si="3"/>
        <v>5.195471204603937E-4</v>
      </c>
      <c r="GV8">
        <f t="shared" ca="1" si="3"/>
        <v>9.0679320739215773E-4</v>
      </c>
      <c r="GW8">
        <f t="shared" ca="1" si="3"/>
        <v>-1.0119376705392178E-3</v>
      </c>
      <c r="GX8">
        <f t="shared" ca="1" si="3"/>
        <v>8.0523468459286183E-4</v>
      </c>
      <c r="GY8">
        <f t="shared" ca="1" si="3"/>
        <v>1.8719217961330665E-3</v>
      </c>
      <c r="GZ8">
        <f t="shared" ca="1" si="3"/>
        <v>1.0297527930525872E-3</v>
      </c>
      <c r="HA8">
        <f t="shared" ca="1" si="3"/>
        <v>8.7850878799776802E-4</v>
      </c>
      <c r="HB8">
        <f t="shared" ca="1" si="3"/>
        <v>-2.9463820640560523E-4</v>
      </c>
      <c r="HC8">
        <f t="shared" ca="1" si="3"/>
        <v>-4.2805996607568348E-4</v>
      </c>
      <c r="HD8">
        <f t="shared" ca="1" si="3"/>
        <v>1.5581992516166268E-3</v>
      </c>
      <c r="HE8">
        <f t="shared" ca="1" si="3"/>
        <v>-8.7669361304445838E-5</v>
      </c>
      <c r="HF8">
        <f t="shared" ca="1" si="3"/>
        <v>-3.1345087133595609E-3</v>
      </c>
      <c r="HG8">
        <f t="shared" ca="1" si="3"/>
        <v>1.1055964324625607E-3</v>
      </c>
      <c r="HH8">
        <f t="shared" ca="1" si="3"/>
        <v>1.7336443374095292E-3</v>
      </c>
      <c r="HI8">
        <f t="shared" ca="1" si="3"/>
        <v>1.1702426606247096E-3</v>
      </c>
      <c r="HJ8">
        <f t="shared" ca="1" si="3"/>
        <v>2.652396960963126E-4</v>
      </c>
      <c r="HK8">
        <f t="shared" ca="1" si="3"/>
        <v>1.5345043411433047E-3</v>
      </c>
      <c r="HL8">
        <f t="shared" ca="1" si="3"/>
        <v>-1.4743144141450171E-3</v>
      </c>
      <c r="HM8">
        <f t="shared" ca="1" si="3"/>
        <v>-6.6433788034544854E-4</v>
      </c>
      <c r="HN8">
        <f t="shared" ca="1" si="3"/>
        <v>-1.6546914778642094E-3</v>
      </c>
      <c r="HO8">
        <f t="shared" ca="1" si="3"/>
        <v>1.4757782338705443E-3</v>
      </c>
      <c r="HP8">
        <f t="shared" ca="1" si="3"/>
        <v>-4.0829136313107948E-5</v>
      </c>
      <c r="HQ8">
        <f t="shared" ca="1" si="3"/>
        <v>-1.1608019531653016E-3</v>
      </c>
      <c r="HR8">
        <f t="shared" ca="1" si="3"/>
        <v>1.1221493943976367E-4</v>
      </c>
      <c r="HS8">
        <f t="shared" ca="1" si="3"/>
        <v>6.6876292829714666E-4</v>
      </c>
      <c r="HT8">
        <f t="shared" ca="1" si="3"/>
        <v>-1.6515839025563523E-4</v>
      </c>
      <c r="HU8">
        <f t="shared" ca="1" si="3"/>
        <v>-1.2307961348964787E-3</v>
      </c>
      <c r="HV8">
        <f t="shared" ca="1" si="3"/>
        <v>-2.5648406181301583E-3</v>
      </c>
      <c r="HW8">
        <f t="shared" ca="1" si="3"/>
        <v>1.8387527844780922E-3</v>
      </c>
      <c r="HX8">
        <f t="shared" ca="1" si="3"/>
        <v>5.6013954956128043E-5</v>
      </c>
      <c r="HY8">
        <f t="shared" ca="1" si="3"/>
        <v>1.0196059836973635E-4</v>
      </c>
      <c r="HZ8">
        <f t="shared" ca="1" si="3"/>
        <v>3.4285171791846624E-4</v>
      </c>
      <c r="IA8">
        <f t="shared" ca="1" si="3"/>
        <v>-6.9612204332659261E-4</v>
      </c>
      <c r="IB8">
        <f t="shared" ca="1" si="3"/>
        <v>4.8959698109898669E-4</v>
      </c>
      <c r="IC8">
        <f t="shared" ca="1" si="3"/>
        <v>-2.7069906262599745E-6</v>
      </c>
      <c r="ID8">
        <f t="shared" ca="1" si="3"/>
        <v>-6.6500417799690581E-4</v>
      </c>
      <c r="IE8">
        <f t="shared" ca="1" si="3"/>
        <v>3.9286074488315378E-4</v>
      </c>
      <c r="IF8">
        <f t="shared" ca="1" si="3"/>
        <v>1.2458592229842825E-3</v>
      </c>
      <c r="IG8">
        <f t="shared" ca="1" si="3"/>
        <v>-1.1655136281669893E-3</v>
      </c>
      <c r="IH8">
        <f t="shared" ca="1" si="3"/>
        <v>2.9460161578205015E-4</v>
      </c>
      <c r="II8">
        <f t="shared" ca="1" si="3"/>
        <v>1.1693990648944136E-3</v>
      </c>
      <c r="IJ8">
        <f t="shared" ca="1" si="3"/>
        <v>6.1702330752210648E-4</v>
      </c>
      <c r="IK8">
        <f t="shared" ca="1" si="3"/>
        <v>-1.4552901523059419E-3</v>
      </c>
      <c r="IL8">
        <f t="shared" ca="1" si="3"/>
        <v>1.1772763631502053E-3</v>
      </c>
      <c r="IM8">
        <f t="shared" ca="1" si="3"/>
        <v>8.7624688786153333E-4</v>
      </c>
      <c r="IN8">
        <f t="shared" ca="1" si="3"/>
        <v>1.4049163992105671E-3</v>
      </c>
      <c r="IO8">
        <f t="shared" ca="1" si="3"/>
        <v>2.772635801949655E-3</v>
      </c>
      <c r="IP8">
        <f t="shared" ca="1" si="3"/>
        <v>-3.5487465712203179E-4</v>
      </c>
      <c r="IQ8">
        <f t="shared" ca="1" si="3"/>
        <v>-4.3686351933669421E-4</v>
      </c>
      <c r="IR8">
        <f t="shared" ca="1" si="3"/>
        <v>2.8586832680606855E-3</v>
      </c>
      <c r="IS8">
        <f t="shared" ca="1" si="3"/>
        <v>1.6857515376165583E-3</v>
      </c>
      <c r="IT8">
        <f t="shared" ca="1" si="3"/>
        <v>-9.5468013083160289E-4</v>
      </c>
      <c r="IU8">
        <f t="shared" ca="1" si="3"/>
        <v>-1.4286919059099108E-3</v>
      </c>
    </row>
    <row r="9" spans="1:255" x14ac:dyDescent="0.2">
      <c r="B9" t="s">
        <v>72</v>
      </c>
      <c r="C9" s="36">
        <f>AVERAGE(C11:C110)</f>
        <v>50</v>
      </c>
      <c r="D9" s="36">
        <f t="shared" ref="D9:BO9" ca="1" si="4">AVERAGE(D11:D110)</f>
        <v>50.048383251195126</v>
      </c>
      <c r="E9" s="36">
        <f t="shared" ca="1" si="4"/>
        <v>50.153968485022851</v>
      </c>
      <c r="F9" s="36">
        <f t="shared" ca="1" si="4"/>
        <v>50.10660521292133</v>
      </c>
      <c r="G9" s="36">
        <f t="shared" ca="1" si="4"/>
        <v>50.082456021348278</v>
      </c>
      <c r="H9" s="36">
        <f t="shared" ca="1" si="4"/>
        <v>50.041835199035404</v>
      </c>
      <c r="I9" s="36">
        <f t="shared" ca="1" si="4"/>
        <v>49.988032942192255</v>
      </c>
      <c r="J9" s="36">
        <f t="shared" ca="1" si="4"/>
        <v>49.982699875532042</v>
      </c>
      <c r="K9" s="36">
        <f t="shared" ca="1" si="4"/>
        <v>49.881243733796794</v>
      </c>
      <c r="L9" s="36">
        <f t="shared" ca="1" si="4"/>
        <v>49.855547609257655</v>
      </c>
      <c r="M9" s="36">
        <f t="shared" ca="1" si="4"/>
        <v>49.879787291381561</v>
      </c>
      <c r="N9" s="36">
        <f t="shared" ca="1" si="4"/>
        <v>49.944873437394563</v>
      </c>
      <c r="O9" s="36">
        <f t="shared" ca="1" si="4"/>
        <v>49.888781010238951</v>
      </c>
      <c r="P9" s="36">
        <f t="shared" ca="1" si="4"/>
        <v>49.806634403643223</v>
      </c>
      <c r="Q9" s="36">
        <f t="shared" ca="1" si="4"/>
        <v>49.751996621868123</v>
      </c>
      <c r="R9" s="36">
        <f t="shared" ca="1" si="4"/>
        <v>49.820865597271158</v>
      </c>
      <c r="S9" s="36">
        <f t="shared" ca="1" si="4"/>
        <v>49.75814880584165</v>
      </c>
      <c r="T9" s="36">
        <f t="shared" ca="1" si="4"/>
        <v>49.640238902213071</v>
      </c>
      <c r="U9" s="36">
        <f t="shared" ca="1" si="4"/>
        <v>49.701548866317573</v>
      </c>
      <c r="V9" s="36">
        <f t="shared" ca="1" si="4"/>
        <v>49.691599531669453</v>
      </c>
      <c r="W9" s="36">
        <f t="shared" ca="1" si="4"/>
        <v>49.751863196035821</v>
      </c>
      <c r="X9" s="36">
        <f t="shared" ca="1" si="4"/>
        <v>49.701137775035434</v>
      </c>
      <c r="Y9" s="36">
        <f t="shared" ca="1" si="4"/>
        <v>49.626324846072556</v>
      </c>
      <c r="Z9" s="36">
        <f t="shared" ca="1" si="4"/>
        <v>49.677094250881709</v>
      </c>
      <c r="AA9" s="36">
        <f t="shared" ca="1" si="4"/>
        <v>49.763607701119135</v>
      </c>
      <c r="AB9" s="36">
        <f t="shared" ca="1" si="4"/>
        <v>49.724911375879792</v>
      </c>
      <c r="AC9" s="36">
        <f t="shared" ca="1" si="4"/>
        <v>49.72720458566809</v>
      </c>
      <c r="AD9" s="36">
        <f t="shared" ca="1" si="4"/>
        <v>49.749560479063341</v>
      </c>
      <c r="AE9" s="36">
        <f t="shared" ca="1" si="4"/>
        <v>49.85003997769391</v>
      </c>
      <c r="AF9" s="36">
        <f t="shared" ca="1" si="4"/>
        <v>49.82153633488803</v>
      </c>
      <c r="AG9" s="36">
        <f t="shared" ca="1" si="4"/>
        <v>49.829525315192086</v>
      </c>
      <c r="AH9" s="36">
        <f t="shared" ca="1" si="4"/>
        <v>49.911925352160026</v>
      </c>
      <c r="AI9" s="36">
        <f t="shared" ca="1" si="4"/>
        <v>49.852907712561937</v>
      </c>
      <c r="AJ9" s="36">
        <f t="shared" ca="1" si="4"/>
        <v>50.013426739797787</v>
      </c>
      <c r="AK9" s="36">
        <f t="shared" ca="1" si="4"/>
        <v>50.152290863987467</v>
      </c>
      <c r="AL9" s="36">
        <f t="shared" ca="1" si="4"/>
        <v>50.118384366688169</v>
      </c>
      <c r="AM9" s="36">
        <f t="shared" ca="1" si="4"/>
        <v>50.139148560621123</v>
      </c>
      <c r="AN9" s="36">
        <f t="shared" ca="1" si="4"/>
        <v>50.199843026524924</v>
      </c>
      <c r="AO9" s="36">
        <f t="shared" ca="1" si="4"/>
        <v>50.240192225580415</v>
      </c>
      <c r="AP9" s="36">
        <f t="shared" ca="1" si="4"/>
        <v>50.366568583494988</v>
      </c>
      <c r="AQ9" s="36">
        <f t="shared" ca="1" si="4"/>
        <v>50.522760394800379</v>
      </c>
      <c r="AR9" s="36">
        <f t="shared" ca="1" si="4"/>
        <v>50.479904118044253</v>
      </c>
      <c r="AS9" s="36">
        <f t="shared" ca="1" si="4"/>
        <v>50.484518966279111</v>
      </c>
      <c r="AT9" s="36">
        <f t="shared" ca="1" si="4"/>
        <v>50.490336325627084</v>
      </c>
      <c r="AU9" s="36">
        <f t="shared" ca="1" si="4"/>
        <v>50.581839772976736</v>
      </c>
      <c r="AV9" s="36">
        <f t="shared" ca="1" si="4"/>
        <v>50.655778141869234</v>
      </c>
      <c r="AW9" s="36">
        <f t="shared" ca="1" si="4"/>
        <v>50.487063799574408</v>
      </c>
      <c r="AX9" s="36">
        <f t="shared" ca="1" si="4"/>
        <v>50.505225059855213</v>
      </c>
      <c r="AY9" s="36">
        <f t="shared" ca="1" si="4"/>
        <v>50.454435111443189</v>
      </c>
      <c r="AZ9" s="36">
        <f t="shared" ca="1" si="4"/>
        <v>50.402247812772401</v>
      </c>
      <c r="BA9" s="36">
        <f t="shared" ca="1" si="4"/>
        <v>50.423552582948432</v>
      </c>
      <c r="BB9" s="36">
        <f t="shared" ca="1" si="4"/>
        <v>50.472997590236417</v>
      </c>
      <c r="BC9" s="36">
        <f t="shared" ca="1" si="4"/>
        <v>50.527393938734782</v>
      </c>
      <c r="BD9" s="36">
        <f t="shared" ca="1" si="4"/>
        <v>50.651371176638435</v>
      </c>
      <c r="BE9" s="36">
        <f t="shared" ca="1" si="4"/>
        <v>50.603871763669041</v>
      </c>
      <c r="BF9" s="36">
        <f t="shared" ca="1" si="4"/>
        <v>50.566453286276939</v>
      </c>
      <c r="BG9" s="36">
        <f t="shared" ca="1" si="4"/>
        <v>50.688002043077219</v>
      </c>
      <c r="BH9" s="36">
        <f t="shared" ca="1" si="4"/>
        <v>50.667871952290533</v>
      </c>
      <c r="BI9" s="36">
        <f t="shared" ca="1" si="4"/>
        <v>50.737981179221208</v>
      </c>
      <c r="BJ9" s="36">
        <f t="shared" ca="1" si="4"/>
        <v>50.781946268016682</v>
      </c>
      <c r="BK9" s="36">
        <f t="shared" ca="1" si="4"/>
        <v>50.809693228089301</v>
      </c>
      <c r="BL9" s="36">
        <f t="shared" ca="1" si="4"/>
        <v>50.75090005394113</v>
      </c>
      <c r="BM9" s="36">
        <f t="shared" ca="1" si="4"/>
        <v>50.67239123476979</v>
      </c>
      <c r="BN9" s="36">
        <f t="shared" ca="1" si="4"/>
        <v>50.657499353156354</v>
      </c>
      <c r="BO9" s="36">
        <f t="shared" ca="1" si="4"/>
        <v>50.579821865679271</v>
      </c>
      <c r="BP9" s="36">
        <f t="shared" ref="BP9:EA9" ca="1" si="5">AVERAGE(BP11:BP110)</f>
        <v>50.474790863641061</v>
      </c>
      <c r="BQ9" s="36">
        <f t="shared" ca="1" si="5"/>
        <v>50.552453631552787</v>
      </c>
      <c r="BR9" s="36">
        <f t="shared" ca="1" si="5"/>
        <v>50.464515162794378</v>
      </c>
      <c r="BS9" s="36">
        <f t="shared" ca="1" si="5"/>
        <v>50.503397997467367</v>
      </c>
      <c r="BT9" s="36">
        <f t="shared" ca="1" si="5"/>
        <v>50.501918329304438</v>
      </c>
      <c r="BU9" s="36">
        <f t="shared" ca="1" si="5"/>
        <v>50.502229869002065</v>
      </c>
      <c r="BV9" s="36">
        <f t="shared" ca="1" si="5"/>
        <v>50.505024860410643</v>
      </c>
      <c r="BW9" s="36">
        <f t="shared" ca="1" si="5"/>
        <v>50.488403880314529</v>
      </c>
      <c r="BX9" s="36">
        <f t="shared" ca="1" si="5"/>
        <v>50.509406073510007</v>
      </c>
      <c r="BY9" s="36">
        <f t="shared" ca="1" si="5"/>
        <v>50.518219305943539</v>
      </c>
      <c r="BZ9" s="36">
        <f t="shared" ca="1" si="5"/>
        <v>50.575939945355586</v>
      </c>
      <c r="CA9" s="36">
        <f t="shared" ca="1" si="5"/>
        <v>50.581328334559203</v>
      </c>
      <c r="CB9" s="36">
        <f t="shared" ca="1" si="5"/>
        <v>50.563998143738836</v>
      </c>
      <c r="CC9" s="36">
        <f t="shared" ca="1" si="5"/>
        <v>50.520171584634674</v>
      </c>
      <c r="CD9" s="36">
        <f t="shared" ca="1" si="5"/>
        <v>50.491993069473978</v>
      </c>
      <c r="CE9" s="36">
        <f t="shared" ca="1" si="5"/>
        <v>50.461991052621961</v>
      </c>
      <c r="CF9" s="36">
        <f t="shared" ca="1" si="5"/>
        <v>50.482205066392545</v>
      </c>
      <c r="CG9" s="36">
        <f t="shared" ca="1" si="5"/>
        <v>50.392176669069521</v>
      </c>
      <c r="CH9" s="36">
        <f t="shared" ca="1" si="5"/>
        <v>50.425881093622905</v>
      </c>
      <c r="CI9" s="36">
        <f t="shared" ca="1" si="5"/>
        <v>50.424852325353314</v>
      </c>
      <c r="CJ9" s="36">
        <f t="shared" ca="1" si="5"/>
        <v>50.335395213269365</v>
      </c>
      <c r="CK9" s="36">
        <f t="shared" ca="1" si="5"/>
        <v>50.380391713348708</v>
      </c>
      <c r="CL9" s="36">
        <f t="shared" ca="1" si="5"/>
        <v>50.400022656404332</v>
      </c>
      <c r="CM9" s="36">
        <f t="shared" ca="1" si="5"/>
        <v>50.36655766895403</v>
      </c>
      <c r="CN9" s="36">
        <f t="shared" ca="1" si="5"/>
        <v>50.419645112947684</v>
      </c>
      <c r="CO9" s="36">
        <f t="shared" ca="1" si="5"/>
        <v>50.439325549886881</v>
      </c>
      <c r="CP9" s="36">
        <f t="shared" ca="1" si="5"/>
        <v>50.324567127903656</v>
      </c>
      <c r="CQ9" s="36">
        <f t="shared" ca="1" si="5"/>
        <v>50.432561421096061</v>
      </c>
      <c r="CR9" s="36">
        <f t="shared" ca="1" si="5"/>
        <v>50.443403265936283</v>
      </c>
      <c r="CS9" s="36">
        <f t="shared" ca="1" si="5"/>
        <v>50.404669739437203</v>
      </c>
      <c r="CT9" s="36">
        <f t="shared" ca="1" si="5"/>
        <v>50.552528364423011</v>
      </c>
      <c r="CU9" s="36">
        <f t="shared" ca="1" si="5"/>
        <v>50.657204917896891</v>
      </c>
      <c r="CV9" s="36">
        <f t="shared" ca="1" si="5"/>
        <v>50.583711764539615</v>
      </c>
      <c r="CW9" s="36">
        <f t="shared" ca="1" si="5"/>
        <v>50.643911629506</v>
      </c>
      <c r="CX9" s="36">
        <f t="shared" ca="1" si="5"/>
        <v>50.589720949861068</v>
      </c>
      <c r="CY9" s="36">
        <f t="shared" ca="1" si="5"/>
        <v>50.536206800000635</v>
      </c>
      <c r="CZ9" s="36">
        <f t="shared" ca="1" si="5"/>
        <v>50.614094401773535</v>
      </c>
      <c r="DA9" s="36">
        <f t="shared" ca="1" si="5"/>
        <v>50.527824345829195</v>
      </c>
      <c r="DB9" s="36">
        <f t="shared" ca="1" si="5"/>
        <v>50.537937877674665</v>
      </c>
      <c r="DC9" s="36">
        <f t="shared" ca="1" si="5"/>
        <v>50.454711405879088</v>
      </c>
      <c r="DD9" s="36">
        <f t="shared" ca="1" si="5"/>
        <v>50.428473074240536</v>
      </c>
      <c r="DE9" s="36">
        <f t="shared" ca="1" si="5"/>
        <v>50.446904743921294</v>
      </c>
      <c r="DF9" s="36">
        <f t="shared" ca="1" si="5"/>
        <v>50.503581866421619</v>
      </c>
      <c r="DG9" s="36">
        <f t="shared" ca="1" si="5"/>
        <v>50.397079222157807</v>
      </c>
      <c r="DH9" s="36">
        <f t="shared" ca="1" si="5"/>
        <v>50.416463866358946</v>
      </c>
      <c r="DI9" s="36">
        <f t="shared" ca="1" si="5"/>
        <v>50.316389746300636</v>
      </c>
      <c r="DJ9" s="36">
        <f t="shared" ca="1" si="5"/>
        <v>50.37813931980827</v>
      </c>
      <c r="DK9" s="36">
        <f t="shared" ca="1" si="5"/>
        <v>50.372855221218721</v>
      </c>
      <c r="DL9" s="36">
        <f t="shared" ca="1" si="5"/>
        <v>50.421196024155343</v>
      </c>
      <c r="DM9" s="36">
        <f t="shared" ca="1" si="5"/>
        <v>50.471616015053677</v>
      </c>
      <c r="DN9" s="36">
        <f t="shared" ca="1" si="5"/>
        <v>50.546659418090798</v>
      </c>
      <c r="DO9" s="36">
        <f t="shared" ca="1" si="5"/>
        <v>50.554524690492052</v>
      </c>
      <c r="DP9" s="36">
        <f t="shared" ca="1" si="5"/>
        <v>50.517469323777725</v>
      </c>
      <c r="DQ9" s="36">
        <f t="shared" ca="1" si="5"/>
        <v>50.53552142263591</v>
      </c>
      <c r="DR9" s="36">
        <f t="shared" ca="1" si="5"/>
        <v>50.607941537995842</v>
      </c>
      <c r="DS9" s="36">
        <f t="shared" ca="1" si="5"/>
        <v>50.597750120763159</v>
      </c>
      <c r="DT9" s="36">
        <f t="shared" ca="1" si="5"/>
        <v>50.613438157816056</v>
      </c>
      <c r="DU9" s="36">
        <f t="shared" ca="1" si="5"/>
        <v>50.530719813081134</v>
      </c>
      <c r="DV9" s="36">
        <f t="shared" ca="1" si="5"/>
        <v>50.646249216109112</v>
      </c>
      <c r="DW9" s="36">
        <f t="shared" ca="1" si="5"/>
        <v>50.70345413588624</v>
      </c>
      <c r="DX9" s="36">
        <f t="shared" ca="1" si="5"/>
        <v>50.701005780130238</v>
      </c>
      <c r="DY9" s="36">
        <f t="shared" ca="1" si="5"/>
        <v>50.775243339283506</v>
      </c>
      <c r="DZ9" s="36">
        <f t="shared" ca="1" si="5"/>
        <v>50.725180856854479</v>
      </c>
      <c r="EA9" s="36">
        <f t="shared" ca="1" si="5"/>
        <v>50.702532880858804</v>
      </c>
      <c r="EB9" s="36">
        <f t="shared" ref="EB9:GM9" ca="1" si="6">AVERAGE(EB11:EB110)</f>
        <v>50.845251639696833</v>
      </c>
      <c r="EC9" s="36">
        <f t="shared" ca="1" si="6"/>
        <v>50.866153073873036</v>
      </c>
      <c r="ED9" s="36">
        <f t="shared" ca="1" si="6"/>
        <v>50.821588077323689</v>
      </c>
      <c r="EE9" s="36">
        <f t="shared" ca="1" si="6"/>
        <v>50.838795503295444</v>
      </c>
      <c r="EF9" s="36">
        <f t="shared" ca="1" si="6"/>
        <v>50.956853967578638</v>
      </c>
      <c r="EG9" s="36">
        <f t="shared" ca="1" si="6"/>
        <v>50.854329726504282</v>
      </c>
      <c r="EH9" s="36">
        <f t="shared" ca="1" si="6"/>
        <v>50.810106868003906</v>
      </c>
      <c r="EI9" s="36">
        <f t="shared" ca="1" si="6"/>
        <v>50.732405357894876</v>
      </c>
      <c r="EJ9" s="36">
        <f t="shared" ca="1" si="6"/>
        <v>50.7130896527621</v>
      </c>
      <c r="EK9" s="36">
        <f t="shared" ca="1" si="6"/>
        <v>50.633303660197583</v>
      </c>
      <c r="EL9" s="36">
        <f t="shared" ca="1" si="6"/>
        <v>50.750370114213432</v>
      </c>
      <c r="EM9" s="36">
        <f t="shared" ca="1" si="6"/>
        <v>50.815599015862993</v>
      </c>
      <c r="EN9" s="36">
        <f t="shared" ca="1" si="6"/>
        <v>50.779526714982104</v>
      </c>
      <c r="EO9" s="36">
        <f t="shared" ca="1" si="6"/>
        <v>50.90716103135491</v>
      </c>
      <c r="EP9" s="36">
        <f t="shared" ca="1" si="6"/>
        <v>50.90126482827899</v>
      </c>
      <c r="EQ9" s="36">
        <f t="shared" ca="1" si="6"/>
        <v>50.937428238397246</v>
      </c>
      <c r="ER9" s="36">
        <f t="shared" ca="1" si="6"/>
        <v>50.900294532168125</v>
      </c>
      <c r="ES9" s="36">
        <f t="shared" ca="1" si="6"/>
        <v>50.813553246053118</v>
      </c>
      <c r="ET9" s="36">
        <f t="shared" ca="1" si="6"/>
        <v>50.7781704966213</v>
      </c>
      <c r="EU9" s="36">
        <f t="shared" ca="1" si="6"/>
        <v>50.792808500915037</v>
      </c>
      <c r="EV9" s="36">
        <f t="shared" ca="1" si="6"/>
        <v>50.847080216087342</v>
      </c>
      <c r="EW9" s="36">
        <f t="shared" ca="1" si="6"/>
        <v>50.953369073784017</v>
      </c>
      <c r="EX9" s="36">
        <f t="shared" ca="1" si="6"/>
        <v>51.070760083442693</v>
      </c>
      <c r="EY9" s="36">
        <f t="shared" ca="1" si="6"/>
        <v>51.129807612683379</v>
      </c>
      <c r="EZ9" s="36">
        <f t="shared" ca="1" si="6"/>
        <v>51.185560900811446</v>
      </c>
      <c r="FA9" s="36">
        <f t="shared" ca="1" si="6"/>
        <v>51.051369686578298</v>
      </c>
      <c r="FB9" s="36">
        <f t="shared" ca="1" si="6"/>
        <v>51.054680990566197</v>
      </c>
      <c r="FC9" s="36">
        <f t="shared" ca="1" si="6"/>
        <v>50.98659488490938</v>
      </c>
      <c r="FD9" s="36">
        <f t="shared" ca="1" si="6"/>
        <v>50.973334446280489</v>
      </c>
      <c r="FE9" s="36">
        <f t="shared" ca="1" si="6"/>
        <v>51.009590516839054</v>
      </c>
      <c r="FF9" s="36">
        <f t="shared" ca="1" si="6"/>
        <v>51.161564220647321</v>
      </c>
      <c r="FG9" s="36">
        <f t="shared" ca="1" si="6"/>
        <v>51.246484132621525</v>
      </c>
      <c r="FH9" s="36">
        <f t="shared" ca="1" si="6"/>
        <v>51.212508101066405</v>
      </c>
      <c r="FI9" s="36">
        <f t="shared" ca="1" si="6"/>
        <v>51.299320650582111</v>
      </c>
      <c r="FJ9" s="36">
        <f t="shared" ca="1" si="6"/>
        <v>51.170490818482975</v>
      </c>
      <c r="FK9" s="36">
        <f t="shared" ca="1" si="6"/>
        <v>51.176992740038742</v>
      </c>
      <c r="FL9" s="36">
        <f t="shared" ca="1" si="6"/>
        <v>51.19240806888326</v>
      </c>
      <c r="FM9" s="36">
        <f t="shared" ca="1" si="6"/>
        <v>51.211016722627875</v>
      </c>
      <c r="FN9" s="36">
        <f t="shared" ca="1" si="6"/>
        <v>51.263376817169117</v>
      </c>
      <c r="FO9" s="36">
        <f t="shared" ca="1" si="6"/>
        <v>51.327297105017486</v>
      </c>
      <c r="FP9" s="36">
        <f t="shared" ca="1" si="6"/>
        <v>51.423780877697283</v>
      </c>
      <c r="FQ9" s="36">
        <f t="shared" ca="1" si="6"/>
        <v>51.457703465204766</v>
      </c>
      <c r="FR9" s="36">
        <f t="shared" ca="1" si="6"/>
        <v>51.549428864796603</v>
      </c>
      <c r="FS9" s="36">
        <f t="shared" ca="1" si="6"/>
        <v>51.461738591912621</v>
      </c>
      <c r="FT9" s="36">
        <f t="shared" ca="1" si="6"/>
        <v>51.385407537187263</v>
      </c>
      <c r="FU9" s="36">
        <f t="shared" ca="1" si="6"/>
        <v>51.385542290781238</v>
      </c>
      <c r="FV9" s="36">
        <f t="shared" ca="1" si="6"/>
        <v>51.482484278864561</v>
      </c>
      <c r="FW9" s="36">
        <f t="shared" ca="1" si="6"/>
        <v>51.43160289590903</v>
      </c>
      <c r="FX9" s="36">
        <f t="shared" ca="1" si="6"/>
        <v>51.338440084050966</v>
      </c>
      <c r="FY9" s="36">
        <f t="shared" ca="1" si="6"/>
        <v>51.389247035697032</v>
      </c>
      <c r="FZ9" s="36">
        <f t="shared" ca="1" si="6"/>
        <v>51.521633437205836</v>
      </c>
      <c r="GA9" s="36">
        <f t="shared" ca="1" si="6"/>
        <v>51.466588244540482</v>
      </c>
      <c r="GB9" s="36">
        <f t="shared" ca="1" si="6"/>
        <v>51.419018930613902</v>
      </c>
      <c r="GC9" s="36">
        <f t="shared" ca="1" si="6"/>
        <v>51.390819515159464</v>
      </c>
      <c r="GD9" s="36">
        <f t="shared" ca="1" si="6"/>
        <v>51.411293333439602</v>
      </c>
      <c r="GE9" s="36">
        <f t="shared" ca="1" si="6"/>
        <v>51.395662036314391</v>
      </c>
      <c r="GF9" s="36">
        <f t="shared" ca="1" si="6"/>
        <v>51.423262846707665</v>
      </c>
      <c r="GG9" s="36">
        <f t="shared" ca="1" si="6"/>
        <v>51.526726391967124</v>
      </c>
      <c r="GH9" s="36">
        <f t="shared" ca="1" si="6"/>
        <v>51.438997878875</v>
      </c>
      <c r="GI9" s="36">
        <f t="shared" ca="1" si="6"/>
        <v>51.425436818715653</v>
      </c>
      <c r="GJ9" s="36">
        <f t="shared" ca="1" si="6"/>
        <v>51.438337192911213</v>
      </c>
      <c r="GK9" s="36">
        <f t="shared" ca="1" si="6"/>
        <v>51.397156596020366</v>
      </c>
      <c r="GL9" s="36">
        <f t="shared" ca="1" si="6"/>
        <v>51.361324455680958</v>
      </c>
      <c r="GM9" s="36">
        <f t="shared" ca="1" si="6"/>
        <v>51.333527205285918</v>
      </c>
      <c r="GN9" s="36">
        <f t="shared" ref="GN9:IU9" ca="1" si="7">AVERAGE(GN11:GN110)</f>
        <v>51.339207405811294</v>
      </c>
      <c r="GO9" s="36">
        <f t="shared" ca="1" si="7"/>
        <v>51.365010301856337</v>
      </c>
      <c r="GP9" s="36">
        <f t="shared" ca="1" si="7"/>
        <v>51.436354295201411</v>
      </c>
      <c r="GQ9" s="36">
        <f t="shared" ca="1" si="7"/>
        <v>51.356875960426862</v>
      </c>
      <c r="GR9" s="36">
        <f t="shared" ca="1" si="7"/>
        <v>51.397202070333279</v>
      </c>
      <c r="GS9" s="36">
        <f t="shared" ca="1" si="7"/>
        <v>51.298911554307963</v>
      </c>
      <c r="GT9" s="36">
        <f t="shared" ca="1" si="7"/>
        <v>51.167993449188579</v>
      </c>
      <c r="GU9" s="36">
        <f t="shared" ca="1" si="7"/>
        <v>51.194584539909002</v>
      </c>
      <c r="GV9" s="36">
        <f t="shared" ca="1" si="7"/>
        <v>51.241028495774437</v>
      </c>
      <c r="GW9" s="36">
        <f t="shared" ca="1" si="7"/>
        <v>51.189201995778831</v>
      </c>
      <c r="GX9" s="36">
        <f t="shared" ca="1" si="7"/>
        <v>51.230437916771251</v>
      </c>
      <c r="GY9" s="36">
        <f t="shared" ca="1" si="7"/>
        <v>51.32642710422963</v>
      </c>
      <c r="GZ9" s="36">
        <f t="shared" ca="1" si="7"/>
        <v>51.37930785827686</v>
      </c>
      <c r="HA9" s="36">
        <f t="shared" ca="1" si="7"/>
        <v>51.424464864260628</v>
      </c>
      <c r="HB9" s="36">
        <f t="shared" ca="1" si="7"/>
        <v>51.409315484070355</v>
      </c>
      <c r="HC9" s="36">
        <f t="shared" ca="1" si="7"/>
        <v>51.387313923557848</v>
      </c>
      <c r="HD9" s="36">
        <f t="shared" ca="1" si="7"/>
        <v>51.467448013882219</v>
      </c>
      <c r="HE9" s="36">
        <f t="shared" ca="1" si="7"/>
        <v>51.462936093368356</v>
      </c>
      <c r="HF9" s="36">
        <f t="shared" ca="1" si="7"/>
        <v>51.301877623226183</v>
      </c>
      <c r="HG9" s="36">
        <f t="shared" ca="1" si="7"/>
        <v>51.35862816192089</v>
      </c>
      <c r="HH9" s="36">
        <f t="shared" ca="1" si="7"/>
        <v>51.447742981192114</v>
      </c>
      <c r="HI9" s="36">
        <f t="shared" ca="1" si="7"/>
        <v>51.507984566583239</v>
      </c>
      <c r="HJ9" s="36">
        <f t="shared" ca="1" si="7"/>
        <v>51.521648340763768</v>
      </c>
      <c r="HK9" s="36">
        <f t="shared" ca="1" si="7"/>
        <v>51.600769223949371</v>
      </c>
      <c r="HL9" s="36">
        <f t="shared" ca="1" si="7"/>
        <v>51.524749518345118</v>
      </c>
      <c r="HM9" s="36">
        <f t="shared" ca="1" si="7"/>
        <v>51.490531043037961</v>
      </c>
      <c r="HN9" s="36">
        <f t="shared" ca="1" si="7"/>
        <v>51.405400551903405</v>
      </c>
      <c r="HO9" s="36">
        <f t="shared" ca="1" si="7"/>
        <v>51.48131952914958</v>
      </c>
      <c r="HP9" s="36">
        <f t="shared" ca="1" si="7"/>
        <v>51.479217634246517</v>
      </c>
      <c r="HQ9" s="36">
        <f t="shared" ca="1" si="7"/>
        <v>51.419495127576603</v>
      </c>
      <c r="HR9" s="36">
        <f t="shared" ca="1" si="7"/>
        <v>51.425265486862571</v>
      </c>
      <c r="HS9" s="36">
        <f t="shared" ca="1" si="7"/>
        <v>51.459668300378972</v>
      </c>
      <c r="HT9" s="36">
        <f t="shared" ca="1" si="7"/>
        <v>51.451170006201004</v>
      </c>
      <c r="HU9" s="36">
        <f t="shared" ca="1" si="7"/>
        <v>51.387883059675289</v>
      </c>
      <c r="HV9" s="36">
        <f t="shared" ca="1" si="7"/>
        <v>51.256250210724147</v>
      </c>
      <c r="HW9" s="36">
        <f t="shared" ca="1" si="7"/>
        <v>51.350584485647587</v>
      </c>
      <c r="HX9" s="36">
        <f t="shared" ca="1" si="7"/>
        <v>51.353460915533297</v>
      </c>
      <c r="HY9" s="36">
        <f t="shared" ca="1" si="7"/>
        <v>51.358697212080031</v>
      </c>
      <c r="HZ9" s="36">
        <f t="shared" ca="1" si="7"/>
        <v>51.376308648532358</v>
      </c>
      <c r="IA9" s="36">
        <f t="shared" ca="1" si="7"/>
        <v>51.340556912806761</v>
      </c>
      <c r="IB9" s="36">
        <f t="shared" ca="1" si="7"/>
        <v>51.365699248782875</v>
      </c>
      <c r="IC9" s="36">
        <f t="shared" ca="1" si="7"/>
        <v>51.365560202504696</v>
      </c>
      <c r="ID9" s="36">
        <f t="shared" ca="1" si="7"/>
        <v>51.331413245557798</v>
      </c>
      <c r="IE9" s="36">
        <f t="shared" ca="1" si="7"/>
        <v>51.351583304554133</v>
      </c>
      <c r="IF9" s="36">
        <f t="shared" ca="1" si="7"/>
        <v>51.415600017854928</v>
      </c>
      <c r="IG9" s="36">
        <f t="shared" ca="1" si="7"/>
        <v>51.355709343811867</v>
      </c>
      <c r="IH9" s="36">
        <f t="shared" ca="1" si="7"/>
        <v>51.370841047566934</v>
      </c>
      <c r="II9" s="36">
        <f t="shared" ca="1" si="7"/>
        <v>51.430949199409277</v>
      </c>
      <c r="IJ9" s="36">
        <f t="shared" ca="1" si="7"/>
        <v>51.462693086145165</v>
      </c>
      <c r="IK9" s="36">
        <f t="shared" ca="1" si="7"/>
        <v>51.38785440489189</v>
      </c>
      <c r="IL9" s="36">
        <f t="shared" ca="1" si="7"/>
        <v>51.448387736474508</v>
      </c>
      <c r="IM9" s="36">
        <f t="shared" ca="1" si="7"/>
        <v>51.493488983141845</v>
      </c>
      <c r="IN9" s="36">
        <f t="shared" ca="1" si="7"/>
        <v>51.565883872742944</v>
      </c>
      <c r="IO9" s="36">
        <f t="shared" ca="1" si="7"/>
        <v>51.70905567844531</v>
      </c>
      <c r="IP9" s="36">
        <f t="shared" ca="1" si="7"/>
        <v>51.690708700672587</v>
      </c>
      <c r="IQ9" s="36">
        <f t="shared" ca="1" si="7"/>
        <v>51.668131847613409</v>
      </c>
      <c r="IR9" s="36">
        <f t="shared" ca="1" si="7"/>
        <v>51.816045990730771</v>
      </c>
      <c r="IS9" s="36">
        <f t="shared" ca="1" si="7"/>
        <v>51.903468635659081</v>
      </c>
      <c r="IT9" s="36">
        <f t="shared" ca="1" si="7"/>
        <v>51.853941070684158</v>
      </c>
      <c r="IU9" s="36">
        <f t="shared" ca="1" si="7"/>
        <v>51.779910660703038</v>
      </c>
    </row>
    <row r="10" spans="1:255" x14ac:dyDescent="0.2">
      <c r="A10" s="64"/>
      <c r="B10" t="s">
        <v>71</v>
      </c>
      <c r="C10">
        <v>0</v>
      </c>
      <c r="D10">
        <v>1</v>
      </c>
      <c r="E10">
        <v>2</v>
      </c>
      <c r="F10">
        <v>3</v>
      </c>
      <c r="G10">
        <v>4</v>
      </c>
      <c r="H10">
        <v>5</v>
      </c>
      <c r="I10">
        <v>6</v>
      </c>
      <c r="J10">
        <v>7</v>
      </c>
      <c r="K10">
        <v>8</v>
      </c>
      <c r="L10">
        <v>9</v>
      </c>
      <c r="M10">
        <v>10</v>
      </c>
      <c r="N10">
        <v>11</v>
      </c>
      <c r="O10">
        <v>12</v>
      </c>
      <c r="P10">
        <v>13</v>
      </c>
      <c r="Q10">
        <v>14</v>
      </c>
      <c r="R10">
        <v>15</v>
      </c>
      <c r="S10">
        <v>16</v>
      </c>
      <c r="T10">
        <v>17</v>
      </c>
      <c r="U10">
        <v>18</v>
      </c>
      <c r="V10">
        <v>19</v>
      </c>
      <c r="W10">
        <v>20</v>
      </c>
      <c r="X10">
        <v>21</v>
      </c>
      <c r="Y10">
        <v>22</v>
      </c>
      <c r="Z10">
        <v>23</v>
      </c>
      <c r="AA10">
        <v>24</v>
      </c>
      <c r="AB10">
        <v>25</v>
      </c>
      <c r="AC10">
        <v>26</v>
      </c>
      <c r="AD10">
        <v>27</v>
      </c>
      <c r="AE10">
        <v>28</v>
      </c>
      <c r="AF10">
        <v>29</v>
      </c>
      <c r="AG10">
        <v>30</v>
      </c>
      <c r="AH10">
        <v>31</v>
      </c>
      <c r="AI10">
        <v>32</v>
      </c>
      <c r="AJ10">
        <v>33</v>
      </c>
      <c r="AK10">
        <v>34</v>
      </c>
      <c r="AL10">
        <v>35</v>
      </c>
      <c r="AM10">
        <v>36</v>
      </c>
      <c r="AN10">
        <v>37</v>
      </c>
      <c r="AO10">
        <v>38</v>
      </c>
      <c r="AP10">
        <v>39</v>
      </c>
      <c r="AQ10">
        <v>40</v>
      </c>
      <c r="AR10">
        <v>41</v>
      </c>
      <c r="AS10">
        <v>42</v>
      </c>
      <c r="AT10">
        <v>43</v>
      </c>
      <c r="AU10">
        <v>44</v>
      </c>
      <c r="AV10">
        <v>45</v>
      </c>
      <c r="AW10">
        <v>46</v>
      </c>
      <c r="AX10">
        <v>47</v>
      </c>
      <c r="AY10">
        <v>48</v>
      </c>
      <c r="AZ10">
        <v>49</v>
      </c>
      <c r="BA10">
        <v>50</v>
      </c>
      <c r="BB10">
        <v>51</v>
      </c>
      <c r="BC10">
        <v>52</v>
      </c>
      <c r="BD10">
        <v>53</v>
      </c>
      <c r="BE10">
        <v>54</v>
      </c>
      <c r="BF10">
        <v>55</v>
      </c>
      <c r="BG10">
        <v>56</v>
      </c>
      <c r="BH10">
        <v>57</v>
      </c>
      <c r="BI10">
        <v>58</v>
      </c>
      <c r="BJ10">
        <v>59</v>
      </c>
      <c r="BK10">
        <v>60</v>
      </c>
      <c r="BL10">
        <v>61</v>
      </c>
      <c r="BM10">
        <v>62</v>
      </c>
      <c r="BN10">
        <v>63</v>
      </c>
      <c r="BO10">
        <v>64</v>
      </c>
      <c r="BP10">
        <v>65</v>
      </c>
      <c r="BQ10">
        <v>66</v>
      </c>
      <c r="BR10">
        <v>67</v>
      </c>
      <c r="BS10">
        <v>68</v>
      </c>
      <c r="BT10">
        <v>69</v>
      </c>
      <c r="BU10">
        <v>70</v>
      </c>
      <c r="BV10">
        <v>71</v>
      </c>
      <c r="BW10">
        <v>72</v>
      </c>
      <c r="BX10">
        <v>73</v>
      </c>
      <c r="BY10">
        <v>74</v>
      </c>
      <c r="BZ10">
        <v>75</v>
      </c>
      <c r="CA10">
        <v>76</v>
      </c>
      <c r="CB10">
        <v>77</v>
      </c>
      <c r="CC10">
        <v>78</v>
      </c>
      <c r="CD10">
        <v>79</v>
      </c>
      <c r="CE10">
        <v>80</v>
      </c>
      <c r="CF10">
        <v>81</v>
      </c>
      <c r="CG10">
        <v>82</v>
      </c>
      <c r="CH10">
        <v>83</v>
      </c>
      <c r="CI10">
        <v>84</v>
      </c>
      <c r="CJ10">
        <v>85</v>
      </c>
      <c r="CK10">
        <v>86</v>
      </c>
      <c r="CL10">
        <v>87</v>
      </c>
      <c r="CM10">
        <v>88</v>
      </c>
      <c r="CN10">
        <v>89</v>
      </c>
      <c r="CO10">
        <v>90</v>
      </c>
      <c r="CP10">
        <v>91</v>
      </c>
      <c r="CQ10">
        <v>92</v>
      </c>
      <c r="CR10">
        <v>93</v>
      </c>
      <c r="CS10">
        <v>94</v>
      </c>
      <c r="CT10">
        <v>95</v>
      </c>
      <c r="CU10">
        <v>96</v>
      </c>
      <c r="CV10">
        <v>97</v>
      </c>
      <c r="CW10">
        <v>98</v>
      </c>
      <c r="CX10">
        <v>99</v>
      </c>
      <c r="CY10">
        <v>100</v>
      </c>
      <c r="CZ10">
        <v>101</v>
      </c>
      <c r="DA10">
        <v>102</v>
      </c>
      <c r="DB10">
        <v>103</v>
      </c>
      <c r="DC10">
        <v>104</v>
      </c>
      <c r="DD10">
        <v>105</v>
      </c>
      <c r="DE10">
        <v>106</v>
      </c>
      <c r="DF10">
        <v>107</v>
      </c>
      <c r="DG10">
        <v>108</v>
      </c>
      <c r="DH10">
        <v>109</v>
      </c>
      <c r="DI10">
        <v>110</v>
      </c>
      <c r="DJ10">
        <v>111</v>
      </c>
      <c r="DK10">
        <v>112</v>
      </c>
      <c r="DL10">
        <v>113</v>
      </c>
      <c r="DM10">
        <v>114</v>
      </c>
      <c r="DN10">
        <v>115</v>
      </c>
      <c r="DO10">
        <v>116</v>
      </c>
      <c r="DP10">
        <v>117</v>
      </c>
      <c r="DQ10">
        <v>118</v>
      </c>
      <c r="DR10">
        <v>119</v>
      </c>
      <c r="DS10">
        <v>120</v>
      </c>
      <c r="DT10">
        <v>121</v>
      </c>
      <c r="DU10">
        <v>122</v>
      </c>
      <c r="DV10">
        <v>123</v>
      </c>
      <c r="DW10">
        <v>124</v>
      </c>
      <c r="DX10">
        <v>125</v>
      </c>
      <c r="DY10">
        <v>126</v>
      </c>
      <c r="DZ10">
        <v>127</v>
      </c>
      <c r="EA10">
        <v>128</v>
      </c>
      <c r="EB10">
        <v>129</v>
      </c>
      <c r="EC10">
        <v>130</v>
      </c>
      <c r="ED10">
        <v>131</v>
      </c>
      <c r="EE10">
        <v>132</v>
      </c>
      <c r="EF10">
        <v>133</v>
      </c>
      <c r="EG10">
        <v>134</v>
      </c>
      <c r="EH10">
        <v>135</v>
      </c>
      <c r="EI10">
        <v>136</v>
      </c>
      <c r="EJ10">
        <v>137</v>
      </c>
      <c r="EK10">
        <v>138</v>
      </c>
      <c r="EL10">
        <v>139</v>
      </c>
      <c r="EM10">
        <v>140</v>
      </c>
      <c r="EN10">
        <v>141</v>
      </c>
      <c r="EO10">
        <v>142</v>
      </c>
      <c r="EP10">
        <v>143</v>
      </c>
      <c r="EQ10">
        <v>144</v>
      </c>
      <c r="ER10">
        <v>145</v>
      </c>
      <c r="ES10">
        <v>146</v>
      </c>
      <c r="ET10">
        <v>147</v>
      </c>
      <c r="EU10">
        <v>148</v>
      </c>
      <c r="EV10">
        <v>149</v>
      </c>
      <c r="EW10">
        <v>150</v>
      </c>
      <c r="EX10">
        <v>151</v>
      </c>
      <c r="EY10">
        <v>152</v>
      </c>
      <c r="EZ10">
        <v>153</v>
      </c>
      <c r="FA10">
        <v>154</v>
      </c>
      <c r="FB10">
        <v>155</v>
      </c>
      <c r="FC10">
        <v>156</v>
      </c>
      <c r="FD10">
        <v>157</v>
      </c>
      <c r="FE10">
        <v>158</v>
      </c>
      <c r="FF10">
        <v>159</v>
      </c>
      <c r="FG10">
        <v>160</v>
      </c>
      <c r="FH10">
        <v>161</v>
      </c>
      <c r="FI10">
        <v>162</v>
      </c>
      <c r="FJ10">
        <v>163</v>
      </c>
      <c r="FK10">
        <v>164</v>
      </c>
      <c r="FL10">
        <v>165</v>
      </c>
      <c r="FM10">
        <v>166</v>
      </c>
      <c r="FN10">
        <v>167</v>
      </c>
      <c r="FO10">
        <v>168</v>
      </c>
      <c r="FP10">
        <v>169</v>
      </c>
      <c r="FQ10">
        <v>170</v>
      </c>
      <c r="FR10">
        <v>171</v>
      </c>
      <c r="FS10">
        <v>172</v>
      </c>
      <c r="FT10">
        <v>173</v>
      </c>
      <c r="FU10">
        <v>174</v>
      </c>
      <c r="FV10">
        <v>175</v>
      </c>
      <c r="FW10">
        <v>176</v>
      </c>
      <c r="FX10">
        <v>177</v>
      </c>
      <c r="FY10">
        <v>178</v>
      </c>
      <c r="FZ10">
        <v>179</v>
      </c>
      <c r="GA10">
        <v>180</v>
      </c>
      <c r="GB10">
        <v>181</v>
      </c>
      <c r="GC10">
        <v>182</v>
      </c>
      <c r="GD10">
        <v>183</v>
      </c>
      <c r="GE10">
        <v>184</v>
      </c>
      <c r="GF10">
        <v>185</v>
      </c>
      <c r="GG10">
        <v>186</v>
      </c>
      <c r="GH10">
        <v>187</v>
      </c>
      <c r="GI10">
        <v>188</v>
      </c>
      <c r="GJ10">
        <v>189</v>
      </c>
      <c r="GK10">
        <v>190</v>
      </c>
      <c r="GL10">
        <v>191</v>
      </c>
      <c r="GM10">
        <v>192</v>
      </c>
      <c r="GN10">
        <v>193</v>
      </c>
      <c r="GO10">
        <v>194</v>
      </c>
      <c r="GP10">
        <v>195</v>
      </c>
      <c r="GQ10">
        <v>196</v>
      </c>
      <c r="GR10">
        <v>197</v>
      </c>
      <c r="GS10">
        <v>198</v>
      </c>
      <c r="GT10">
        <v>199</v>
      </c>
      <c r="GU10">
        <v>200</v>
      </c>
      <c r="GV10">
        <v>201</v>
      </c>
      <c r="GW10">
        <v>202</v>
      </c>
      <c r="GX10">
        <v>203</v>
      </c>
      <c r="GY10">
        <v>204</v>
      </c>
      <c r="GZ10">
        <v>205</v>
      </c>
      <c r="HA10">
        <v>206</v>
      </c>
      <c r="HB10">
        <v>207</v>
      </c>
      <c r="HC10">
        <v>208</v>
      </c>
      <c r="HD10">
        <v>209</v>
      </c>
      <c r="HE10">
        <v>210</v>
      </c>
      <c r="HF10">
        <v>211</v>
      </c>
      <c r="HG10">
        <v>212</v>
      </c>
      <c r="HH10">
        <v>213</v>
      </c>
      <c r="HI10">
        <v>214</v>
      </c>
      <c r="HJ10">
        <v>215</v>
      </c>
      <c r="HK10">
        <v>216</v>
      </c>
      <c r="HL10">
        <v>217</v>
      </c>
      <c r="HM10">
        <v>218</v>
      </c>
      <c r="HN10">
        <v>219</v>
      </c>
      <c r="HO10">
        <v>220</v>
      </c>
      <c r="HP10">
        <v>221</v>
      </c>
      <c r="HQ10">
        <v>222</v>
      </c>
      <c r="HR10">
        <v>223</v>
      </c>
      <c r="HS10">
        <v>224</v>
      </c>
      <c r="HT10">
        <v>225</v>
      </c>
      <c r="HU10">
        <v>226</v>
      </c>
      <c r="HV10">
        <v>227</v>
      </c>
      <c r="HW10">
        <v>228</v>
      </c>
      <c r="HX10">
        <v>229</v>
      </c>
      <c r="HY10">
        <v>230</v>
      </c>
      <c r="HZ10">
        <v>231</v>
      </c>
      <c r="IA10">
        <v>232</v>
      </c>
      <c r="IB10">
        <v>233</v>
      </c>
      <c r="IC10">
        <v>234</v>
      </c>
      <c r="ID10">
        <v>235</v>
      </c>
      <c r="IE10">
        <v>236</v>
      </c>
      <c r="IF10">
        <v>237</v>
      </c>
      <c r="IG10">
        <v>238</v>
      </c>
      <c r="IH10">
        <v>239</v>
      </c>
      <c r="II10">
        <v>240</v>
      </c>
      <c r="IJ10">
        <v>241</v>
      </c>
      <c r="IK10">
        <v>242</v>
      </c>
      <c r="IL10">
        <v>243</v>
      </c>
      <c r="IM10">
        <v>244</v>
      </c>
      <c r="IN10">
        <v>245</v>
      </c>
      <c r="IO10">
        <v>246</v>
      </c>
      <c r="IP10">
        <v>247</v>
      </c>
      <c r="IQ10">
        <v>248</v>
      </c>
      <c r="IR10">
        <v>249</v>
      </c>
      <c r="IS10">
        <v>250</v>
      </c>
      <c r="IT10">
        <v>251</v>
      </c>
      <c r="IU10">
        <v>252</v>
      </c>
    </row>
    <row r="11" spans="1:255" x14ac:dyDescent="0.2">
      <c r="A11" s="36"/>
      <c r="B11">
        <v>1</v>
      </c>
      <c r="C11" s="36">
        <v>50</v>
      </c>
      <c r="D11" s="36">
        <f ca="1">C11*EXP(($B$3-$B$4^2/2)*1+$B$4*_xlfn.NORM.S.INV(RAND()))</f>
        <v>50.055464861770048</v>
      </c>
      <c r="E11" s="36">
        <f ca="1">D11*EXP(($B$3-$B$4^2/2)*1+$B$4*_xlfn.NORM.S.INV(RAND()))</f>
        <v>50.397001339287193</v>
      </c>
      <c r="F11" s="36">
        <f t="shared" ref="F11:BQ11" ca="1" si="8">E11*EXP(($B$3-$B$4^2/2)*1+$B$4*_xlfn.NORM.S.INV(RAND()))</f>
        <v>50.360604747601215</v>
      </c>
      <c r="G11" s="36">
        <f t="shared" ca="1" si="8"/>
        <v>50.696466078783693</v>
      </c>
      <c r="H11" s="36">
        <f t="shared" ca="1" si="8"/>
        <v>51.586801490643701</v>
      </c>
      <c r="I11" s="36">
        <f t="shared" ca="1" si="8"/>
        <v>51.628301419884018</v>
      </c>
      <c r="J11" s="36">
        <f t="shared" ca="1" si="8"/>
        <v>50.94649473671906</v>
      </c>
      <c r="K11" s="36">
        <f t="shared" ca="1" si="8"/>
        <v>52.096433492086874</v>
      </c>
      <c r="L11" s="36">
        <f t="shared" ca="1" si="8"/>
        <v>52.109092828574475</v>
      </c>
      <c r="M11" s="36">
        <f t="shared" ca="1" si="8"/>
        <v>52.542627292267738</v>
      </c>
      <c r="N11" s="36">
        <f t="shared" ca="1" si="8"/>
        <v>52.448439652470782</v>
      </c>
      <c r="O11" s="36">
        <f t="shared" ca="1" si="8"/>
        <v>53.040891852471319</v>
      </c>
      <c r="P11" s="36">
        <f t="shared" ca="1" si="8"/>
        <v>52.017358068752387</v>
      </c>
      <c r="Q11" s="36">
        <f t="shared" ca="1" si="8"/>
        <v>51.147349841639226</v>
      </c>
      <c r="R11" s="36">
        <f t="shared" ca="1" si="8"/>
        <v>51.246647683345195</v>
      </c>
      <c r="S11" s="36">
        <f t="shared" ca="1" si="8"/>
        <v>51.586502093560838</v>
      </c>
      <c r="T11" s="36">
        <f t="shared" ca="1" si="8"/>
        <v>51.683488693101893</v>
      </c>
      <c r="U11" s="36">
        <f t="shared" ca="1" si="8"/>
        <v>51.968574538066051</v>
      </c>
      <c r="V11" s="36">
        <f t="shared" ca="1" si="8"/>
        <v>52.294666226543072</v>
      </c>
      <c r="W11" s="36">
        <f t="shared" ca="1" si="8"/>
        <v>52.790872550299042</v>
      </c>
      <c r="X11" s="36">
        <f t="shared" ca="1" si="8"/>
        <v>52.943159732332262</v>
      </c>
      <c r="Y11" s="36">
        <f t="shared" ca="1" si="8"/>
        <v>52.837305451571837</v>
      </c>
      <c r="Z11" s="36">
        <f t="shared" ca="1" si="8"/>
        <v>52.356786806976658</v>
      </c>
      <c r="AA11" s="36">
        <f t="shared" ca="1" si="8"/>
        <v>53.119029536847208</v>
      </c>
      <c r="AB11" s="36">
        <f t="shared" ca="1" si="8"/>
        <v>54.22970050024972</v>
      </c>
      <c r="AC11" s="36">
        <f t="shared" ca="1" si="8"/>
        <v>55.73746786591488</v>
      </c>
      <c r="AD11" s="36">
        <f t="shared" ca="1" si="8"/>
        <v>55.28320931996349</v>
      </c>
      <c r="AE11" s="36">
        <f t="shared" ca="1" si="8"/>
        <v>55.636953702802288</v>
      </c>
      <c r="AF11" s="36">
        <f t="shared" ca="1" si="8"/>
        <v>55.075930557613738</v>
      </c>
      <c r="AG11" s="36">
        <f t="shared" ca="1" si="8"/>
        <v>56.278826708949502</v>
      </c>
      <c r="AH11" s="36">
        <f t="shared" ca="1" si="8"/>
        <v>56.5559653837757</v>
      </c>
      <c r="AI11" s="36">
        <f t="shared" ca="1" si="8"/>
        <v>56.363565966207936</v>
      </c>
      <c r="AJ11" s="36">
        <f t="shared" ca="1" si="8"/>
        <v>55.626927977072519</v>
      </c>
      <c r="AK11" s="36">
        <f t="shared" ca="1" si="8"/>
        <v>55.552867151077031</v>
      </c>
      <c r="AL11" s="36">
        <f t="shared" ca="1" si="8"/>
        <v>56.769260915862581</v>
      </c>
      <c r="AM11" s="36">
        <f t="shared" ca="1" si="8"/>
        <v>55.059961638776258</v>
      </c>
      <c r="AN11" s="36">
        <f t="shared" ca="1" si="8"/>
        <v>55.894926298262597</v>
      </c>
      <c r="AO11" s="36">
        <f t="shared" ca="1" si="8"/>
        <v>56.982148843866533</v>
      </c>
      <c r="AP11" s="36">
        <f t="shared" ca="1" si="8"/>
        <v>56.87321382812501</v>
      </c>
      <c r="AQ11" s="36">
        <f t="shared" ca="1" si="8"/>
        <v>56.468793071057327</v>
      </c>
      <c r="AR11" s="36">
        <f t="shared" ca="1" si="8"/>
        <v>56.831502809506944</v>
      </c>
      <c r="AS11" s="36">
        <f t="shared" ca="1" si="8"/>
        <v>57.272477452873282</v>
      </c>
      <c r="AT11" s="36">
        <f t="shared" ca="1" si="8"/>
        <v>57.55340652898942</v>
      </c>
      <c r="AU11" s="36">
        <f t="shared" ca="1" si="8"/>
        <v>57.937087218917966</v>
      </c>
      <c r="AV11" s="36">
        <f t="shared" ca="1" si="8"/>
        <v>58.092463656786911</v>
      </c>
      <c r="AW11" s="36">
        <f t="shared" ca="1" si="8"/>
        <v>58.357418368459861</v>
      </c>
      <c r="AX11" s="36">
        <f t="shared" ca="1" si="8"/>
        <v>57.318958595551166</v>
      </c>
      <c r="AY11" s="36">
        <f t="shared" ca="1" si="8"/>
        <v>57.683765573984445</v>
      </c>
      <c r="AZ11" s="36">
        <f t="shared" ca="1" si="8"/>
        <v>57.936176425121985</v>
      </c>
      <c r="BA11" s="36">
        <f t="shared" ca="1" si="8"/>
        <v>59.215199756304344</v>
      </c>
      <c r="BB11" s="36">
        <f t="shared" ca="1" si="8"/>
        <v>59.220393378905939</v>
      </c>
      <c r="BC11" s="36">
        <f t="shared" ca="1" si="8"/>
        <v>58.704698898846303</v>
      </c>
      <c r="BD11" s="36">
        <f t="shared" ca="1" si="8"/>
        <v>57.766193990134312</v>
      </c>
      <c r="BE11" s="36">
        <f t="shared" ca="1" si="8"/>
        <v>56.818593242119022</v>
      </c>
      <c r="BF11" s="36">
        <f t="shared" ca="1" si="8"/>
        <v>56.164763806260375</v>
      </c>
      <c r="BG11" s="36">
        <f t="shared" ca="1" si="8"/>
        <v>56.758218658067399</v>
      </c>
      <c r="BH11" s="36">
        <f t="shared" ca="1" si="8"/>
        <v>56.741566524679378</v>
      </c>
      <c r="BI11" s="36">
        <f t="shared" ca="1" si="8"/>
        <v>58.874618699871768</v>
      </c>
      <c r="BJ11" s="36">
        <f t="shared" ca="1" si="8"/>
        <v>59.066240862671961</v>
      </c>
      <c r="BK11" s="36">
        <f t="shared" ca="1" si="8"/>
        <v>57.939701142812801</v>
      </c>
      <c r="BL11" s="36">
        <f t="shared" ca="1" si="8"/>
        <v>58.741323874901958</v>
      </c>
      <c r="BM11" s="36">
        <f t="shared" ca="1" si="8"/>
        <v>59.832904596443115</v>
      </c>
      <c r="BN11" s="36">
        <f t="shared" ca="1" si="8"/>
        <v>59.417779994053483</v>
      </c>
      <c r="BO11" s="36">
        <f t="shared" ca="1" si="8"/>
        <v>59.941604884402153</v>
      </c>
      <c r="BP11" s="36">
        <f t="shared" ca="1" si="8"/>
        <v>60.49968299846676</v>
      </c>
      <c r="BQ11" s="36">
        <f t="shared" ca="1" si="8"/>
        <v>60.912554159944051</v>
      </c>
      <c r="BR11" s="36">
        <f t="shared" ref="BR11:EC11" ca="1" si="9">BQ11*EXP(($B$3-$B$4^2/2)*1+$B$4*_xlfn.NORM.S.INV(RAND()))</f>
        <v>61.085286617605135</v>
      </c>
      <c r="BS11" s="36">
        <f t="shared" ca="1" si="9"/>
        <v>60.780720233373088</v>
      </c>
      <c r="BT11" s="36">
        <f t="shared" ca="1" si="9"/>
        <v>61.909407212201479</v>
      </c>
      <c r="BU11" s="36">
        <f t="shared" ca="1" si="9"/>
        <v>61.882107714795701</v>
      </c>
      <c r="BV11" s="36">
        <f t="shared" ca="1" si="9"/>
        <v>62.03639599391083</v>
      </c>
      <c r="BW11" s="36">
        <f t="shared" ca="1" si="9"/>
        <v>62.957862648252807</v>
      </c>
      <c r="BX11" s="36">
        <f t="shared" ca="1" si="9"/>
        <v>62.254959306998707</v>
      </c>
      <c r="BY11" s="36">
        <f t="shared" ca="1" si="9"/>
        <v>62.105094631722636</v>
      </c>
      <c r="BZ11" s="36">
        <f t="shared" ca="1" si="9"/>
        <v>61.248411145785198</v>
      </c>
      <c r="CA11" s="36">
        <f t="shared" ca="1" si="9"/>
        <v>59.567278841568999</v>
      </c>
      <c r="CB11" s="36">
        <f t="shared" ca="1" si="9"/>
        <v>60.634463854020851</v>
      </c>
      <c r="CC11" s="36">
        <f t="shared" ca="1" si="9"/>
        <v>61.056980057766452</v>
      </c>
      <c r="CD11" s="36">
        <f t="shared" ca="1" si="9"/>
        <v>59.559985685462706</v>
      </c>
      <c r="CE11" s="36">
        <f t="shared" ca="1" si="9"/>
        <v>60.842058633138826</v>
      </c>
      <c r="CF11" s="36">
        <f t="shared" ca="1" si="9"/>
        <v>60.402901268901722</v>
      </c>
      <c r="CG11" s="36">
        <f t="shared" ca="1" si="9"/>
        <v>60.339306329628613</v>
      </c>
      <c r="CH11" s="36">
        <f t="shared" ca="1" si="9"/>
        <v>60.166195180735542</v>
      </c>
      <c r="CI11" s="36">
        <f t="shared" ca="1" si="9"/>
        <v>61.006725100599439</v>
      </c>
      <c r="CJ11" s="36">
        <f t="shared" ca="1" si="9"/>
        <v>60.436427849919603</v>
      </c>
      <c r="CK11" s="36">
        <f t="shared" ca="1" si="9"/>
        <v>60.582169246249336</v>
      </c>
      <c r="CL11" s="36">
        <f t="shared" ca="1" si="9"/>
        <v>60.80444323699809</v>
      </c>
      <c r="CM11" s="36">
        <f t="shared" ca="1" si="9"/>
        <v>60.657884298582609</v>
      </c>
      <c r="CN11" s="36">
        <f t="shared" ca="1" si="9"/>
        <v>60.682794453253621</v>
      </c>
      <c r="CO11" s="36">
        <f t="shared" ca="1" si="9"/>
        <v>61.307704611816035</v>
      </c>
      <c r="CP11" s="36">
        <f t="shared" ca="1" si="9"/>
        <v>60.983264652469266</v>
      </c>
      <c r="CQ11" s="36">
        <f t="shared" ca="1" si="9"/>
        <v>60.744036901378877</v>
      </c>
      <c r="CR11" s="36">
        <f t="shared" ca="1" si="9"/>
        <v>61.092615258558638</v>
      </c>
      <c r="CS11" s="36">
        <f t="shared" ca="1" si="9"/>
        <v>60.205164905281784</v>
      </c>
      <c r="CT11" s="36">
        <f t="shared" ca="1" si="9"/>
        <v>60.623289146625595</v>
      </c>
      <c r="CU11" s="36">
        <f t="shared" ca="1" si="9"/>
        <v>60.899507775318135</v>
      </c>
      <c r="CV11" s="36">
        <f t="shared" ca="1" si="9"/>
        <v>60.547925116638261</v>
      </c>
      <c r="CW11" s="36">
        <f t="shared" ca="1" si="9"/>
        <v>59.990278743434374</v>
      </c>
      <c r="CX11" s="36">
        <f t="shared" ca="1" si="9"/>
        <v>60.904594091515321</v>
      </c>
      <c r="CY11" s="36">
        <f t="shared" ca="1" si="9"/>
        <v>61.373231885523587</v>
      </c>
      <c r="CZ11" s="36">
        <f t="shared" ca="1" si="9"/>
        <v>63.274852180300613</v>
      </c>
      <c r="DA11" s="36">
        <f t="shared" ca="1" si="9"/>
        <v>63.123404022953011</v>
      </c>
      <c r="DB11" s="36">
        <f t="shared" ca="1" si="9"/>
        <v>62.701805473082352</v>
      </c>
      <c r="DC11" s="36">
        <f t="shared" ca="1" si="9"/>
        <v>62.417046163677931</v>
      </c>
      <c r="DD11" s="36">
        <f t="shared" ca="1" si="9"/>
        <v>62.617163473558854</v>
      </c>
      <c r="DE11" s="36">
        <f t="shared" ca="1" si="9"/>
        <v>62.131338180037041</v>
      </c>
      <c r="DF11" s="36">
        <f t="shared" ca="1" si="9"/>
        <v>61.271121874926727</v>
      </c>
      <c r="DG11" s="36">
        <f t="shared" ca="1" si="9"/>
        <v>61.452115402728005</v>
      </c>
      <c r="DH11" s="36">
        <f t="shared" ca="1" si="9"/>
        <v>62.599764147817616</v>
      </c>
      <c r="DI11" s="36">
        <f t="shared" ca="1" si="9"/>
        <v>63.345797655919696</v>
      </c>
      <c r="DJ11" s="36">
        <f t="shared" ca="1" si="9"/>
        <v>61.911293881086429</v>
      </c>
      <c r="DK11" s="36">
        <f t="shared" ca="1" si="9"/>
        <v>61.923101342853315</v>
      </c>
      <c r="DL11" s="36">
        <f t="shared" ca="1" si="9"/>
        <v>61.965953528701313</v>
      </c>
      <c r="DM11" s="36">
        <f t="shared" ca="1" si="9"/>
        <v>63.266822872451328</v>
      </c>
      <c r="DN11" s="36">
        <f t="shared" ca="1" si="9"/>
        <v>64.772633954419376</v>
      </c>
      <c r="DO11" s="36">
        <f t="shared" ca="1" si="9"/>
        <v>65.108764039326402</v>
      </c>
      <c r="DP11" s="36">
        <f t="shared" ca="1" si="9"/>
        <v>64.545243206358037</v>
      </c>
      <c r="DQ11" s="36">
        <f t="shared" ca="1" si="9"/>
        <v>65.800733906724048</v>
      </c>
      <c r="DR11" s="36">
        <f t="shared" ca="1" si="9"/>
        <v>68.132542114203659</v>
      </c>
      <c r="DS11" s="36">
        <f t="shared" ca="1" si="9"/>
        <v>68.43505329457588</v>
      </c>
      <c r="DT11" s="36">
        <f t="shared" ca="1" si="9"/>
        <v>68.620934745989928</v>
      </c>
      <c r="DU11" s="36">
        <f t="shared" ca="1" si="9"/>
        <v>68.653685327217985</v>
      </c>
      <c r="DV11" s="36">
        <f t="shared" ca="1" si="9"/>
        <v>67.785486149221711</v>
      </c>
      <c r="DW11" s="36">
        <f t="shared" ca="1" si="9"/>
        <v>68.307200309491023</v>
      </c>
      <c r="DX11" s="36">
        <f t="shared" ca="1" si="9"/>
        <v>68.821524740155112</v>
      </c>
      <c r="DY11" s="36">
        <f t="shared" ca="1" si="9"/>
        <v>70.582024668382417</v>
      </c>
      <c r="DZ11" s="36">
        <f t="shared" ca="1" si="9"/>
        <v>69.950434258572116</v>
      </c>
      <c r="EA11" s="36">
        <f t="shared" ca="1" si="9"/>
        <v>70.762995594929023</v>
      </c>
      <c r="EB11" s="36">
        <f t="shared" ca="1" si="9"/>
        <v>72.05354604484269</v>
      </c>
      <c r="EC11" s="36">
        <f t="shared" ca="1" si="9"/>
        <v>72.606443073504124</v>
      </c>
      <c r="ED11" s="36">
        <f t="shared" ref="ED11:EV11" ca="1" si="10">EC11*EXP(($B$3-$B$4^2/2)*1+$B$4*_xlfn.NORM.S.INV(RAND()))</f>
        <v>72.529662437279185</v>
      </c>
      <c r="EE11" s="36">
        <f t="shared" ca="1" si="10"/>
        <v>72.440328967750389</v>
      </c>
      <c r="EF11" s="36">
        <f t="shared" ca="1" si="10"/>
        <v>71.556159304049942</v>
      </c>
      <c r="EG11" s="36">
        <f t="shared" ca="1" si="10"/>
        <v>71.240842991468625</v>
      </c>
      <c r="EH11" s="36">
        <f t="shared" ca="1" si="10"/>
        <v>71.739114684675442</v>
      </c>
      <c r="EI11" s="36">
        <f t="shared" ca="1" si="10"/>
        <v>70.720846424726489</v>
      </c>
      <c r="EJ11" s="36">
        <f t="shared" ca="1" si="10"/>
        <v>70.069936891128165</v>
      </c>
      <c r="EK11" s="36">
        <f t="shared" ca="1" si="10"/>
        <v>70.81463154617083</v>
      </c>
      <c r="EL11" s="36">
        <f t="shared" ca="1" si="10"/>
        <v>71.948669462170358</v>
      </c>
      <c r="EM11" s="36">
        <f t="shared" ca="1" si="10"/>
        <v>71.747818662286491</v>
      </c>
      <c r="EN11" s="36">
        <f t="shared" ca="1" si="10"/>
        <v>70.505191773419227</v>
      </c>
      <c r="EO11" s="36">
        <f t="shared" ca="1" si="10"/>
        <v>70.061059653406517</v>
      </c>
      <c r="EP11" s="36">
        <f t="shared" ca="1" si="10"/>
        <v>69.462421241947723</v>
      </c>
      <c r="EQ11" s="36">
        <f t="shared" ca="1" si="10"/>
        <v>69.893675667217366</v>
      </c>
      <c r="ER11" s="36">
        <f t="shared" ca="1" si="10"/>
        <v>70.144600898969912</v>
      </c>
      <c r="ES11" s="36">
        <f t="shared" ca="1" si="10"/>
        <v>70.343930963877838</v>
      </c>
      <c r="ET11" s="36">
        <f t="shared" ca="1" si="10"/>
        <v>70.364095318875172</v>
      </c>
      <c r="EU11" s="36">
        <f t="shared" ca="1" si="10"/>
        <v>70.010948162426089</v>
      </c>
      <c r="EV11" s="36">
        <f t="shared" ca="1" si="10"/>
        <v>69.653228643141816</v>
      </c>
      <c r="EW11" s="36">
        <f ca="1">EV11*EXP(($B$3-$B$4^2/2)*1+$B$4*_xlfn.NORM.S.INV(RAND()))</f>
        <v>70.258822585433336</v>
      </c>
      <c r="EX11" s="36">
        <f t="shared" ref="EX11:HI11" ca="1" si="11">EW11*EXP(($B$3-$B$4^2/2)*1+$B$4*_xlfn.NORM.S.INV(RAND()))</f>
        <v>70.58786850452104</v>
      </c>
      <c r="EY11" s="36">
        <f t="shared" ca="1" si="11"/>
        <v>70.013836561017456</v>
      </c>
      <c r="EZ11" s="36">
        <f t="shared" ca="1" si="11"/>
        <v>70.788510873152362</v>
      </c>
      <c r="FA11" s="36">
        <f t="shared" ca="1" si="11"/>
        <v>70.274605990774617</v>
      </c>
      <c r="FB11" s="36">
        <f t="shared" ca="1" si="11"/>
        <v>71.190819263034413</v>
      </c>
      <c r="FC11" s="36">
        <f t="shared" ca="1" si="11"/>
        <v>71.802521233756025</v>
      </c>
      <c r="FD11" s="36">
        <f t="shared" ca="1" si="11"/>
        <v>72.565361229724687</v>
      </c>
      <c r="FE11" s="36">
        <f t="shared" ca="1" si="11"/>
        <v>73.198713543584745</v>
      </c>
      <c r="FF11" s="36">
        <f t="shared" ca="1" si="11"/>
        <v>73.245965348242962</v>
      </c>
      <c r="FG11" s="36">
        <f t="shared" ca="1" si="11"/>
        <v>73.689243699962262</v>
      </c>
      <c r="FH11" s="36">
        <f t="shared" ca="1" si="11"/>
        <v>73.813511080570677</v>
      </c>
      <c r="FI11" s="36">
        <f t="shared" ca="1" si="11"/>
        <v>75.283931169382825</v>
      </c>
      <c r="FJ11" s="36">
        <f t="shared" ca="1" si="11"/>
        <v>73.171331190136002</v>
      </c>
      <c r="FK11" s="36">
        <f t="shared" ca="1" si="11"/>
        <v>72.888230574111859</v>
      </c>
      <c r="FL11" s="36">
        <f t="shared" ca="1" si="11"/>
        <v>72.894133761023028</v>
      </c>
      <c r="FM11" s="36">
        <f t="shared" ca="1" si="11"/>
        <v>73.111256904252983</v>
      </c>
      <c r="FN11" s="36">
        <f t="shared" ca="1" si="11"/>
        <v>74.054807253673715</v>
      </c>
      <c r="FO11" s="36">
        <f t="shared" ca="1" si="11"/>
        <v>74.533272674024943</v>
      </c>
      <c r="FP11" s="36">
        <f t="shared" ca="1" si="11"/>
        <v>75.246280434765339</v>
      </c>
      <c r="FQ11" s="36">
        <f t="shared" ca="1" si="11"/>
        <v>74.590069928803828</v>
      </c>
      <c r="FR11" s="36">
        <f t="shared" ca="1" si="11"/>
        <v>75.380341858842399</v>
      </c>
      <c r="FS11" s="36">
        <f t="shared" ca="1" si="11"/>
        <v>74.584503129804659</v>
      </c>
      <c r="FT11" s="36">
        <f t="shared" ca="1" si="11"/>
        <v>74.264526410855893</v>
      </c>
      <c r="FU11" s="36">
        <f t="shared" ca="1" si="11"/>
        <v>73.724985386690477</v>
      </c>
      <c r="FV11" s="36">
        <f t="shared" ca="1" si="11"/>
        <v>74.802669944509503</v>
      </c>
      <c r="FW11" s="36">
        <f t="shared" ca="1" si="11"/>
        <v>73.977445124367279</v>
      </c>
      <c r="FX11" s="36">
        <f t="shared" ca="1" si="11"/>
        <v>74.633044089357782</v>
      </c>
      <c r="FY11" s="36">
        <f t="shared" ca="1" si="11"/>
        <v>75.793430886391263</v>
      </c>
      <c r="FZ11" s="36">
        <f t="shared" ca="1" si="11"/>
        <v>75.428646703153603</v>
      </c>
      <c r="GA11" s="36">
        <f t="shared" ca="1" si="11"/>
        <v>73.999238770216394</v>
      </c>
      <c r="GB11" s="36">
        <f t="shared" ca="1" si="11"/>
        <v>74.159539580150664</v>
      </c>
      <c r="GC11" s="36">
        <f t="shared" ca="1" si="11"/>
        <v>73.387922735178108</v>
      </c>
      <c r="GD11" s="36">
        <f t="shared" ca="1" si="11"/>
        <v>72.926538037585047</v>
      </c>
      <c r="GE11" s="36">
        <f t="shared" ca="1" si="11"/>
        <v>72.862321047393849</v>
      </c>
      <c r="GF11" s="36">
        <f t="shared" ca="1" si="11"/>
        <v>71.760147735191836</v>
      </c>
      <c r="GG11" s="36">
        <f t="shared" ca="1" si="11"/>
        <v>71.378216724545851</v>
      </c>
      <c r="GH11" s="36">
        <f t="shared" ca="1" si="11"/>
        <v>72.321685921877872</v>
      </c>
      <c r="GI11" s="36">
        <f t="shared" ca="1" si="11"/>
        <v>71.672967695114636</v>
      </c>
      <c r="GJ11" s="36">
        <f t="shared" ca="1" si="11"/>
        <v>71.184888199161747</v>
      </c>
      <c r="GK11" s="36">
        <f t="shared" ca="1" si="11"/>
        <v>71.628416001285672</v>
      </c>
      <c r="GL11" s="36">
        <f t="shared" ca="1" si="11"/>
        <v>71.259874055999006</v>
      </c>
      <c r="GM11" s="36">
        <f t="shared" ca="1" si="11"/>
        <v>71.430619707766795</v>
      </c>
      <c r="GN11" s="36">
        <f t="shared" ca="1" si="11"/>
        <v>70.77765730416003</v>
      </c>
      <c r="GO11" s="36">
        <f t="shared" ca="1" si="11"/>
        <v>71.521888179821062</v>
      </c>
      <c r="GP11" s="36">
        <f t="shared" ca="1" si="11"/>
        <v>72.350000049877096</v>
      </c>
      <c r="GQ11" s="36">
        <f t="shared" ca="1" si="11"/>
        <v>73.021370546719368</v>
      </c>
      <c r="GR11" s="36">
        <f t="shared" ca="1" si="11"/>
        <v>74.252092428639742</v>
      </c>
      <c r="GS11" s="36">
        <f t="shared" ca="1" si="11"/>
        <v>75.156131928252904</v>
      </c>
      <c r="GT11" s="36">
        <f t="shared" ca="1" si="11"/>
        <v>75.461041015639594</v>
      </c>
      <c r="GU11" s="36">
        <f t="shared" ca="1" si="11"/>
        <v>75.01284301607798</v>
      </c>
      <c r="GV11" s="36">
        <f t="shared" ca="1" si="11"/>
        <v>75.83069886428288</v>
      </c>
      <c r="GW11" s="36">
        <f t="shared" ca="1" si="11"/>
        <v>75.394019720889347</v>
      </c>
      <c r="GX11" s="36">
        <f t="shared" ca="1" si="11"/>
        <v>76.529886148384634</v>
      </c>
      <c r="GY11" s="36">
        <f t="shared" ca="1" si="11"/>
        <v>78.408329230917204</v>
      </c>
      <c r="GZ11" s="36">
        <f t="shared" ca="1" si="11"/>
        <v>77.887934947801554</v>
      </c>
      <c r="HA11" s="36">
        <f t="shared" ca="1" si="11"/>
        <v>77.618159927889039</v>
      </c>
      <c r="HB11" s="36">
        <f t="shared" ca="1" si="11"/>
        <v>78.548279474349258</v>
      </c>
      <c r="HC11" s="36">
        <f t="shared" ca="1" si="11"/>
        <v>76.45253310508167</v>
      </c>
      <c r="HD11" s="36">
        <f t="shared" ca="1" si="11"/>
        <v>76.572877093682052</v>
      </c>
      <c r="HE11" s="36">
        <f t="shared" ca="1" si="11"/>
        <v>75.740683832457009</v>
      </c>
      <c r="HF11" s="36">
        <f t="shared" ca="1" si="11"/>
        <v>75.679312448774866</v>
      </c>
      <c r="HG11" s="36">
        <f t="shared" ca="1" si="11"/>
        <v>75.949861868346488</v>
      </c>
      <c r="HH11" s="36">
        <f t="shared" ca="1" si="11"/>
        <v>77.373605582977731</v>
      </c>
      <c r="HI11" s="36">
        <f t="shared" ca="1" si="11"/>
        <v>78.719222657866965</v>
      </c>
      <c r="HJ11" s="36">
        <f t="shared" ref="HJ11:HY24" ca="1" si="12">HI11*EXP(($B$3-$B$4^2/2)*1+$B$4*_xlfn.NORM.S.INV(RAND()))</f>
        <v>77.739639616340796</v>
      </c>
      <c r="HK11" s="36">
        <f t="shared" ca="1" si="12"/>
        <v>77.522794083392654</v>
      </c>
      <c r="HL11" s="36">
        <f t="shared" ca="1" si="12"/>
        <v>77.690655115276144</v>
      </c>
      <c r="HM11" s="36">
        <f t="shared" ca="1" si="12"/>
        <v>77.22705209409142</v>
      </c>
      <c r="HN11" s="36">
        <f t="shared" ca="1" si="12"/>
        <v>77.442516912045335</v>
      </c>
      <c r="HO11" s="36">
        <f t="shared" ca="1" si="12"/>
        <v>76.793088700301595</v>
      </c>
      <c r="HP11" s="36">
        <f t="shared" ca="1" si="12"/>
        <v>75.957342933851578</v>
      </c>
      <c r="HQ11" s="36">
        <f t="shared" ca="1" si="12"/>
        <v>73.890397504731254</v>
      </c>
      <c r="HR11" s="36">
        <f t="shared" ca="1" si="12"/>
        <v>75.090307544491026</v>
      </c>
      <c r="HS11" s="36">
        <f t="shared" ca="1" si="12"/>
        <v>74.546601742577721</v>
      </c>
      <c r="HT11" s="36">
        <f ca="1">HS11*EXP(($B$3-$B$4^2/2)*1+$B$4*_xlfn.NORM.S.INV(RAND()))</f>
        <v>73.095356228489138</v>
      </c>
      <c r="HU11" s="36">
        <f t="shared" ref="HU11:IU11" ca="1" si="13">HT11*EXP(($B$3-$B$4^2/2)*1+$B$4*_xlfn.NORM.S.INV(RAND()))</f>
        <v>73.382515541683716</v>
      </c>
      <c r="HV11" s="36">
        <f t="shared" ca="1" si="13"/>
        <v>72.975388662582617</v>
      </c>
      <c r="HW11" s="36">
        <f t="shared" ca="1" si="13"/>
        <v>73.364451372325249</v>
      </c>
      <c r="HX11" s="36">
        <f t="shared" ca="1" si="13"/>
        <v>72.79087683409557</v>
      </c>
      <c r="HY11" s="36">
        <f t="shared" ca="1" si="13"/>
        <v>72.797288491115864</v>
      </c>
      <c r="HZ11" s="36">
        <f t="shared" ca="1" si="13"/>
        <v>72.798136756484283</v>
      </c>
      <c r="IA11" s="36">
        <f t="shared" ca="1" si="13"/>
        <v>74.284996585208944</v>
      </c>
      <c r="IB11" s="36">
        <f t="shared" ca="1" si="13"/>
        <v>77.814752938648382</v>
      </c>
      <c r="IC11" s="36">
        <f t="shared" ca="1" si="13"/>
        <v>77.909711238752024</v>
      </c>
      <c r="ID11" s="36">
        <f t="shared" ca="1" si="13"/>
        <v>79.231061897138375</v>
      </c>
      <c r="IE11" s="36">
        <f t="shared" ca="1" si="13"/>
        <v>79.600545600995133</v>
      </c>
      <c r="IF11" s="36">
        <f t="shared" ca="1" si="13"/>
        <v>80.661900037699084</v>
      </c>
      <c r="IG11" s="36">
        <f t="shared" ca="1" si="13"/>
        <v>80.786842633840834</v>
      </c>
      <c r="IH11" s="36">
        <f t="shared" ca="1" si="13"/>
        <v>79.440148674265131</v>
      </c>
      <c r="II11" s="36">
        <f t="shared" ca="1" si="13"/>
        <v>80.219928722435711</v>
      </c>
      <c r="IJ11" s="36">
        <f t="shared" ca="1" si="13"/>
        <v>80.160415136119155</v>
      </c>
      <c r="IK11" s="36">
        <f t="shared" ca="1" si="13"/>
        <v>80.698301970676525</v>
      </c>
      <c r="IL11" s="36">
        <f t="shared" ca="1" si="13"/>
        <v>80.31933079622641</v>
      </c>
      <c r="IM11" s="36">
        <f t="shared" ca="1" si="13"/>
        <v>80.618469497828684</v>
      </c>
      <c r="IN11" s="36">
        <f t="shared" ca="1" si="13"/>
        <v>81.381952392163754</v>
      </c>
      <c r="IO11" s="36">
        <f t="shared" ca="1" si="13"/>
        <v>82.711306918438552</v>
      </c>
      <c r="IP11" s="36">
        <f t="shared" ca="1" si="13"/>
        <v>83.139606792001899</v>
      </c>
      <c r="IQ11" s="36">
        <f t="shared" ca="1" si="13"/>
        <v>82.711555601607017</v>
      </c>
      <c r="IR11" s="36">
        <f t="shared" ca="1" si="13"/>
        <v>83.794010976696754</v>
      </c>
      <c r="IS11" s="36">
        <f t="shared" ca="1" si="13"/>
        <v>83.627789356628668</v>
      </c>
      <c r="IT11" s="36">
        <f t="shared" ca="1" si="13"/>
        <v>82.162898397583973</v>
      </c>
      <c r="IU11" s="36">
        <f t="shared" ca="1" si="13"/>
        <v>81.300037924384569</v>
      </c>
    </row>
    <row r="12" spans="1:255" x14ac:dyDescent="0.2">
      <c r="A12" s="36"/>
      <c r="B12">
        <v>2</v>
      </c>
      <c r="C12" s="36">
        <v>50</v>
      </c>
      <c r="D12" s="36">
        <f t="shared" ref="D12:E75" ca="1" si="14">C12*EXP(($B$3-$B$4^2/2)*1+$B$4*_xlfn.NORM.S.INV(RAND()))</f>
        <v>50.113280533116367</v>
      </c>
      <c r="E12" s="36">
        <f t="shared" ca="1" si="14"/>
        <v>50.658657677645188</v>
      </c>
      <c r="F12" s="36">
        <f t="shared" ref="F12:BQ13" ca="1" si="15">E12*EXP(($B$3-$B$4^2/2)*1+$B$4*_xlfn.NORM.S.INV(RAND()))</f>
        <v>50.580760723823197</v>
      </c>
      <c r="G12" s="36">
        <f t="shared" ca="1" si="15"/>
        <v>49.76631688055992</v>
      </c>
      <c r="H12" s="36">
        <f t="shared" ca="1" si="15"/>
        <v>50.380528635138283</v>
      </c>
      <c r="I12" s="36">
        <f t="shared" ca="1" si="15"/>
        <v>50.699215805981751</v>
      </c>
      <c r="J12" s="36">
        <f t="shared" ca="1" si="15"/>
        <v>51.036430913642192</v>
      </c>
      <c r="K12" s="36">
        <f t="shared" ca="1" si="15"/>
        <v>51.765936041989278</v>
      </c>
      <c r="L12" s="36">
        <f t="shared" ca="1" si="15"/>
        <v>51.613516314731832</v>
      </c>
      <c r="M12" s="36">
        <f t="shared" ca="1" si="15"/>
        <v>51.178348283421236</v>
      </c>
      <c r="N12" s="36">
        <f t="shared" ca="1" si="15"/>
        <v>51.935289389781829</v>
      </c>
      <c r="O12" s="36">
        <f t="shared" ca="1" si="15"/>
        <v>52.318821081920561</v>
      </c>
      <c r="P12" s="36">
        <f t="shared" ca="1" si="15"/>
        <v>51.751217758576239</v>
      </c>
      <c r="Q12" s="36">
        <f t="shared" ca="1" si="15"/>
        <v>51.094995694140792</v>
      </c>
      <c r="R12" s="36">
        <f t="shared" ca="1" si="15"/>
        <v>50.706514461319763</v>
      </c>
      <c r="S12" s="36">
        <f t="shared" ca="1" si="15"/>
        <v>49.531466503511375</v>
      </c>
      <c r="T12" s="36">
        <f t="shared" ca="1" si="15"/>
        <v>48.498855135734836</v>
      </c>
      <c r="U12" s="36">
        <f t="shared" ca="1" si="15"/>
        <v>48.552563551118389</v>
      </c>
      <c r="V12" s="36">
        <f t="shared" ca="1" si="15"/>
        <v>48.290840039905525</v>
      </c>
      <c r="W12" s="36">
        <f t="shared" ca="1" si="15"/>
        <v>47.876587549074564</v>
      </c>
      <c r="X12" s="36">
        <f t="shared" ca="1" si="15"/>
        <v>48.514298116895077</v>
      </c>
      <c r="Y12" s="36">
        <f t="shared" ca="1" si="15"/>
        <v>48.035936556324856</v>
      </c>
      <c r="Z12" s="36">
        <f t="shared" ca="1" si="15"/>
        <v>48.132578239980759</v>
      </c>
      <c r="AA12" s="36">
        <f t="shared" ca="1" si="15"/>
        <v>48.288879712013745</v>
      </c>
      <c r="AB12" s="36">
        <f t="shared" ca="1" si="15"/>
        <v>48.69295094281582</v>
      </c>
      <c r="AC12" s="36">
        <f t="shared" ca="1" si="15"/>
        <v>48.286042832330295</v>
      </c>
      <c r="AD12" s="36">
        <f t="shared" ca="1" si="15"/>
        <v>49.170909533279506</v>
      </c>
      <c r="AE12" s="36">
        <f t="shared" ca="1" si="15"/>
        <v>49.537521870889691</v>
      </c>
      <c r="AF12" s="36">
        <f t="shared" ca="1" si="15"/>
        <v>49.554130980390127</v>
      </c>
      <c r="AG12" s="36">
        <f t="shared" ca="1" si="15"/>
        <v>49.994207946159158</v>
      </c>
      <c r="AH12" s="36">
        <f t="shared" ca="1" si="15"/>
        <v>50.130097208400485</v>
      </c>
      <c r="AI12" s="36">
        <f t="shared" ca="1" si="15"/>
        <v>50.36269045080072</v>
      </c>
      <c r="AJ12" s="36">
        <f t="shared" ca="1" si="15"/>
        <v>50.616661467540737</v>
      </c>
      <c r="AK12" s="36">
        <f t="shared" ca="1" si="15"/>
        <v>50.309411237135365</v>
      </c>
      <c r="AL12" s="36">
        <f t="shared" ca="1" si="15"/>
        <v>49.762706580238124</v>
      </c>
      <c r="AM12" s="36">
        <f t="shared" ca="1" si="15"/>
        <v>50.487762204549703</v>
      </c>
      <c r="AN12" s="36">
        <f t="shared" ca="1" si="15"/>
        <v>49.870987958418084</v>
      </c>
      <c r="AO12" s="36">
        <f t="shared" ca="1" si="15"/>
        <v>49.189383835587741</v>
      </c>
      <c r="AP12" s="36">
        <f t="shared" ca="1" si="15"/>
        <v>47.833998411452143</v>
      </c>
      <c r="AQ12" s="36">
        <f t="shared" ca="1" si="15"/>
        <v>48.524611748859449</v>
      </c>
      <c r="AR12" s="36">
        <f t="shared" ca="1" si="15"/>
        <v>48.620562029823837</v>
      </c>
      <c r="AS12" s="36">
        <f t="shared" ca="1" si="15"/>
        <v>47.854964074320634</v>
      </c>
      <c r="AT12" s="36">
        <f t="shared" ca="1" si="15"/>
        <v>47.33454064878164</v>
      </c>
      <c r="AU12" s="36">
        <f t="shared" ca="1" si="15"/>
        <v>47.570337448471925</v>
      </c>
      <c r="AV12" s="36">
        <f t="shared" ca="1" si="15"/>
        <v>47.362130857427324</v>
      </c>
      <c r="AW12" s="36">
        <f t="shared" ca="1" si="15"/>
        <v>47.226956017240106</v>
      </c>
      <c r="AX12" s="36">
        <f t="shared" ca="1" si="15"/>
        <v>47.387344711769664</v>
      </c>
      <c r="AY12" s="36">
        <f t="shared" ca="1" si="15"/>
        <v>47.47584431305409</v>
      </c>
      <c r="AZ12" s="36">
        <f t="shared" ca="1" si="15"/>
        <v>47.490915342509631</v>
      </c>
      <c r="BA12" s="36">
        <f t="shared" ca="1" si="15"/>
        <v>47.418229431651035</v>
      </c>
      <c r="BB12" s="36">
        <f t="shared" ca="1" si="15"/>
        <v>46.889628819398737</v>
      </c>
      <c r="BC12" s="36">
        <f t="shared" ca="1" si="15"/>
        <v>45.628084406515477</v>
      </c>
      <c r="BD12" s="36">
        <f t="shared" ca="1" si="15"/>
        <v>46.881575107123872</v>
      </c>
      <c r="BE12" s="36">
        <f t="shared" ca="1" si="15"/>
        <v>46.351101907573025</v>
      </c>
      <c r="BF12" s="36">
        <f t="shared" ca="1" si="15"/>
        <v>46.221437337296514</v>
      </c>
      <c r="BG12" s="36">
        <f t="shared" ca="1" si="15"/>
        <v>45.487105262028379</v>
      </c>
      <c r="BH12" s="36">
        <f t="shared" ca="1" si="15"/>
        <v>45.359796518528988</v>
      </c>
      <c r="BI12" s="36">
        <f t="shared" ca="1" si="15"/>
        <v>45.147818664082912</v>
      </c>
      <c r="BJ12" s="36">
        <f t="shared" ca="1" si="15"/>
        <v>45.481622720843163</v>
      </c>
      <c r="BK12" s="36">
        <f t="shared" ca="1" si="15"/>
        <v>46.04519093755188</v>
      </c>
      <c r="BL12" s="36">
        <f t="shared" ca="1" si="15"/>
        <v>45.190126389211848</v>
      </c>
      <c r="BM12" s="36">
        <f t="shared" ca="1" si="15"/>
        <v>45.280603461473063</v>
      </c>
      <c r="BN12" s="36">
        <f t="shared" ca="1" si="15"/>
        <v>46.281004995483876</v>
      </c>
      <c r="BO12" s="36">
        <f t="shared" ca="1" si="15"/>
        <v>46.069497444376026</v>
      </c>
      <c r="BP12" s="36">
        <f t="shared" ca="1" si="15"/>
        <v>45.980916026017944</v>
      </c>
      <c r="BQ12" s="36">
        <f t="shared" ca="1" si="15"/>
        <v>45.976549644385813</v>
      </c>
      <c r="BR12" s="36">
        <f t="shared" ref="BR12:EC15" ca="1" si="16">BQ12*EXP(($B$3-$B$4^2/2)*1+$B$4*_xlfn.NORM.S.INV(RAND()))</f>
        <v>45.645850221696271</v>
      </c>
      <c r="BS12" s="36">
        <f t="shared" ca="1" si="16"/>
        <v>46.449216254217809</v>
      </c>
      <c r="BT12" s="36">
        <f t="shared" ca="1" si="16"/>
        <v>46.112158181565341</v>
      </c>
      <c r="BU12" s="36">
        <f t="shared" ca="1" si="16"/>
        <v>45.04109492311445</v>
      </c>
      <c r="BV12" s="36">
        <f t="shared" ca="1" si="16"/>
        <v>45.134481914134383</v>
      </c>
      <c r="BW12" s="36">
        <f t="shared" ca="1" si="16"/>
        <v>44.514611538106848</v>
      </c>
      <c r="BX12" s="36">
        <f t="shared" ca="1" si="16"/>
        <v>45.447429942615976</v>
      </c>
      <c r="BY12" s="36">
        <f t="shared" ca="1" si="16"/>
        <v>45.346863822745227</v>
      </c>
      <c r="BZ12" s="36">
        <f t="shared" ca="1" si="16"/>
        <v>46.323900626329241</v>
      </c>
      <c r="CA12" s="36">
        <f t="shared" ca="1" si="16"/>
        <v>47.470660482528253</v>
      </c>
      <c r="CB12" s="36">
        <f t="shared" ca="1" si="16"/>
        <v>47.186509256504088</v>
      </c>
      <c r="CC12" s="36">
        <f t="shared" ca="1" si="16"/>
        <v>46.597581803129884</v>
      </c>
      <c r="CD12" s="36">
        <f t="shared" ca="1" si="16"/>
        <v>47.483960648607251</v>
      </c>
      <c r="CE12" s="36">
        <f t="shared" ca="1" si="16"/>
        <v>47.058654777692304</v>
      </c>
      <c r="CF12" s="36">
        <f t="shared" ca="1" si="16"/>
        <v>47.628544571763705</v>
      </c>
      <c r="CG12" s="36">
        <f t="shared" ca="1" si="16"/>
        <v>47.800006416619155</v>
      </c>
      <c r="CH12" s="36">
        <f t="shared" ca="1" si="16"/>
        <v>48.387630654503241</v>
      </c>
      <c r="CI12" s="36">
        <f t="shared" ca="1" si="16"/>
        <v>48.052014270161663</v>
      </c>
      <c r="CJ12" s="36">
        <f t="shared" ca="1" si="16"/>
        <v>46.855406195025488</v>
      </c>
      <c r="CK12" s="36">
        <f t="shared" ca="1" si="16"/>
        <v>46.763551081012814</v>
      </c>
      <c r="CL12" s="36">
        <f t="shared" ca="1" si="16"/>
        <v>47.549534945632224</v>
      </c>
      <c r="CM12" s="36">
        <f t="shared" ca="1" si="16"/>
        <v>47.869740341547185</v>
      </c>
      <c r="CN12" s="36">
        <f t="shared" ca="1" si="16"/>
        <v>48.478979827674948</v>
      </c>
      <c r="CO12" s="36">
        <f t="shared" ca="1" si="16"/>
        <v>48.28958167391594</v>
      </c>
      <c r="CP12" s="36">
        <f t="shared" ca="1" si="16"/>
        <v>47.694227864414302</v>
      </c>
      <c r="CQ12" s="36">
        <f t="shared" ca="1" si="16"/>
        <v>47.396062161704542</v>
      </c>
      <c r="CR12" s="36">
        <f t="shared" ca="1" si="16"/>
        <v>46.970120122555677</v>
      </c>
      <c r="CS12" s="36">
        <f t="shared" ca="1" si="16"/>
        <v>47.650764728283924</v>
      </c>
      <c r="CT12" s="36">
        <f t="shared" ca="1" si="16"/>
        <v>47.660157145238948</v>
      </c>
      <c r="CU12" s="36">
        <f t="shared" ca="1" si="16"/>
        <v>48.887570644556511</v>
      </c>
      <c r="CV12" s="36">
        <f t="shared" ca="1" si="16"/>
        <v>48.62580436605505</v>
      </c>
      <c r="CW12" s="36">
        <f t="shared" ca="1" si="16"/>
        <v>48.914072871873003</v>
      </c>
      <c r="CX12" s="36">
        <f t="shared" ca="1" si="16"/>
        <v>49.288052183135875</v>
      </c>
      <c r="CY12" s="36">
        <f t="shared" ca="1" si="16"/>
        <v>49.409409935987917</v>
      </c>
      <c r="CZ12" s="36">
        <f t="shared" ca="1" si="16"/>
        <v>48.618101709489743</v>
      </c>
      <c r="DA12" s="36">
        <f t="shared" ca="1" si="16"/>
        <v>48.455188349062482</v>
      </c>
      <c r="DB12" s="36">
        <f t="shared" ca="1" si="16"/>
        <v>48.059679348063632</v>
      </c>
      <c r="DC12" s="36">
        <f t="shared" ca="1" si="16"/>
        <v>47.104734385916295</v>
      </c>
      <c r="DD12" s="36">
        <f t="shared" ca="1" si="16"/>
        <v>46.629559393412329</v>
      </c>
      <c r="DE12" s="36">
        <f t="shared" ca="1" si="16"/>
        <v>47.362247891865415</v>
      </c>
      <c r="DF12" s="36">
        <f t="shared" ca="1" si="16"/>
        <v>46.797410743988792</v>
      </c>
      <c r="DG12" s="36">
        <f t="shared" ca="1" si="16"/>
        <v>46.560271695420425</v>
      </c>
      <c r="DH12" s="36">
        <f t="shared" ca="1" si="16"/>
        <v>45.106754942539773</v>
      </c>
      <c r="DI12" s="36">
        <f t="shared" ca="1" si="16"/>
        <v>45.255679253935313</v>
      </c>
      <c r="DJ12" s="36">
        <f t="shared" ca="1" si="16"/>
        <v>45.556188194484356</v>
      </c>
      <c r="DK12" s="36">
        <f t="shared" ca="1" si="16"/>
        <v>45.131383972271045</v>
      </c>
      <c r="DL12" s="36">
        <f t="shared" ca="1" si="16"/>
        <v>45.484857289319379</v>
      </c>
      <c r="DM12" s="36">
        <f t="shared" ca="1" si="16"/>
        <v>46.393073286399733</v>
      </c>
      <c r="DN12" s="36">
        <f t="shared" ca="1" si="16"/>
        <v>46.560407560305372</v>
      </c>
      <c r="DO12" s="36">
        <f t="shared" ca="1" si="16"/>
        <v>48.271075585035774</v>
      </c>
      <c r="DP12" s="36">
        <f t="shared" ca="1" si="16"/>
        <v>47.894815791529737</v>
      </c>
      <c r="DQ12" s="36">
        <f t="shared" ca="1" si="16"/>
        <v>47.92881888452213</v>
      </c>
      <c r="DR12" s="36">
        <f t="shared" ca="1" si="16"/>
        <v>46.599517316433918</v>
      </c>
      <c r="DS12" s="36">
        <f t="shared" ca="1" si="16"/>
        <v>47.059470459960394</v>
      </c>
      <c r="DT12" s="36">
        <f t="shared" ca="1" si="16"/>
        <v>47.742350939399657</v>
      </c>
      <c r="DU12" s="36">
        <f t="shared" ca="1" si="16"/>
        <v>47.525236877839838</v>
      </c>
      <c r="DV12" s="36">
        <f t="shared" ca="1" si="16"/>
        <v>48.572287585241746</v>
      </c>
      <c r="DW12" s="36">
        <f t="shared" ca="1" si="16"/>
        <v>49.074615312686888</v>
      </c>
      <c r="DX12" s="36">
        <f t="shared" ca="1" si="16"/>
        <v>48.960626253325422</v>
      </c>
      <c r="DY12" s="36">
        <f t="shared" ca="1" si="16"/>
        <v>49.404220368782951</v>
      </c>
      <c r="DZ12" s="36">
        <f t="shared" ca="1" si="16"/>
        <v>49.444335615333877</v>
      </c>
      <c r="EA12" s="36">
        <f t="shared" ca="1" si="16"/>
        <v>48.617896664931642</v>
      </c>
      <c r="EB12" s="36">
        <f t="shared" ca="1" si="16"/>
        <v>48.333375319715614</v>
      </c>
      <c r="EC12" s="36">
        <f t="shared" ca="1" si="16"/>
        <v>48.830530739761855</v>
      </c>
      <c r="ED12" s="36">
        <f t="shared" ref="ED12:EV14" ca="1" si="17">EC12*EXP(($B$3-$B$4^2/2)*1+$B$4*_xlfn.NORM.S.INV(RAND()))</f>
        <v>49.375788979242252</v>
      </c>
      <c r="EE12" s="36">
        <f t="shared" ca="1" si="17"/>
        <v>49.065830195188013</v>
      </c>
      <c r="EF12" s="36">
        <f t="shared" ca="1" si="17"/>
        <v>47.923382549292256</v>
      </c>
      <c r="EG12" s="36">
        <f t="shared" ca="1" si="17"/>
        <v>48.055766249925341</v>
      </c>
      <c r="EH12" s="36">
        <f t="shared" ca="1" si="17"/>
        <v>47.468999540929175</v>
      </c>
      <c r="EI12" s="36">
        <f t="shared" ca="1" si="17"/>
        <v>47.555721670190515</v>
      </c>
      <c r="EJ12" s="36">
        <f t="shared" ca="1" si="17"/>
        <v>47.528751320655438</v>
      </c>
      <c r="EK12" s="36">
        <f t="shared" ca="1" si="17"/>
        <v>47.655065478232792</v>
      </c>
      <c r="EL12" s="36">
        <f t="shared" ca="1" si="17"/>
        <v>48.322103142365762</v>
      </c>
      <c r="EM12" s="36">
        <f t="shared" ca="1" si="17"/>
        <v>48.347388167827482</v>
      </c>
      <c r="EN12" s="36">
        <f t="shared" ca="1" si="17"/>
        <v>48.584613117161389</v>
      </c>
      <c r="EO12" s="36">
        <f t="shared" ca="1" si="17"/>
        <v>47.824684333273638</v>
      </c>
      <c r="EP12" s="36">
        <f t="shared" ca="1" si="17"/>
        <v>47.770609000629143</v>
      </c>
      <c r="EQ12" s="36">
        <f t="shared" ca="1" si="17"/>
        <v>48.023091257133295</v>
      </c>
      <c r="ER12" s="36">
        <f t="shared" ca="1" si="17"/>
        <v>47.389991406385889</v>
      </c>
      <c r="ES12" s="36">
        <f t="shared" ca="1" si="17"/>
        <v>46.955811021204561</v>
      </c>
      <c r="ET12" s="36">
        <f t="shared" ca="1" si="17"/>
        <v>47.298563379668579</v>
      </c>
      <c r="EU12" s="36">
        <f t="shared" ca="1" si="17"/>
        <v>47.13569738870229</v>
      </c>
      <c r="EV12" s="36">
        <f t="shared" ca="1" si="17"/>
        <v>47.150985009538203</v>
      </c>
      <c r="EW12" s="36">
        <f ca="1">EV12*EXP(($B$3-$B$4^2/2)*1+$B$4*_xlfn.NORM.S.INV(RAND()))</f>
        <v>47.193522514747329</v>
      </c>
      <c r="EX12" s="36">
        <f t="shared" ref="EX12:HI12" ca="1" si="18">EW12*EXP(($B$3-$B$4^2/2)*1+$B$4*_xlfn.NORM.S.INV(RAND()))</f>
        <v>47.282161942568436</v>
      </c>
      <c r="EY12" s="36">
        <f t="shared" ca="1" si="18"/>
        <v>49.500545809031294</v>
      </c>
      <c r="EZ12" s="36">
        <f t="shared" ca="1" si="18"/>
        <v>50.148467088957055</v>
      </c>
      <c r="FA12" s="36">
        <f t="shared" ca="1" si="18"/>
        <v>49.691602212526298</v>
      </c>
      <c r="FB12" s="36">
        <f t="shared" ca="1" si="18"/>
        <v>50.073931456225154</v>
      </c>
      <c r="FC12" s="36">
        <f t="shared" ca="1" si="18"/>
        <v>50.564191162447216</v>
      </c>
      <c r="FD12" s="36">
        <f t="shared" ca="1" si="18"/>
        <v>49.984716446863459</v>
      </c>
      <c r="FE12" s="36">
        <f t="shared" ca="1" si="18"/>
        <v>50.146644587899409</v>
      </c>
      <c r="FF12" s="36">
        <f t="shared" ca="1" si="18"/>
        <v>50.054679047602718</v>
      </c>
      <c r="FG12" s="36">
        <f t="shared" ca="1" si="18"/>
        <v>50.76178080506125</v>
      </c>
      <c r="FH12" s="36">
        <f t="shared" ca="1" si="18"/>
        <v>50.851031021416709</v>
      </c>
      <c r="FI12" s="36">
        <f t="shared" ca="1" si="18"/>
        <v>51.774524824353151</v>
      </c>
      <c r="FJ12" s="36">
        <f t="shared" ca="1" si="18"/>
        <v>51.341961732869656</v>
      </c>
      <c r="FK12" s="36">
        <f t="shared" ca="1" si="18"/>
        <v>52.440350004800976</v>
      </c>
      <c r="FL12" s="36">
        <f t="shared" ca="1" si="18"/>
        <v>52.40799360346815</v>
      </c>
      <c r="FM12" s="36">
        <f t="shared" ca="1" si="18"/>
        <v>52.78377427622631</v>
      </c>
      <c r="FN12" s="36">
        <f t="shared" ca="1" si="18"/>
        <v>53.187015686869195</v>
      </c>
      <c r="FO12" s="36">
        <f t="shared" ca="1" si="18"/>
        <v>53.36460388690513</v>
      </c>
      <c r="FP12" s="36">
        <f t="shared" ca="1" si="18"/>
        <v>53.587423347473703</v>
      </c>
      <c r="FQ12" s="36">
        <f t="shared" ca="1" si="18"/>
        <v>53.745784170472447</v>
      </c>
      <c r="FR12" s="36">
        <f t="shared" ca="1" si="18"/>
        <v>53.486395913898107</v>
      </c>
      <c r="FS12" s="36">
        <f t="shared" ca="1" si="18"/>
        <v>52.572242840549087</v>
      </c>
      <c r="FT12" s="36">
        <f t="shared" ca="1" si="18"/>
        <v>52.585613766935971</v>
      </c>
      <c r="FU12" s="36">
        <f t="shared" ca="1" si="18"/>
        <v>52.829148269645863</v>
      </c>
      <c r="FV12" s="36">
        <f t="shared" ca="1" si="18"/>
        <v>52.536795101147732</v>
      </c>
      <c r="FW12" s="36">
        <f t="shared" ca="1" si="18"/>
        <v>53.842050417054651</v>
      </c>
      <c r="FX12" s="36">
        <f t="shared" ca="1" si="18"/>
        <v>54.265637499065683</v>
      </c>
      <c r="FY12" s="36">
        <f t="shared" ca="1" si="18"/>
        <v>53.959578582397967</v>
      </c>
      <c r="FZ12" s="36">
        <f t="shared" ca="1" si="18"/>
        <v>53.526054863987973</v>
      </c>
      <c r="GA12" s="36">
        <f t="shared" ca="1" si="18"/>
        <v>53.258278123921208</v>
      </c>
      <c r="GB12" s="36">
        <f t="shared" ca="1" si="18"/>
        <v>52.845847771480926</v>
      </c>
      <c r="GC12" s="36">
        <f t="shared" ca="1" si="18"/>
        <v>53.288942261622509</v>
      </c>
      <c r="GD12" s="36">
        <f t="shared" ca="1" si="18"/>
        <v>53.858855990014845</v>
      </c>
      <c r="GE12" s="36">
        <f t="shared" ca="1" si="18"/>
        <v>52.996275885072109</v>
      </c>
      <c r="GF12" s="36">
        <f t="shared" ca="1" si="18"/>
        <v>54.536815117130615</v>
      </c>
      <c r="GG12" s="36">
        <f t="shared" ca="1" si="18"/>
        <v>54.34576253871078</v>
      </c>
      <c r="GH12" s="36">
        <f t="shared" ca="1" si="18"/>
        <v>53.529041040087144</v>
      </c>
      <c r="GI12" s="36">
        <f t="shared" ca="1" si="18"/>
        <v>53.69475230964747</v>
      </c>
      <c r="GJ12" s="36">
        <f t="shared" ca="1" si="18"/>
        <v>54.538820102344545</v>
      </c>
      <c r="GK12" s="36">
        <f t="shared" ca="1" si="18"/>
        <v>53.839271538041821</v>
      </c>
      <c r="GL12" s="36">
        <f t="shared" ca="1" si="18"/>
        <v>52.116748314854419</v>
      </c>
      <c r="GM12" s="36">
        <f t="shared" ca="1" si="18"/>
        <v>51.794621302055937</v>
      </c>
      <c r="GN12" s="36">
        <f t="shared" ca="1" si="18"/>
        <v>51.189683969999031</v>
      </c>
      <c r="GO12" s="36">
        <f t="shared" ca="1" si="18"/>
        <v>51.386944648042217</v>
      </c>
      <c r="GP12" s="36">
        <f t="shared" ca="1" si="18"/>
        <v>51.313792142119183</v>
      </c>
      <c r="GQ12" s="36">
        <f t="shared" ca="1" si="18"/>
        <v>51.798505592233553</v>
      </c>
      <c r="GR12" s="36">
        <f t="shared" ca="1" si="18"/>
        <v>52.417943582933461</v>
      </c>
      <c r="GS12" s="36">
        <f t="shared" ca="1" si="18"/>
        <v>51.360502994221072</v>
      </c>
      <c r="GT12" s="36">
        <f t="shared" ca="1" si="18"/>
        <v>51.28300507999738</v>
      </c>
      <c r="GU12" s="36">
        <f t="shared" ca="1" si="18"/>
        <v>51.042706782803819</v>
      </c>
      <c r="GV12" s="36">
        <f t="shared" ca="1" si="18"/>
        <v>51.8315989562929</v>
      </c>
      <c r="GW12" s="36">
        <f t="shared" ca="1" si="18"/>
        <v>51.555710410106713</v>
      </c>
      <c r="GX12" s="36">
        <f t="shared" ca="1" si="18"/>
        <v>52.034124161152846</v>
      </c>
      <c r="GY12" s="36">
        <f t="shared" ca="1" si="18"/>
        <v>52.209697586735437</v>
      </c>
      <c r="GZ12" s="36">
        <f t="shared" ca="1" si="18"/>
        <v>52.005388145544899</v>
      </c>
      <c r="HA12" s="36">
        <f t="shared" ca="1" si="18"/>
        <v>52.63696414033204</v>
      </c>
      <c r="HB12" s="36">
        <f t="shared" ca="1" si="18"/>
        <v>53.291026843092439</v>
      </c>
      <c r="HC12" s="36">
        <f t="shared" ca="1" si="18"/>
        <v>53.144473299488844</v>
      </c>
      <c r="HD12" s="36">
        <f t="shared" ca="1" si="18"/>
        <v>52.937142994667532</v>
      </c>
      <c r="HE12" s="36">
        <f t="shared" ca="1" si="18"/>
        <v>53.922342233389493</v>
      </c>
      <c r="HF12" s="36">
        <f t="shared" ca="1" si="18"/>
        <v>53.179059070220639</v>
      </c>
      <c r="HG12" s="36">
        <f t="shared" ca="1" si="18"/>
        <v>53.693866033531876</v>
      </c>
      <c r="HH12" s="36">
        <f t="shared" ca="1" si="18"/>
        <v>54.105631137164721</v>
      </c>
      <c r="HI12" s="36">
        <f t="shared" ca="1" si="18"/>
        <v>54.36961444914801</v>
      </c>
      <c r="HJ12" s="36">
        <f t="shared" ca="1" si="12"/>
        <v>53.741576733815585</v>
      </c>
      <c r="HK12" s="36">
        <f t="shared" ca="1" si="12"/>
        <v>53.917697941058265</v>
      </c>
      <c r="HL12" s="36">
        <f t="shared" ca="1" si="12"/>
        <v>54.14590332824632</v>
      </c>
      <c r="HM12" s="36">
        <f t="shared" ca="1" si="12"/>
        <v>53.617040736103633</v>
      </c>
      <c r="HN12" s="36">
        <f t="shared" ca="1" si="12"/>
        <v>53.791761123115165</v>
      </c>
      <c r="HO12" s="36">
        <f t="shared" ca="1" si="12"/>
        <v>54.54643209020454</v>
      </c>
      <c r="HP12" s="36">
        <f t="shared" ca="1" si="12"/>
        <v>54.831523445044844</v>
      </c>
      <c r="HQ12" s="36">
        <f t="shared" ca="1" si="12"/>
        <v>54.062458665173075</v>
      </c>
      <c r="HR12" s="36">
        <f t="shared" ca="1" si="12"/>
        <v>54.002200225255613</v>
      </c>
      <c r="HS12" s="36">
        <f t="shared" ca="1" si="12"/>
        <v>54.405273450879214</v>
      </c>
      <c r="HT12" s="36">
        <f ca="1">HS12*EXP(($B$3-$B$4^2/2)*1+$B$4*_xlfn.NORM.S.INV(RAND()))</f>
        <v>55.038229619896903</v>
      </c>
      <c r="HU12" s="36">
        <f t="shared" ref="HU12:IU12" ca="1" si="19">HT12*EXP(($B$3-$B$4^2/2)*1+$B$4*_xlfn.NORM.S.INV(RAND()))</f>
        <v>55.675403669631223</v>
      </c>
      <c r="HV12" s="36">
        <f t="shared" ca="1" si="19"/>
        <v>54.700105295425381</v>
      </c>
      <c r="HW12" s="36">
        <f t="shared" ca="1" si="19"/>
        <v>54.544478547650328</v>
      </c>
      <c r="HX12" s="36">
        <f t="shared" ca="1" si="19"/>
        <v>54.186858514602861</v>
      </c>
      <c r="HY12" s="36">
        <f t="shared" ca="1" si="19"/>
        <v>53.40509879057484</v>
      </c>
      <c r="HZ12" s="36">
        <f t="shared" ca="1" si="19"/>
        <v>52.064729047380155</v>
      </c>
      <c r="IA12" s="36">
        <f t="shared" ca="1" si="19"/>
        <v>53.008836349288529</v>
      </c>
      <c r="IB12" s="36">
        <f t="shared" ca="1" si="19"/>
        <v>52.400206990568314</v>
      </c>
      <c r="IC12" s="36">
        <f t="shared" ca="1" si="19"/>
        <v>52.393145476098603</v>
      </c>
      <c r="ID12" s="36">
        <f t="shared" ca="1" si="19"/>
        <v>52.876034340520498</v>
      </c>
      <c r="IE12" s="36">
        <f t="shared" ca="1" si="19"/>
        <v>51.791839468666822</v>
      </c>
      <c r="IF12" s="36">
        <f t="shared" ca="1" si="19"/>
        <v>50.702902801012826</v>
      </c>
      <c r="IG12" s="36">
        <f t="shared" ca="1" si="19"/>
        <v>51.254023816274326</v>
      </c>
      <c r="IH12" s="36">
        <f t="shared" ca="1" si="19"/>
        <v>51.237821874153674</v>
      </c>
      <c r="II12" s="36">
        <f t="shared" ca="1" si="19"/>
        <v>50.662211611009958</v>
      </c>
      <c r="IJ12" s="36">
        <f t="shared" ca="1" si="19"/>
        <v>50.291183361228057</v>
      </c>
      <c r="IK12" s="36">
        <f t="shared" ca="1" si="19"/>
        <v>49.70133292457048</v>
      </c>
      <c r="IL12" s="36">
        <f t="shared" ca="1" si="19"/>
        <v>49.225318242600203</v>
      </c>
      <c r="IM12" s="36">
        <f t="shared" ca="1" si="19"/>
        <v>49.108150235380819</v>
      </c>
      <c r="IN12" s="36">
        <f t="shared" ca="1" si="19"/>
        <v>48.985390984637739</v>
      </c>
      <c r="IO12" s="36">
        <f t="shared" ca="1" si="19"/>
        <v>48.526864678750243</v>
      </c>
      <c r="IP12" s="36">
        <f t="shared" ca="1" si="19"/>
        <v>47.857327126764083</v>
      </c>
      <c r="IQ12" s="36">
        <f t="shared" ca="1" si="19"/>
        <v>48.457906984236054</v>
      </c>
      <c r="IR12" s="36">
        <f t="shared" ca="1" si="19"/>
        <v>48.685910842984576</v>
      </c>
      <c r="IS12" s="36">
        <f t="shared" ca="1" si="19"/>
        <v>48.266171012416414</v>
      </c>
      <c r="IT12" s="36">
        <f t="shared" ca="1" si="19"/>
        <v>48.366182527746695</v>
      </c>
      <c r="IU12" s="36">
        <f t="shared" ca="1" si="19"/>
        <v>47.681469038580993</v>
      </c>
    </row>
    <row r="13" spans="1:255" x14ac:dyDescent="0.2">
      <c r="A13" s="36"/>
      <c r="B13">
        <v>3</v>
      </c>
      <c r="C13" s="36">
        <v>50</v>
      </c>
      <c r="D13" s="36">
        <f t="shared" ca="1" si="14"/>
        <v>50.559736203045269</v>
      </c>
      <c r="E13" s="36">
        <f t="shared" ca="1" si="14"/>
        <v>50.4705886876054</v>
      </c>
      <c r="F13" s="36">
        <f t="shared" ref="F13:T13" ca="1" si="20">E13*EXP(($B$3-$B$4^2/2)*1+$B$4*_xlfn.NORM.S.INV(RAND()))</f>
        <v>50.404374402521732</v>
      </c>
      <c r="G13" s="36">
        <f t="shared" ca="1" si="20"/>
        <v>49.992593853155142</v>
      </c>
      <c r="H13" s="36">
        <f t="shared" ca="1" si="20"/>
        <v>50.014761129121659</v>
      </c>
      <c r="I13" s="36">
        <f t="shared" ca="1" si="20"/>
        <v>49.126102451620334</v>
      </c>
      <c r="J13" s="36">
        <f t="shared" ca="1" si="20"/>
        <v>49.192748092884443</v>
      </c>
      <c r="K13" s="36">
        <f t="shared" ca="1" si="20"/>
        <v>48.438871627877312</v>
      </c>
      <c r="L13" s="36">
        <f t="shared" ca="1" si="20"/>
        <v>48.27045174700492</v>
      </c>
      <c r="M13" s="36">
        <f t="shared" ca="1" si="20"/>
        <v>48.016309137924196</v>
      </c>
      <c r="N13" s="36">
        <f t="shared" ca="1" si="20"/>
        <v>48.425306889872296</v>
      </c>
      <c r="O13" s="36">
        <f t="shared" ca="1" si="20"/>
        <v>47.83356189489632</v>
      </c>
      <c r="P13" s="36">
        <f t="shared" ca="1" si="20"/>
        <v>47.679620844032719</v>
      </c>
      <c r="Q13" s="36">
        <f t="shared" ca="1" si="20"/>
        <v>47.99691923986731</v>
      </c>
      <c r="R13" s="36">
        <f t="shared" ca="1" si="20"/>
        <v>47.339152806308171</v>
      </c>
      <c r="S13" s="36">
        <f t="shared" ca="1" si="20"/>
        <v>47.709263668728859</v>
      </c>
      <c r="T13" s="36">
        <f t="shared" ca="1" si="20"/>
        <v>47.640276509187906</v>
      </c>
      <c r="U13" s="36">
        <f t="shared" ca="1" si="15"/>
        <v>48.598323988669904</v>
      </c>
      <c r="V13" s="36">
        <f t="shared" ca="1" si="15"/>
        <v>48.923435203782887</v>
      </c>
      <c r="W13" s="36">
        <f t="shared" ca="1" si="15"/>
        <v>49.015988532680367</v>
      </c>
      <c r="X13" s="36">
        <f t="shared" ca="1" si="15"/>
        <v>48.166630771801152</v>
      </c>
      <c r="Y13" s="36">
        <f t="shared" ca="1" si="15"/>
        <v>47.408026592098288</v>
      </c>
      <c r="Z13" s="36">
        <f t="shared" ca="1" si="15"/>
        <v>47.72684828707672</v>
      </c>
      <c r="AA13" s="36">
        <f t="shared" ca="1" si="15"/>
        <v>47.624363157827169</v>
      </c>
      <c r="AB13" s="36">
        <f t="shared" ca="1" si="15"/>
        <v>48.182460468265703</v>
      </c>
      <c r="AC13" s="36">
        <f t="shared" ca="1" si="15"/>
        <v>48.738907944720204</v>
      </c>
      <c r="AD13" s="36">
        <f t="shared" ca="1" si="15"/>
        <v>49.392865512764565</v>
      </c>
      <c r="AE13" s="36">
        <f t="shared" ca="1" si="15"/>
        <v>49.051072179692795</v>
      </c>
      <c r="AF13" s="36">
        <f t="shared" ca="1" si="15"/>
        <v>48.960398559980682</v>
      </c>
      <c r="AG13" s="36">
        <f t="shared" ca="1" si="15"/>
        <v>49.311131567494023</v>
      </c>
      <c r="AH13" s="36">
        <f t="shared" ca="1" si="15"/>
        <v>49.326935318897974</v>
      </c>
      <c r="AI13" s="36">
        <f t="shared" ca="1" si="15"/>
        <v>48.474421903344769</v>
      </c>
      <c r="AJ13" s="36">
        <f t="shared" ca="1" si="15"/>
        <v>48.272125661042175</v>
      </c>
      <c r="AK13" s="36">
        <f t="shared" ca="1" si="15"/>
        <v>48.027924075925007</v>
      </c>
      <c r="AL13" s="36">
        <f t="shared" ca="1" si="15"/>
        <v>48.067866296155373</v>
      </c>
      <c r="AM13" s="36">
        <f t="shared" ca="1" si="15"/>
        <v>48.337049348722751</v>
      </c>
      <c r="AN13" s="36">
        <f t="shared" ca="1" si="15"/>
        <v>48.561524124544064</v>
      </c>
      <c r="AO13" s="36">
        <f t="shared" ca="1" si="15"/>
        <v>48.355966461875383</v>
      </c>
      <c r="AP13" s="36">
        <f t="shared" ca="1" si="15"/>
        <v>48.429623361627407</v>
      </c>
      <c r="AQ13" s="36">
        <f t="shared" ca="1" si="15"/>
        <v>48.235801760156249</v>
      </c>
      <c r="AR13" s="36">
        <f t="shared" ca="1" si="15"/>
        <v>48.392987243301391</v>
      </c>
      <c r="AS13" s="36">
        <f t="shared" ca="1" si="15"/>
        <v>48.802065307244511</v>
      </c>
      <c r="AT13" s="36">
        <f t="shared" ca="1" si="15"/>
        <v>49.575969860422767</v>
      </c>
      <c r="AU13" s="36">
        <f t="shared" ca="1" si="15"/>
        <v>50.470989218589253</v>
      </c>
      <c r="AV13" s="36">
        <f t="shared" ca="1" si="15"/>
        <v>50.503489119925675</v>
      </c>
      <c r="AW13" s="36">
        <f t="shared" ca="1" si="15"/>
        <v>49.970166194517489</v>
      </c>
      <c r="AX13" s="36">
        <f t="shared" ca="1" si="15"/>
        <v>50.823305822419798</v>
      </c>
      <c r="AY13" s="36">
        <f t="shared" ca="1" si="15"/>
        <v>50.57748173017989</v>
      </c>
      <c r="AZ13" s="36">
        <f t="shared" ca="1" si="15"/>
        <v>51.244589055057368</v>
      </c>
      <c r="BA13" s="36">
        <f t="shared" ca="1" si="15"/>
        <v>51.270004336498666</v>
      </c>
      <c r="BB13" s="36">
        <f t="shared" ca="1" si="15"/>
        <v>51.222148033591573</v>
      </c>
      <c r="BC13" s="36">
        <f t="shared" ca="1" si="15"/>
        <v>51.146055484154097</v>
      </c>
      <c r="BD13" s="36">
        <f t="shared" ca="1" si="15"/>
        <v>51.45631036960652</v>
      </c>
      <c r="BE13" s="36">
        <f t="shared" ca="1" si="15"/>
        <v>51.358489455780088</v>
      </c>
      <c r="BF13" s="36">
        <f t="shared" ca="1" si="15"/>
        <v>51.896340812597387</v>
      </c>
      <c r="BG13" s="36">
        <f t="shared" ca="1" si="15"/>
        <v>52.46366662464883</v>
      </c>
      <c r="BH13" s="36">
        <f t="shared" ca="1" si="15"/>
        <v>52.271679293890877</v>
      </c>
      <c r="BI13" s="36">
        <f t="shared" ca="1" si="15"/>
        <v>52.163822442323294</v>
      </c>
      <c r="BJ13" s="36">
        <f t="shared" ca="1" si="15"/>
        <v>53.081903588936719</v>
      </c>
      <c r="BK13" s="36">
        <f t="shared" ca="1" si="15"/>
        <v>53.913540044646815</v>
      </c>
      <c r="BL13" s="36">
        <f t="shared" ca="1" si="15"/>
        <v>53.986793041858988</v>
      </c>
      <c r="BM13" s="36">
        <f t="shared" ca="1" si="15"/>
        <v>53.008614856540852</v>
      </c>
      <c r="BN13" s="36">
        <f t="shared" ca="1" si="15"/>
        <v>53.301729755259217</v>
      </c>
      <c r="BO13" s="36">
        <f t="shared" ca="1" si="15"/>
        <v>51.592130748288703</v>
      </c>
      <c r="BP13" s="36">
        <f t="shared" ca="1" si="15"/>
        <v>51.55708647784865</v>
      </c>
      <c r="BQ13" s="36">
        <f t="shared" ca="1" si="15"/>
        <v>51.018809007088407</v>
      </c>
      <c r="BR13" s="36">
        <f t="shared" ca="1" si="16"/>
        <v>50.502774542443966</v>
      </c>
      <c r="BS13" s="36">
        <f t="shared" ca="1" si="16"/>
        <v>50.983979019085524</v>
      </c>
      <c r="BT13" s="36">
        <f t="shared" ca="1" si="16"/>
        <v>51.277919670977155</v>
      </c>
      <c r="BU13" s="36">
        <f t="shared" ca="1" si="16"/>
        <v>51.754083583538147</v>
      </c>
      <c r="BV13" s="36">
        <f t="shared" ca="1" si="16"/>
        <v>50.622461511236374</v>
      </c>
      <c r="BW13" s="36">
        <f t="shared" ca="1" si="16"/>
        <v>50.951392324256645</v>
      </c>
      <c r="BX13" s="36">
        <f t="shared" ca="1" si="16"/>
        <v>52.274422548661128</v>
      </c>
      <c r="BY13" s="36">
        <f t="shared" ca="1" si="16"/>
        <v>51.172886738015272</v>
      </c>
      <c r="BZ13" s="36">
        <f t="shared" ca="1" si="16"/>
        <v>50.575345895025769</v>
      </c>
      <c r="CA13" s="36">
        <f t="shared" ca="1" si="16"/>
        <v>50.433221024312338</v>
      </c>
      <c r="CB13" s="36">
        <f t="shared" ca="1" si="16"/>
        <v>50.635433015950731</v>
      </c>
      <c r="CC13" s="36">
        <f t="shared" ca="1" si="16"/>
        <v>49.750137226200629</v>
      </c>
      <c r="CD13" s="36">
        <f t="shared" ca="1" si="16"/>
        <v>48.836106472579722</v>
      </c>
      <c r="CE13" s="36">
        <f t="shared" ca="1" si="16"/>
        <v>49.310013561263624</v>
      </c>
      <c r="CF13" s="36">
        <f t="shared" ca="1" si="16"/>
        <v>48.904915482511868</v>
      </c>
      <c r="CG13" s="36">
        <f t="shared" ca="1" si="16"/>
        <v>48.291127844551667</v>
      </c>
      <c r="CH13" s="36">
        <f t="shared" ca="1" si="16"/>
        <v>48.839946174077944</v>
      </c>
      <c r="CI13" s="36">
        <f t="shared" ca="1" si="16"/>
        <v>48.866431425372603</v>
      </c>
      <c r="CJ13" s="36">
        <f t="shared" ca="1" si="16"/>
        <v>47.655391896812993</v>
      </c>
      <c r="CK13" s="36">
        <f t="shared" ca="1" si="16"/>
        <v>47.907966880083919</v>
      </c>
      <c r="CL13" s="36">
        <f t="shared" ca="1" si="16"/>
        <v>48.408941776594133</v>
      </c>
      <c r="CM13" s="36">
        <f t="shared" ca="1" si="16"/>
        <v>47.517827795924035</v>
      </c>
      <c r="CN13" s="36">
        <f t="shared" ca="1" si="16"/>
        <v>47.061555062629182</v>
      </c>
      <c r="CO13" s="36">
        <f t="shared" ca="1" si="16"/>
        <v>47.125483776507224</v>
      </c>
      <c r="CP13" s="36">
        <f t="shared" ca="1" si="16"/>
        <v>46.773392912082173</v>
      </c>
      <c r="CQ13" s="36">
        <f t="shared" ca="1" si="16"/>
        <v>47.001850066773876</v>
      </c>
      <c r="CR13" s="36">
        <f t="shared" ca="1" si="16"/>
        <v>46.173756724892939</v>
      </c>
      <c r="CS13" s="36">
        <f t="shared" ca="1" si="16"/>
        <v>46.636192893203713</v>
      </c>
      <c r="CT13" s="36">
        <f t="shared" ca="1" si="16"/>
        <v>46.868254463171837</v>
      </c>
      <c r="CU13" s="36">
        <f t="shared" ca="1" si="16"/>
        <v>47.039967521675464</v>
      </c>
      <c r="CV13" s="36">
        <f t="shared" ca="1" si="16"/>
        <v>47.938203818448564</v>
      </c>
      <c r="CW13" s="36">
        <f t="shared" ca="1" si="16"/>
        <v>47.968726226558623</v>
      </c>
      <c r="CX13" s="36">
        <f t="shared" ca="1" si="16"/>
        <v>46.671258719537988</v>
      </c>
      <c r="CY13" s="36">
        <f t="shared" ca="1" si="16"/>
        <v>46.432950359824666</v>
      </c>
      <c r="CZ13" s="36">
        <f t="shared" ca="1" si="16"/>
        <v>46.565173853038658</v>
      </c>
      <c r="DA13" s="36">
        <f t="shared" ca="1" si="16"/>
        <v>46.60472115200529</v>
      </c>
      <c r="DB13" s="36">
        <f t="shared" ca="1" si="16"/>
        <v>47.931531810321452</v>
      </c>
      <c r="DC13" s="36">
        <f t="shared" ca="1" si="16"/>
        <v>47.935498855474684</v>
      </c>
      <c r="DD13" s="36">
        <f t="shared" ca="1" si="16"/>
        <v>47.775307677254112</v>
      </c>
      <c r="DE13" s="36">
        <f t="shared" ca="1" si="16"/>
        <v>47.583312256872794</v>
      </c>
      <c r="DF13" s="36">
        <f t="shared" ca="1" si="16"/>
        <v>47.553644564349867</v>
      </c>
      <c r="DG13" s="36">
        <f t="shared" ca="1" si="16"/>
        <v>46.739732668563178</v>
      </c>
      <c r="DH13" s="36">
        <f t="shared" ca="1" si="16"/>
        <v>46.948004961504793</v>
      </c>
      <c r="DI13" s="36">
        <f t="shared" ca="1" si="16"/>
        <v>46.646780207748222</v>
      </c>
      <c r="DJ13" s="36">
        <f t="shared" ca="1" si="16"/>
        <v>45.133158368200682</v>
      </c>
      <c r="DK13" s="36">
        <f t="shared" ca="1" si="16"/>
        <v>45.263364195927721</v>
      </c>
      <c r="DL13" s="36">
        <f t="shared" ca="1" si="16"/>
        <v>46.003000105727345</v>
      </c>
      <c r="DM13" s="36">
        <f t="shared" ca="1" si="16"/>
        <v>46.828902755226338</v>
      </c>
      <c r="DN13" s="36">
        <f t="shared" ca="1" si="16"/>
        <v>47.237832358728426</v>
      </c>
      <c r="DO13" s="36">
        <f t="shared" ca="1" si="16"/>
        <v>47.612292769823874</v>
      </c>
      <c r="DP13" s="36">
        <f t="shared" ca="1" si="16"/>
        <v>47.323089289895798</v>
      </c>
      <c r="DQ13" s="36">
        <f t="shared" ca="1" si="16"/>
        <v>47.810658972244752</v>
      </c>
      <c r="DR13" s="36">
        <f t="shared" ca="1" si="16"/>
        <v>47.700240698901432</v>
      </c>
      <c r="DS13" s="36">
        <f t="shared" ca="1" si="16"/>
        <v>47.736412153151143</v>
      </c>
      <c r="DT13" s="36">
        <f t="shared" ca="1" si="16"/>
        <v>47.542993870497057</v>
      </c>
      <c r="DU13" s="36">
        <f t="shared" ca="1" si="16"/>
        <v>47.980515516708159</v>
      </c>
      <c r="DV13" s="36">
        <f t="shared" ca="1" si="16"/>
        <v>47.560778750599304</v>
      </c>
      <c r="DW13" s="36">
        <f t="shared" ca="1" si="16"/>
        <v>47.313032364807121</v>
      </c>
      <c r="DX13" s="36">
        <f t="shared" ca="1" si="16"/>
        <v>47.311045162349131</v>
      </c>
      <c r="DY13" s="36">
        <f t="shared" ca="1" si="16"/>
        <v>47.220191285242436</v>
      </c>
      <c r="DZ13" s="36">
        <f t="shared" ca="1" si="16"/>
        <v>47.247305572923203</v>
      </c>
      <c r="EA13" s="36">
        <f t="shared" ca="1" si="16"/>
        <v>48.105142142242592</v>
      </c>
      <c r="EB13" s="36">
        <f t="shared" ca="1" si="16"/>
        <v>48.177253390028781</v>
      </c>
      <c r="EC13" s="36">
        <f t="shared" ca="1" si="16"/>
        <v>48.817635824772921</v>
      </c>
      <c r="ED13" s="36">
        <f t="shared" ca="1" si="17"/>
        <v>48.790707569962144</v>
      </c>
      <c r="EE13" s="36">
        <f t="shared" ca="1" si="17"/>
        <v>49.257875665088349</v>
      </c>
      <c r="EF13" s="36">
        <f t="shared" ca="1" si="17"/>
        <v>49.009763234860145</v>
      </c>
      <c r="EG13" s="36">
        <f t="shared" ca="1" si="17"/>
        <v>48.416342636551256</v>
      </c>
      <c r="EH13" s="36">
        <f t="shared" ca="1" si="17"/>
        <v>47.603851870815681</v>
      </c>
      <c r="EI13" s="36">
        <f t="shared" ca="1" si="17"/>
        <v>47.708027540326349</v>
      </c>
      <c r="EJ13" s="36">
        <f t="shared" ca="1" si="17"/>
        <v>47.483491150425415</v>
      </c>
      <c r="EK13" s="36">
        <f t="shared" ca="1" si="17"/>
        <v>48.189730495219003</v>
      </c>
      <c r="EL13" s="36">
        <f t="shared" ca="1" si="17"/>
        <v>49.027522628652498</v>
      </c>
      <c r="EM13" s="36">
        <f t="shared" ca="1" si="17"/>
        <v>49.434750122769245</v>
      </c>
      <c r="EN13" s="36">
        <f t="shared" ca="1" si="17"/>
        <v>50.124377932522471</v>
      </c>
      <c r="EO13" s="36">
        <f t="shared" ca="1" si="17"/>
        <v>49.217605147738382</v>
      </c>
      <c r="EP13" s="36">
        <f t="shared" ca="1" si="17"/>
        <v>50.469564397146534</v>
      </c>
      <c r="EQ13" s="36">
        <f t="shared" ca="1" si="17"/>
        <v>50.174422366870381</v>
      </c>
      <c r="ER13" s="36">
        <f t="shared" ca="1" si="17"/>
        <v>49.374928917546548</v>
      </c>
      <c r="ES13" s="36">
        <f t="shared" ca="1" si="17"/>
        <v>49.343066909206499</v>
      </c>
      <c r="ET13" s="36">
        <f t="shared" ca="1" si="17"/>
        <v>50.161855109525916</v>
      </c>
      <c r="EU13" s="36">
        <f t="shared" ca="1" si="17"/>
        <v>50.901957805762336</v>
      </c>
      <c r="EV13" s="36">
        <f t="shared" ca="1" si="17"/>
        <v>51.330091388331262</v>
      </c>
      <c r="EW13" s="36">
        <f t="shared" ref="EW13:HH17" ca="1" si="21">EV13*EXP(($B$3-$B$4^2/2)*1+$B$4*_xlfn.NORM.S.INV(RAND()))</f>
        <v>51.433539669716374</v>
      </c>
      <c r="EX13" s="36">
        <f t="shared" ca="1" si="21"/>
        <v>50.710900697154202</v>
      </c>
      <c r="EY13" s="36">
        <f t="shared" ca="1" si="21"/>
        <v>50.238879136294507</v>
      </c>
      <c r="EZ13" s="36">
        <f t="shared" ca="1" si="21"/>
        <v>50.109171663448045</v>
      </c>
      <c r="FA13" s="36">
        <f t="shared" ca="1" si="21"/>
        <v>49.423266079495377</v>
      </c>
      <c r="FB13" s="36">
        <f t="shared" ca="1" si="21"/>
        <v>49.588307407262093</v>
      </c>
      <c r="FC13" s="36">
        <f t="shared" ca="1" si="21"/>
        <v>50.051522363347878</v>
      </c>
      <c r="FD13" s="36">
        <f t="shared" ca="1" si="21"/>
        <v>50.227776629317241</v>
      </c>
      <c r="FE13" s="36">
        <f t="shared" ca="1" si="21"/>
        <v>50.701278740160717</v>
      </c>
      <c r="FF13" s="36">
        <f t="shared" ca="1" si="21"/>
        <v>50.851712744237645</v>
      </c>
      <c r="FG13" s="36">
        <f t="shared" ca="1" si="21"/>
        <v>51.631061569766295</v>
      </c>
      <c r="FH13" s="36">
        <f t="shared" ca="1" si="21"/>
        <v>51.128384023304889</v>
      </c>
      <c r="FI13" s="36">
        <f t="shared" ca="1" si="21"/>
        <v>50.896301081687987</v>
      </c>
      <c r="FJ13" s="36">
        <f t="shared" ca="1" si="21"/>
        <v>50.890925757979836</v>
      </c>
      <c r="FK13" s="36">
        <f t="shared" ca="1" si="21"/>
        <v>50.702135684000318</v>
      </c>
      <c r="FL13" s="36">
        <f t="shared" ca="1" si="21"/>
        <v>51.19894531296567</v>
      </c>
      <c r="FM13" s="36">
        <f t="shared" ca="1" si="21"/>
        <v>50.978431437422117</v>
      </c>
      <c r="FN13" s="36">
        <f t="shared" ca="1" si="21"/>
        <v>50.823635383999921</v>
      </c>
      <c r="FO13" s="36">
        <f t="shared" ca="1" si="21"/>
        <v>51.359888902511685</v>
      </c>
      <c r="FP13" s="36">
        <f t="shared" ca="1" si="21"/>
        <v>51.937954712982418</v>
      </c>
      <c r="FQ13" s="36">
        <f t="shared" ca="1" si="21"/>
        <v>51.152473613844947</v>
      </c>
      <c r="FR13" s="36">
        <f t="shared" ca="1" si="21"/>
        <v>49.75229503228914</v>
      </c>
      <c r="FS13" s="36">
        <f t="shared" ca="1" si="21"/>
        <v>49.663593541477475</v>
      </c>
      <c r="FT13" s="36">
        <f t="shared" ca="1" si="21"/>
        <v>48.635836480831493</v>
      </c>
      <c r="FU13" s="36">
        <f t="shared" ca="1" si="21"/>
        <v>48.259669802426814</v>
      </c>
      <c r="FV13" s="36">
        <f t="shared" ca="1" si="21"/>
        <v>47.569618462877067</v>
      </c>
      <c r="FW13" s="36">
        <f t="shared" ca="1" si="21"/>
        <v>47.489701290342857</v>
      </c>
      <c r="FX13" s="36">
        <f t="shared" ca="1" si="21"/>
        <v>47.052732225732896</v>
      </c>
      <c r="FY13" s="36">
        <f t="shared" ca="1" si="21"/>
        <v>47.051279282237154</v>
      </c>
      <c r="FZ13" s="36">
        <f t="shared" ca="1" si="21"/>
        <v>47.81153510109317</v>
      </c>
      <c r="GA13" s="36">
        <f t="shared" ca="1" si="21"/>
        <v>47.519615972014741</v>
      </c>
      <c r="GB13" s="36">
        <f t="shared" ca="1" si="21"/>
        <v>48.274660991651317</v>
      </c>
      <c r="GC13" s="36">
        <f t="shared" ca="1" si="21"/>
        <v>48.528047050517266</v>
      </c>
      <c r="GD13" s="36">
        <f t="shared" ca="1" si="21"/>
        <v>48.630734170777473</v>
      </c>
      <c r="GE13" s="36">
        <f t="shared" ca="1" si="21"/>
        <v>48.839577678595383</v>
      </c>
      <c r="GF13" s="36">
        <f t="shared" ca="1" si="21"/>
        <v>48.414869882585101</v>
      </c>
      <c r="GG13" s="36">
        <f t="shared" ca="1" si="21"/>
        <v>48.411072091032821</v>
      </c>
      <c r="GH13" s="36">
        <f t="shared" ca="1" si="21"/>
        <v>48.000985663485565</v>
      </c>
      <c r="GI13" s="36">
        <f t="shared" ca="1" si="21"/>
        <v>47.49381717505053</v>
      </c>
      <c r="GJ13" s="36">
        <f t="shared" ca="1" si="21"/>
        <v>47.775298226934758</v>
      </c>
      <c r="GK13" s="36">
        <f t="shared" ca="1" si="21"/>
        <v>47.281974085194925</v>
      </c>
      <c r="GL13" s="36">
        <f t="shared" ca="1" si="21"/>
        <v>47.272885358268638</v>
      </c>
      <c r="GM13" s="36">
        <f t="shared" ca="1" si="21"/>
        <v>47.15509300661126</v>
      </c>
      <c r="GN13" s="36">
        <f t="shared" ca="1" si="21"/>
        <v>47.005572133450208</v>
      </c>
      <c r="GO13" s="36">
        <f t="shared" ca="1" si="21"/>
        <v>46.567658319177376</v>
      </c>
      <c r="GP13" s="36">
        <f t="shared" ca="1" si="21"/>
        <v>46.601588779789658</v>
      </c>
      <c r="GQ13" s="36">
        <f t="shared" ca="1" si="21"/>
        <v>46.644095956419243</v>
      </c>
      <c r="GR13" s="36">
        <f t="shared" ca="1" si="21"/>
        <v>47.603911937436003</v>
      </c>
      <c r="GS13" s="36">
        <f t="shared" ca="1" si="21"/>
        <v>46.267999489486364</v>
      </c>
      <c r="GT13" s="36">
        <f t="shared" ca="1" si="21"/>
        <v>45.757550788456633</v>
      </c>
      <c r="GU13" s="36">
        <f t="shared" ca="1" si="21"/>
        <v>45.993166546060927</v>
      </c>
      <c r="GV13" s="36">
        <f t="shared" ca="1" si="21"/>
        <v>45.760368007291511</v>
      </c>
      <c r="GW13" s="36">
        <f t="shared" ca="1" si="21"/>
        <v>45.940419518810941</v>
      </c>
      <c r="GX13" s="36">
        <f t="shared" ca="1" si="21"/>
        <v>45.92601682323005</v>
      </c>
      <c r="GY13" s="36">
        <f t="shared" ca="1" si="21"/>
        <v>44.999275890417167</v>
      </c>
      <c r="GZ13" s="36">
        <f t="shared" ca="1" si="21"/>
        <v>45.994866556228935</v>
      </c>
      <c r="HA13" s="36">
        <f t="shared" ca="1" si="21"/>
        <v>46.204353810072305</v>
      </c>
      <c r="HB13" s="36">
        <f t="shared" ca="1" si="21"/>
        <v>46.813408527094566</v>
      </c>
      <c r="HC13" s="36">
        <f t="shared" ca="1" si="21"/>
        <v>47.04871302505974</v>
      </c>
      <c r="HD13" s="36">
        <f t="shared" ca="1" si="21"/>
        <v>46.971255656635542</v>
      </c>
      <c r="HE13" s="36">
        <f t="shared" ca="1" si="21"/>
        <v>48.120339078356267</v>
      </c>
      <c r="HF13" s="36">
        <f t="shared" ca="1" si="21"/>
        <v>47.759433441999875</v>
      </c>
      <c r="HG13" s="36">
        <f t="shared" ca="1" si="21"/>
        <v>48.542056878789921</v>
      </c>
      <c r="HH13" s="36">
        <f t="shared" ca="1" si="21"/>
        <v>49.281963693212539</v>
      </c>
      <c r="HI13" s="36">
        <f t="shared" ref="HI13:HT16" ca="1" si="22">HH13*EXP(($B$3-$B$4^2/2)*1+$B$4*_xlfn.NORM.S.INV(RAND()))</f>
        <v>49.399502153731319</v>
      </c>
      <c r="HJ13" s="36">
        <f t="shared" ca="1" si="12"/>
        <v>48.863193388017322</v>
      </c>
      <c r="HK13" s="36">
        <f t="shared" ca="1" si="12"/>
        <v>47.76162315474734</v>
      </c>
      <c r="HL13" s="36">
        <f t="shared" ca="1" si="12"/>
        <v>47.705916206550384</v>
      </c>
      <c r="HM13" s="36">
        <f t="shared" ca="1" si="12"/>
        <v>47.017323495463827</v>
      </c>
      <c r="HN13" s="36">
        <f t="shared" ca="1" si="12"/>
        <v>45.623169888197978</v>
      </c>
      <c r="HO13" s="36">
        <f t="shared" ca="1" si="12"/>
        <v>44.859311537520348</v>
      </c>
      <c r="HP13" s="36">
        <f t="shared" ca="1" si="12"/>
        <v>44.265098352159896</v>
      </c>
      <c r="HQ13" s="36">
        <f t="shared" ca="1" si="12"/>
        <v>43.939855772100735</v>
      </c>
      <c r="HR13" s="36">
        <f t="shared" ca="1" si="12"/>
        <v>42.456926130966274</v>
      </c>
      <c r="HS13" s="36">
        <f t="shared" ca="1" si="12"/>
        <v>42.592692273257782</v>
      </c>
      <c r="HT13" s="36">
        <f t="shared" ca="1" si="12"/>
        <v>43.005700630211727</v>
      </c>
      <c r="HU13" s="36">
        <f t="shared" ca="1" si="12"/>
        <v>42.505140249044089</v>
      </c>
      <c r="HV13" s="36">
        <f t="shared" ca="1" si="12"/>
        <v>42.567527126735605</v>
      </c>
      <c r="HW13" s="36">
        <f t="shared" ca="1" si="12"/>
        <v>41.998975869019631</v>
      </c>
      <c r="HX13" s="36">
        <f t="shared" ca="1" si="12"/>
        <v>42.093225423821686</v>
      </c>
      <c r="HY13" s="36">
        <f t="shared" ca="1" si="12"/>
        <v>41.881902790321817</v>
      </c>
      <c r="HZ13" s="36">
        <f t="shared" ref="HZ13:IU24" ca="1" si="23">HY13*EXP(($B$3-$B$4^2/2)*1+$B$4*_xlfn.NORM.S.INV(RAND()))</f>
        <v>41.764028909184923</v>
      </c>
      <c r="IA13" s="36">
        <f t="shared" ca="1" si="23"/>
        <v>41.818000628321876</v>
      </c>
      <c r="IB13" s="36">
        <f t="shared" ca="1" si="23"/>
        <v>41.704170455392102</v>
      </c>
      <c r="IC13" s="36">
        <f t="shared" ca="1" si="23"/>
        <v>41.848790331455234</v>
      </c>
      <c r="ID13" s="36">
        <f t="shared" ca="1" si="23"/>
        <v>42.51964610395153</v>
      </c>
      <c r="IE13" s="36">
        <f t="shared" ca="1" si="23"/>
        <v>42.976801214602652</v>
      </c>
      <c r="IF13" s="36">
        <f t="shared" ca="1" si="23"/>
        <v>42.675531545438652</v>
      </c>
      <c r="IG13" s="36">
        <f t="shared" ca="1" si="23"/>
        <v>43.003130081590911</v>
      </c>
      <c r="IH13" s="36">
        <f t="shared" ca="1" si="23"/>
        <v>43.678139980140685</v>
      </c>
      <c r="II13" s="36">
        <f t="shared" ca="1" si="23"/>
        <v>43.461969350248296</v>
      </c>
      <c r="IJ13" s="36">
        <f t="shared" ca="1" si="23"/>
        <v>44.453416921530525</v>
      </c>
      <c r="IK13" s="36">
        <f t="shared" ca="1" si="23"/>
        <v>44.484581092776168</v>
      </c>
      <c r="IL13" s="36">
        <f t="shared" ca="1" si="23"/>
        <v>43.765803601112239</v>
      </c>
      <c r="IM13" s="36">
        <f t="shared" ca="1" si="23"/>
        <v>44.112126820313676</v>
      </c>
      <c r="IN13" s="36">
        <f t="shared" ca="1" si="23"/>
        <v>43.613246305909477</v>
      </c>
      <c r="IO13" s="36">
        <f t="shared" ca="1" si="23"/>
        <v>44.535596330081837</v>
      </c>
      <c r="IP13" s="36">
        <f t="shared" ca="1" si="23"/>
        <v>44.333071957101723</v>
      </c>
      <c r="IQ13" s="36">
        <f t="shared" ca="1" si="23"/>
        <v>44.226265309924557</v>
      </c>
      <c r="IR13" s="36">
        <f t="shared" ca="1" si="23"/>
        <v>45.411087937085107</v>
      </c>
      <c r="IS13" s="36">
        <f t="shared" ca="1" si="23"/>
        <v>44.975379157974267</v>
      </c>
      <c r="IT13" s="36">
        <f t="shared" ca="1" si="23"/>
        <v>44.429041030179249</v>
      </c>
      <c r="IU13" s="36">
        <f t="shared" ca="1" si="23"/>
        <v>43.244682500647713</v>
      </c>
    </row>
    <row r="14" spans="1:255" x14ac:dyDescent="0.2">
      <c r="A14" s="36"/>
      <c r="B14">
        <v>4</v>
      </c>
      <c r="C14" s="36">
        <v>50</v>
      </c>
      <c r="D14" s="36">
        <f t="shared" ca="1" si="14"/>
        <v>49.479440412240358</v>
      </c>
      <c r="E14" s="36">
        <f t="shared" ca="1" si="14"/>
        <v>49.725681210438502</v>
      </c>
      <c r="F14" s="36">
        <f ca="1">E14*EXP(($B$3-$B$4^2/2)*1+$B$4*_xlfn.NORM.S.INV(RAND()))</f>
        <v>49.539433232361837</v>
      </c>
      <c r="G14" s="36">
        <f t="shared" ref="F14:BQ17" ca="1" si="24">F14*EXP(($B$3-$B$4^2/2)*1+$B$4*_xlfn.NORM.S.INV(RAND()))</f>
        <v>48.97149759209001</v>
      </c>
      <c r="H14" s="36">
        <f t="shared" ca="1" si="24"/>
        <v>49.228016711878723</v>
      </c>
      <c r="I14" s="36">
        <f t="shared" ca="1" si="24"/>
        <v>49.907962027173397</v>
      </c>
      <c r="J14" s="36">
        <f t="shared" ca="1" si="24"/>
        <v>49.400243124428705</v>
      </c>
      <c r="K14" s="36">
        <f t="shared" ca="1" si="24"/>
        <v>49.44201794828443</v>
      </c>
      <c r="L14" s="36">
        <f t="shared" ca="1" si="24"/>
        <v>49.834276335809193</v>
      </c>
      <c r="M14" s="36">
        <f t="shared" ca="1" si="24"/>
        <v>49.577892381454213</v>
      </c>
      <c r="N14" s="36">
        <f t="shared" ca="1" si="24"/>
        <v>49.41556890876118</v>
      </c>
      <c r="O14" s="36">
        <f t="shared" ca="1" si="24"/>
        <v>48.893821687385795</v>
      </c>
      <c r="P14" s="36">
        <f t="shared" ca="1" si="24"/>
        <v>48.110577022775388</v>
      </c>
      <c r="Q14" s="36">
        <f t="shared" ca="1" si="24"/>
        <v>48.787051413785534</v>
      </c>
      <c r="R14" s="36">
        <f t="shared" ca="1" si="24"/>
        <v>47.757079269591564</v>
      </c>
      <c r="S14" s="36">
        <f t="shared" ca="1" si="24"/>
        <v>48.187542929896459</v>
      </c>
      <c r="T14" s="36">
        <f t="shared" ca="1" si="24"/>
        <v>48.608369952514373</v>
      </c>
      <c r="U14" s="36">
        <f t="shared" ca="1" si="24"/>
        <v>48.169293799441292</v>
      </c>
      <c r="V14" s="36">
        <f t="shared" ca="1" si="24"/>
        <v>47.190417896215763</v>
      </c>
      <c r="W14" s="36">
        <f t="shared" ca="1" si="24"/>
        <v>47.862585439004647</v>
      </c>
      <c r="X14" s="36">
        <f t="shared" ca="1" si="24"/>
        <v>47.716208910742417</v>
      </c>
      <c r="Y14" s="36">
        <f t="shared" ca="1" si="24"/>
        <v>47.541135423772822</v>
      </c>
      <c r="Z14" s="36">
        <f t="shared" ca="1" si="24"/>
        <v>47.328675193153181</v>
      </c>
      <c r="AA14" s="36">
        <f t="shared" ca="1" si="24"/>
        <v>47.712788322283934</v>
      </c>
      <c r="AB14" s="36">
        <f t="shared" ca="1" si="24"/>
        <v>48.425177552064078</v>
      </c>
      <c r="AC14" s="36">
        <f t="shared" ca="1" si="24"/>
        <v>48.284226666438023</v>
      </c>
      <c r="AD14" s="36">
        <f t="shared" ca="1" si="24"/>
        <v>48.644678132212064</v>
      </c>
      <c r="AE14" s="36">
        <f t="shared" ca="1" si="24"/>
        <v>48.968422192432094</v>
      </c>
      <c r="AF14" s="36">
        <f t="shared" ca="1" si="24"/>
        <v>49.656616290011414</v>
      </c>
      <c r="AG14" s="36">
        <f t="shared" ca="1" si="24"/>
        <v>49.947283455179587</v>
      </c>
      <c r="AH14" s="36">
        <f t="shared" ca="1" si="24"/>
        <v>49.345181212297064</v>
      </c>
      <c r="AI14" s="36">
        <f t="shared" ca="1" si="24"/>
        <v>48.672304151280734</v>
      </c>
      <c r="AJ14" s="36">
        <f t="shared" ca="1" si="24"/>
        <v>49.023739146163102</v>
      </c>
      <c r="AK14" s="36">
        <f t="shared" ca="1" si="24"/>
        <v>48.960459103964105</v>
      </c>
      <c r="AL14" s="36">
        <f t="shared" ca="1" si="24"/>
        <v>48.33266518076271</v>
      </c>
      <c r="AM14" s="36">
        <f t="shared" ca="1" si="24"/>
        <v>48.478455347136666</v>
      </c>
      <c r="AN14" s="36">
        <f t="shared" ca="1" si="24"/>
        <v>47.410956765672879</v>
      </c>
      <c r="AO14" s="36">
        <f t="shared" ca="1" si="24"/>
        <v>46.873918754826349</v>
      </c>
      <c r="AP14" s="36">
        <f t="shared" ca="1" si="24"/>
        <v>46.919515549323187</v>
      </c>
      <c r="AQ14" s="36">
        <f t="shared" ca="1" si="24"/>
        <v>46.931271399227164</v>
      </c>
      <c r="AR14" s="36">
        <f t="shared" ca="1" si="24"/>
        <v>46.640614803256319</v>
      </c>
      <c r="AS14" s="36">
        <f t="shared" ca="1" si="24"/>
        <v>46.403730213480493</v>
      </c>
      <c r="AT14" s="36">
        <f t="shared" ca="1" si="24"/>
        <v>45.568574795506947</v>
      </c>
      <c r="AU14" s="36">
        <f t="shared" ca="1" si="24"/>
        <v>45.755272477075145</v>
      </c>
      <c r="AV14" s="36">
        <f t="shared" ca="1" si="24"/>
        <v>45.038694282822135</v>
      </c>
      <c r="AW14" s="36">
        <f t="shared" ca="1" si="24"/>
        <v>45.174804277034951</v>
      </c>
      <c r="AX14" s="36">
        <f t="shared" ca="1" si="24"/>
        <v>45.337017834344962</v>
      </c>
      <c r="AY14" s="36">
        <f t="shared" ca="1" si="24"/>
        <v>44.108022801332169</v>
      </c>
      <c r="AZ14" s="36">
        <f t="shared" ca="1" si="24"/>
        <v>44.223292428808207</v>
      </c>
      <c r="BA14" s="36">
        <f t="shared" ca="1" si="24"/>
        <v>43.90978552123056</v>
      </c>
      <c r="BB14" s="36">
        <f t="shared" ca="1" si="24"/>
        <v>44.69483013738045</v>
      </c>
      <c r="BC14" s="36">
        <f t="shared" ca="1" si="24"/>
        <v>44.695622411582654</v>
      </c>
      <c r="BD14" s="36">
        <f t="shared" ca="1" si="24"/>
        <v>44.383546407884936</v>
      </c>
      <c r="BE14" s="36">
        <f t="shared" ca="1" si="24"/>
        <v>43.902120971553387</v>
      </c>
      <c r="BF14" s="36">
        <f t="shared" ca="1" si="24"/>
        <v>43.735039997117113</v>
      </c>
      <c r="BG14" s="36">
        <f t="shared" ca="1" si="24"/>
        <v>43.776789272633529</v>
      </c>
      <c r="BH14" s="36">
        <f t="shared" ca="1" si="24"/>
        <v>43.808849649895251</v>
      </c>
      <c r="BI14" s="36">
        <f t="shared" ca="1" si="24"/>
        <v>43.509864329319775</v>
      </c>
      <c r="BJ14" s="36">
        <f t="shared" ca="1" si="24"/>
        <v>43.370120191567828</v>
      </c>
      <c r="BK14" s="36">
        <f t="shared" ca="1" si="24"/>
        <v>43.700175988100789</v>
      </c>
      <c r="BL14" s="36">
        <f t="shared" ca="1" si="24"/>
        <v>43.629269726146909</v>
      </c>
      <c r="BM14" s="36">
        <f t="shared" ca="1" si="24"/>
        <v>42.929067839771633</v>
      </c>
      <c r="BN14" s="36">
        <f t="shared" ca="1" si="24"/>
        <v>42.952717256471537</v>
      </c>
      <c r="BO14" s="36">
        <f t="shared" ca="1" si="24"/>
        <v>42.362393646022653</v>
      </c>
      <c r="BP14" s="36">
        <f t="shared" ca="1" si="24"/>
        <v>42.370469595957296</v>
      </c>
      <c r="BQ14" s="36">
        <f t="shared" ca="1" si="24"/>
        <v>42.080320772505686</v>
      </c>
      <c r="BR14" s="36">
        <f t="shared" ca="1" si="16"/>
        <v>42.347131405630705</v>
      </c>
      <c r="BS14" s="36">
        <f t="shared" ca="1" si="16"/>
        <v>41.270512272861133</v>
      </c>
      <c r="BT14" s="36">
        <f t="shared" ca="1" si="16"/>
        <v>41.764012029459167</v>
      </c>
      <c r="BU14" s="36">
        <f t="shared" ca="1" si="16"/>
        <v>41.183941967941429</v>
      </c>
      <c r="BV14" s="36">
        <f t="shared" ca="1" si="16"/>
        <v>40.850890019764478</v>
      </c>
      <c r="BW14" s="36">
        <f t="shared" ca="1" si="16"/>
        <v>40.379522201828514</v>
      </c>
      <c r="BX14" s="36">
        <f t="shared" ca="1" si="16"/>
        <v>39.758282963191611</v>
      </c>
      <c r="BY14" s="36">
        <f t="shared" ca="1" si="16"/>
        <v>40.71348867255324</v>
      </c>
      <c r="BZ14" s="36">
        <f t="shared" ca="1" si="16"/>
        <v>40.475696249088976</v>
      </c>
      <c r="CA14" s="36">
        <f t="shared" ca="1" si="16"/>
        <v>39.583669445274424</v>
      </c>
      <c r="CB14" s="36">
        <f t="shared" ca="1" si="16"/>
        <v>40.082229741924891</v>
      </c>
      <c r="CC14" s="36">
        <f t="shared" ca="1" si="16"/>
        <v>40.150132565216644</v>
      </c>
      <c r="CD14" s="36">
        <f t="shared" ca="1" si="16"/>
        <v>40.002481498465016</v>
      </c>
      <c r="CE14" s="36">
        <f t="shared" ca="1" si="16"/>
        <v>39.997169916448733</v>
      </c>
      <c r="CF14" s="36">
        <f t="shared" ca="1" si="16"/>
        <v>40.00167628177185</v>
      </c>
      <c r="CG14" s="36">
        <f t="shared" ca="1" si="16"/>
        <v>39.192005835466496</v>
      </c>
      <c r="CH14" s="36">
        <f t="shared" ca="1" si="16"/>
        <v>38.771814966816933</v>
      </c>
      <c r="CI14" s="36">
        <f t="shared" ca="1" si="16"/>
        <v>38.647072108697678</v>
      </c>
      <c r="CJ14" s="36">
        <f t="shared" ca="1" si="16"/>
        <v>38.414004906035878</v>
      </c>
      <c r="CK14" s="36">
        <f t="shared" ca="1" si="16"/>
        <v>38.032640417567677</v>
      </c>
      <c r="CL14" s="36">
        <f t="shared" ca="1" si="16"/>
        <v>38.017528708132822</v>
      </c>
      <c r="CM14" s="36">
        <f t="shared" ca="1" si="16"/>
        <v>37.603211106692427</v>
      </c>
      <c r="CN14" s="36">
        <f t="shared" ca="1" si="16"/>
        <v>37.587565108672344</v>
      </c>
      <c r="CO14" s="36">
        <f t="shared" ca="1" si="16"/>
        <v>37.925562676809342</v>
      </c>
      <c r="CP14" s="36">
        <f t="shared" ca="1" si="16"/>
        <v>38.512082791929956</v>
      </c>
      <c r="CQ14" s="36">
        <f t="shared" ca="1" si="16"/>
        <v>38.066208945563801</v>
      </c>
      <c r="CR14" s="36">
        <f t="shared" ca="1" si="16"/>
        <v>37.480307268433101</v>
      </c>
      <c r="CS14" s="36">
        <f t="shared" ca="1" si="16"/>
        <v>37.290588151328983</v>
      </c>
      <c r="CT14" s="36">
        <f t="shared" ca="1" si="16"/>
        <v>36.600822604077358</v>
      </c>
      <c r="CU14" s="36">
        <f t="shared" ca="1" si="16"/>
        <v>38.106436130702711</v>
      </c>
      <c r="CV14" s="36">
        <f t="shared" ca="1" si="16"/>
        <v>38.341270811553905</v>
      </c>
      <c r="CW14" s="36">
        <f t="shared" ca="1" si="16"/>
        <v>38.731157089062009</v>
      </c>
      <c r="CX14" s="36">
        <f t="shared" ca="1" si="16"/>
        <v>38.469561635183524</v>
      </c>
      <c r="CY14" s="36">
        <f t="shared" ca="1" si="16"/>
        <v>38.295873026255791</v>
      </c>
      <c r="CZ14" s="36">
        <f t="shared" ca="1" si="16"/>
        <v>38.624420833643171</v>
      </c>
      <c r="DA14" s="36">
        <f t="shared" ca="1" si="16"/>
        <v>38.754049675189897</v>
      </c>
      <c r="DB14" s="36">
        <f t="shared" ca="1" si="16"/>
        <v>38.553048900424407</v>
      </c>
      <c r="DC14" s="36">
        <f t="shared" ca="1" si="16"/>
        <v>39.209653086891159</v>
      </c>
      <c r="DD14" s="36">
        <f t="shared" ca="1" si="16"/>
        <v>39.108446743232115</v>
      </c>
      <c r="DE14" s="36">
        <f t="shared" ca="1" si="16"/>
        <v>39.563369259946008</v>
      </c>
      <c r="DF14" s="36">
        <f t="shared" ca="1" si="16"/>
        <v>40.485056043809315</v>
      </c>
      <c r="DG14" s="36">
        <f t="shared" ca="1" si="16"/>
        <v>40.625942908659951</v>
      </c>
      <c r="DH14" s="36">
        <f t="shared" ca="1" si="16"/>
        <v>40.806974723976154</v>
      </c>
      <c r="DI14" s="36">
        <f t="shared" ca="1" si="16"/>
        <v>39.490462387201397</v>
      </c>
      <c r="DJ14" s="36">
        <f t="shared" ca="1" si="16"/>
        <v>39.638056005430521</v>
      </c>
      <c r="DK14" s="36">
        <f t="shared" ca="1" si="16"/>
        <v>39.402955775986946</v>
      </c>
      <c r="DL14" s="36">
        <f t="shared" ca="1" si="16"/>
        <v>39.255398056880601</v>
      </c>
      <c r="DM14" s="36">
        <f t="shared" ca="1" si="16"/>
        <v>38.518339430566542</v>
      </c>
      <c r="DN14" s="36">
        <f t="shared" ca="1" si="16"/>
        <v>38.471429454468932</v>
      </c>
      <c r="DO14" s="36">
        <f t="shared" ca="1" si="16"/>
        <v>37.945714989753917</v>
      </c>
      <c r="DP14" s="36">
        <f t="shared" ca="1" si="16"/>
        <v>37.898400262961282</v>
      </c>
      <c r="DQ14" s="36">
        <f t="shared" ca="1" si="16"/>
        <v>37.74952554958719</v>
      </c>
      <c r="DR14" s="36">
        <f t="shared" ca="1" si="16"/>
        <v>38.130244760102009</v>
      </c>
      <c r="DS14" s="36">
        <f t="shared" ca="1" si="16"/>
        <v>37.924656566583529</v>
      </c>
      <c r="DT14" s="36">
        <f t="shared" ca="1" si="16"/>
        <v>37.251524013835976</v>
      </c>
      <c r="DU14" s="36">
        <f t="shared" ca="1" si="16"/>
        <v>37.459999640859749</v>
      </c>
      <c r="DV14" s="36">
        <f t="shared" ca="1" si="16"/>
        <v>37.643699425039323</v>
      </c>
      <c r="DW14" s="36">
        <f t="shared" ca="1" si="16"/>
        <v>37.842551392106181</v>
      </c>
      <c r="DX14" s="36">
        <f t="shared" ca="1" si="16"/>
        <v>38.095802202962986</v>
      </c>
      <c r="DY14" s="36">
        <f t="shared" ca="1" si="16"/>
        <v>37.477925947220207</v>
      </c>
      <c r="DZ14" s="36">
        <f t="shared" ca="1" si="16"/>
        <v>37.056463166385825</v>
      </c>
      <c r="EA14" s="36">
        <f t="shared" ca="1" si="16"/>
        <v>36.753151187294065</v>
      </c>
      <c r="EB14" s="36">
        <f t="shared" ca="1" si="16"/>
        <v>37.156650075556961</v>
      </c>
      <c r="EC14" s="36">
        <f t="shared" ca="1" si="16"/>
        <v>37.041030221360721</v>
      </c>
      <c r="ED14" s="36">
        <f t="shared" ca="1" si="17"/>
        <v>36.879285996074636</v>
      </c>
      <c r="EE14" s="36">
        <f t="shared" ca="1" si="17"/>
        <v>36.275324334361173</v>
      </c>
      <c r="EF14" s="36">
        <f t="shared" ca="1" si="17"/>
        <v>37.046568890957424</v>
      </c>
      <c r="EG14" s="36">
        <f t="shared" ca="1" si="17"/>
        <v>37.507291584264181</v>
      </c>
      <c r="EH14" s="36">
        <f t="shared" ca="1" si="17"/>
        <v>37.239837716455398</v>
      </c>
      <c r="EI14" s="36">
        <f t="shared" ca="1" si="17"/>
        <v>37.105639942250328</v>
      </c>
      <c r="EJ14" s="36">
        <f t="shared" ca="1" si="17"/>
        <v>37.700198977678276</v>
      </c>
      <c r="EK14" s="36">
        <f t="shared" ca="1" si="17"/>
        <v>37.29475744536078</v>
      </c>
      <c r="EL14" s="36">
        <f t="shared" ca="1" si="17"/>
        <v>37.058915698777994</v>
      </c>
      <c r="EM14" s="36">
        <f t="shared" ca="1" si="17"/>
        <v>36.878061480081399</v>
      </c>
      <c r="EN14" s="36">
        <f t="shared" ca="1" si="17"/>
        <v>36.213927968966438</v>
      </c>
      <c r="EO14" s="36">
        <f t="shared" ca="1" si="17"/>
        <v>36.455318334415296</v>
      </c>
      <c r="EP14" s="36">
        <f t="shared" ca="1" si="17"/>
        <v>36.589909205285686</v>
      </c>
      <c r="EQ14" s="36">
        <f t="shared" ca="1" si="17"/>
        <v>36.935887166748373</v>
      </c>
      <c r="ER14" s="36">
        <f t="shared" ca="1" si="17"/>
        <v>36.329147546968805</v>
      </c>
      <c r="ES14" s="36">
        <f t="shared" ca="1" si="17"/>
        <v>35.953348774835511</v>
      </c>
      <c r="ET14" s="36">
        <f t="shared" ca="1" si="17"/>
        <v>35.98674733427243</v>
      </c>
      <c r="EU14" s="36">
        <f t="shared" ca="1" si="17"/>
        <v>35.960557165479692</v>
      </c>
      <c r="EV14" s="36">
        <f t="shared" ca="1" si="17"/>
        <v>36.501730126371193</v>
      </c>
      <c r="EW14" s="36">
        <f t="shared" ref="EW14" ca="1" si="25">EV14*EXP(($B$3-$B$4^2/2)*1+$B$4*_xlfn.NORM.S.INV(RAND()))</f>
        <v>37.212301905730733</v>
      </c>
      <c r="EX14" s="36">
        <f t="shared" ca="1" si="21"/>
        <v>37.207646554015447</v>
      </c>
      <c r="EY14" s="36">
        <f t="shared" ca="1" si="21"/>
        <v>37.595700777726499</v>
      </c>
      <c r="EZ14" s="36">
        <f t="shared" ca="1" si="21"/>
        <v>37.573155753383794</v>
      </c>
      <c r="FA14" s="36">
        <f t="shared" ca="1" si="21"/>
        <v>36.96795545484855</v>
      </c>
      <c r="FB14" s="36">
        <f t="shared" ca="1" si="21"/>
        <v>37.360939146972655</v>
      </c>
      <c r="FC14" s="36">
        <f t="shared" ca="1" si="21"/>
        <v>37.873917890512722</v>
      </c>
      <c r="FD14" s="36">
        <f t="shared" ca="1" si="21"/>
        <v>37.360363718431685</v>
      </c>
      <c r="FE14" s="36">
        <f t="shared" ca="1" si="21"/>
        <v>37.877621765710501</v>
      </c>
      <c r="FF14" s="36">
        <f t="shared" ca="1" si="21"/>
        <v>37.80177775808481</v>
      </c>
      <c r="FG14" s="36">
        <f t="shared" ca="1" si="21"/>
        <v>38.2258192879967</v>
      </c>
      <c r="FH14" s="36">
        <f t="shared" ca="1" si="21"/>
        <v>38.479434244920455</v>
      </c>
      <c r="FI14" s="36">
        <f t="shared" ca="1" si="21"/>
        <v>38.584935362592198</v>
      </c>
      <c r="FJ14" s="36">
        <f t="shared" ca="1" si="21"/>
        <v>39.080720605705018</v>
      </c>
      <c r="FK14" s="36">
        <f t="shared" ca="1" si="21"/>
        <v>38.149809627059135</v>
      </c>
      <c r="FL14" s="36">
        <f t="shared" ca="1" si="21"/>
        <v>38.147416264077933</v>
      </c>
      <c r="FM14" s="36">
        <f t="shared" ca="1" si="21"/>
        <v>38.164446227544367</v>
      </c>
      <c r="FN14" s="36">
        <f t="shared" ca="1" si="21"/>
        <v>37.877241559566087</v>
      </c>
      <c r="FO14" s="36">
        <f t="shared" ca="1" si="21"/>
        <v>37.568359198684696</v>
      </c>
      <c r="FP14" s="36">
        <f t="shared" ca="1" si="21"/>
        <v>37.819189771101662</v>
      </c>
      <c r="FQ14" s="36">
        <f t="shared" ca="1" si="21"/>
        <v>37.382730343616807</v>
      </c>
      <c r="FR14" s="36">
        <f t="shared" ca="1" si="21"/>
        <v>37.549274252120313</v>
      </c>
      <c r="FS14" s="36">
        <f t="shared" ca="1" si="21"/>
        <v>36.79636405320722</v>
      </c>
      <c r="FT14" s="36">
        <f t="shared" ca="1" si="21"/>
        <v>36.925476329724404</v>
      </c>
      <c r="FU14" s="36">
        <f t="shared" ca="1" si="21"/>
        <v>36.660249976052171</v>
      </c>
      <c r="FV14" s="36">
        <f t="shared" ca="1" si="21"/>
        <v>35.623413523810711</v>
      </c>
      <c r="FW14" s="36">
        <f t="shared" ca="1" si="21"/>
        <v>36.299117174523538</v>
      </c>
      <c r="FX14" s="36">
        <f t="shared" ca="1" si="21"/>
        <v>35.159276452934861</v>
      </c>
      <c r="FY14" s="36">
        <f t="shared" ca="1" si="21"/>
        <v>35.707460916847708</v>
      </c>
      <c r="FZ14" s="36">
        <f t="shared" ca="1" si="21"/>
        <v>36.373307376820975</v>
      </c>
      <c r="GA14" s="36">
        <f t="shared" ca="1" si="21"/>
        <v>36.446379788036026</v>
      </c>
      <c r="GB14" s="36">
        <f t="shared" ca="1" si="21"/>
        <v>36.426300382417992</v>
      </c>
      <c r="GC14" s="36">
        <f t="shared" ca="1" si="21"/>
        <v>35.694861418414</v>
      </c>
      <c r="GD14" s="36">
        <f t="shared" ca="1" si="21"/>
        <v>35.803745992288</v>
      </c>
      <c r="GE14" s="36">
        <f t="shared" ca="1" si="21"/>
        <v>35.829060599412024</v>
      </c>
      <c r="GF14" s="36">
        <f t="shared" ca="1" si="21"/>
        <v>35.813562523885793</v>
      </c>
      <c r="GG14" s="36">
        <f t="shared" ca="1" si="21"/>
        <v>35.788034837975772</v>
      </c>
      <c r="GH14" s="36">
        <f t="shared" ca="1" si="21"/>
        <v>35.626206902775969</v>
      </c>
      <c r="GI14" s="36">
        <f t="shared" ca="1" si="21"/>
        <v>35.341665566841279</v>
      </c>
      <c r="GJ14" s="36">
        <f t="shared" ca="1" si="21"/>
        <v>36.509156850746884</v>
      </c>
      <c r="GK14" s="36">
        <f t="shared" ca="1" si="21"/>
        <v>36.124150974371425</v>
      </c>
      <c r="GL14" s="36">
        <f t="shared" ca="1" si="21"/>
        <v>36.023798057607749</v>
      </c>
      <c r="GM14" s="36">
        <f t="shared" ca="1" si="21"/>
        <v>35.679848527919688</v>
      </c>
      <c r="GN14" s="36">
        <f t="shared" ca="1" si="21"/>
        <v>35.566115221875059</v>
      </c>
      <c r="GO14" s="36">
        <f t="shared" ca="1" si="21"/>
        <v>35.120466990433492</v>
      </c>
      <c r="GP14" s="36">
        <f t="shared" ca="1" si="21"/>
        <v>35.172901851188655</v>
      </c>
      <c r="GQ14" s="36">
        <f t="shared" ca="1" si="21"/>
        <v>34.866333624306314</v>
      </c>
      <c r="GR14" s="36">
        <f t="shared" ca="1" si="21"/>
        <v>35.173175853095117</v>
      </c>
      <c r="GS14" s="36">
        <f t="shared" ca="1" si="21"/>
        <v>35.150092586060225</v>
      </c>
      <c r="GT14" s="36">
        <f t="shared" ca="1" si="21"/>
        <v>35.047443030368967</v>
      </c>
      <c r="GU14" s="36">
        <f t="shared" ca="1" si="21"/>
        <v>34.291836211316514</v>
      </c>
      <c r="GV14" s="36">
        <f t="shared" ca="1" si="21"/>
        <v>33.785754871861357</v>
      </c>
      <c r="GW14" s="36">
        <f t="shared" ca="1" si="21"/>
        <v>33.623604538177048</v>
      </c>
      <c r="GX14" s="36">
        <f t="shared" ca="1" si="21"/>
        <v>33.937558797666149</v>
      </c>
      <c r="GY14" s="36">
        <f t="shared" ca="1" si="21"/>
        <v>34.452959352402431</v>
      </c>
      <c r="GZ14" s="36">
        <f t="shared" ca="1" si="21"/>
        <v>34.942003169786823</v>
      </c>
      <c r="HA14" s="36">
        <f t="shared" ca="1" si="21"/>
        <v>35.108599341398715</v>
      </c>
      <c r="HB14" s="36">
        <f t="shared" ca="1" si="21"/>
        <v>35.219487280478305</v>
      </c>
      <c r="HC14" s="36">
        <f t="shared" ca="1" si="21"/>
        <v>35.45216040760161</v>
      </c>
      <c r="HD14" s="36">
        <f t="shared" ca="1" si="21"/>
        <v>35.911453058078699</v>
      </c>
      <c r="HE14" s="36">
        <f t="shared" ca="1" si="21"/>
        <v>36.327692320152607</v>
      </c>
      <c r="HF14" s="36">
        <f t="shared" ca="1" si="21"/>
        <v>35.763505892479742</v>
      </c>
      <c r="HG14" s="36">
        <f t="shared" ca="1" si="21"/>
        <v>35.616584827669129</v>
      </c>
      <c r="HH14" s="36">
        <f t="shared" ca="1" si="21"/>
        <v>34.889975452589617</v>
      </c>
      <c r="HI14" s="36">
        <f t="shared" ca="1" si="22"/>
        <v>35.391563203374687</v>
      </c>
      <c r="HJ14" s="36">
        <f t="shared" ca="1" si="12"/>
        <v>35.488072350147817</v>
      </c>
      <c r="HK14" s="36">
        <f t="shared" ca="1" si="12"/>
        <v>35.415033116572587</v>
      </c>
      <c r="HL14" s="36">
        <f t="shared" ca="1" si="12"/>
        <v>35.430386418777204</v>
      </c>
      <c r="HM14" s="36">
        <f t="shared" ca="1" si="12"/>
        <v>35.168751733608708</v>
      </c>
      <c r="HN14" s="36">
        <f t="shared" ca="1" si="12"/>
        <v>35.821635626271096</v>
      </c>
      <c r="HO14" s="36">
        <f t="shared" ca="1" si="12"/>
        <v>35.211570741826748</v>
      </c>
      <c r="HP14" s="36">
        <f t="shared" ca="1" si="12"/>
        <v>35.402127702829418</v>
      </c>
      <c r="HQ14" s="36">
        <f t="shared" ca="1" si="12"/>
        <v>35.229882652088108</v>
      </c>
      <c r="HR14" s="36">
        <f t="shared" ca="1" si="12"/>
        <v>34.970278610269617</v>
      </c>
      <c r="HS14" s="36">
        <f t="shared" ca="1" si="12"/>
        <v>34.747649546896803</v>
      </c>
      <c r="HT14" s="36">
        <f t="shared" ca="1" si="12"/>
        <v>34.626198325918573</v>
      </c>
      <c r="HU14" s="36">
        <f t="shared" ca="1" si="12"/>
        <v>34.788645043525257</v>
      </c>
      <c r="HV14" s="36">
        <f t="shared" ca="1" si="12"/>
        <v>34.029099360401986</v>
      </c>
      <c r="HW14" s="36">
        <f t="shared" ca="1" si="12"/>
        <v>34.286265652255125</v>
      </c>
      <c r="HX14" s="36">
        <f t="shared" ca="1" si="12"/>
        <v>33.754167609762192</v>
      </c>
      <c r="HY14" s="36">
        <f t="shared" ca="1" si="12"/>
        <v>33.534681765386949</v>
      </c>
      <c r="HZ14" s="36">
        <f t="shared" ca="1" si="23"/>
        <v>33.120360344297723</v>
      </c>
      <c r="IA14" s="36">
        <f t="shared" ca="1" si="23"/>
        <v>32.950066528820898</v>
      </c>
      <c r="IB14" s="36">
        <f t="shared" ca="1" si="23"/>
        <v>32.610978615750462</v>
      </c>
      <c r="IC14" s="36">
        <f t="shared" ca="1" si="23"/>
        <v>33.423379434387371</v>
      </c>
      <c r="ID14" s="36">
        <f t="shared" ca="1" si="23"/>
        <v>33.364509146837442</v>
      </c>
      <c r="IE14" s="36">
        <f t="shared" ca="1" si="23"/>
        <v>34.131092168399427</v>
      </c>
      <c r="IF14" s="36">
        <f t="shared" ca="1" si="23"/>
        <v>34.556516336814809</v>
      </c>
      <c r="IG14" s="36">
        <f t="shared" ca="1" si="23"/>
        <v>34.878853868634977</v>
      </c>
      <c r="IH14" s="36">
        <f t="shared" ca="1" si="23"/>
        <v>35.108834543720306</v>
      </c>
      <c r="II14" s="36">
        <f t="shared" ca="1" si="23"/>
        <v>35.315567539199968</v>
      </c>
      <c r="IJ14" s="36">
        <f t="shared" ca="1" si="23"/>
        <v>34.84018544057912</v>
      </c>
      <c r="IK14" s="36">
        <f t="shared" ca="1" si="23"/>
        <v>34.303809750979028</v>
      </c>
      <c r="IL14" s="36">
        <f t="shared" ca="1" si="23"/>
        <v>33.698527637185727</v>
      </c>
      <c r="IM14" s="36">
        <f t="shared" ca="1" si="23"/>
        <v>32.905603813274951</v>
      </c>
      <c r="IN14" s="36">
        <f t="shared" ca="1" si="23"/>
        <v>32.052901575604999</v>
      </c>
      <c r="IO14" s="36">
        <f t="shared" ca="1" si="23"/>
        <v>32.117242992746831</v>
      </c>
      <c r="IP14" s="36">
        <f t="shared" ca="1" si="23"/>
        <v>31.99891757974132</v>
      </c>
      <c r="IQ14" s="36">
        <f t="shared" ca="1" si="23"/>
        <v>32.267111736957077</v>
      </c>
      <c r="IR14" s="36">
        <f t="shared" ca="1" si="23"/>
        <v>31.652940194053851</v>
      </c>
      <c r="IS14" s="36">
        <f t="shared" ca="1" si="23"/>
        <v>32.3498567479242</v>
      </c>
      <c r="IT14" s="36">
        <f t="shared" ca="1" si="23"/>
        <v>32.762139128037106</v>
      </c>
      <c r="IU14" s="36">
        <f t="shared" ca="1" si="23"/>
        <v>32.585331160460548</v>
      </c>
    </row>
    <row r="15" spans="1:255" x14ac:dyDescent="0.2">
      <c r="A15" s="36"/>
      <c r="B15">
        <v>5</v>
      </c>
      <c r="C15" s="36">
        <v>50</v>
      </c>
      <c r="D15" s="36">
        <f t="shared" ca="1" si="14"/>
        <v>48.754851459936553</v>
      </c>
      <c r="E15" s="36">
        <f t="shared" ca="1" si="14"/>
        <v>49.701497513343831</v>
      </c>
      <c r="F15" s="36">
        <f t="shared" ca="1" si="24"/>
        <v>49.798040025716915</v>
      </c>
      <c r="G15" s="36">
        <f t="shared" ca="1" si="24"/>
        <v>51.026015922886565</v>
      </c>
      <c r="H15" s="36">
        <f t="shared" ca="1" si="24"/>
        <v>50.449303720720728</v>
      </c>
      <c r="I15" s="36">
        <f t="shared" ca="1" si="24"/>
        <v>49.75368869275021</v>
      </c>
      <c r="J15" s="36">
        <f t="shared" ca="1" si="24"/>
        <v>49.382121083027556</v>
      </c>
      <c r="K15" s="36">
        <f t="shared" ca="1" si="24"/>
        <v>48.947683375590096</v>
      </c>
      <c r="L15" s="36">
        <f t="shared" ca="1" si="24"/>
        <v>48.696455277877071</v>
      </c>
      <c r="M15" s="36">
        <f t="shared" ca="1" si="24"/>
        <v>50.0327656089</v>
      </c>
      <c r="N15" s="36">
        <f t="shared" ca="1" si="24"/>
        <v>49.300400409781957</v>
      </c>
      <c r="O15" s="36">
        <f t="shared" ca="1" si="24"/>
        <v>49.58035065496189</v>
      </c>
      <c r="P15" s="36">
        <f t="shared" ca="1" si="24"/>
        <v>49.86219302672982</v>
      </c>
      <c r="Q15" s="36">
        <f t="shared" ca="1" si="24"/>
        <v>50.204022877369262</v>
      </c>
      <c r="R15" s="36">
        <f t="shared" ca="1" si="24"/>
        <v>50.148054686457264</v>
      </c>
      <c r="S15" s="36">
        <f t="shared" ca="1" si="24"/>
        <v>49.411785975358306</v>
      </c>
      <c r="T15" s="36">
        <f t="shared" ca="1" si="24"/>
        <v>49.015891227660035</v>
      </c>
      <c r="U15" s="36">
        <f t="shared" ca="1" si="24"/>
        <v>49.504871203685745</v>
      </c>
      <c r="V15" s="36">
        <f t="shared" ca="1" si="24"/>
        <v>49.069999742685631</v>
      </c>
      <c r="W15" s="36">
        <f t="shared" ca="1" si="24"/>
        <v>48.763689911048886</v>
      </c>
      <c r="X15" s="36">
        <f t="shared" ca="1" si="24"/>
        <v>48.471780744669957</v>
      </c>
      <c r="Y15" s="36">
        <f t="shared" ca="1" si="24"/>
        <v>48.508900711552023</v>
      </c>
      <c r="Z15" s="36">
        <f t="shared" ca="1" si="24"/>
        <v>48.767375860318431</v>
      </c>
      <c r="AA15" s="36">
        <f t="shared" ca="1" si="24"/>
        <v>48.449091762262391</v>
      </c>
      <c r="AB15" s="36">
        <f t="shared" ca="1" si="24"/>
        <v>47.897604096172259</v>
      </c>
      <c r="AC15" s="36">
        <f t="shared" ca="1" si="24"/>
        <v>47.565874576243672</v>
      </c>
      <c r="AD15" s="36">
        <f t="shared" ca="1" si="24"/>
        <v>47.157745501865612</v>
      </c>
      <c r="AE15" s="36">
        <f t="shared" ca="1" si="24"/>
        <v>47.687416511393387</v>
      </c>
      <c r="AF15" s="36">
        <f t="shared" ca="1" si="24"/>
        <v>48.607781726565584</v>
      </c>
      <c r="AG15" s="36">
        <f t="shared" ca="1" si="24"/>
        <v>48.285793998852618</v>
      </c>
      <c r="AH15" s="36">
        <f t="shared" ca="1" si="24"/>
        <v>48.414812260621808</v>
      </c>
      <c r="AI15" s="36">
        <f t="shared" ca="1" si="24"/>
        <v>49.143335415732274</v>
      </c>
      <c r="AJ15" s="36">
        <f t="shared" ca="1" si="24"/>
        <v>49.537910900644469</v>
      </c>
      <c r="AK15" s="36">
        <f t="shared" ca="1" si="24"/>
        <v>49.344349177017179</v>
      </c>
      <c r="AL15" s="36">
        <f t="shared" ca="1" si="24"/>
        <v>49.686701565908464</v>
      </c>
      <c r="AM15" s="36">
        <f t="shared" ca="1" si="24"/>
        <v>49.722732228081973</v>
      </c>
      <c r="AN15" s="36">
        <f t="shared" ca="1" si="24"/>
        <v>50.626286562927859</v>
      </c>
      <c r="AO15" s="36">
        <f t="shared" ca="1" si="24"/>
        <v>51.300190963091573</v>
      </c>
      <c r="AP15" s="36">
        <f t="shared" ca="1" si="24"/>
        <v>51.862105373314307</v>
      </c>
      <c r="AQ15" s="36">
        <f t="shared" ca="1" si="24"/>
        <v>53.47107842182843</v>
      </c>
      <c r="AR15" s="36">
        <f t="shared" ca="1" si="24"/>
        <v>53.572202832742747</v>
      </c>
      <c r="AS15" s="36">
        <f t="shared" ca="1" si="24"/>
        <v>53.706972476438892</v>
      </c>
      <c r="AT15" s="36">
        <f t="shared" ca="1" si="24"/>
        <v>53.812776535244943</v>
      </c>
      <c r="AU15" s="36">
        <f t="shared" ca="1" si="24"/>
        <v>54.027552769667338</v>
      </c>
      <c r="AV15" s="36">
        <f t="shared" ca="1" si="24"/>
        <v>52.846092512254799</v>
      </c>
      <c r="AW15" s="36">
        <f t="shared" ca="1" si="24"/>
        <v>52.003842756360754</v>
      </c>
      <c r="AX15" s="36">
        <f t="shared" ca="1" si="24"/>
        <v>51.894506924126496</v>
      </c>
      <c r="AY15" s="36">
        <f t="shared" ca="1" si="24"/>
        <v>51.075199510118381</v>
      </c>
      <c r="AZ15" s="36">
        <f t="shared" ca="1" si="24"/>
        <v>50.675250053224772</v>
      </c>
      <c r="BA15" s="36">
        <f t="shared" ca="1" si="24"/>
        <v>50.27392513926776</v>
      </c>
      <c r="BB15" s="36">
        <f t="shared" ca="1" si="24"/>
        <v>50.221516335249859</v>
      </c>
      <c r="BC15" s="36">
        <f t="shared" ca="1" si="24"/>
        <v>49.353718717841936</v>
      </c>
      <c r="BD15" s="36">
        <f t="shared" ca="1" si="24"/>
        <v>49.475893018046897</v>
      </c>
      <c r="BE15" s="36">
        <f t="shared" ca="1" si="24"/>
        <v>49.562841887103922</v>
      </c>
      <c r="BF15" s="36">
        <f t="shared" ca="1" si="24"/>
        <v>49.759178860089229</v>
      </c>
      <c r="BG15" s="36">
        <f t="shared" ca="1" si="24"/>
        <v>50.018394676307608</v>
      </c>
      <c r="BH15" s="36">
        <f t="shared" ca="1" si="24"/>
        <v>49.956796056055396</v>
      </c>
      <c r="BI15" s="36">
        <f t="shared" ca="1" si="24"/>
        <v>49.900450953222908</v>
      </c>
      <c r="BJ15" s="36">
        <f t="shared" ca="1" si="24"/>
        <v>49.897036679266833</v>
      </c>
      <c r="BK15" s="36">
        <f t="shared" ca="1" si="24"/>
        <v>50.890247301957132</v>
      </c>
      <c r="BL15" s="36">
        <f t="shared" ca="1" si="24"/>
        <v>51.476684708815142</v>
      </c>
      <c r="BM15" s="36">
        <f t="shared" ca="1" si="24"/>
        <v>50.964830596377119</v>
      </c>
      <c r="BN15" s="36">
        <f t="shared" ca="1" si="24"/>
        <v>49.703872997279944</v>
      </c>
      <c r="BO15" s="36">
        <f t="shared" ca="1" si="24"/>
        <v>49.49576000683502</v>
      </c>
      <c r="BP15" s="36">
        <f t="shared" ca="1" si="24"/>
        <v>48.763881477965818</v>
      </c>
      <c r="BQ15" s="36">
        <f t="shared" ca="1" si="24"/>
        <v>48.984268755331442</v>
      </c>
      <c r="BR15" s="36">
        <f t="shared" ca="1" si="16"/>
        <v>48.745718776067733</v>
      </c>
      <c r="BS15" s="36">
        <f t="shared" ca="1" si="16"/>
        <v>48.752567851134025</v>
      </c>
      <c r="BT15" s="36">
        <f t="shared" ca="1" si="16"/>
        <v>48.516473294203465</v>
      </c>
      <c r="BU15" s="36">
        <f t="shared" ca="1" si="16"/>
        <v>48.402932632412643</v>
      </c>
      <c r="BV15" s="36">
        <f t="shared" ca="1" si="16"/>
        <v>48.144384251035405</v>
      </c>
      <c r="BW15" s="36">
        <f t="shared" ca="1" si="16"/>
        <v>48.79803541022585</v>
      </c>
      <c r="BX15" s="36">
        <f t="shared" ca="1" si="16"/>
        <v>48.006771130696826</v>
      </c>
      <c r="BY15" s="36">
        <f t="shared" ca="1" si="16"/>
        <v>48.088562971281561</v>
      </c>
      <c r="BZ15" s="36">
        <f t="shared" ca="1" si="16"/>
        <v>47.986837574587213</v>
      </c>
      <c r="CA15" s="36">
        <f t="shared" ca="1" si="16"/>
        <v>47.175144906713804</v>
      </c>
      <c r="CB15" s="36">
        <f t="shared" ca="1" si="16"/>
        <v>48.097686322109567</v>
      </c>
      <c r="CC15" s="36">
        <f t="shared" ca="1" si="16"/>
        <v>48.352691560365599</v>
      </c>
      <c r="CD15" s="36">
        <f t="shared" ca="1" si="16"/>
        <v>48.510857395753256</v>
      </c>
      <c r="CE15" s="36">
        <f t="shared" ca="1" si="16"/>
        <v>48.308437295722328</v>
      </c>
      <c r="CF15" s="36">
        <f t="shared" ca="1" si="16"/>
        <v>48.903906779325624</v>
      </c>
      <c r="CG15" s="36">
        <f t="shared" ca="1" si="16"/>
        <v>48.30153198654731</v>
      </c>
      <c r="CH15" s="36">
        <f t="shared" ca="1" si="16"/>
        <v>48.631443848987139</v>
      </c>
      <c r="CI15" s="36">
        <f t="shared" ca="1" si="16"/>
        <v>49.702659111240116</v>
      </c>
      <c r="CJ15" s="36">
        <f t="shared" ca="1" si="16"/>
        <v>50.19129317004743</v>
      </c>
      <c r="CK15" s="36">
        <f t="shared" ca="1" si="16"/>
        <v>50.677012733484375</v>
      </c>
      <c r="CL15" s="36">
        <f t="shared" ca="1" si="16"/>
        <v>51.413868625286419</v>
      </c>
      <c r="CM15" s="36">
        <f t="shared" ca="1" si="16"/>
        <v>51.171963054768078</v>
      </c>
      <c r="CN15" s="36">
        <f t="shared" ca="1" si="16"/>
        <v>51.620206440071378</v>
      </c>
      <c r="CO15" s="36">
        <f t="shared" ca="1" si="16"/>
        <v>51.035734739132664</v>
      </c>
      <c r="CP15" s="36">
        <f t="shared" ca="1" si="16"/>
        <v>50.158548706668704</v>
      </c>
      <c r="CQ15" s="36">
        <f t="shared" ca="1" si="16"/>
        <v>50.350653812979516</v>
      </c>
      <c r="CR15" s="36">
        <f t="shared" ca="1" si="16"/>
        <v>50.310153778702819</v>
      </c>
      <c r="CS15" s="36">
        <f t="shared" ca="1" si="16"/>
        <v>50.406735866589955</v>
      </c>
      <c r="CT15" s="36">
        <f t="shared" ca="1" si="16"/>
        <v>49.758952591672937</v>
      </c>
      <c r="CU15" s="36">
        <f t="shared" ca="1" si="16"/>
        <v>50.340512931286156</v>
      </c>
      <c r="CV15" s="36">
        <f t="shared" ca="1" si="16"/>
        <v>50.601488436553979</v>
      </c>
      <c r="CW15" s="36">
        <f t="shared" ca="1" si="16"/>
        <v>49.669599782991774</v>
      </c>
      <c r="CX15" s="36">
        <f t="shared" ca="1" si="16"/>
        <v>50.336954845179882</v>
      </c>
      <c r="CY15" s="36">
        <f t="shared" ca="1" si="16"/>
        <v>50.199893397725234</v>
      </c>
      <c r="CZ15" s="36">
        <f t="shared" ca="1" si="16"/>
        <v>49.67135870618246</v>
      </c>
      <c r="DA15" s="36">
        <f t="shared" ca="1" si="16"/>
        <v>50.061884140292314</v>
      </c>
      <c r="DB15" s="36">
        <f t="shared" ca="1" si="16"/>
        <v>50.905347056552564</v>
      </c>
      <c r="DC15" s="36">
        <f t="shared" ca="1" si="16"/>
        <v>50.639489725174634</v>
      </c>
      <c r="DD15" s="36">
        <f t="shared" ca="1" si="16"/>
        <v>51.656222204466353</v>
      </c>
      <c r="DE15" s="36">
        <f t="shared" ca="1" si="16"/>
        <v>51.393289030824519</v>
      </c>
      <c r="DF15" s="36">
        <f t="shared" ca="1" si="16"/>
        <v>50.108172164750691</v>
      </c>
      <c r="DG15" s="36">
        <f t="shared" ca="1" si="16"/>
        <v>50.599580327789866</v>
      </c>
      <c r="DH15" s="36">
        <f t="shared" ca="1" si="16"/>
        <v>50.956934210619337</v>
      </c>
      <c r="DI15" s="36">
        <f t="shared" ca="1" si="16"/>
        <v>51.134141139157464</v>
      </c>
      <c r="DJ15" s="36">
        <f t="shared" ca="1" si="16"/>
        <v>50.158320487027531</v>
      </c>
      <c r="DK15" s="36">
        <f t="shared" ca="1" si="16"/>
        <v>50.752172273067558</v>
      </c>
      <c r="DL15" s="36">
        <f t="shared" ca="1" si="16"/>
        <v>52.24715446457467</v>
      </c>
      <c r="DM15" s="36">
        <f t="shared" ca="1" si="16"/>
        <v>51.853816636693082</v>
      </c>
      <c r="DN15" s="36">
        <f t="shared" ca="1" si="16"/>
        <v>51.822971057962455</v>
      </c>
      <c r="DO15" s="36">
        <f t="shared" ca="1" si="16"/>
        <v>51.518528298949548</v>
      </c>
      <c r="DP15" s="36">
        <f t="shared" ca="1" si="16"/>
        <v>52.875997558996126</v>
      </c>
      <c r="DQ15" s="36">
        <f t="shared" ca="1" si="16"/>
        <v>53.239410973251992</v>
      </c>
      <c r="DR15" s="36">
        <f t="shared" ca="1" si="16"/>
        <v>53.275137301114171</v>
      </c>
      <c r="DS15" s="36">
        <f t="shared" ca="1" si="16"/>
        <v>52.962133782506541</v>
      </c>
      <c r="DT15" s="36">
        <f t="shared" ca="1" si="16"/>
        <v>51.828402776836299</v>
      </c>
      <c r="DU15" s="36">
        <f t="shared" ca="1" si="16"/>
        <v>51.820571138682546</v>
      </c>
      <c r="DV15" s="36">
        <f t="shared" ca="1" si="16"/>
        <v>51.842472455767606</v>
      </c>
      <c r="DW15" s="36">
        <f t="shared" ca="1" si="16"/>
        <v>51.892068044652788</v>
      </c>
      <c r="DX15" s="36">
        <f t="shared" ca="1" si="16"/>
        <v>52.2673930971307</v>
      </c>
      <c r="DY15" s="36">
        <f t="shared" ca="1" si="16"/>
        <v>51.554527129379572</v>
      </c>
      <c r="DZ15" s="36">
        <f t="shared" ca="1" si="16"/>
        <v>52.21368813096371</v>
      </c>
      <c r="EA15" s="36">
        <f t="shared" ca="1" si="16"/>
        <v>52.195123844997006</v>
      </c>
      <c r="EB15" s="36">
        <f t="shared" ca="1" si="16"/>
        <v>53.00983934771974</v>
      </c>
      <c r="EC15" s="36">
        <f t="shared" ref="EC15:EV28" ca="1" si="26">EB15*EXP(($B$3-$B$4^2/2)*1+$B$4*_xlfn.NORM.S.INV(RAND()))</f>
        <v>54.077473977242548</v>
      </c>
      <c r="ED15" s="36">
        <f t="shared" ca="1" si="26"/>
        <v>53.531301166144701</v>
      </c>
      <c r="EE15" s="36">
        <f t="shared" ca="1" si="26"/>
        <v>54.669286489051764</v>
      </c>
      <c r="EF15" s="36">
        <f t="shared" ca="1" si="26"/>
        <v>55.315482192514118</v>
      </c>
      <c r="EG15" s="36">
        <f t="shared" ca="1" si="26"/>
        <v>55.28105505392594</v>
      </c>
      <c r="EH15" s="36">
        <f t="shared" ca="1" si="26"/>
        <v>55.314324239175448</v>
      </c>
      <c r="EI15" s="36">
        <f t="shared" ca="1" si="26"/>
        <v>54.732970745228037</v>
      </c>
      <c r="EJ15" s="36">
        <f t="shared" ca="1" si="26"/>
        <v>53.797281087992367</v>
      </c>
      <c r="EK15" s="36">
        <f t="shared" ca="1" si="26"/>
        <v>53.181805865497687</v>
      </c>
      <c r="EL15" s="36">
        <f t="shared" ca="1" si="26"/>
        <v>52.081096539768744</v>
      </c>
      <c r="EM15" s="36">
        <f t="shared" ca="1" si="26"/>
        <v>51.779417716067371</v>
      </c>
      <c r="EN15" s="36">
        <f t="shared" ca="1" si="26"/>
        <v>52.127614627650495</v>
      </c>
      <c r="EO15" s="36">
        <f t="shared" ca="1" si="26"/>
        <v>51.51954973621104</v>
      </c>
      <c r="EP15" s="36">
        <f t="shared" ca="1" si="26"/>
        <v>51.591088903779479</v>
      </c>
      <c r="EQ15" s="36">
        <f t="shared" ca="1" si="26"/>
        <v>50.844133666324296</v>
      </c>
      <c r="ER15" s="36">
        <f t="shared" ca="1" si="26"/>
        <v>50.013745020185418</v>
      </c>
      <c r="ES15" s="36">
        <f t="shared" ca="1" si="26"/>
        <v>49.344990888496113</v>
      </c>
      <c r="ET15" s="36">
        <f t="shared" ca="1" si="26"/>
        <v>48.715740210265281</v>
      </c>
      <c r="EU15" s="36">
        <f t="shared" ca="1" si="26"/>
        <v>48.904373281617232</v>
      </c>
      <c r="EV15" s="36">
        <f t="shared" ca="1" si="26"/>
        <v>48.439905105811221</v>
      </c>
      <c r="EW15" s="36">
        <f t="shared" ref="EW15" ca="1" si="27">EV15*EXP(($B$3-$B$4^2/2)*1+$B$4*_xlfn.NORM.S.INV(RAND()))</f>
        <v>47.206393845546124</v>
      </c>
      <c r="EX15" s="36">
        <f t="shared" ca="1" si="21"/>
        <v>46.385256849672814</v>
      </c>
      <c r="EY15" s="36">
        <f t="shared" ca="1" si="21"/>
        <v>47.494808300158198</v>
      </c>
      <c r="EZ15" s="36">
        <f t="shared" ca="1" si="21"/>
        <v>48.839208844882393</v>
      </c>
      <c r="FA15" s="36">
        <f t="shared" ca="1" si="21"/>
        <v>49.479359253356328</v>
      </c>
      <c r="FB15" s="36">
        <f t="shared" ca="1" si="21"/>
        <v>49.384643023549586</v>
      </c>
      <c r="FC15" s="36">
        <f t="shared" ca="1" si="21"/>
        <v>50.627119565897118</v>
      </c>
      <c r="FD15" s="36">
        <f t="shared" ca="1" si="21"/>
        <v>51.091208858583535</v>
      </c>
      <c r="FE15" s="36">
        <f t="shared" ca="1" si="21"/>
        <v>50.888897734643393</v>
      </c>
      <c r="FF15" s="36">
        <f t="shared" ca="1" si="21"/>
        <v>51.768723468438736</v>
      </c>
      <c r="FG15" s="36">
        <f t="shared" ca="1" si="21"/>
        <v>52.936385506623729</v>
      </c>
      <c r="FH15" s="36">
        <f t="shared" ca="1" si="21"/>
        <v>51.786736343104323</v>
      </c>
      <c r="FI15" s="36">
        <f t="shared" ca="1" si="21"/>
        <v>51.788159571169572</v>
      </c>
      <c r="FJ15" s="36">
        <f t="shared" ca="1" si="21"/>
        <v>50.484059071468003</v>
      </c>
      <c r="FK15" s="36">
        <f t="shared" ca="1" si="21"/>
        <v>51.673480693313223</v>
      </c>
      <c r="FL15" s="36">
        <f t="shared" ca="1" si="21"/>
        <v>51.651269645996869</v>
      </c>
      <c r="FM15" s="36">
        <f t="shared" ca="1" si="21"/>
        <v>52.352761663570583</v>
      </c>
      <c r="FN15" s="36">
        <f t="shared" ca="1" si="21"/>
        <v>53.076451844385893</v>
      </c>
      <c r="FO15" s="36">
        <f t="shared" ca="1" si="21"/>
        <v>53.404714673995556</v>
      </c>
      <c r="FP15" s="36">
        <f t="shared" ca="1" si="21"/>
        <v>53.787600666254775</v>
      </c>
      <c r="FQ15" s="36">
        <f t="shared" ca="1" si="21"/>
        <v>54.790398582617811</v>
      </c>
      <c r="FR15" s="36">
        <f t="shared" ca="1" si="21"/>
        <v>55.420956090822614</v>
      </c>
      <c r="FS15" s="36">
        <f t="shared" ca="1" si="21"/>
        <v>55.879657472484716</v>
      </c>
      <c r="FT15" s="36">
        <f t="shared" ca="1" si="21"/>
        <v>55.36006617458056</v>
      </c>
      <c r="FU15" s="36">
        <f t="shared" ca="1" si="21"/>
        <v>55.178106649597645</v>
      </c>
      <c r="FV15" s="36">
        <f t="shared" ca="1" si="21"/>
        <v>55.165551768532076</v>
      </c>
      <c r="FW15" s="36">
        <f t="shared" ca="1" si="21"/>
        <v>54.861104639871172</v>
      </c>
      <c r="FX15" s="36">
        <f t="shared" ca="1" si="21"/>
        <v>54.117385384313998</v>
      </c>
      <c r="FY15" s="36">
        <f t="shared" ca="1" si="21"/>
        <v>55.837554112525318</v>
      </c>
      <c r="FZ15" s="36">
        <f t="shared" ca="1" si="21"/>
        <v>56.422377860701644</v>
      </c>
      <c r="GA15" s="36">
        <f t="shared" ca="1" si="21"/>
        <v>55.846621893206752</v>
      </c>
      <c r="GB15" s="36">
        <f t="shared" ca="1" si="21"/>
        <v>55.649362307773956</v>
      </c>
      <c r="GC15" s="36">
        <f t="shared" ca="1" si="21"/>
        <v>55.983963355352778</v>
      </c>
      <c r="GD15" s="36">
        <f t="shared" ca="1" si="21"/>
        <v>57.003286554750787</v>
      </c>
      <c r="GE15" s="36">
        <f t="shared" ca="1" si="21"/>
        <v>56.716218993880183</v>
      </c>
      <c r="GF15" s="36">
        <f t="shared" ca="1" si="21"/>
        <v>56.720319598056072</v>
      </c>
      <c r="GG15" s="36">
        <f t="shared" ca="1" si="21"/>
        <v>57.968554664818541</v>
      </c>
      <c r="GH15" s="36">
        <f t="shared" ca="1" si="21"/>
        <v>56.415272774528233</v>
      </c>
      <c r="GI15" s="36">
        <f t="shared" ca="1" si="21"/>
        <v>56.034267123308105</v>
      </c>
      <c r="GJ15" s="36">
        <f t="shared" ca="1" si="21"/>
        <v>57.207165352869048</v>
      </c>
      <c r="GK15" s="36">
        <f t="shared" ca="1" si="21"/>
        <v>56.947508937788605</v>
      </c>
      <c r="GL15" s="36">
        <f t="shared" ca="1" si="21"/>
        <v>55.61488909081168</v>
      </c>
      <c r="GM15" s="36">
        <f t="shared" ca="1" si="21"/>
        <v>55.544025215712878</v>
      </c>
      <c r="GN15" s="36">
        <f t="shared" ca="1" si="21"/>
        <v>55.353642324292963</v>
      </c>
      <c r="GO15" s="36">
        <f t="shared" ca="1" si="21"/>
        <v>54.613377239465692</v>
      </c>
      <c r="GP15" s="36">
        <f t="shared" ca="1" si="21"/>
        <v>54.101810606128339</v>
      </c>
      <c r="GQ15" s="36">
        <f t="shared" ca="1" si="21"/>
        <v>53.830770256310515</v>
      </c>
      <c r="GR15" s="36">
        <f t="shared" ca="1" si="21"/>
        <v>54.570920323294153</v>
      </c>
      <c r="GS15" s="36">
        <f t="shared" ca="1" si="21"/>
        <v>54.474921966854808</v>
      </c>
      <c r="GT15" s="36">
        <f t="shared" ca="1" si="21"/>
        <v>54.606987616681735</v>
      </c>
      <c r="GU15" s="36">
        <f t="shared" ca="1" si="21"/>
        <v>54.752342523172842</v>
      </c>
      <c r="GV15" s="36">
        <f t="shared" ca="1" si="21"/>
        <v>54.857554497283182</v>
      </c>
      <c r="GW15" s="36">
        <f t="shared" ca="1" si="21"/>
        <v>53.401644981478618</v>
      </c>
      <c r="GX15" s="36">
        <f t="shared" ca="1" si="21"/>
        <v>53.839654541453861</v>
      </c>
      <c r="GY15" s="36">
        <f t="shared" ca="1" si="21"/>
        <v>53.986863185664433</v>
      </c>
      <c r="GZ15" s="36">
        <f t="shared" ca="1" si="21"/>
        <v>52.675401006316193</v>
      </c>
      <c r="HA15" s="36">
        <f t="shared" ca="1" si="21"/>
        <v>51.583360811489761</v>
      </c>
      <c r="HB15" s="36">
        <f t="shared" ca="1" si="21"/>
        <v>52.113288682971614</v>
      </c>
      <c r="HC15" s="36">
        <f t="shared" ca="1" si="21"/>
        <v>51.217222130699071</v>
      </c>
      <c r="HD15" s="36">
        <f t="shared" ca="1" si="21"/>
        <v>50.793294681282461</v>
      </c>
      <c r="HE15" s="36">
        <f t="shared" ca="1" si="21"/>
        <v>51.198036278324537</v>
      </c>
      <c r="HF15" s="36">
        <f t="shared" ca="1" si="21"/>
        <v>51.28646237182425</v>
      </c>
      <c r="HG15" s="36">
        <f t="shared" ca="1" si="21"/>
        <v>51.036779345121595</v>
      </c>
      <c r="HH15" s="36">
        <f t="shared" ca="1" si="21"/>
        <v>51.532871248965435</v>
      </c>
      <c r="HI15" s="36">
        <f t="shared" ca="1" si="22"/>
        <v>51.76496636534722</v>
      </c>
      <c r="HJ15" s="36">
        <f t="shared" ca="1" si="12"/>
        <v>51.495295557840926</v>
      </c>
      <c r="HK15" s="36">
        <f t="shared" ca="1" si="12"/>
        <v>51.124774286089121</v>
      </c>
      <c r="HL15" s="36">
        <f t="shared" ca="1" si="12"/>
        <v>50.076896403693837</v>
      </c>
      <c r="HM15" s="36">
        <f t="shared" ca="1" si="12"/>
        <v>51.040152914530644</v>
      </c>
      <c r="HN15" s="36">
        <f t="shared" ca="1" si="12"/>
        <v>50.508520152433292</v>
      </c>
      <c r="HO15" s="36">
        <f t="shared" ca="1" si="12"/>
        <v>50.525649276540989</v>
      </c>
      <c r="HP15" s="36">
        <f t="shared" ca="1" si="12"/>
        <v>50.476395283986761</v>
      </c>
      <c r="HQ15" s="36">
        <f t="shared" ca="1" si="12"/>
        <v>50.254700498848173</v>
      </c>
      <c r="HR15" s="36">
        <f t="shared" ca="1" si="12"/>
        <v>50.157865562422685</v>
      </c>
      <c r="HS15" s="36">
        <f t="shared" ca="1" si="12"/>
        <v>51.010644395438305</v>
      </c>
      <c r="HT15" s="36">
        <f t="shared" ca="1" si="12"/>
        <v>51.137214283623081</v>
      </c>
      <c r="HU15" s="36">
        <f t="shared" ca="1" si="12"/>
        <v>50.83815076952218</v>
      </c>
      <c r="HV15" s="36">
        <f t="shared" ca="1" si="12"/>
        <v>50.889471306431055</v>
      </c>
      <c r="HW15" s="36">
        <f t="shared" ca="1" si="12"/>
        <v>50.511478215185981</v>
      </c>
      <c r="HX15" s="36">
        <f t="shared" ca="1" si="12"/>
        <v>50.277006043607763</v>
      </c>
      <c r="HY15" s="36">
        <f t="shared" ca="1" si="12"/>
        <v>50.83036947085575</v>
      </c>
      <c r="HZ15" s="36">
        <f t="shared" ca="1" si="23"/>
        <v>52.022558443350228</v>
      </c>
      <c r="IA15" s="36">
        <f t="shared" ca="1" si="23"/>
        <v>52.119484139804207</v>
      </c>
      <c r="IB15" s="36">
        <f t="shared" ca="1" si="23"/>
        <v>51.636488021502217</v>
      </c>
      <c r="IC15" s="36">
        <f t="shared" ca="1" si="23"/>
        <v>51.083610155073437</v>
      </c>
      <c r="ID15" s="36">
        <f t="shared" ca="1" si="23"/>
        <v>50.961736780260786</v>
      </c>
      <c r="IE15" s="36">
        <f t="shared" ca="1" si="23"/>
        <v>49.726805612612537</v>
      </c>
      <c r="IF15" s="36">
        <f t="shared" ca="1" si="23"/>
        <v>49.715544744926859</v>
      </c>
      <c r="IG15" s="36">
        <f t="shared" ca="1" si="23"/>
        <v>50.057398158873298</v>
      </c>
      <c r="IH15" s="36">
        <f t="shared" ca="1" si="23"/>
        <v>49.007586374228808</v>
      </c>
      <c r="II15" s="36">
        <f t="shared" ca="1" si="23"/>
        <v>48.764836717030931</v>
      </c>
      <c r="IJ15" s="36">
        <f t="shared" ca="1" si="23"/>
        <v>49.153179514544512</v>
      </c>
      <c r="IK15" s="36">
        <f t="shared" ca="1" si="23"/>
        <v>48.852834993757561</v>
      </c>
      <c r="IL15" s="36">
        <f t="shared" ca="1" si="23"/>
        <v>49.635983263018588</v>
      </c>
      <c r="IM15" s="36">
        <f t="shared" ca="1" si="23"/>
        <v>49.738438973442271</v>
      </c>
      <c r="IN15" s="36">
        <f t="shared" ca="1" si="23"/>
        <v>48.878434704795758</v>
      </c>
      <c r="IO15" s="36">
        <f t="shared" ca="1" si="23"/>
        <v>49.173628993105659</v>
      </c>
      <c r="IP15" s="36">
        <f t="shared" ca="1" si="23"/>
        <v>49.148182336935349</v>
      </c>
      <c r="IQ15" s="36">
        <f t="shared" ca="1" si="23"/>
        <v>49.542465447237078</v>
      </c>
      <c r="IR15" s="36">
        <f t="shared" ca="1" si="23"/>
        <v>49.545769412588584</v>
      </c>
      <c r="IS15" s="36">
        <f t="shared" ca="1" si="23"/>
        <v>49.467652234069106</v>
      </c>
      <c r="IT15" s="36">
        <f t="shared" ca="1" si="23"/>
        <v>50.685540401140123</v>
      </c>
      <c r="IU15" s="36">
        <f t="shared" ca="1" si="23"/>
        <v>51.205536325420447</v>
      </c>
    </row>
    <row r="16" spans="1:255" x14ac:dyDescent="0.2">
      <c r="A16" s="36"/>
      <c r="B16">
        <v>6</v>
      </c>
      <c r="C16" s="36">
        <v>50</v>
      </c>
      <c r="D16" s="36">
        <f t="shared" ca="1" si="14"/>
        <v>50.449082370122632</v>
      </c>
      <c r="E16" s="36">
        <f t="shared" ca="1" si="14"/>
        <v>50.355110072967321</v>
      </c>
      <c r="F16" s="36">
        <f t="shared" ca="1" si="24"/>
        <v>50.949471478237122</v>
      </c>
      <c r="G16" s="36">
        <f t="shared" ca="1" si="24"/>
        <v>51.542542695312818</v>
      </c>
      <c r="H16" s="36">
        <f t="shared" ca="1" si="24"/>
        <v>51.552328778332729</v>
      </c>
      <c r="I16" s="36">
        <f t="shared" ca="1" si="24"/>
        <v>51.513732963024012</v>
      </c>
      <c r="J16" s="36">
        <f t="shared" ca="1" si="24"/>
        <v>51.503515328345884</v>
      </c>
      <c r="K16" s="36">
        <f t="shared" ca="1" si="24"/>
        <v>51.203482799664187</v>
      </c>
      <c r="L16" s="36">
        <f t="shared" ca="1" si="24"/>
        <v>50.750291276376387</v>
      </c>
      <c r="M16" s="36">
        <f t="shared" ca="1" si="24"/>
        <v>50.725194877474756</v>
      </c>
      <c r="N16" s="36">
        <f t="shared" ca="1" si="24"/>
        <v>51.268400043381433</v>
      </c>
      <c r="O16" s="36">
        <f t="shared" ca="1" si="24"/>
        <v>50.72393714310418</v>
      </c>
      <c r="P16" s="36">
        <f t="shared" ca="1" si="24"/>
        <v>51.008183756371515</v>
      </c>
      <c r="Q16" s="36">
        <f t="shared" ca="1" si="24"/>
        <v>52.280262285505422</v>
      </c>
      <c r="R16" s="36">
        <f t="shared" ca="1" si="24"/>
        <v>52.115001686014757</v>
      </c>
      <c r="S16" s="36">
        <f t="shared" ca="1" si="24"/>
        <v>52.666623334314828</v>
      </c>
      <c r="T16" s="36">
        <f t="shared" ca="1" si="24"/>
        <v>51.323641570115221</v>
      </c>
      <c r="U16" s="36">
        <f t="shared" ca="1" si="24"/>
        <v>50.866668031074155</v>
      </c>
      <c r="V16" s="36">
        <f t="shared" ca="1" si="24"/>
        <v>51.090961917104259</v>
      </c>
      <c r="W16" s="36">
        <f t="shared" ca="1" si="24"/>
        <v>51.475901013968858</v>
      </c>
      <c r="X16" s="36">
        <f t="shared" ca="1" si="24"/>
        <v>51.374470279284019</v>
      </c>
      <c r="Y16" s="36">
        <f t="shared" ca="1" si="24"/>
        <v>50.960096911818923</v>
      </c>
      <c r="Z16" s="36">
        <f t="shared" ca="1" si="24"/>
        <v>51.218430613775929</v>
      </c>
      <c r="AA16" s="36">
        <f t="shared" ca="1" si="24"/>
        <v>51.891740319327191</v>
      </c>
      <c r="AB16" s="36">
        <f t="shared" ca="1" si="24"/>
        <v>52.355849594962244</v>
      </c>
      <c r="AC16" s="36">
        <f t="shared" ca="1" si="24"/>
        <v>51.457034859929102</v>
      </c>
      <c r="AD16" s="36">
        <f t="shared" ca="1" si="24"/>
        <v>51.694115748678826</v>
      </c>
      <c r="AE16" s="36">
        <f t="shared" ca="1" si="24"/>
        <v>51.922261297550016</v>
      </c>
      <c r="AF16" s="36">
        <f t="shared" ca="1" si="24"/>
        <v>52.207469826533611</v>
      </c>
      <c r="AG16" s="36">
        <f t="shared" ca="1" si="24"/>
        <v>51.828144061568153</v>
      </c>
      <c r="AH16" s="36">
        <f t="shared" ca="1" si="24"/>
        <v>51.426080857515757</v>
      </c>
      <c r="AI16" s="36">
        <f t="shared" ca="1" si="24"/>
        <v>51.100446044679472</v>
      </c>
      <c r="AJ16" s="36">
        <f t="shared" ca="1" si="24"/>
        <v>51.813844797634076</v>
      </c>
      <c r="AK16" s="36">
        <f t="shared" ca="1" si="24"/>
        <v>51.992551587717706</v>
      </c>
      <c r="AL16" s="36">
        <f t="shared" ca="1" si="24"/>
        <v>51.896919602385225</v>
      </c>
      <c r="AM16" s="36">
        <f t="shared" ca="1" si="24"/>
        <v>51.551922629650477</v>
      </c>
      <c r="AN16" s="36">
        <f t="shared" ca="1" si="24"/>
        <v>51.065424749451935</v>
      </c>
      <c r="AO16" s="36">
        <f t="shared" ca="1" si="24"/>
        <v>51.607276742684327</v>
      </c>
      <c r="AP16" s="36">
        <f t="shared" ca="1" si="24"/>
        <v>51.56728295844735</v>
      </c>
      <c r="AQ16" s="36">
        <f t="shared" ca="1" si="24"/>
        <v>51.460606851034981</v>
      </c>
      <c r="AR16" s="36">
        <f t="shared" ca="1" si="24"/>
        <v>51.93909291258192</v>
      </c>
      <c r="AS16" s="36">
        <f t="shared" ca="1" si="24"/>
        <v>51.234321412189615</v>
      </c>
      <c r="AT16" s="36">
        <f t="shared" ca="1" si="24"/>
        <v>51.116106394206355</v>
      </c>
      <c r="AU16" s="36">
        <f t="shared" ca="1" si="24"/>
        <v>51.482592868374141</v>
      </c>
      <c r="AV16" s="36">
        <f t="shared" ca="1" si="24"/>
        <v>51.635980857025345</v>
      </c>
      <c r="AW16" s="36">
        <f t="shared" ca="1" si="24"/>
        <v>50.280734484586453</v>
      </c>
      <c r="AX16" s="36">
        <f t="shared" ca="1" si="24"/>
        <v>50.608048894489023</v>
      </c>
      <c r="AY16" s="36">
        <f t="shared" ca="1" si="24"/>
        <v>51.920980430476646</v>
      </c>
      <c r="AZ16" s="36">
        <f t="shared" ca="1" si="24"/>
        <v>52.434842289686152</v>
      </c>
      <c r="BA16" s="36">
        <f t="shared" ca="1" si="24"/>
        <v>52.928996324012196</v>
      </c>
      <c r="BB16" s="36">
        <f t="shared" ca="1" si="24"/>
        <v>52.779787188651611</v>
      </c>
      <c r="BC16" s="36">
        <f t="shared" ca="1" si="24"/>
        <v>52.043188926631977</v>
      </c>
      <c r="BD16" s="36">
        <f t="shared" ca="1" si="24"/>
        <v>52.560680540414708</v>
      </c>
      <c r="BE16" s="36">
        <f t="shared" ca="1" si="24"/>
        <v>53.230587352913219</v>
      </c>
      <c r="BF16" s="36">
        <f t="shared" ca="1" si="24"/>
        <v>53.606868947273767</v>
      </c>
      <c r="BG16" s="36">
        <f t="shared" ca="1" si="24"/>
        <v>53.83179156653145</v>
      </c>
      <c r="BH16" s="36">
        <f t="shared" ca="1" si="24"/>
        <v>54.274365719662583</v>
      </c>
      <c r="BI16" s="36">
        <f t="shared" ca="1" si="24"/>
        <v>55.836576565885458</v>
      </c>
      <c r="BJ16" s="36">
        <f t="shared" ca="1" si="24"/>
        <v>55.204014643741424</v>
      </c>
      <c r="BK16" s="36">
        <f t="shared" ca="1" si="24"/>
        <v>54.82059097839781</v>
      </c>
      <c r="BL16" s="36">
        <f t="shared" ca="1" si="24"/>
        <v>54.987159095846415</v>
      </c>
      <c r="BM16" s="36">
        <f t="shared" ca="1" si="24"/>
        <v>56.291264323627566</v>
      </c>
      <c r="BN16" s="36">
        <f t="shared" ca="1" si="24"/>
        <v>56.498580181751045</v>
      </c>
      <c r="BO16" s="36">
        <f t="shared" ca="1" si="24"/>
        <v>56.261914294586148</v>
      </c>
      <c r="BP16" s="36">
        <f t="shared" ca="1" si="24"/>
        <v>56.181061215463515</v>
      </c>
      <c r="BQ16" s="36">
        <f t="shared" ca="1" si="24"/>
        <v>56.57005992277724</v>
      </c>
      <c r="BR16" s="36">
        <f t="shared" ref="BR16:EC31" ca="1" si="28">BQ16*EXP(($B$3-$B$4^2/2)*1+$B$4*_xlfn.NORM.S.INV(RAND()))</f>
        <v>55.982272672660166</v>
      </c>
      <c r="BS16" s="36">
        <f t="shared" ca="1" si="28"/>
        <v>56.022775766642283</v>
      </c>
      <c r="BT16" s="36">
        <f t="shared" ca="1" si="28"/>
        <v>56.208650678386469</v>
      </c>
      <c r="BU16" s="36">
        <f t="shared" ca="1" si="28"/>
        <v>55.398324592431493</v>
      </c>
      <c r="BV16" s="36">
        <f t="shared" ca="1" si="28"/>
        <v>56.09795734438746</v>
      </c>
      <c r="BW16" s="36">
        <f t="shared" ca="1" si="28"/>
        <v>55.848222058246421</v>
      </c>
      <c r="BX16" s="36">
        <f t="shared" ca="1" si="28"/>
        <v>55.90173726213974</v>
      </c>
      <c r="BY16" s="36">
        <f t="shared" ca="1" si="28"/>
        <v>55.576654410131688</v>
      </c>
      <c r="BZ16" s="36">
        <f t="shared" ca="1" si="28"/>
        <v>55.440094092690288</v>
      </c>
      <c r="CA16" s="36">
        <f t="shared" ca="1" si="28"/>
        <v>57.038502485103912</v>
      </c>
      <c r="CB16" s="36">
        <f t="shared" ca="1" si="28"/>
        <v>57.011698017602747</v>
      </c>
      <c r="CC16" s="36">
        <f t="shared" ca="1" si="28"/>
        <v>57.076733646608773</v>
      </c>
      <c r="CD16" s="36">
        <f t="shared" ca="1" si="28"/>
        <v>58.142521285175413</v>
      </c>
      <c r="CE16" s="36">
        <f t="shared" ca="1" si="28"/>
        <v>57.671642145119051</v>
      </c>
      <c r="CF16" s="36">
        <f t="shared" ca="1" si="28"/>
        <v>57.491979025589551</v>
      </c>
      <c r="CG16" s="36">
        <f t="shared" ca="1" si="28"/>
        <v>56.894277393882817</v>
      </c>
      <c r="CH16" s="36">
        <f t="shared" ca="1" si="28"/>
        <v>57.905722573934575</v>
      </c>
      <c r="CI16" s="36">
        <f t="shared" ca="1" si="28"/>
        <v>57.210967603286214</v>
      </c>
      <c r="CJ16" s="36">
        <f t="shared" ca="1" si="28"/>
        <v>57.258315047607013</v>
      </c>
      <c r="CK16" s="36">
        <f t="shared" ca="1" si="28"/>
        <v>56.669343349737154</v>
      </c>
      <c r="CL16" s="36">
        <f t="shared" ca="1" si="28"/>
        <v>55.429546107195947</v>
      </c>
      <c r="CM16" s="36">
        <f t="shared" ca="1" si="28"/>
        <v>54.465303818576395</v>
      </c>
      <c r="CN16" s="36">
        <f t="shared" ca="1" si="28"/>
        <v>54.514351769833908</v>
      </c>
      <c r="CO16" s="36">
        <f t="shared" ca="1" si="28"/>
        <v>53.01027362113885</v>
      </c>
      <c r="CP16" s="36">
        <f t="shared" ca="1" si="28"/>
        <v>53.694304032639145</v>
      </c>
      <c r="CQ16" s="36">
        <f t="shared" ca="1" si="28"/>
        <v>53.340160543622531</v>
      </c>
      <c r="CR16" s="36">
        <f t="shared" ca="1" si="28"/>
        <v>54.204869884360605</v>
      </c>
      <c r="CS16" s="36">
        <f t="shared" ca="1" si="28"/>
        <v>53.676839954989006</v>
      </c>
      <c r="CT16" s="36">
        <f t="shared" ca="1" si="28"/>
        <v>54.151043944008833</v>
      </c>
      <c r="CU16" s="36">
        <f t="shared" ca="1" si="28"/>
        <v>53.156031388392087</v>
      </c>
      <c r="CV16" s="36">
        <f t="shared" ca="1" si="28"/>
        <v>53.360529699334869</v>
      </c>
      <c r="CW16" s="36">
        <f t="shared" ca="1" si="28"/>
        <v>53.159933598213605</v>
      </c>
      <c r="CX16" s="36">
        <f t="shared" ca="1" si="28"/>
        <v>53.214639930457963</v>
      </c>
      <c r="CY16" s="36">
        <f t="shared" ca="1" si="28"/>
        <v>53.214355431313258</v>
      </c>
      <c r="CZ16" s="36">
        <f t="shared" ca="1" si="28"/>
        <v>53.203688401270114</v>
      </c>
      <c r="DA16" s="36">
        <f t="shared" ca="1" si="28"/>
        <v>52.500127367893811</v>
      </c>
      <c r="DB16" s="36">
        <f t="shared" ca="1" si="28"/>
        <v>51.936108600258997</v>
      </c>
      <c r="DC16" s="36">
        <f t="shared" ca="1" si="28"/>
        <v>51.267793139640489</v>
      </c>
      <c r="DD16" s="36">
        <f t="shared" ca="1" si="28"/>
        <v>50.924023158985953</v>
      </c>
      <c r="DE16" s="36">
        <f t="shared" ca="1" si="28"/>
        <v>51.095207233250044</v>
      </c>
      <c r="DF16" s="36">
        <f t="shared" ca="1" si="28"/>
        <v>50.399688785222665</v>
      </c>
      <c r="DG16" s="36">
        <f t="shared" ca="1" si="28"/>
        <v>49.844104993653147</v>
      </c>
      <c r="DH16" s="36">
        <f t="shared" ca="1" si="28"/>
        <v>50.12896294740807</v>
      </c>
      <c r="DI16" s="36">
        <f t="shared" ca="1" si="28"/>
        <v>49.61500495129787</v>
      </c>
      <c r="DJ16" s="36">
        <f t="shared" ca="1" si="28"/>
        <v>48.216203384025356</v>
      </c>
      <c r="DK16" s="36">
        <f t="shared" ca="1" si="28"/>
        <v>48.354645591119692</v>
      </c>
      <c r="DL16" s="36">
        <f t="shared" ca="1" si="28"/>
        <v>46.894625031029463</v>
      </c>
      <c r="DM16" s="36">
        <f t="shared" ca="1" si="28"/>
        <v>46.226868938667543</v>
      </c>
      <c r="DN16" s="36">
        <f t="shared" ca="1" si="28"/>
        <v>45.993966087325269</v>
      </c>
      <c r="DO16" s="36">
        <f t="shared" ca="1" si="28"/>
        <v>46.044171570986315</v>
      </c>
      <c r="DP16" s="36">
        <f t="shared" ca="1" si="28"/>
        <v>45.783523177629711</v>
      </c>
      <c r="DQ16" s="36">
        <f t="shared" ca="1" si="28"/>
        <v>44.724438045125503</v>
      </c>
      <c r="DR16" s="36">
        <f t="shared" ca="1" si="28"/>
        <v>44.578141736229014</v>
      </c>
      <c r="DS16" s="36">
        <f t="shared" ca="1" si="28"/>
        <v>43.935685630107486</v>
      </c>
      <c r="DT16" s="36">
        <f t="shared" ca="1" si="28"/>
        <v>43.707147024443522</v>
      </c>
      <c r="DU16" s="36">
        <f t="shared" ca="1" si="28"/>
        <v>44.394599595749639</v>
      </c>
      <c r="DV16" s="36">
        <f t="shared" ca="1" si="28"/>
        <v>45.110480083651886</v>
      </c>
      <c r="DW16" s="36">
        <f t="shared" ca="1" si="28"/>
        <v>44.711460031245942</v>
      </c>
      <c r="DX16" s="36">
        <f t="shared" ca="1" si="28"/>
        <v>45.1032015571271</v>
      </c>
      <c r="DY16" s="36">
        <f t="shared" ca="1" si="28"/>
        <v>45.433371540405858</v>
      </c>
      <c r="DZ16" s="36">
        <f t="shared" ca="1" si="28"/>
        <v>45.699888702516802</v>
      </c>
      <c r="EA16" s="36">
        <f t="shared" ca="1" si="28"/>
        <v>45.581516644495267</v>
      </c>
      <c r="EB16" s="36">
        <f t="shared" ca="1" si="28"/>
        <v>47.014630416424595</v>
      </c>
      <c r="EC16" s="36">
        <f t="shared" ca="1" si="28"/>
        <v>46.870232306265585</v>
      </c>
      <c r="ED16" s="36">
        <f t="shared" ca="1" si="26"/>
        <v>47.103182759440308</v>
      </c>
      <c r="EE16" s="36">
        <f t="shared" ca="1" si="26"/>
        <v>47.407711897439121</v>
      </c>
      <c r="EF16" s="36">
        <f t="shared" ca="1" si="26"/>
        <v>46.904781629607704</v>
      </c>
      <c r="EG16" s="36">
        <f t="shared" ca="1" si="26"/>
        <v>46.588990391727606</v>
      </c>
      <c r="EH16" s="36">
        <f t="shared" ca="1" si="26"/>
        <v>46.981195199140572</v>
      </c>
      <c r="EI16" s="36">
        <f t="shared" ca="1" si="26"/>
        <v>46.862469085323198</v>
      </c>
      <c r="EJ16" s="36">
        <f t="shared" ca="1" si="26"/>
        <v>47.385338869879412</v>
      </c>
      <c r="EK16" s="36">
        <f t="shared" ca="1" si="26"/>
        <v>47.919293793380554</v>
      </c>
      <c r="EL16" s="36">
        <f t="shared" ca="1" si="26"/>
        <v>49.499851339706957</v>
      </c>
      <c r="EM16" s="36">
        <f t="shared" ca="1" si="26"/>
        <v>50.236042611155234</v>
      </c>
      <c r="EN16" s="36">
        <f t="shared" ca="1" si="26"/>
        <v>49.741761767915683</v>
      </c>
      <c r="EO16" s="36">
        <f t="shared" ca="1" si="26"/>
        <v>50.455563021723734</v>
      </c>
      <c r="EP16" s="36">
        <f t="shared" ca="1" si="26"/>
        <v>50.157416846842686</v>
      </c>
      <c r="EQ16" s="36">
        <f t="shared" ca="1" si="26"/>
        <v>51.029453074734697</v>
      </c>
      <c r="ER16" s="36">
        <f t="shared" ca="1" si="26"/>
        <v>51.304777659667906</v>
      </c>
      <c r="ES16" s="36">
        <f t="shared" ca="1" si="26"/>
        <v>51.813289347607089</v>
      </c>
      <c r="ET16" s="36">
        <f t="shared" ca="1" si="26"/>
        <v>52.259657982722651</v>
      </c>
      <c r="EU16" s="36">
        <f t="shared" ca="1" si="26"/>
        <v>52.818552612992185</v>
      </c>
      <c r="EV16" s="36">
        <f t="shared" ca="1" si="26"/>
        <v>52.723816988857223</v>
      </c>
      <c r="EW16" s="36">
        <f t="shared" ref="EW16" ca="1" si="29">EV16*EXP(($B$3-$B$4^2/2)*1+$B$4*_xlfn.NORM.S.INV(RAND()))</f>
        <v>52.50454493220235</v>
      </c>
      <c r="EX16" s="36">
        <f t="shared" ca="1" si="21"/>
        <v>52.253433968529528</v>
      </c>
      <c r="EY16" s="36">
        <f t="shared" ca="1" si="21"/>
        <v>53.173897314165806</v>
      </c>
      <c r="EZ16" s="36">
        <f t="shared" ca="1" si="21"/>
        <v>53.007230135498311</v>
      </c>
      <c r="FA16" s="36">
        <f t="shared" ca="1" si="21"/>
        <v>51.46036109195731</v>
      </c>
      <c r="FB16" s="36">
        <f t="shared" ca="1" si="21"/>
        <v>51.308256733380226</v>
      </c>
      <c r="FC16" s="36">
        <f t="shared" ca="1" si="21"/>
        <v>50.783320893020928</v>
      </c>
      <c r="FD16" s="36">
        <f t="shared" ca="1" si="21"/>
        <v>50.59178260749573</v>
      </c>
      <c r="FE16" s="36">
        <f t="shared" ca="1" si="21"/>
        <v>50.486526621397971</v>
      </c>
      <c r="FF16" s="36">
        <f t="shared" ca="1" si="21"/>
        <v>50.922226257256376</v>
      </c>
      <c r="FG16" s="36">
        <f t="shared" ca="1" si="21"/>
        <v>51.211142799023172</v>
      </c>
      <c r="FH16" s="36">
        <f t="shared" ca="1" si="21"/>
        <v>51.86212850073116</v>
      </c>
      <c r="FI16" s="36">
        <f t="shared" ca="1" si="21"/>
        <v>52.047915348553929</v>
      </c>
      <c r="FJ16" s="36">
        <f t="shared" ca="1" si="21"/>
        <v>52.049378997891118</v>
      </c>
      <c r="FK16" s="36">
        <f t="shared" ca="1" si="21"/>
        <v>52.012373001959929</v>
      </c>
      <c r="FL16" s="36">
        <f t="shared" ca="1" si="21"/>
        <v>51.613636554407158</v>
      </c>
      <c r="FM16" s="36">
        <f t="shared" ca="1" si="21"/>
        <v>51.2970265397256</v>
      </c>
      <c r="FN16" s="36">
        <f t="shared" ca="1" si="21"/>
        <v>51.757369822216802</v>
      </c>
      <c r="FO16" s="36">
        <f t="shared" ca="1" si="21"/>
        <v>51.395909534879756</v>
      </c>
      <c r="FP16" s="36">
        <f t="shared" ca="1" si="21"/>
        <v>52.415809365373264</v>
      </c>
      <c r="FQ16" s="36">
        <f t="shared" ca="1" si="21"/>
        <v>53.314388981032771</v>
      </c>
      <c r="FR16" s="36">
        <f t="shared" ca="1" si="21"/>
        <v>52.282486423228391</v>
      </c>
      <c r="FS16" s="36">
        <f t="shared" ca="1" si="21"/>
        <v>51.866278922767243</v>
      </c>
      <c r="FT16" s="36">
        <f t="shared" ca="1" si="21"/>
        <v>51.597698246301029</v>
      </c>
      <c r="FU16" s="36">
        <f t="shared" ca="1" si="21"/>
        <v>51.435776056064078</v>
      </c>
      <c r="FV16" s="36">
        <f t="shared" ca="1" si="21"/>
        <v>51.944215504027255</v>
      </c>
      <c r="FW16" s="36">
        <f t="shared" ca="1" si="21"/>
        <v>51.580398635858927</v>
      </c>
      <c r="FX16" s="36">
        <f t="shared" ca="1" si="21"/>
        <v>52.347461007758497</v>
      </c>
      <c r="FY16" s="36">
        <f t="shared" ca="1" si="21"/>
        <v>52.827300827441476</v>
      </c>
      <c r="FZ16" s="36">
        <f t="shared" ca="1" si="21"/>
        <v>53.532621385803786</v>
      </c>
      <c r="GA16" s="36">
        <f t="shared" ca="1" si="21"/>
        <v>52.851167793831543</v>
      </c>
      <c r="GB16" s="36">
        <f t="shared" ca="1" si="21"/>
        <v>54.212092554449463</v>
      </c>
      <c r="GC16" s="36">
        <f t="shared" ca="1" si="21"/>
        <v>54.178321453425745</v>
      </c>
      <c r="GD16" s="36">
        <f t="shared" ca="1" si="21"/>
        <v>55.165212546295059</v>
      </c>
      <c r="GE16" s="36">
        <f t="shared" ca="1" si="21"/>
        <v>54.737578051653763</v>
      </c>
      <c r="GF16" s="36">
        <f t="shared" ca="1" si="21"/>
        <v>54.783294264100896</v>
      </c>
      <c r="GG16" s="36">
        <f t="shared" ca="1" si="21"/>
        <v>55.527426530125808</v>
      </c>
      <c r="GH16" s="36">
        <f t="shared" ca="1" si="21"/>
        <v>56.37253638361075</v>
      </c>
      <c r="GI16" s="36">
        <f t="shared" ca="1" si="21"/>
        <v>56.658292468345671</v>
      </c>
      <c r="GJ16" s="36">
        <f t="shared" ca="1" si="21"/>
        <v>56.386937939447883</v>
      </c>
      <c r="GK16" s="36">
        <f t="shared" ca="1" si="21"/>
        <v>55.802967499163081</v>
      </c>
      <c r="GL16" s="36">
        <f t="shared" ca="1" si="21"/>
        <v>55.604489724142304</v>
      </c>
      <c r="GM16" s="36">
        <f t="shared" ca="1" si="21"/>
        <v>56.695678806071406</v>
      </c>
      <c r="GN16" s="36">
        <f t="shared" ca="1" si="21"/>
        <v>56.166480156808177</v>
      </c>
      <c r="GO16" s="36">
        <f t="shared" ca="1" si="21"/>
        <v>55.192508382948098</v>
      </c>
      <c r="GP16" s="36">
        <f t="shared" ca="1" si="21"/>
        <v>54.486696136840635</v>
      </c>
      <c r="GQ16" s="36">
        <f t="shared" ca="1" si="21"/>
        <v>53.353322073123742</v>
      </c>
      <c r="GR16" s="36">
        <f t="shared" ca="1" si="21"/>
        <v>53.941958004092903</v>
      </c>
      <c r="GS16" s="36">
        <f t="shared" ca="1" si="21"/>
        <v>52.635953135533732</v>
      </c>
      <c r="GT16" s="36">
        <f t="shared" ca="1" si="21"/>
        <v>53.602260911649942</v>
      </c>
      <c r="GU16" s="36">
        <f t="shared" ca="1" si="21"/>
        <v>53.023859602895875</v>
      </c>
      <c r="GV16" s="36">
        <f t="shared" ca="1" si="21"/>
        <v>51.847797788247327</v>
      </c>
      <c r="GW16" s="36">
        <f t="shared" ca="1" si="21"/>
        <v>51.65830727700093</v>
      </c>
      <c r="GX16" s="36">
        <f t="shared" ca="1" si="21"/>
        <v>51.727359600642735</v>
      </c>
      <c r="GY16" s="36">
        <f t="shared" ca="1" si="21"/>
        <v>52.822336375226548</v>
      </c>
      <c r="GZ16" s="36">
        <f t="shared" ca="1" si="21"/>
        <v>53.16516190507793</v>
      </c>
      <c r="HA16" s="36">
        <f t="shared" ca="1" si="21"/>
        <v>52.425543583080724</v>
      </c>
      <c r="HB16" s="36">
        <f t="shared" ca="1" si="21"/>
        <v>52.867193285349359</v>
      </c>
      <c r="HC16" s="36">
        <f t="shared" ca="1" si="21"/>
        <v>51.950110197299693</v>
      </c>
      <c r="HD16" s="36">
        <f t="shared" ca="1" si="21"/>
        <v>52.256486133971606</v>
      </c>
      <c r="HE16" s="36">
        <f t="shared" ca="1" si="21"/>
        <v>51.593776805180774</v>
      </c>
      <c r="HF16" s="36">
        <f t="shared" ca="1" si="21"/>
        <v>52.789897397980816</v>
      </c>
      <c r="HG16" s="36">
        <f t="shared" ca="1" si="21"/>
        <v>52.940998112398894</v>
      </c>
      <c r="HH16" s="36">
        <f t="shared" ca="1" si="21"/>
        <v>51.616220275696129</v>
      </c>
      <c r="HI16" s="36">
        <f t="shared" ca="1" si="22"/>
        <v>51.320781868660092</v>
      </c>
      <c r="HJ16" s="36">
        <f t="shared" ca="1" si="22"/>
        <v>50.737841650795168</v>
      </c>
      <c r="HK16" s="36">
        <f t="shared" ca="1" si="22"/>
        <v>50.296214002499454</v>
      </c>
      <c r="HL16" s="36">
        <f t="shared" ca="1" si="22"/>
        <v>49.749257419916539</v>
      </c>
      <c r="HM16" s="36">
        <f t="shared" ca="1" si="22"/>
        <v>49.600886532300819</v>
      </c>
      <c r="HN16" s="36">
        <f t="shared" ca="1" si="22"/>
        <v>49.186506081120385</v>
      </c>
      <c r="HO16" s="36">
        <f t="shared" ca="1" si="22"/>
        <v>50.032105063398966</v>
      </c>
      <c r="HP16" s="36">
        <f t="shared" ca="1" si="22"/>
        <v>50.467573933109016</v>
      </c>
      <c r="HQ16" s="36">
        <f t="shared" ca="1" si="22"/>
        <v>50.782650288667099</v>
      </c>
      <c r="HR16" s="36">
        <f t="shared" ca="1" si="22"/>
        <v>50.354175821203036</v>
      </c>
      <c r="HS16" s="36">
        <f t="shared" ca="1" si="22"/>
        <v>49.661275540046532</v>
      </c>
      <c r="HT16" s="36">
        <f t="shared" ca="1" si="22"/>
        <v>49.602531696705555</v>
      </c>
      <c r="HU16" s="36">
        <f t="shared" ca="1" si="12"/>
        <v>49.792458314774528</v>
      </c>
      <c r="HV16" s="36">
        <f t="shared" ca="1" si="12"/>
        <v>50.65085825602646</v>
      </c>
      <c r="HW16" s="36">
        <f t="shared" ca="1" si="12"/>
        <v>51.537113708616658</v>
      </c>
      <c r="HX16" s="36">
        <f t="shared" ca="1" si="12"/>
        <v>51.148722328786413</v>
      </c>
      <c r="HY16" s="36">
        <f t="shared" ca="1" si="12"/>
        <v>51.529582033403187</v>
      </c>
      <c r="HZ16" s="36">
        <f t="shared" ca="1" si="23"/>
        <v>51.75260468915512</v>
      </c>
      <c r="IA16" s="36">
        <f t="shared" ca="1" si="23"/>
        <v>51.774831734113462</v>
      </c>
      <c r="IB16" s="36">
        <f t="shared" ca="1" si="23"/>
        <v>52.49690706158794</v>
      </c>
      <c r="IC16" s="36">
        <f t="shared" ca="1" si="23"/>
        <v>53.282735247715799</v>
      </c>
      <c r="ID16" s="36">
        <f t="shared" ca="1" si="23"/>
        <v>54.167093006601874</v>
      </c>
      <c r="IE16" s="36">
        <f t="shared" ca="1" si="23"/>
        <v>54.081582135189542</v>
      </c>
      <c r="IF16" s="36">
        <f t="shared" ca="1" si="23"/>
        <v>55.609133143344089</v>
      </c>
      <c r="IG16" s="36">
        <f t="shared" ca="1" si="23"/>
        <v>55.411541647408235</v>
      </c>
      <c r="IH16" s="36">
        <f t="shared" ca="1" si="23"/>
        <v>55.346483754427425</v>
      </c>
      <c r="II16" s="36">
        <f t="shared" ca="1" si="23"/>
        <v>54.915020391494146</v>
      </c>
      <c r="IJ16" s="36">
        <f t="shared" ca="1" si="23"/>
        <v>55.560207051057681</v>
      </c>
      <c r="IK16" s="36">
        <f t="shared" ca="1" si="23"/>
        <v>55.093109207310604</v>
      </c>
      <c r="IL16" s="36">
        <f t="shared" ca="1" si="23"/>
        <v>54.320583369661207</v>
      </c>
      <c r="IM16" s="36">
        <f t="shared" ca="1" si="23"/>
        <v>54.570520229242909</v>
      </c>
      <c r="IN16" s="36">
        <f t="shared" ca="1" si="23"/>
        <v>54.355583938253005</v>
      </c>
      <c r="IO16" s="36">
        <f t="shared" ca="1" si="23"/>
        <v>54.606799844737253</v>
      </c>
      <c r="IP16" s="36">
        <f t="shared" ca="1" si="23"/>
        <v>54.87153832936405</v>
      </c>
      <c r="IQ16" s="36">
        <f t="shared" ca="1" si="23"/>
        <v>54.138324199755687</v>
      </c>
      <c r="IR16" s="36">
        <f t="shared" ca="1" si="23"/>
        <v>53.868569685139306</v>
      </c>
      <c r="IS16" s="36">
        <f t="shared" ca="1" si="23"/>
        <v>53.313178745543588</v>
      </c>
      <c r="IT16" s="36">
        <f t="shared" ca="1" si="23"/>
        <v>52.579864205331937</v>
      </c>
      <c r="IU16" s="36">
        <f t="shared" ca="1" si="23"/>
        <v>53.340718599282575</v>
      </c>
    </row>
    <row r="17" spans="1:255" x14ac:dyDescent="0.2">
      <c r="A17" s="36"/>
      <c r="B17">
        <v>7</v>
      </c>
      <c r="C17" s="36">
        <v>50</v>
      </c>
      <c r="D17" s="36">
        <f t="shared" ca="1" si="14"/>
        <v>49.740419061812382</v>
      </c>
      <c r="E17" s="36">
        <f t="shared" ca="1" si="14"/>
        <v>50.172292251998655</v>
      </c>
      <c r="F17" s="36">
        <f t="shared" ca="1" si="24"/>
        <v>49.609218250225958</v>
      </c>
      <c r="G17" s="36">
        <f t="shared" ca="1" si="24"/>
        <v>49.049436751752346</v>
      </c>
      <c r="H17" s="36">
        <f t="shared" ca="1" si="24"/>
        <v>49.206584332154613</v>
      </c>
      <c r="I17" s="36">
        <f t="shared" ca="1" si="24"/>
        <v>48.619380258768707</v>
      </c>
      <c r="J17" s="36">
        <f t="shared" ca="1" si="24"/>
        <v>48.605970765565331</v>
      </c>
      <c r="K17" s="36">
        <f t="shared" ca="1" si="24"/>
        <v>50.162263737079869</v>
      </c>
      <c r="L17" s="36">
        <f t="shared" ca="1" si="24"/>
        <v>50.079794457676961</v>
      </c>
      <c r="M17" s="36">
        <f t="shared" ca="1" si="24"/>
        <v>50.564383855428048</v>
      </c>
      <c r="N17" s="36">
        <f t="shared" ca="1" si="24"/>
        <v>50.697320742960123</v>
      </c>
      <c r="O17" s="36">
        <f t="shared" ca="1" si="24"/>
        <v>50.060185742891072</v>
      </c>
      <c r="P17" s="36">
        <f t="shared" ca="1" si="24"/>
        <v>49.968260584865526</v>
      </c>
      <c r="Q17" s="36">
        <f t="shared" ca="1" si="24"/>
        <v>49.592606309318903</v>
      </c>
      <c r="R17" s="36">
        <f t="shared" ca="1" si="24"/>
        <v>49.679278968231081</v>
      </c>
      <c r="S17" s="36">
        <f t="shared" ca="1" si="24"/>
        <v>49.61895605937918</v>
      </c>
      <c r="T17" s="36">
        <f t="shared" ca="1" si="24"/>
        <v>50.242590745528794</v>
      </c>
      <c r="U17" s="36">
        <f t="shared" ca="1" si="24"/>
        <v>50.010003188631003</v>
      </c>
      <c r="V17" s="36">
        <f t="shared" ca="1" si="24"/>
        <v>49.891657146727724</v>
      </c>
      <c r="W17" s="36">
        <f t="shared" ca="1" si="24"/>
        <v>49.776754602193144</v>
      </c>
      <c r="X17" s="36">
        <f t="shared" ca="1" si="24"/>
        <v>50.054151230669788</v>
      </c>
      <c r="Y17" s="36">
        <f t="shared" ca="1" si="24"/>
        <v>50.331665059745227</v>
      </c>
      <c r="Z17" s="36">
        <f t="shared" ca="1" si="24"/>
        <v>50.178008472301357</v>
      </c>
      <c r="AA17" s="36">
        <f t="shared" ca="1" si="24"/>
        <v>49.968903934526132</v>
      </c>
      <c r="AB17" s="36">
        <f t="shared" ca="1" si="24"/>
        <v>49.872538710122257</v>
      </c>
      <c r="AC17" s="36">
        <f t="shared" ca="1" si="24"/>
        <v>50.938216199592425</v>
      </c>
      <c r="AD17" s="36">
        <f t="shared" ca="1" si="24"/>
        <v>50.205303759619269</v>
      </c>
      <c r="AE17" s="36">
        <f t="shared" ca="1" si="24"/>
        <v>49.800735569989847</v>
      </c>
      <c r="AF17" s="36">
        <f t="shared" ca="1" si="24"/>
        <v>50.483588494470858</v>
      </c>
      <c r="AG17" s="36">
        <f t="shared" ca="1" si="24"/>
        <v>51.201208676761603</v>
      </c>
      <c r="AH17" s="36">
        <f t="shared" ca="1" si="24"/>
        <v>50.841026319446811</v>
      </c>
      <c r="AI17" s="36">
        <f t="shared" ca="1" si="24"/>
        <v>49.69267939621173</v>
      </c>
      <c r="AJ17" s="36">
        <f t="shared" ca="1" si="24"/>
        <v>50.18953837170821</v>
      </c>
      <c r="AK17" s="36">
        <f t="shared" ca="1" si="24"/>
        <v>50.915911723825182</v>
      </c>
      <c r="AL17" s="36">
        <f t="shared" ca="1" si="24"/>
        <v>51.120757405692785</v>
      </c>
      <c r="AM17" s="36">
        <f t="shared" ca="1" si="24"/>
        <v>50.348737865170044</v>
      </c>
      <c r="AN17" s="36">
        <f t="shared" ca="1" si="24"/>
        <v>50.592805245898802</v>
      </c>
      <c r="AO17" s="36">
        <f t="shared" ca="1" si="24"/>
        <v>50.546710847680956</v>
      </c>
      <c r="AP17" s="36">
        <f t="shared" ca="1" si="24"/>
        <v>51.66320304643564</v>
      </c>
      <c r="AQ17" s="36">
        <f t="shared" ca="1" si="24"/>
        <v>51.741620188729947</v>
      </c>
      <c r="AR17" s="36">
        <f t="shared" ca="1" si="24"/>
        <v>51.312965177191039</v>
      </c>
      <c r="AS17" s="36">
        <f t="shared" ca="1" si="24"/>
        <v>50.729928687622603</v>
      </c>
      <c r="AT17" s="36">
        <f t="shared" ca="1" si="24"/>
        <v>50.785121651992263</v>
      </c>
      <c r="AU17" s="36">
        <f t="shared" ca="1" si="24"/>
        <v>52.283884409848035</v>
      </c>
      <c r="AV17" s="36">
        <f t="shared" ca="1" si="24"/>
        <v>53.200665992234249</v>
      </c>
      <c r="AW17" s="36">
        <f t="shared" ca="1" si="24"/>
        <v>52.644071411352996</v>
      </c>
      <c r="AX17" s="36">
        <f t="shared" ca="1" si="24"/>
        <v>52.16089095413809</v>
      </c>
      <c r="AY17" s="36">
        <f t="shared" ca="1" si="24"/>
        <v>52.722973057816347</v>
      </c>
      <c r="AZ17" s="36">
        <f t="shared" ca="1" si="24"/>
        <v>51.687639643923333</v>
      </c>
      <c r="BA17" s="36">
        <f t="shared" ca="1" si="24"/>
        <v>51.18127820457584</v>
      </c>
      <c r="BB17" s="36">
        <f t="shared" ca="1" si="24"/>
        <v>51.318260195096613</v>
      </c>
      <c r="BC17" s="36">
        <f t="shared" ca="1" si="24"/>
        <v>51.660971462076908</v>
      </c>
      <c r="BD17" s="36">
        <f t="shared" ca="1" si="24"/>
        <v>52.369802631891218</v>
      </c>
      <c r="BE17" s="36">
        <f t="shared" ca="1" si="24"/>
        <v>51.939682455289422</v>
      </c>
      <c r="BF17" s="36">
        <f t="shared" ca="1" si="24"/>
        <v>53.363563583676054</v>
      </c>
      <c r="BG17" s="36">
        <f t="shared" ca="1" si="24"/>
        <v>52.497784121674179</v>
      </c>
      <c r="BH17" s="36">
        <f t="shared" ca="1" si="24"/>
        <v>52.976562707228126</v>
      </c>
      <c r="BI17" s="36">
        <f t="shared" ca="1" si="24"/>
        <v>54.025923093210494</v>
      </c>
      <c r="BJ17" s="36">
        <f t="shared" ca="1" si="24"/>
        <v>53.840594206102857</v>
      </c>
      <c r="BK17" s="36">
        <f t="shared" ca="1" si="24"/>
        <v>53.772505364846587</v>
      </c>
      <c r="BL17" s="36">
        <f t="shared" ca="1" si="24"/>
        <v>53.437642174333355</v>
      </c>
      <c r="BM17" s="36">
        <f t="shared" ca="1" si="24"/>
        <v>54.042678304618974</v>
      </c>
      <c r="BN17" s="36">
        <f t="shared" ca="1" si="24"/>
        <v>53.778417326350919</v>
      </c>
      <c r="BO17" s="36">
        <f t="shared" ca="1" si="24"/>
        <v>53.374493480337023</v>
      </c>
      <c r="BP17" s="36">
        <f t="shared" ca="1" si="24"/>
        <v>52.277260263029888</v>
      </c>
      <c r="BQ17" s="36">
        <f t="shared" ref="BQ17:EB20" ca="1" si="30">BP17*EXP(($B$3-$B$4^2/2)*1+$B$4*_xlfn.NORM.S.INV(RAND()))</f>
        <v>52.53672299470194</v>
      </c>
      <c r="BR17" s="36">
        <f t="shared" ca="1" si="30"/>
        <v>52.447261546090374</v>
      </c>
      <c r="BS17" s="36">
        <f t="shared" ca="1" si="30"/>
        <v>52.923947944680251</v>
      </c>
      <c r="BT17" s="36">
        <f t="shared" ca="1" si="30"/>
        <v>53.35753670763237</v>
      </c>
      <c r="BU17" s="36">
        <f t="shared" ca="1" si="30"/>
        <v>52.45209631904843</v>
      </c>
      <c r="BV17" s="36">
        <f t="shared" ca="1" si="30"/>
        <v>52.224285654048664</v>
      </c>
      <c r="BW17" s="36">
        <f t="shared" ca="1" si="30"/>
        <v>52.27306002274883</v>
      </c>
      <c r="BX17" s="36">
        <f t="shared" ca="1" si="30"/>
        <v>51.610239919978071</v>
      </c>
      <c r="BY17" s="36">
        <f t="shared" ca="1" si="30"/>
        <v>52.738278394027951</v>
      </c>
      <c r="BZ17" s="36">
        <f t="shared" ca="1" si="30"/>
        <v>52.889122180394253</v>
      </c>
      <c r="CA17" s="36">
        <f t="shared" ca="1" si="30"/>
        <v>53.540815655111032</v>
      </c>
      <c r="CB17" s="36">
        <f t="shared" ca="1" si="30"/>
        <v>53.390618531860035</v>
      </c>
      <c r="CC17" s="36">
        <f t="shared" ca="1" si="30"/>
        <v>53.941585675869668</v>
      </c>
      <c r="CD17" s="36">
        <f t="shared" ca="1" si="30"/>
        <v>54.498089336585139</v>
      </c>
      <c r="CE17" s="36">
        <f t="shared" ca="1" si="30"/>
        <v>54.570676352309228</v>
      </c>
      <c r="CF17" s="36">
        <f t="shared" ca="1" si="30"/>
        <v>54.625649015145548</v>
      </c>
      <c r="CG17" s="36">
        <f t="shared" ca="1" si="30"/>
        <v>54.956529833470917</v>
      </c>
      <c r="CH17" s="36">
        <f t="shared" ca="1" si="30"/>
        <v>55.03606352751526</v>
      </c>
      <c r="CI17" s="36">
        <f t="shared" ca="1" si="30"/>
        <v>54.954494822924921</v>
      </c>
      <c r="CJ17" s="36">
        <f t="shared" ca="1" si="30"/>
        <v>54.306514179573341</v>
      </c>
      <c r="CK17" s="36">
        <f t="shared" ca="1" si="30"/>
        <v>53.422593733929823</v>
      </c>
      <c r="CL17" s="36">
        <f t="shared" ca="1" si="30"/>
        <v>52.993287731248699</v>
      </c>
      <c r="CM17" s="36">
        <f t="shared" ca="1" si="30"/>
        <v>52.185268940139089</v>
      </c>
      <c r="CN17" s="36">
        <f t="shared" ca="1" si="30"/>
        <v>53.088740063693152</v>
      </c>
      <c r="CO17" s="36">
        <f t="shared" ca="1" si="30"/>
        <v>52.996843423757916</v>
      </c>
      <c r="CP17" s="36">
        <f t="shared" ca="1" si="30"/>
        <v>53.106585572767564</v>
      </c>
      <c r="CQ17" s="36">
        <f t="shared" ca="1" si="30"/>
        <v>53.877836292704835</v>
      </c>
      <c r="CR17" s="36">
        <f t="shared" ca="1" si="30"/>
        <v>54.31299934686929</v>
      </c>
      <c r="CS17" s="36">
        <f t="shared" ca="1" si="30"/>
        <v>54.265848489559666</v>
      </c>
      <c r="CT17" s="36">
        <f t="shared" ca="1" si="30"/>
        <v>54.224562929323383</v>
      </c>
      <c r="CU17" s="36">
        <f t="shared" ca="1" si="30"/>
        <v>54.408862362857789</v>
      </c>
      <c r="CV17" s="36">
        <f t="shared" ca="1" si="30"/>
        <v>53.684767061776562</v>
      </c>
      <c r="CW17" s="36">
        <f t="shared" ca="1" si="30"/>
        <v>54.185014652650544</v>
      </c>
      <c r="CX17" s="36">
        <f t="shared" ca="1" si="30"/>
        <v>53.640135531491822</v>
      </c>
      <c r="CY17" s="36">
        <f t="shared" ca="1" si="30"/>
        <v>53.105820373673673</v>
      </c>
      <c r="CZ17" s="36">
        <f t="shared" ca="1" si="30"/>
        <v>53.256248315295366</v>
      </c>
      <c r="DA17" s="36">
        <f t="shared" ca="1" si="30"/>
        <v>52.886514932778795</v>
      </c>
      <c r="DB17" s="36">
        <f t="shared" ca="1" si="30"/>
        <v>52.837361181417812</v>
      </c>
      <c r="DC17" s="36">
        <f t="shared" ca="1" si="30"/>
        <v>53.497901391028535</v>
      </c>
      <c r="DD17" s="36">
        <f t="shared" ca="1" si="30"/>
        <v>53.393110305255973</v>
      </c>
      <c r="DE17" s="36">
        <f t="shared" ca="1" si="30"/>
        <v>54.400680384703122</v>
      </c>
      <c r="DF17" s="36">
        <f t="shared" ca="1" si="30"/>
        <v>53.543632311317545</v>
      </c>
      <c r="DG17" s="36">
        <f t="shared" ca="1" si="30"/>
        <v>53.407286231910284</v>
      </c>
      <c r="DH17" s="36">
        <f t="shared" ca="1" si="30"/>
        <v>52.847101933274622</v>
      </c>
      <c r="DI17" s="36">
        <f t="shared" ca="1" si="30"/>
        <v>53.451758066780528</v>
      </c>
      <c r="DJ17" s="36">
        <f t="shared" ca="1" si="30"/>
        <v>52.38856724335561</v>
      </c>
      <c r="DK17" s="36">
        <f t="shared" ca="1" si="30"/>
        <v>52.875193758119067</v>
      </c>
      <c r="DL17" s="36">
        <f t="shared" ca="1" si="30"/>
        <v>52.213400155005701</v>
      </c>
      <c r="DM17" s="36">
        <f t="shared" ca="1" si="30"/>
        <v>51.912221656157328</v>
      </c>
      <c r="DN17" s="36">
        <f t="shared" ca="1" si="30"/>
        <v>52.632953142978714</v>
      </c>
      <c r="DO17" s="36">
        <f t="shared" ca="1" si="30"/>
        <v>52.880073048354568</v>
      </c>
      <c r="DP17" s="36">
        <f t="shared" ca="1" si="30"/>
        <v>52.403205683109718</v>
      </c>
      <c r="DQ17" s="36">
        <f t="shared" ca="1" si="30"/>
        <v>53.56169873279665</v>
      </c>
      <c r="DR17" s="36">
        <f t="shared" ca="1" si="30"/>
        <v>53.994585468564658</v>
      </c>
      <c r="DS17" s="36">
        <f t="shared" ca="1" si="30"/>
        <v>54.773328430239218</v>
      </c>
      <c r="DT17" s="36">
        <f t="shared" ca="1" si="30"/>
        <v>55.076836085320103</v>
      </c>
      <c r="DU17" s="36">
        <f t="shared" ca="1" si="30"/>
        <v>55.161288287000929</v>
      </c>
      <c r="DV17" s="36">
        <f t="shared" ca="1" si="30"/>
        <v>54.104726771462161</v>
      </c>
      <c r="DW17" s="36">
        <f t="shared" ca="1" si="30"/>
        <v>55.000652313442892</v>
      </c>
      <c r="DX17" s="36">
        <f t="shared" ca="1" si="30"/>
        <v>54.812915071431014</v>
      </c>
      <c r="DY17" s="36">
        <f t="shared" ca="1" si="30"/>
        <v>54.5491151954811</v>
      </c>
      <c r="DZ17" s="36">
        <f t="shared" ca="1" si="30"/>
        <v>54.123177892935857</v>
      </c>
      <c r="EA17" s="36">
        <f t="shared" ca="1" si="30"/>
        <v>54.51375623275942</v>
      </c>
      <c r="EB17" s="36">
        <f t="shared" ca="1" si="30"/>
        <v>55.727656795263542</v>
      </c>
      <c r="EC17" s="36">
        <f t="shared" ca="1" si="28"/>
        <v>55.223821568122673</v>
      </c>
      <c r="ED17" s="36">
        <f t="shared" ca="1" si="26"/>
        <v>55.685190760228529</v>
      </c>
      <c r="EE17" s="36">
        <f t="shared" ca="1" si="26"/>
        <v>56.059079501575148</v>
      </c>
      <c r="EF17" s="36">
        <f t="shared" ca="1" si="26"/>
        <v>55.738716772844484</v>
      </c>
      <c r="EG17" s="36">
        <f t="shared" ca="1" si="26"/>
        <v>54.986010183624948</v>
      </c>
      <c r="EH17" s="36">
        <f t="shared" ca="1" si="26"/>
        <v>54.338712828522858</v>
      </c>
      <c r="EI17" s="36">
        <f t="shared" ca="1" si="26"/>
        <v>54.462664673832357</v>
      </c>
      <c r="EJ17" s="36">
        <f t="shared" ca="1" si="26"/>
        <v>54.528285828035642</v>
      </c>
      <c r="EK17" s="36">
        <f t="shared" ca="1" si="26"/>
        <v>54.451725280368436</v>
      </c>
      <c r="EL17" s="36">
        <f t="shared" ca="1" si="26"/>
        <v>54.552508209941628</v>
      </c>
      <c r="EM17" s="36">
        <f t="shared" ca="1" si="26"/>
        <v>54.161717301578399</v>
      </c>
      <c r="EN17" s="36">
        <f t="shared" ca="1" si="26"/>
        <v>54.328368416537536</v>
      </c>
      <c r="EO17" s="36">
        <f t="shared" ca="1" si="26"/>
        <v>54.990059252774834</v>
      </c>
      <c r="EP17" s="36">
        <f t="shared" ca="1" si="26"/>
        <v>55.411361414688301</v>
      </c>
      <c r="EQ17" s="36">
        <f t="shared" ca="1" si="26"/>
        <v>56.414703817195729</v>
      </c>
      <c r="ER17" s="36">
        <f t="shared" ca="1" si="26"/>
        <v>56.962661566858074</v>
      </c>
      <c r="ES17" s="36">
        <f t="shared" ca="1" si="26"/>
        <v>57.369034495532404</v>
      </c>
      <c r="ET17" s="36">
        <f t="shared" ca="1" si="26"/>
        <v>57.457249614219037</v>
      </c>
      <c r="EU17" s="36">
        <f t="shared" ca="1" si="26"/>
        <v>56.475963700543872</v>
      </c>
      <c r="EV17" s="36">
        <f t="shared" ca="1" si="26"/>
        <v>55.863555410082505</v>
      </c>
      <c r="EW17" s="36">
        <f t="shared" ref="EW17" ca="1" si="31">EV17*EXP(($B$3-$B$4^2/2)*1+$B$4*_xlfn.NORM.S.INV(RAND()))</f>
        <v>56.736925459001021</v>
      </c>
      <c r="EX17" s="36">
        <f t="shared" ca="1" si="21"/>
        <v>56.655247700908284</v>
      </c>
      <c r="EY17" s="36">
        <f t="shared" ca="1" si="21"/>
        <v>57.735866039885515</v>
      </c>
      <c r="EZ17" s="36">
        <f t="shared" ref="EZ17:HK20" ca="1" si="32">EY17*EXP(($B$3-$B$4^2/2)*1+$B$4*_xlfn.NORM.S.INV(RAND()))</f>
        <v>56.781022515619867</v>
      </c>
      <c r="FA17" s="36">
        <f t="shared" ca="1" si="32"/>
        <v>56.746655594535582</v>
      </c>
      <c r="FB17" s="36">
        <f t="shared" ca="1" si="32"/>
        <v>57.234270680186178</v>
      </c>
      <c r="FC17" s="36">
        <f t="shared" ca="1" si="32"/>
        <v>56.821895991305148</v>
      </c>
      <c r="FD17" s="36">
        <f t="shared" ca="1" si="32"/>
        <v>56.196350744868461</v>
      </c>
      <c r="FE17" s="36">
        <f t="shared" ca="1" si="32"/>
        <v>56.541622811831488</v>
      </c>
      <c r="FF17" s="36">
        <f t="shared" ca="1" si="32"/>
        <v>55.196087535749129</v>
      </c>
      <c r="FG17" s="36">
        <f t="shared" ca="1" si="32"/>
        <v>54.657701269374797</v>
      </c>
      <c r="FH17" s="36">
        <f t="shared" ca="1" si="32"/>
        <v>54.115923774566667</v>
      </c>
      <c r="FI17" s="36">
        <f t="shared" ca="1" si="32"/>
        <v>54.159993479475823</v>
      </c>
      <c r="FJ17" s="36">
        <f t="shared" ca="1" si="32"/>
        <v>54.057417249700947</v>
      </c>
      <c r="FK17" s="36">
        <f t="shared" ca="1" si="32"/>
        <v>53.554676315278563</v>
      </c>
      <c r="FL17" s="36">
        <f t="shared" ca="1" si="32"/>
        <v>53.361802888108237</v>
      </c>
      <c r="FM17" s="36">
        <f t="shared" ca="1" si="32"/>
        <v>54.769318602949255</v>
      </c>
      <c r="FN17" s="36">
        <f t="shared" ca="1" si="32"/>
        <v>53.912804486192293</v>
      </c>
      <c r="FO17" s="36">
        <f t="shared" ca="1" si="32"/>
        <v>53.57000987147341</v>
      </c>
      <c r="FP17" s="36">
        <f t="shared" ca="1" si="32"/>
        <v>53.04707341423569</v>
      </c>
      <c r="FQ17" s="36">
        <f t="shared" ca="1" si="32"/>
        <v>53.417482075530138</v>
      </c>
      <c r="FR17" s="36">
        <f t="shared" ca="1" si="32"/>
        <v>53.039607505963744</v>
      </c>
      <c r="FS17" s="36">
        <f t="shared" ca="1" si="32"/>
        <v>53.711923264246785</v>
      </c>
      <c r="FT17" s="36">
        <f t="shared" ca="1" si="32"/>
        <v>53.843926775202704</v>
      </c>
      <c r="FU17" s="36">
        <f t="shared" ca="1" si="32"/>
        <v>52.721946573161929</v>
      </c>
      <c r="FV17" s="36">
        <f t="shared" ca="1" si="32"/>
        <v>52.876180662351445</v>
      </c>
      <c r="FW17" s="36">
        <f t="shared" ca="1" si="32"/>
        <v>52.238394768151259</v>
      </c>
      <c r="FX17" s="36">
        <f t="shared" ca="1" si="32"/>
        <v>51.584257405415492</v>
      </c>
      <c r="FY17" s="36">
        <f t="shared" ca="1" si="32"/>
        <v>51.205475193378959</v>
      </c>
      <c r="FZ17" s="36">
        <f t="shared" ca="1" si="32"/>
        <v>50.523660422881733</v>
      </c>
      <c r="GA17" s="36">
        <f t="shared" ca="1" si="32"/>
        <v>50.607676831624659</v>
      </c>
      <c r="GB17" s="36">
        <f t="shared" ca="1" si="32"/>
        <v>51.410600250192786</v>
      </c>
      <c r="GC17" s="36">
        <f t="shared" ca="1" si="32"/>
        <v>51.454380804469459</v>
      </c>
      <c r="GD17" s="36">
        <f t="shared" ca="1" si="32"/>
        <v>51.186953339282404</v>
      </c>
      <c r="GE17" s="36">
        <f t="shared" ca="1" si="32"/>
        <v>50.42178441322207</v>
      </c>
      <c r="GF17" s="36">
        <f t="shared" ca="1" si="32"/>
        <v>50.598679434393269</v>
      </c>
      <c r="GG17" s="36">
        <f t="shared" ca="1" si="32"/>
        <v>50.524688944032228</v>
      </c>
      <c r="GH17" s="36">
        <f t="shared" ca="1" si="32"/>
        <v>51.162171345667673</v>
      </c>
      <c r="GI17" s="36">
        <f t="shared" ca="1" si="32"/>
        <v>52.009008048400503</v>
      </c>
      <c r="GJ17" s="36">
        <f t="shared" ca="1" si="32"/>
        <v>51.410269154114964</v>
      </c>
      <c r="GK17" s="36">
        <f t="shared" ca="1" si="32"/>
        <v>51.622626710426061</v>
      </c>
      <c r="GL17" s="36">
        <f t="shared" ca="1" si="32"/>
        <v>50.84276612268949</v>
      </c>
      <c r="GM17" s="36">
        <f t="shared" ca="1" si="32"/>
        <v>51.436872764937611</v>
      </c>
      <c r="GN17" s="36">
        <f t="shared" ca="1" si="32"/>
        <v>50.994219500567205</v>
      </c>
      <c r="GO17" s="36">
        <f t="shared" ca="1" si="32"/>
        <v>51.497991139084277</v>
      </c>
      <c r="GP17" s="36">
        <f t="shared" ca="1" si="32"/>
        <v>51.871568626177627</v>
      </c>
      <c r="GQ17" s="36">
        <f t="shared" ca="1" si="32"/>
        <v>52.579499814713579</v>
      </c>
      <c r="GR17" s="36">
        <f t="shared" ca="1" si="32"/>
        <v>54.401941888546339</v>
      </c>
      <c r="GS17" s="36">
        <f t="shared" ca="1" si="32"/>
        <v>54.952898735248169</v>
      </c>
      <c r="GT17" s="36">
        <f t="shared" ca="1" si="32"/>
        <v>54.845453116656472</v>
      </c>
      <c r="GU17" s="36">
        <f t="shared" ca="1" si="32"/>
        <v>55.173521181149219</v>
      </c>
      <c r="GV17" s="36">
        <f t="shared" ca="1" si="32"/>
        <v>55.836573521139705</v>
      </c>
      <c r="GW17" s="36">
        <f t="shared" ca="1" si="32"/>
        <v>55.352582709744041</v>
      </c>
      <c r="GX17" s="36">
        <f t="shared" ca="1" si="32"/>
        <v>56.213529525643743</v>
      </c>
      <c r="GY17" s="36">
        <f t="shared" ca="1" si="32"/>
        <v>55.263530737428987</v>
      </c>
      <c r="GZ17" s="36">
        <f t="shared" ca="1" si="32"/>
        <v>54.883874640748651</v>
      </c>
      <c r="HA17" s="36">
        <f t="shared" ca="1" si="32"/>
        <v>55.185755194338661</v>
      </c>
      <c r="HB17" s="36">
        <f t="shared" ca="1" si="32"/>
        <v>55.880040253203802</v>
      </c>
      <c r="HC17" s="36">
        <f t="shared" ca="1" si="32"/>
        <v>56.498758949619869</v>
      </c>
      <c r="HD17" s="36">
        <f t="shared" ca="1" si="32"/>
        <v>57.231804409639132</v>
      </c>
      <c r="HE17" s="36">
        <f t="shared" ca="1" si="32"/>
        <v>57.140221359064256</v>
      </c>
      <c r="HF17" s="36">
        <f t="shared" ca="1" si="32"/>
        <v>57.891844982137776</v>
      </c>
      <c r="HG17" s="36">
        <f t="shared" ca="1" si="32"/>
        <v>58.235629669502643</v>
      </c>
      <c r="HH17" s="36">
        <f t="shared" ca="1" si="32"/>
        <v>58.511499270432068</v>
      </c>
      <c r="HI17" s="36">
        <f t="shared" ca="1" si="32"/>
        <v>58.153437759019361</v>
      </c>
      <c r="HJ17" s="36">
        <f t="shared" ca="1" si="32"/>
        <v>57.61446676901376</v>
      </c>
      <c r="HK17" s="36">
        <f t="shared" ca="1" si="32"/>
        <v>57.525511619821863</v>
      </c>
      <c r="HL17" s="36">
        <f t="shared" ref="HL17:HT17" ca="1" si="33">HK17*EXP(($B$3-$B$4^2/2)*1+$B$4*_xlfn.NORM.S.INV(RAND()))</f>
        <v>56.306076892497948</v>
      </c>
      <c r="HM17" s="36">
        <f t="shared" ca="1" si="33"/>
        <v>57.090944222059996</v>
      </c>
      <c r="HN17" s="36">
        <f t="shared" ca="1" si="33"/>
        <v>57.262593631207153</v>
      </c>
      <c r="HO17" s="36">
        <f t="shared" ca="1" si="33"/>
        <v>56.287316178665669</v>
      </c>
      <c r="HP17" s="36">
        <f t="shared" ca="1" si="33"/>
        <v>57.207131312980188</v>
      </c>
      <c r="HQ17" s="36">
        <f t="shared" ca="1" si="33"/>
        <v>57.705795904991433</v>
      </c>
      <c r="HR17" s="36">
        <f t="shared" ca="1" si="33"/>
        <v>56.392726839741769</v>
      </c>
      <c r="HS17" s="36">
        <f t="shared" ca="1" si="33"/>
        <v>57.008241452654779</v>
      </c>
      <c r="HT17" s="36">
        <f t="shared" ca="1" si="33"/>
        <v>57.739170575285648</v>
      </c>
      <c r="HU17" s="36">
        <f t="shared" ca="1" si="12"/>
        <v>57.386736684815794</v>
      </c>
      <c r="HV17" s="36">
        <f t="shared" ca="1" si="12"/>
        <v>57.581980562909372</v>
      </c>
      <c r="HW17" s="36">
        <f t="shared" ca="1" si="12"/>
        <v>56.106354719708392</v>
      </c>
      <c r="HX17" s="36">
        <f t="shared" ca="1" si="12"/>
        <v>55.61768817300792</v>
      </c>
      <c r="HY17" s="36">
        <f t="shared" ca="1" si="12"/>
        <v>55.594922089474174</v>
      </c>
      <c r="HZ17" s="36">
        <f t="shared" ca="1" si="23"/>
        <v>56.347741316087451</v>
      </c>
      <c r="IA17" s="36">
        <f t="shared" ca="1" si="23"/>
        <v>57.751870807223916</v>
      </c>
      <c r="IB17" s="36">
        <f t="shared" ca="1" si="23"/>
        <v>59.2676392781053</v>
      </c>
      <c r="IC17" s="36">
        <f t="shared" ca="1" si="23"/>
        <v>60.028113142400976</v>
      </c>
      <c r="ID17" s="36">
        <f t="shared" ca="1" si="23"/>
        <v>60.326976121670135</v>
      </c>
      <c r="IE17" s="36">
        <f t="shared" ca="1" si="23"/>
        <v>61.23065724301501</v>
      </c>
      <c r="IF17" s="36">
        <f t="shared" ca="1" si="23"/>
        <v>61.028977608554065</v>
      </c>
      <c r="IG17" s="36">
        <f t="shared" ca="1" si="23"/>
        <v>62.42014248343731</v>
      </c>
      <c r="IH17" s="36">
        <f t="shared" ca="1" si="23"/>
        <v>63.561062263338293</v>
      </c>
      <c r="II17" s="36">
        <f t="shared" ca="1" si="23"/>
        <v>62.849308489306708</v>
      </c>
      <c r="IJ17" s="36">
        <f t="shared" ca="1" si="23"/>
        <v>63.054361462509029</v>
      </c>
      <c r="IK17" s="36">
        <f t="shared" ca="1" si="23"/>
        <v>63.324401158492691</v>
      </c>
      <c r="IL17" s="36">
        <f t="shared" ca="1" si="23"/>
        <v>62.845867455772336</v>
      </c>
      <c r="IM17" s="36">
        <f t="shared" ca="1" si="23"/>
        <v>63.239031606161554</v>
      </c>
      <c r="IN17" s="36">
        <f t="shared" ca="1" si="23"/>
        <v>63.405750776848642</v>
      </c>
      <c r="IO17" s="36">
        <f t="shared" ca="1" si="23"/>
        <v>63.243866962801526</v>
      </c>
      <c r="IP17" s="36">
        <f t="shared" ca="1" si="23"/>
        <v>63.200053099093395</v>
      </c>
      <c r="IQ17" s="36">
        <f t="shared" ca="1" si="23"/>
        <v>62.969812683574098</v>
      </c>
      <c r="IR17" s="36">
        <f t="shared" ca="1" si="23"/>
        <v>61.654349347100769</v>
      </c>
      <c r="IS17" s="36">
        <f t="shared" ca="1" si="23"/>
        <v>60.617672098076774</v>
      </c>
      <c r="IT17" s="36">
        <f t="shared" ca="1" si="23"/>
        <v>59.843665563636428</v>
      </c>
      <c r="IU17" s="36">
        <f t="shared" ca="1" si="23"/>
        <v>60.312194747345771</v>
      </c>
    </row>
    <row r="18" spans="1:255" x14ac:dyDescent="0.2">
      <c r="A18" s="36"/>
      <c r="B18">
        <v>8</v>
      </c>
      <c r="C18" s="36">
        <v>50</v>
      </c>
      <c r="D18" s="36">
        <f t="shared" ca="1" si="14"/>
        <v>49.823957073975301</v>
      </c>
      <c r="E18" s="36">
        <f t="shared" ca="1" si="14"/>
        <v>49.14053945093945</v>
      </c>
      <c r="F18" s="36">
        <f t="shared" ref="F18:BQ21" ca="1" si="34">E18*EXP(($B$3-$B$4^2/2)*1+$B$4*_xlfn.NORM.S.INV(RAND()))</f>
        <v>48.309867885492402</v>
      </c>
      <c r="G18" s="36">
        <f ca="1">F18*EXP(($B$3-$B$4^2/2)*1+$B$4*_xlfn.NORM.S.INV(RAND()))</f>
        <v>48.0003444115899</v>
      </c>
      <c r="H18" s="36">
        <f t="shared" ca="1" si="34"/>
        <v>48.017983429506337</v>
      </c>
      <c r="I18" s="36">
        <f t="shared" ca="1" si="34"/>
        <v>47.749572037568548</v>
      </c>
      <c r="J18" s="36">
        <f t="shared" ca="1" si="34"/>
        <v>48.551438068331187</v>
      </c>
      <c r="K18" s="36">
        <f t="shared" ca="1" si="34"/>
        <v>48.569203638957404</v>
      </c>
      <c r="L18" s="36">
        <f t="shared" ca="1" si="34"/>
        <v>48.586836798500258</v>
      </c>
      <c r="M18" s="36">
        <f t="shared" ca="1" si="34"/>
        <v>48.326576504887186</v>
      </c>
      <c r="N18" s="36">
        <f t="shared" ca="1" si="34"/>
        <v>46.961634545281122</v>
      </c>
      <c r="O18" s="36">
        <f t="shared" ca="1" si="34"/>
        <v>47.322921564657683</v>
      </c>
      <c r="P18" s="36">
        <f t="shared" ca="1" si="34"/>
        <v>47.672944457826119</v>
      </c>
      <c r="Q18" s="36">
        <f t="shared" ca="1" si="34"/>
        <v>47.671355062091813</v>
      </c>
      <c r="R18" s="36">
        <f t="shared" ca="1" si="34"/>
        <v>47.735726133315012</v>
      </c>
      <c r="S18" s="36">
        <f t="shared" ca="1" si="34"/>
        <v>48.284700868081565</v>
      </c>
      <c r="T18" s="36">
        <f t="shared" ca="1" si="34"/>
        <v>48.936772131493697</v>
      </c>
      <c r="U18" s="36">
        <f t="shared" ca="1" si="34"/>
        <v>48.806289282352957</v>
      </c>
      <c r="V18" s="36">
        <f t="shared" ca="1" si="34"/>
        <v>48.44983584193271</v>
      </c>
      <c r="W18" s="36">
        <f t="shared" ca="1" si="34"/>
        <v>49.047178667989314</v>
      </c>
      <c r="X18" s="36">
        <f t="shared" ca="1" si="34"/>
        <v>48.997789511396846</v>
      </c>
      <c r="Y18" s="36">
        <f t="shared" ca="1" si="34"/>
        <v>48.95607330553451</v>
      </c>
      <c r="Z18" s="36">
        <f t="shared" ca="1" si="34"/>
        <v>48.012488295532826</v>
      </c>
      <c r="AA18" s="36">
        <f t="shared" ca="1" si="34"/>
        <v>47.889719021492169</v>
      </c>
      <c r="AB18" s="36">
        <f t="shared" ca="1" si="34"/>
        <v>47.67440058769543</v>
      </c>
      <c r="AC18" s="36">
        <f t="shared" ca="1" si="34"/>
        <v>48.107678243912993</v>
      </c>
      <c r="AD18" s="36">
        <f t="shared" ca="1" si="34"/>
        <v>48.449435779960233</v>
      </c>
      <c r="AE18" s="36">
        <f t="shared" ca="1" si="34"/>
        <v>47.695715841858757</v>
      </c>
      <c r="AF18" s="36">
        <f t="shared" ca="1" si="34"/>
        <v>48.420318816948964</v>
      </c>
      <c r="AG18" s="36">
        <f t="shared" ca="1" si="34"/>
        <v>47.525131564283242</v>
      </c>
      <c r="AH18" s="36">
        <f t="shared" ca="1" si="34"/>
        <v>47.428687051545211</v>
      </c>
      <c r="AI18" s="36">
        <f t="shared" ca="1" si="34"/>
        <v>47.544255264685304</v>
      </c>
      <c r="AJ18" s="36">
        <f t="shared" ca="1" si="34"/>
        <v>47.082871670952343</v>
      </c>
      <c r="AK18" s="36">
        <f t="shared" ca="1" si="34"/>
        <v>46.868677518291975</v>
      </c>
      <c r="AL18" s="36">
        <f t="shared" ca="1" si="34"/>
        <v>46.902076265205345</v>
      </c>
      <c r="AM18" s="36">
        <f t="shared" ca="1" si="34"/>
        <v>46.060765780959308</v>
      </c>
      <c r="AN18" s="36">
        <f t="shared" ca="1" si="34"/>
        <v>45.314359180441919</v>
      </c>
      <c r="AO18" s="36">
        <f t="shared" ca="1" si="34"/>
        <v>45.414473707390492</v>
      </c>
      <c r="AP18" s="36">
        <f t="shared" ca="1" si="34"/>
        <v>45.244653048828077</v>
      </c>
      <c r="AQ18" s="36">
        <f t="shared" ca="1" si="34"/>
        <v>45.476657979710808</v>
      </c>
      <c r="AR18" s="36">
        <f t="shared" ca="1" si="34"/>
        <v>45.414996139710162</v>
      </c>
      <c r="AS18" s="36">
        <f t="shared" ca="1" si="34"/>
        <v>45.875098826501052</v>
      </c>
      <c r="AT18" s="36">
        <f t="shared" ca="1" si="34"/>
        <v>44.959211655931078</v>
      </c>
      <c r="AU18" s="36">
        <f t="shared" ca="1" si="34"/>
        <v>45.045587516585137</v>
      </c>
      <c r="AV18" s="36">
        <f t="shared" ca="1" si="34"/>
        <v>45.487122580882087</v>
      </c>
      <c r="AW18" s="36">
        <f t="shared" ca="1" si="34"/>
        <v>45.195785918460984</v>
      </c>
      <c r="AX18" s="36">
        <f t="shared" ca="1" si="34"/>
        <v>44.792406089204576</v>
      </c>
      <c r="AY18" s="36">
        <f t="shared" ca="1" si="34"/>
        <v>45.317979110167883</v>
      </c>
      <c r="AZ18" s="36">
        <f t="shared" ca="1" si="34"/>
        <v>44.110642036722432</v>
      </c>
      <c r="BA18" s="36">
        <f t="shared" ca="1" si="34"/>
        <v>44.474311750883317</v>
      </c>
      <c r="BB18" s="36">
        <f t="shared" ca="1" si="34"/>
        <v>45.713734112769657</v>
      </c>
      <c r="BC18" s="36">
        <f t="shared" ca="1" si="34"/>
        <v>46.512573335449531</v>
      </c>
      <c r="BD18" s="36">
        <f t="shared" ca="1" si="34"/>
        <v>46.447791138680728</v>
      </c>
      <c r="BE18" s="36">
        <f t="shared" ca="1" si="34"/>
        <v>47.021002850473074</v>
      </c>
      <c r="BF18" s="36">
        <f t="shared" ca="1" si="34"/>
        <v>46.737402123668993</v>
      </c>
      <c r="BG18" s="36">
        <f t="shared" ca="1" si="34"/>
        <v>47.273384479132872</v>
      </c>
      <c r="BH18" s="36">
        <f t="shared" ca="1" si="34"/>
        <v>47.807548069645939</v>
      </c>
      <c r="BI18" s="36">
        <f t="shared" ca="1" si="34"/>
        <v>48.684049645916126</v>
      </c>
      <c r="BJ18" s="36">
        <f t="shared" ca="1" si="34"/>
        <v>48.050154103955336</v>
      </c>
      <c r="BK18" s="36">
        <f t="shared" ca="1" si="34"/>
        <v>47.300690888818885</v>
      </c>
      <c r="BL18" s="36">
        <f t="shared" ca="1" si="34"/>
        <v>47.711763861705307</v>
      </c>
      <c r="BM18" s="36">
        <f t="shared" ca="1" si="34"/>
        <v>47.940372480952078</v>
      </c>
      <c r="BN18" s="36">
        <f t="shared" ca="1" si="34"/>
        <v>47.80441238645286</v>
      </c>
      <c r="BO18" s="36">
        <f t="shared" ca="1" si="34"/>
        <v>47.199116913726726</v>
      </c>
      <c r="BP18" s="36">
        <f t="shared" ca="1" si="34"/>
        <v>46.463242235206081</v>
      </c>
      <c r="BQ18" s="36">
        <f t="shared" ca="1" si="34"/>
        <v>47.020102123196565</v>
      </c>
      <c r="BR18" s="36">
        <f t="shared" ca="1" si="30"/>
        <v>46.734534382358127</v>
      </c>
      <c r="BS18" s="36">
        <f t="shared" ca="1" si="30"/>
        <v>46.667005701784461</v>
      </c>
      <c r="BT18" s="36">
        <f t="shared" ca="1" si="30"/>
        <v>46.243908540939387</v>
      </c>
      <c r="BU18" s="36">
        <f t="shared" ca="1" si="30"/>
        <v>46.250655623466173</v>
      </c>
      <c r="BV18" s="36">
        <f t="shared" ca="1" si="30"/>
        <v>47.050424633240944</v>
      </c>
      <c r="BW18" s="36">
        <f t="shared" ca="1" si="30"/>
        <v>46.275648499585976</v>
      </c>
      <c r="BX18" s="36">
        <f t="shared" ca="1" si="30"/>
        <v>47.263241696747357</v>
      </c>
      <c r="BY18" s="36">
        <f t="shared" ca="1" si="30"/>
        <v>47.150774273026371</v>
      </c>
      <c r="BZ18" s="36">
        <f t="shared" ca="1" si="30"/>
        <v>48.448751424291054</v>
      </c>
      <c r="CA18" s="36">
        <f t="shared" ca="1" si="30"/>
        <v>48.256997450813351</v>
      </c>
      <c r="CB18" s="36">
        <f t="shared" ca="1" si="30"/>
        <v>48.402001014089976</v>
      </c>
      <c r="CC18" s="36">
        <f t="shared" ca="1" si="30"/>
        <v>48.443173533892178</v>
      </c>
      <c r="CD18" s="36">
        <f t="shared" ca="1" si="30"/>
        <v>49.054066443190166</v>
      </c>
      <c r="CE18" s="36">
        <f t="shared" ca="1" si="30"/>
        <v>49.963581221063414</v>
      </c>
      <c r="CF18" s="36">
        <f t="shared" ca="1" si="30"/>
        <v>50.449681870580761</v>
      </c>
      <c r="CG18" s="36">
        <f t="shared" ca="1" si="30"/>
        <v>50.810684034538632</v>
      </c>
      <c r="CH18" s="36">
        <f t="shared" ca="1" si="30"/>
        <v>50.580555376573216</v>
      </c>
      <c r="CI18" s="36">
        <f t="shared" ca="1" si="30"/>
        <v>50.45881515071126</v>
      </c>
      <c r="CJ18" s="36">
        <f t="shared" ca="1" si="30"/>
        <v>50.866427569666925</v>
      </c>
      <c r="CK18" s="36">
        <f t="shared" ca="1" si="30"/>
        <v>50.299179011391054</v>
      </c>
      <c r="CL18" s="36">
        <f t="shared" ca="1" si="30"/>
        <v>48.952296303958761</v>
      </c>
      <c r="CM18" s="36">
        <f t="shared" ca="1" si="30"/>
        <v>48.053318671982801</v>
      </c>
      <c r="CN18" s="36">
        <f t="shared" ca="1" si="30"/>
        <v>47.170257619179928</v>
      </c>
      <c r="CO18" s="36">
        <f t="shared" ca="1" si="30"/>
        <v>47.148953110519436</v>
      </c>
      <c r="CP18" s="36">
        <f t="shared" ca="1" si="30"/>
        <v>46.294390008659029</v>
      </c>
      <c r="CQ18" s="36">
        <f t="shared" ca="1" si="30"/>
        <v>46.252672989483976</v>
      </c>
      <c r="CR18" s="36">
        <f t="shared" ca="1" si="30"/>
        <v>46.616386299777425</v>
      </c>
      <c r="CS18" s="36">
        <f t="shared" ca="1" si="30"/>
        <v>46.806097088165956</v>
      </c>
      <c r="CT18" s="36">
        <f t="shared" ca="1" si="30"/>
        <v>47.271589483700168</v>
      </c>
      <c r="CU18" s="36">
        <f t="shared" ca="1" si="30"/>
        <v>47.655581882934896</v>
      </c>
      <c r="CV18" s="36">
        <f t="shared" ca="1" si="30"/>
        <v>47.033944950053609</v>
      </c>
      <c r="CW18" s="36">
        <f t="shared" ca="1" si="30"/>
        <v>47.105031513176769</v>
      </c>
      <c r="CX18" s="36">
        <f t="shared" ca="1" si="30"/>
        <v>47.076888802938463</v>
      </c>
      <c r="CY18" s="36">
        <f t="shared" ca="1" si="30"/>
        <v>46.704294904520154</v>
      </c>
      <c r="CZ18" s="36">
        <f t="shared" ca="1" si="30"/>
        <v>47.102566710804062</v>
      </c>
      <c r="DA18" s="36">
        <f t="shared" ca="1" si="30"/>
        <v>47.265605719256975</v>
      </c>
      <c r="DB18" s="36">
        <f t="shared" ca="1" si="30"/>
        <v>46.938353275856336</v>
      </c>
      <c r="DC18" s="36">
        <f t="shared" ca="1" si="30"/>
        <v>45.454844539694932</v>
      </c>
      <c r="DD18" s="36">
        <f t="shared" ca="1" si="30"/>
        <v>44.655616796080416</v>
      </c>
      <c r="DE18" s="36">
        <f t="shared" ca="1" si="30"/>
        <v>46.166586822102516</v>
      </c>
      <c r="DF18" s="36">
        <f t="shared" ca="1" si="30"/>
        <v>45.795451383255156</v>
      </c>
      <c r="DG18" s="36">
        <f t="shared" ca="1" si="30"/>
        <v>44.651040028950995</v>
      </c>
      <c r="DH18" s="36">
        <f t="shared" ca="1" si="30"/>
        <v>45.940938312351015</v>
      </c>
      <c r="DI18" s="36">
        <f t="shared" ca="1" si="30"/>
        <v>45.716657537006363</v>
      </c>
      <c r="DJ18" s="36">
        <f t="shared" ca="1" si="30"/>
        <v>45.975815221191411</v>
      </c>
      <c r="DK18" s="36">
        <f t="shared" ca="1" si="30"/>
        <v>45.707280007175974</v>
      </c>
      <c r="DL18" s="36">
        <f t="shared" ca="1" si="30"/>
        <v>46.433803972877556</v>
      </c>
      <c r="DM18" s="36">
        <f t="shared" ca="1" si="30"/>
        <v>46.139922659443521</v>
      </c>
      <c r="DN18" s="36">
        <f t="shared" ca="1" si="30"/>
        <v>45.696588321318387</v>
      </c>
      <c r="DO18" s="36">
        <f t="shared" ca="1" si="30"/>
        <v>46.096421288777108</v>
      </c>
      <c r="DP18" s="36">
        <f t="shared" ca="1" si="30"/>
        <v>45.714149302666833</v>
      </c>
      <c r="DQ18" s="36">
        <f t="shared" ca="1" si="30"/>
        <v>45.806306161326688</v>
      </c>
      <c r="DR18" s="36">
        <f t="shared" ca="1" si="30"/>
        <v>46.316007942362653</v>
      </c>
      <c r="DS18" s="36">
        <f t="shared" ca="1" si="30"/>
        <v>46.966033661815899</v>
      </c>
      <c r="DT18" s="36">
        <f t="shared" ca="1" si="30"/>
        <v>47.044299346357931</v>
      </c>
      <c r="DU18" s="36">
        <f t="shared" ca="1" si="30"/>
        <v>46.569128181598586</v>
      </c>
      <c r="DV18" s="36">
        <f t="shared" ca="1" si="30"/>
        <v>46.176020766628525</v>
      </c>
      <c r="DW18" s="36">
        <f t="shared" ca="1" si="30"/>
        <v>46.411856231528539</v>
      </c>
      <c r="DX18" s="36">
        <f t="shared" ca="1" si="30"/>
        <v>47.307397766802808</v>
      </c>
      <c r="DY18" s="36">
        <f t="shared" ca="1" si="30"/>
        <v>46.885912816897971</v>
      </c>
      <c r="DZ18" s="36">
        <f t="shared" ca="1" si="30"/>
        <v>46.383811659723783</v>
      </c>
      <c r="EA18" s="36">
        <f t="shared" ca="1" si="30"/>
        <v>47.069912844626074</v>
      </c>
      <c r="EB18" s="36">
        <f t="shared" ca="1" si="30"/>
        <v>46.51361105606972</v>
      </c>
      <c r="EC18" s="36">
        <f t="shared" ca="1" si="28"/>
        <v>46.848950492284921</v>
      </c>
      <c r="ED18" s="36">
        <f t="shared" ca="1" si="26"/>
        <v>46.697937978352563</v>
      </c>
      <c r="EE18" s="36">
        <f t="shared" ca="1" si="26"/>
        <v>47.689439769925301</v>
      </c>
      <c r="EF18" s="36">
        <f t="shared" ca="1" si="26"/>
        <v>48.78425521851517</v>
      </c>
      <c r="EG18" s="36">
        <f t="shared" ca="1" si="26"/>
        <v>49.265966465454589</v>
      </c>
      <c r="EH18" s="36">
        <f t="shared" ca="1" si="26"/>
        <v>49.050606255455008</v>
      </c>
      <c r="EI18" s="36">
        <f t="shared" ca="1" si="26"/>
        <v>49.791534307550087</v>
      </c>
      <c r="EJ18" s="36">
        <f t="shared" ca="1" si="26"/>
        <v>49.649157675777083</v>
      </c>
      <c r="EK18" s="36">
        <f t="shared" ca="1" si="26"/>
        <v>48.690040568613249</v>
      </c>
      <c r="EL18" s="36">
        <f t="shared" ca="1" si="26"/>
        <v>49.269784101872261</v>
      </c>
      <c r="EM18" s="36">
        <f t="shared" ca="1" si="26"/>
        <v>49.162022684658986</v>
      </c>
      <c r="EN18" s="36">
        <f t="shared" ca="1" si="26"/>
        <v>49.060651677382353</v>
      </c>
      <c r="EO18" s="36">
        <f t="shared" ca="1" si="26"/>
        <v>49.16108299140037</v>
      </c>
      <c r="EP18" s="36">
        <f t="shared" ca="1" si="26"/>
        <v>49.133911112508926</v>
      </c>
      <c r="EQ18" s="36">
        <f t="shared" ca="1" si="26"/>
        <v>48.333553611795544</v>
      </c>
      <c r="ER18" s="36">
        <f t="shared" ca="1" si="26"/>
        <v>48.035082264392358</v>
      </c>
      <c r="ES18" s="36">
        <f t="shared" ca="1" si="26"/>
        <v>47.331639728151899</v>
      </c>
      <c r="ET18" s="36">
        <f t="shared" ca="1" si="26"/>
        <v>47.216091405077414</v>
      </c>
      <c r="EU18" s="36">
        <f t="shared" ca="1" si="26"/>
        <v>45.775942433503218</v>
      </c>
      <c r="EV18" s="36">
        <f t="shared" ca="1" si="26"/>
        <v>45.664424857192856</v>
      </c>
      <c r="EW18" s="36">
        <f t="shared" ref="EW18:HH22" ca="1" si="35">EV18*EXP(($B$3-$B$4^2/2)*1+$B$4*_xlfn.NORM.S.INV(RAND()))</f>
        <v>45.880969335342627</v>
      </c>
      <c r="EX18" s="36">
        <f t="shared" ca="1" si="35"/>
        <v>46.400144818317727</v>
      </c>
      <c r="EY18" s="36">
        <f t="shared" ca="1" si="35"/>
        <v>46.285257684867531</v>
      </c>
      <c r="EZ18" s="36">
        <f t="shared" ca="1" si="35"/>
        <v>45.687711114551988</v>
      </c>
      <c r="FA18" s="36">
        <f t="shared" ca="1" si="35"/>
        <v>46.173703334319917</v>
      </c>
      <c r="FB18" s="36">
        <f t="shared" ca="1" si="35"/>
        <v>45.086422108359294</v>
      </c>
      <c r="FC18" s="36">
        <f t="shared" ca="1" si="35"/>
        <v>45.706460940454036</v>
      </c>
      <c r="FD18" s="36">
        <f t="shared" ca="1" si="35"/>
        <v>44.470183455481056</v>
      </c>
      <c r="FE18" s="36">
        <f t="shared" ca="1" si="35"/>
        <v>44.644936006066466</v>
      </c>
      <c r="FF18" s="36">
        <f t="shared" ca="1" si="35"/>
        <v>44.605962627549033</v>
      </c>
      <c r="FG18" s="36">
        <f t="shared" ca="1" si="35"/>
        <v>44.621335248773711</v>
      </c>
      <c r="FH18" s="36">
        <f t="shared" ca="1" si="35"/>
        <v>44.356118828456225</v>
      </c>
      <c r="FI18" s="36">
        <f t="shared" ca="1" si="35"/>
        <v>43.301270722024832</v>
      </c>
      <c r="FJ18" s="36">
        <f t="shared" ca="1" si="35"/>
        <v>43.091373225994872</v>
      </c>
      <c r="FK18" s="36">
        <f t="shared" ca="1" si="35"/>
        <v>43.310783072097294</v>
      </c>
      <c r="FL18" s="36">
        <f t="shared" ca="1" si="35"/>
        <v>42.83676355676937</v>
      </c>
      <c r="FM18" s="36">
        <f t="shared" ca="1" si="35"/>
        <v>43.03451155800429</v>
      </c>
      <c r="FN18" s="36">
        <f t="shared" ca="1" si="35"/>
        <v>43.248253151501672</v>
      </c>
      <c r="FO18" s="36">
        <f t="shared" ca="1" si="35"/>
        <v>43.140209360938009</v>
      </c>
      <c r="FP18" s="36">
        <f t="shared" ca="1" si="35"/>
        <v>42.645655900038214</v>
      </c>
      <c r="FQ18" s="36">
        <f t="shared" ca="1" si="35"/>
        <v>42.039984279118812</v>
      </c>
      <c r="FR18" s="36">
        <f t="shared" ca="1" si="35"/>
        <v>41.637090499214203</v>
      </c>
      <c r="FS18" s="36">
        <f t="shared" ca="1" si="35"/>
        <v>42.043046332718461</v>
      </c>
      <c r="FT18" s="36">
        <f t="shared" ca="1" si="35"/>
        <v>41.928791172609174</v>
      </c>
      <c r="FU18" s="36">
        <f t="shared" ca="1" si="35"/>
        <v>41.255592235692241</v>
      </c>
      <c r="FV18" s="36">
        <f t="shared" ca="1" si="35"/>
        <v>41.160222855313037</v>
      </c>
      <c r="FW18" s="36">
        <f t="shared" ca="1" si="35"/>
        <v>41.264623968457265</v>
      </c>
      <c r="FX18" s="36">
        <f t="shared" ca="1" si="35"/>
        <v>41.107579410095823</v>
      </c>
      <c r="FY18" s="36">
        <f t="shared" ca="1" si="35"/>
        <v>41.486808367773342</v>
      </c>
      <c r="FZ18" s="36">
        <f t="shared" ca="1" si="35"/>
        <v>41.958741677700118</v>
      </c>
      <c r="GA18" s="36">
        <f t="shared" ca="1" si="35"/>
        <v>41.970560297076098</v>
      </c>
      <c r="GB18" s="36">
        <f t="shared" ca="1" si="35"/>
        <v>42.904018262658035</v>
      </c>
      <c r="GC18" s="36">
        <f t="shared" ca="1" si="35"/>
        <v>43.340488123675762</v>
      </c>
      <c r="GD18" s="36">
        <f t="shared" ca="1" si="35"/>
        <v>43.144313528832988</v>
      </c>
      <c r="GE18" s="36">
        <f t="shared" ca="1" si="35"/>
        <v>43.417319214228129</v>
      </c>
      <c r="GF18" s="36">
        <f t="shared" ca="1" si="35"/>
        <v>44.507747566735063</v>
      </c>
      <c r="GG18" s="36">
        <f t="shared" ca="1" si="35"/>
        <v>45.470388173077808</v>
      </c>
      <c r="GH18" s="36">
        <f t="shared" ca="1" si="35"/>
        <v>45.53114951777566</v>
      </c>
      <c r="GI18" s="36">
        <f t="shared" ca="1" si="35"/>
        <v>45.864842645062552</v>
      </c>
      <c r="GJ18" s="36">
        <f t="shared" ca="1" si="35"/>
        <v>46.464308374617652</v>
      </c>
      <c r="GK18" s="36">
        <f t="shared" ca="1" si="35"/>
        <v>45.873364050005463</v>
      </c>
      <c r="GL18" s="36">
        <f t="shared" ca="1" si="35"/>
        <v>46.453203721307581</v>
      </c>
      <c r="GM18" s="36">
        <f t="shared" ca="1" si="35"/>
        <v>47.366145716636503</v>
      </c>
      <c r="GN18" s="36">
        <f t="shared" ca="1" si="35"/>
        <v>47.506160122686687</v>
      </c>
      <c r="GO18" s="36">
        <f t="shared" ca="1" si="35"/>
        <v>47.438298822408981</v>
      </c>
      <c r="GP18" s="36">
        <f t="shared" ca="1" si="35"/>
        <v>46.584854642728402</v>
      </c>
      <c r="GQ18" s="36">
        <f t="shared" ca="1" si="35"/>
        <v>46.833794142411584</v>
      </c>
      <c r="GR18" s="36">
        <f t="shared" ca="1" si="35"/>
        <v>47.721469095125229</v>
      </c>
      <c r="GS18" s="36">
        <f t="shared" ca="1" si="35"/>
        <v>46.768842780703721</v>
      </c>
      <c r="GT18" s="36">
        <f t="shared" ca="1" si="35"/>
        <v>46.195916970185266</v>
      </c>
      <c r="GU18" s="36">
        <f t="shared" ca="1" si="35"/>
        <v>44.903462210147033</v>
      </c>
      <c r="GV18" s="36">
        <f t="shared" ca="1" si="35"/>
        <v>45.891676453803711</v>
      </c>
      <c r="GW18" s="36">
        <f t="shared" ca="1" si="35"/>
        <v>47.099097933544151</v>
      </c>
      <c r="GX18" s="36">
        <f t="shared" ca="1" si="35"/>
        <v>46.158295048311189</v>
      </c>
      <c r="GY18" s="36">
        <f t="shared" ca="1" si="35"/>
        <v>46.838392682453808</v>
      </c>
      <c r="GZ18" s="36">
        <f t="shared" ca="1" si="35"/>
        <v>46.163031026512613</v>
      </c>
      <c r="HA18" s="36">
        <f t="shared" ca="1" si="35"/>
        <v>46.157024786672977</v>
      </c>
      <c r="HB18" s="36">
        <f t="shared" ca="1" si="35"/>
        <v>45.596931636670107</v>
      </c>
      <c r="HC18" s="36">
        <f t="shared" ca="1" si="35"/>
        <v>45.76520904958408</v>
      </c>
      <c r="HD18" s="36">
        <f t="shared" ca="1" si="35"/>
        <v>45.446214078433485</v>
      </c>
      <c r="HE18" s="36">
        <f t="shared" ca="1" si="35"/>
        <v>44.954381095900587</v>
      </c>
      <c r="HF18" s="36">
        <f t="shared" ca="1" si="35"/>
        <v>44.533503188523106</v>
      </c>
      <c r="HG18" s="36">
        <f t="shared" ca="1" si="35"/>
        <v>44.886164072465213</v>
      </c>
      <c r="HH18" s="36">
        <f t="shared" ca="1" si="35"/>
        <v>44.106880251213489</v>
      </c>
      <c r="HI18" s="36">
        <f t="shared" ca="1" si="32"/>
        <v>44.170511868788701</v>
      </c>
      <c r="HJ18" s="36">
        <f t="shared" ca="1" si="32"/>
        <v>44.861237276249533</v>
      </c>
      <c r="HK18" s="36">
        <f t="shared" ca="1" si="32"/>
        <v>44.804810496488244</v>
      </c>
      <c r="HL18" s="36">
        <f t="shared" ref="HL18:HT18" ca="1" si="36">HK18*EXP(($B$3-$B$4^2/2)*1+$B$4*_xlfn.NORM.S.INV(RAND()))</f>
        <v>44.88569240487751</v>
      </c>
      <c r="HM18" s="36">
        <f t="shared" ca="1" si="36"/>
        <v>44.276117592084439</v>
      </c>
      <c r="HN18" s="36">
        <f t="shared" ca="1" si="36"/>
        <v>43.085096334101095</v>
      </c>
      <c r="HO18" s="36">
        <f t="shared" ca="1" si="36"/>
        <v>43.349341995329269</v>
      </c>
      <c r="HP18" s="36">
        <f t="shared" ca="1" si="36"/>
        <v>42.635425986228952</v>
      </c>
      <c r="HQ18" s="36">
        <f t="shared" ca="1" si="36"/>
        <v>42.818922455840671</v>
      </c>
      <c r="HR18" s="36">
        <f t="shared" ca="1" si="36"/>
        <v>42.857738034885422</v>
      </c>
      <c r="HS18" s="36">
        <f t="shared" ca="1" si="36"/>
        <v>43.023362152744411</v>
      </c>
      <c r="HT18" s="36">
        <f t="shared" ca="1" si="36"/>
        <v>43.444570373126986</v>
      </c>
      <c r="HU18" s="36">
        <f t="shared" ca="1" si="12"/>
        <v>43.130448708249453</v>
      </c>
      <c r="HV18" s="36">
        <f t="shared" ca="1" si="12"/>
        <v>42.757422181134615</v>
      </c>
      <c r="HW18" s="36">
        <f t="shared" ca="1" si="12"/>
        <v>43.28715117022869</v>
      </c>
      <c r="HX18" s="36">
        <f t="shared" ca="1" si="12"/>
        <v>42.597096706368724</v>
      </c>
      <c r="HY18" s="36">
        <f t="shared" ca="1" si="12"/>
        <v>43.497454934126061</v>
      </c>
      <c r="HZ18" s="36">
        <f t="shared" ca="1" si="23"/>
        <v>43.216927571613567</v>
      </c>
      <c r="IA18" s="36">
        <f t="shared" ca="1" si="23"/>
        <v>44.494250820533694</v>
      </c>
      <c r="IB18" s="36">
        <f t="shared" ca="1" si="23"/>
        <v>44.429869524224927</v>
      </c>
      <c r="IC18" s="36">
        <f t="shared" ca="1" si="23"/>
        <v>44.067591713390819</v>
      </c>
      <c r="ID18" s="36">
        <f t="shared" ca="1" si="23"/>
        <v>43.653369835042056</v>
      </c>
      <c r="IE18" s="36">
        <f t="shared" ca="1" si="23"/>
        <v>44.189584237413811</v>
      </c>
      <c r="IF18" s="36">
        <f t="shared" ca="1" si="23"/>
        <v>44.603635157771656</v>
      </c>
      <c r="IG18" s="36">
        <f t="shared" ca="1" si="23"/>
        <v>44.36096770663606</v>
      </c>
      <c r="IH18" s="36">
        <f t="shared" ca="1" si="23"/>
        <v>44.064869346679316</v>
      </c>
      <c r="II18" s="36">
        <f t="shared" ca="1" si="23"/>
        <v>44.540870005393124</v>
      </c>
      <c r="IJ18" s="36">
        <f t="shared" ca="1" si="23"/>
        <v>44.365735836205396</v>
      </c>
      <c r="IK18" s="36">
        <f t="shared" ca="1" si="23"/>
        <v>44.693142307492849</v>
      </c>
      <c r="IL18" s="36">
        <f t="shared" ca="1" si="23"/>
        <v>44.227570490806066</v>
      </c>
      <c r="IM18" s="36">
        <f t="shared" ca="1" si="23"/>
        <v>44.202479142370144</v>
      </c>
      <c r="IN18" s="36">
        <f t="shared" ca="1" si="23"/>
        <v>44.216342686352696</v>
      </c>
      <c r="IO18" s="36">
        <f t="shared" ca="1" si="23"/>
        <v>44.252410378886857</v>
      </c>
      <c r="IP18" s="36">
        <f t="shared" ca="1" si="23"/>
        <v>45.004093158593655</v>
      </c>
      <c r="IQ18" s="36">
        <f t="shared" ca="1" si="23"/>
        <v>45.248342750110119</v>
      </c>
      <c r="IR18" s="36">
        <f t="shared" ca="1" si="23"/>
        <v>45.462140812422483</v>
      </c>
      <c r="IS18" s="36">
        <f t="shared" ca="1" si="23"/>
        <v>45.08256335179383</v>
      </c>
      <c r="IT18" s="36">
        <f t="shared" ca="1" si="23"/>
        <v>44.742988733564722</v>
      </c>
      <c r="IU18" s="36">
        <f t="shared" ca="1" si="23"/>
        <v>44.76329220353594</v>
      </c>
    </row>
    <row r="19" spans="1:255" x14ac:dyDescent="0.2">
      <c r="A19" s="36"/>
      <c r="B19">
        <v>9</v>
      </c>
      <c r="C19" s="36">
        <v>50</v>
      </c>
      <c r="D19" s="36">
        <f t="shared" ca="1" si="14"/>
        <v>49.813952488290539</v>
      </c>
      <c r="E19" s="36">
        <f t="shared" ca="1" si="14"/>
        <v>48.855748665896229</v>
      </c>
      <c r="F19" s="36">
        <f t="shared" ca="1" si="34"/>
        <v>48.220068473402982</v>
      </c>
      <c r="G19" s="36">
        <f t="shared" ca="1" si="34"/>
        <v>48.348427691104384</v>
      </c>
      <c r="H19" s="36">
        <f t="shared" ca="1" si="34"/>
        <v>48.786284152045411</v>
      </c>
      <c r="I19" s="36">
        <f t="shared" ca="1" si="34"/>
        <v>47.877411068733693</v>
      </c>
      <c r="J19" s="36">
        <f t="shared" ca="1" si="34"/>
        <v>48.177521174789391</v>
      </c>
      <c r="K19" s="36">
        <f t="shared" ca="1" si="34"/>
        <v>48.575902762496</v>
      </c>
      <c r="L19" s="36">
        <f t="shared" ca="1" si="34"/>
        <v>48.48718507101951</v>
      </c>
      <c r="M19" s="36">
        <f t="shared" ca="1" si="34"/>
        <v>48.485455144531016</v>
      </c>
      <c r="N19" s="36">
        <f t="shared" ca="1" si="34"/>
        <v>48.312400918230402</v>
      </c>
      <c r="O19" s="36">
        <f t="shared" ca="1" si="34"/>
        <v>48.113556597351391</v>
      </c>
      <c r="P19" s="36">
        <f t="shared" ca="1" si="34"/>
        <v>47.651593963448526</v>
      </c>
      <c r="Q19" s="36">
        <f t="shared" ca="1" si="34"/>
        <v>48.025443162375161</v>
      </c>
      <c r="R19" s="36">
        <f t="shared" ca="1" si="34"/>
        <v>47.480159824544145</v>
      </c>
      <c r="S19" s="36">
        <f t="shared" ca="1" si="34"/>
        <v>46.475056049102577</v>
      </c>
      <c r="T19" s="36">
        <f t="shared" ca="1" si="34"/>
        <v>45.756993392495609</v>
      </c>
      <c r="U19" s="36">
        <f t="shared" ca="1" si="34"/>
        <v>45.270822396565435</v>
      </c>
      <c r="V19" s="36">
        <f t="shared" ca="1" si="34"/>
        <v>45.891888125837944</v>
      </c>
      <c r="W19" s="36">
        <f t="shared" ca="1" si="34"/>
        <v>46.703046449791536</v>
      </c>
      <c r="X19" s="36">
        <f t="shared" ca="1" si="34"/>
        <v>47.296652865815169</v>
      </c>
      <c r="Y19" s="36">
        <f t="shared" ca="1" si="34"/>
        <v>46.78465268665316</v>
      </c>
      <c r="Z19" s="36">
        <f t="shared" ca="1" si="34"/>
        <v>45.495653696545105</v>
      </c>
      <c r="AA19" s="36">
        <f t="shared" ca="1" si="34"/>
        <v>46.967105269742881</v>
      </c>
      <c r="AB19" s="36">
        <f t="shared" ca="1" si="34"/>
        <v>46.047218143387532</v>
      </c>
      <c r="AC19" s="36">
        <f t="shared" ca="1" si="34"/>
        <v>45.218887736553725</v>
      </c>
      <c r="AD19" s="36">
        <f t="shared" ca="1" si="34"/>
        <v>44.658761143935813</v>
      </c>
      <c r="AE19" s="36">
        <f t="shared" ca="1" si="34"/>
        <v>45.435894093439799</v>
      </c>
      <c r="AF19" s="36">
        <f t="shared" ca="1" si="34"/>
        <v>45.013567934104458</v>
      </c>
      <c r="AG19" s="36">
        <f t="shared" ca="1" si="34"/>
        <v>45.531552833726522</v>
      </c>
      <c r="AH19" s="36">
        <f t="shared" ca="1" si="34"/>
        <v>45.396191316360337</v>
      </c>
      <c r="AI19" s="36">
        <f t="shared" ca="1" si="34"/>
        <v>44.246327895318004</v>
      </c>
      <c r="AJ19" s="36">
        <f t="shared" ca="1" si="34"/>
        <v>44.689398499711764</v>
      </c>
      <c r="AK19" s="36">
        <f t="shared" ca="1" si="34"/>
        <v>45.275849859273784</v>
      </c>
      <c r="AL19" s="36">
        <f t="shared" ca="1" si="34"/>
        <v>44.50388057396264</v>
      </c>
      <c r="AM19" s="36">
        <f t="shared" ca="1" si="34"/>
        <v>45.280380168569543</v>
      </c>
      <c r="AN19" s="36">
        <f t="shared" ca="1" si="34"/>
        <v>45.253556507573499</v>
      </c>
      <c r="AO19" s="36">
        <f t="shared" ca="1" si="34"/>
        <v>46.116378657396076</v>
      </c>
      <c r="AP19" s="36">
        <f t="shared" ca="1" si="34"/>
        <v>46.290127205530602</v>
      </c>
      <c r="AQ19" s="36">
        <f t="shared" ca="1" si="34"/>
        <v>46.640433145168302</v>
      </c>
      <c r="AR19" s="36">
        <f t="shared" ca="1" si="34"/>
        <v>46.425306517028886</v>
      </c>
      <c r="AS19" s="36">
        <f t="shared" ca="1" si="34"/>
        <v>45.810475485057957</v>
      </c>
      <c r="AT19" s="36">
        <f t="shared" ca="1" si="34"/>
        <v>46.243748807820545</v>
      </c>
      <c r="AU19" s="36">
        <f t="shared" ca="1" si="34"/>
        <v>46.635016471090282</v>
      </c>
      <c r="AV19" s="36">
        <f t="shared" ca="1" si="34"/>
        <v>47.094726937111446</v>
      </c>
      <c r="AW19" s="36">
        <f t="shared" ca="1" si="34"/>
        <v>47.954021878785234</v>
      </c>
      <c r="AX19" s="36">
        <f t="shared" ca="1" si="34"/>
        <v>47.731260595610415</v>
      </c>
      <c r="AY19" s="36">
        <f t="shared" ca="1" si="34"/>
        <v>48.453036725065175</v>
      </c>
      <c r="AZ19" s="36">
        <f t="shared" ca="1" si="34"/>
        <v>47.542440163417901</v>
      </c>
      <c r="BA19" s="36">
        <f t="shared" ca="1" si="34"/>
        <v>48.474396825856573</v>
      </c>
      <c r="BB19" s="36">
        <f t="shared" ca="1" si="34"/>
        <v>47.999087524396174</v>
      </c>
      <c r="BC19" s="36">
        <f t="shared" ca="1" si="34"/>
        <v>48.67616032408349</v>
      </c>
      <c r="BD19" s="36">
        <f t="shared" ca="1" si="34"/>
        <v>47.798268444417623</v>
      </c>
      <c r="BE19" s="36">
        <f t="shared" ca="1" si="34"/>
        <v>46.239993647621546</v>
      </c>
      <c r="BF19" s="36">
        <f t="shared" ca="1" si="34"/>
        <v>45.52442407412483</v>
      </c>
      <c r="BG19" s="36">
        <f t="shared" ca="1" si="34"/>
        <v>45.395031200347212</v>
      </c>
      <c r="BH19" s="36">
        <f t="shared" ca="1" si="34"/>
        <v>45.548721579215581</v>
      </c>
      <c r="BI19" s="36">
        <f t="shared" ca="1" si="34"/>
        <v>45.268568947606333</v>
      </c>
      <c r="BJ19" s="36">
        <f t="shared" ca="1" si="34"/>
        <v>44.210115893273127</v>
      </c>
      <c r="BK19" s="36">
        <f t="shared" ca="1" si="34"/>
        <v>44.709272811908299</v>
      </c>
      <c r="BL19" s="36">
        <f t="shared" ca="1" si="34"/>
        <v>44.404102508922549</v>
      </c>
      <c r="BM19" s="36">
        <f t="shared" ca="1" si="34"/>
        <v>44.733996273165801</v>
      </c>
      <c r="BN19" s="36">
        <f t="shared" ca="1" si="34"/>
        <v>45.124373970825452</v>
      </c>
      <c r="BO19" s="36">
        <f t="shared" ca="1" si="34"/>
        <v>46.469182726436863</v>
      </c>
      <c r="BP19" s="36">
        <f t="shared" ca="1" si="34"/>
        <v>46.339293941253842</v>
      </c>
      <c r="BQ19" s="36">
        <f t="shared" ca="1" si="34"/>
        <v>46.773326787803356</v>
      </c>
      <c r="BR19" s="36">
        <f t="shared" ca="1" si="30"/>
        <v>48.126344107636413</v>
      </c>
      <c r="BS19" s="36">
        <f t="shared" ca="1" si="30"/>
        <v>48.040647246967929</v>
      </c>
      <c r="BT19" s="36">
        <f t="shared" ca="1" si="30"/>
        <v>48.197811741646149</v>
      </c>
      <c r="BU19" s="36">
        <f t="shared" ca="1" si="30"/>
        <v>46.967586065139578</v>
      </c>
      <c r="BV19" s="36">
        <f t="shared" ca="1" si="30"/>
        <v>47.211676302113837</v>
      </c>
      <c r="BW19" s="36">
        <f t="shared" ca="1" si="30"/>
        <v>47.72059076025937</v>
      </c>
      <c r="BX19" s="36">
        <f t="shared" ca="1" si="30"/>
        <v>47.784521814252905</v>
      </c>
      <c r="BY19" s="36">
        <f t="shared" ca="1" si="30"/>
        <v>48.162894842552355</v>
      </c>
      <c r="BZ19" s="36">
        <f t="shared" ca="1" si="30"/>
        <v>48.170328649245079</v>
      </c>
      <c r="CA19" s="36">
        <f t="shared" ca="1" si="30"/>
        <v>47.659466091621191</v>
      </c>
      <c r="CB19" s="36">
        <f t="shared" ca="1" si="30"/>
        <v>47.319561277448344</v>
      </c>
      <c r="CC19" s="36">
        <f t="shared" ca="1" si="30"/>
        <v>47.412891122212336</v>
      </c>
      <c r="CD19" s="36">
        <f t="shared" ca="1" si="30"/>
        <v>47.571050879123732</v>
      </c>
      <c r="CE19" s="36">
        <f t="shared" ca="1" si="30"/>
        <v>48.286851769099371</v>
      </c>
      <c r="CF19" s="36">
        <f t="shared" ca="1" si="30"/>
        <v>47.47386580742856</v>
      </c>
      <c r="CG19" s="36">
        <f t="shared" ca="1" si="30"/>
        <v>48.124551573529352</v>
      </c>
      <c r="CH19" s="36">
        <f t="shared" ca="1" si="30"/>
        <v>48.200041352782208</v>
      </c>
      <c r="CI19" s="36">
        <f t="shared" ca="1" si="30"/>
        <v>48.562115179777429</v>
      </c>
      <c r="CJ19" s="36">
        <f t="shared" ca="1" si="30"/>
        <v>48.076193381951505</v>
      </c>
      <c r="CK19" s="36">
        <f t="shared" ca="1" si="30"/>
        <v>48.252371408614003</v>
      </c>
      <c r="CL19" s="36">
        <f t="shared" ca="1" si="30"/>
        <v>49.0197346389307</v>
      </c>
      <c r="CM19" s="36">
        <f t="shared" ca="1" si="30"/>
        <v>48.476634162365002</v>
      </c>
      <c r="CN19" s="36">
        <f t="shared" ca="1" si="30"/>
        <v>48.46066862516475</v>
      </c>
      <c r="CO19" s="36">
        <f t="shared" ca="1" si="30"/>
        <v>49.668620882706158</v>
      </c>
      <c r="CP19" s="36">
        <f t="shared" ca="1" si="30"/>
        <v>48.744040391046248</v>
      </c>
      <c r="CQ19" s="36">
        <f t="shared" ca="1" si="30"/>
        <v>48.314068600367897</v>
      </c>
      <c r="CR19" s="36">
        <f t="shared" ca="1" si="30"/>
        <v>47.491534616441363</v>
      </c>
      <c r="CS19" s="36">
        <f t="shared" ca="1" si="30"/>
        <v>47.336121505357802</v>
      </c>
      <c r="CT19" s="36">
        <f t="shared" ca="1" si="30"/>
        <v>46.795636156885116</v>
      </c>
      <c r="CU19" s="36">
        <f t="shared" ca="1" si="30"/>
        <v>47.464724124169059</v>
      </c>
      <c r="CV19" s="36">
        <f t="shared" ca="1" si="30"/>
        <v>46.766227769316316</v>
      </c>
      <c r="CW19" s="36">
        <f t="shared" ca="1" si="30"/>
        <v>46.693490371420246</v>
      </c>
      <c r="CX19" s="36">
        <f t="shared" ca="1" si="30"/>
        <v>47.261314933363472</v>
      </c>
      <c r="CY19" s="36">
        <f t="shared" ca="1" si="30"/>
        <v>46.085533724203962</v>
      </c>
      <c r="CZ19" s="36">
        <f t="shared" ca="1" si="30"/>
        <v>46.30930564000974</v>
      </c>
      <c r="DA19" s="36">
        <f t="shared" ca="1" si="30"/>
        <v>46.198981124078557</v>
      </c>
      <c r="DB19" s="36">
        <f t="shared" ca="1" si="30"/>
        <v>45.740592952129816</v>
      </c>
      <c r="DC19" s="36">
        <f t="shared" ca="1" si="30"/>
        <v>46.448113540220312</v>
      </c>
      <c r="DD19" s="36">
        <f t="shared" ca="1" si="30"/>
        <v>46.604380211792609</v>
      </c>
      <c r="DE19" s="36">
        <f t="shared" ca="1" si="30"/>
        <v>46.916509880618122</v>
      </c>
      <c r="DF19" s="36">
        <f t="shared" ca="1" si="30"/>
        <v>46.909929842091643</v>
      </c>
      <c r="DG19" s="36">
        <f t="shared" ca="1" si="30"/>
        <v>46.147962048639315</v>
      </c>
      <c r="DH19" s="36">
        <f t="shared" ca="1" si="30"/>
        <v>45.348888421053061</v>
      </c>
      <c r="DI19" s="36">
        <f t="shared" ca="1" si="30"/>
        <v>45.641335670637716</v>
      </c>
      <c r="DJ19" s="36">
        <f t="shared" ca="1" si="30"/>
        <v>45.31706683489034</v>
      </c>
      <c r="DK19" s="36">
        <f t="shared" ca="1" si="30"/>
        <v>45.144801549372282</v>
      </c>
      <c r="DL19" s="36">
        <f t="shared" ca="1" si="30"/>
        <v>45.252049827153698</v>
      </c>
      <c r="DM19" s="36">
        <f t="shared" ca="1" si="30"/>
        <v>44.782124645362678</v>
      </c>
      <c r="DN19" s="36">
        <f t="shared" ca="1" si="30"/>
        <v>45.249131670217949</v>
      </c>
      <c r="DO19" s="36">
        <f t="shared" ca="1" si="30"/>
        <v>45.771682370129867</v>
      </c>
      <c r="DP19" s="36">
        <f t="shared" ca="1" si="30"/>
        <v>46.33812658291189</v>
      </c>
      <c r="DQ19" s="36">
        <f t="shared" ca="1" si="30"/>
        <v>45.461244821047394</v>
      </c>
      <c r="DR19" s="36">
        <f t="shared" ca="1" si="30"/>
        <v>44.525550001013087</v>
      </c>
      <c r="DS19" s="36">
        <f t="shared" ca="1" si="30"/>
        <v>44.76528128007191</v>
      </c>
      <c r="DT19" s="36">
        <f t="shared" ca="1" si="30"/>
        <v>46.023299947306285</v>
      </c>
      <c r="DU19" s="36">
        <f t="shared" ca="1" si="30"/>
        <v>45.445026261955263</v>
      </c>
      <c r="DV19" s="36">
        <f t="shared" ca="1" si="30"/>
        <v>46.463177239379469</v>
      </c>
      <c r="DW19" s="36">
        <f t="shared" ca="1" si="30"/>
        <v>45.785339549222364</v>
      </c>
      <c r="DX19" s="36">
        <f t="shared" ca="1" si="30"/>
        <v>45.095289990153134</v>
      </c>
      <c r="DY19" s="36">
        <f t="shared" ca="1" si="30"/>
        <v>45.797284419806473</v>
      </c>
      <c r="DZ19" s="36">
        <f t="shared" ca="1" si="30"/>
        <v>45.952276948112313</v>
      </c>
      <c r="EA19" s="36">
        <f t="shared" ca="1" si="30"/>
        <v>45.299539964809561</v>
      </c>
      <c r="EB19" s="36">
        <f t="shared" ca="1" si="30"/>
        <v>44.892788498938643</v>
      </c>
      <c r="EC19" s="36">
        <f t="shared" ca="1" si="28"/>
        <v>44.481500957401948</v>
      </c>
      <c r="ED19" s="36">
        <f t="shared" ca="1" si="26"/>
        <v>45.432467697380289</v>
      </c>
      <c r="EE19" s="36">
        <f t="shared" ca="1" si="26"/>
        <v>45.15020476329623</v>
      </c>
      <c r="EF19" s="36">
        <f t="shared" ca="1" si="26"/>
        <v>45.064737362313394</v>
      </c>
      <c r="EG19" s="36">
        <f t="shared" ca="1" si="26"/>
        <v>44.982682246845755</v>
      </c>
      <c r="EH19" s="36">
        <f t="shared" ca="1" si="26"/>
        <v>44.803111511620891</v>
      </c>
      <c r="EI19" s="36">
        <f t="shared" ca="1" si="26"/>
        <v>44.998578144825153</v>
      </c>
      <c r="EJ19" s="36">
        <f t="shared" ca="1" si="26"/>
        <v>44.412277101051778</v>
      </c>
      <c r="EK19" s="36">
        <f t="shared" ca="1" si="26"/>
        <v>44.137812760306574</v>
      </c>
      <c r="EL19" s="36">
        <f t="shared" ca="1" si="26"/>
        <v>43.861117345922139</v>
      </c>
      <c r="EM19" s="36">
        <f t="shared" ca="1" si="26"/>
        <v>43.786032874837261</v>
      </c>
      <c r="EN19" s="36">
        <f t="shared" ca="1" si="26"/>
        <v>43.894905615991277</v>
      </c>
      <c r="EO19" s="36">
        <f t="shared" ca="1" si="26"/>
        <v>43.094229058541245</v>
      </c>
      <c r="EP19" s="36">
        <f t="shared" ca="1" si="26"/>
        <v>43.576866921839724</v>
      </c>
      <c r="EQ19" s="36">
        <f t="shared" ca="1" si="26"/>
        <v>43.684305393445541</v>
      </c>
      <c r="ER19" s="36">
        <f t="shared" ca="1" si="26"/>
        <v>43.429018476578378</v>
      </c>
      <c r="ES19" s="36">
        <f t="shared" ca="1" si="26"/>
        <v>44.117770143604801</v>
      </c>
      <c r="ET19" s="36">
        <f t="shared" ca="1" si="26"/>
        <v>44.281675984932477</v>
      </c>
      <c r="EU19" s="36">
        <f t="shared" ca="1" si="26"/>
        <v>44.297645239369018</v>
      </c>
      <c r="EV19" s="36">
        <f t="shared" ca="1" si="26"/>
        <v>44.634758266083637</v>
      </c>
      <c r="EW19" s="36">
        <f t="shared" ref="EW19" ca="1" si="37">EV19*EXP(($B$3-$B$4^2/2)*1+$B$4*_xlfn.NORM.S.INV(RAND()))</f>
        <v>44.977347415718384</v>
      </c>
      <c r="EX19" s="36">
        <f t="shared" ca="1" si="35"/>
        <v>45.472220323586214</v>
      </c>
      <c r="EY19" s="36">
        <f t="shared" ca="1" si="35"/>
        <v>45.654021352323504</v>
      </c>
      <c r="EZ19" s="36">
        <f t="shared" ca="1" si="35"/>
        <v>45.784458791193835</v>
      </c>
      <c r="FA19" s="36">
        <f t="shared" ca="1" si="35"/>
        <v>45.88596073116755</v>
      </c>
      <c r="FB19" s="36">
        <f t="shared" ca="1" si="35"/>
        <v>46.399649810625363</v>
      </c>
      <c r="FC19" s="36">
        <f t="shared" ca="1" si="35"/>
        <v>46.119282261288049</v>
      </c>
      <c r="FD19" s="36">
        <f t="shared" ca="1" si="35"/>
        <v>45.524269691699821</v>
      </c>
      <c r="FE19" s="36">
        <f t="shared" ca="1" si="35"/>
        <v>45.236562632624342</v>
      </c>
      <c r="FF19" s="36">
        <f t="shared" ca="1" si="35"/>
        <v>45.475113943602814</v>
      </c>
      <c r="FG19" s="36">
        <f t="shared" ca="1" si="35"/>
        <v>45.677431524985067</v>
      </c>
      <c r="FH19" s="36">
        <f t="shared" ca="1" si="35"/>
        <v>45.068808216422674</v>
      </c>
      <c r="FI19" s="36">
        <f t="shared" ca="1" si="35"/>
        <v>44.834000938634802</v>
      </c>
      <c r="FJ19" s="36">
        <f t="shared" ca="1" si="35"/>
        <v>44.19063898834321</v>
      </c>
      <c r="FK19" s="36">
        <f t="shared" ca="1" si="35"/>
        <v>44.327035942979137</v>
      </c>
      <c r="FL19" s="36">
        <f t="shared" ca="1" si="35"/>
        <v>44.925414624444862</v>
      </c>
      <c r="FM19" s="36">
        <f t="shared" ca="1" si="35"/>
        <v>44.792420604019149</v>
      </c>
      <c r="FN19" s="36">
        <f t="shared" ca="1" si="35"/>
        <v>44.458265385346323</v>
      </c>
      <c r="FO19" s="36">
        <f t="shared" ca="1" si="35"/>
        <v>44.339653513665489</v>
      </c>
      <c r="FP19" s="36">
        <f t="shared" ca="1" si="35"/>
        <v>44.340564638836163</v>
      </c>
      <c r="FQ19" s="36">
        <f t="shared" ca="1" si="35"/>
        <v>44.525294287069656</v>
      </c>
      <c r="FR19" s="36">
        <f t="shared" ca="1" si="35"/>
        <v>44.83139743307521</v>
      </c>
      <c r="FS19" s="36">
        <f t="shared" ca="1" si="35"/>
        <v>44.276728775406191</v>
      </c>
      <c r="FT19" s="36">
        <f t="shared" ca="1" si="35"/>
        <v>45.189105925736584</v>
      </c>
      <c r="FU19" s="36">
        <f t="shared" ca="1" si="35"/>
        <v>45.047907126218362</v>
      </c>
      <c r="FV19" s="36">
        <f t="shared" ca="1" si="35"/>
        <v>45.543501876534854</v>
      </c>
      <c r="FW19" s="36">
        <f t="shared" ca="1" si="35"/>
        <v>44.843867080185035</v>
      </c>
      <c r="FX19" s="36">
        <f t="shared" ca="1" si="35"/>
        <v>45.205651614529963</v>
      </c>
      <c r="FY19" s="36">
        <f t="shared" ca="1" si="35"/>
        <v>45.302106657405695</v>
      </c>
      <c r="FZ19" s="36">
        <f t="shared" ca="1" si="35"/>
        <v>45.954657655474158</v>
      </c>
      <c r="GA19" s="36">
        <f t="shared" ca="1" si="35"/>
        <v>46.668854717126635</v>
      </c>
      <c r="GB19" s="36">
        <f t="shared" ca="1" si="35"/>
        <v>45.619390939341336</v>
      </c>
      <c r="GC19" s="36">
        <f t="shared" ca="1" si="35"/>
        <v>46.163318127766168</v>
      </c>
      <c r="GD19" s="36">
        <f t="shared" ca="1" si="35"/>
        <v>46.085954673054999</v>
      </c>
      <c r="GE19" s="36">
        <f t="shared" ca="1" si="35"/>
        <v>45.671593301133463</v>
      </c>
      <c r="GF19" s="36">
        <f t="shared" ca="1" si="35"/>
        <v>46.297405413594639</v>
      </c>
      <c r="GG19" s="36">
        <f t="shared" ca="1" si="35"/>
        <v>46.213784380515982</v>
      </c>
      <c r="GH19" s="36">
        <f t="shared" ca="1" si="35"/>
        <v>44.615526763219101</v>
      </c>
      <c r="GI19" s="36">
        <f t="shared" ca="1" si="35"/>
        <v>45.068082846213173</v>
      </c>
      <c r="GJ19" s="36">
        <f t="shared" ca="1" si="35"/>
        <v>45.291458884363777</v>
      </c>
      <c r="GK19" s="36">
        <f t="shared" ca="1" si="35"/>
        <v>45.989784170827548</v>
      </c>
      <c r="GL19" s="36">
        <f t="shared" ca="1" si="35"/>
        <v>45.712589919997434</v>
      </c>
      <c r="GM19" s="36">
        <f t="shared" ca="1" si="35"/>
        <v>46.560603147532028</v>
      </c>
      <c r="GN19" s="36">
        <f t="shared" ca="1" si="35"/>
        <v>47.285342874662341</v>
      </c>
      <c r="GO19" s="36">
        <f t="shared" ca="1" si="35"/>
        <v>47.174721483528849</v>
      </c>
      <c r="GP19" s="36">
        <f t="shared" ca="1" si="35"/>
        <v>47.304919698943465</v>
      </c>
      <c r="GQ19" s="36">
        <f t="shared" ca="1" si="35"/>
        <v>46.78200961675887</v>
      </c>
      <c r="GR19" s="36">
        <f t="shared" ca="1" si="35"/>
        <v>46.148776399107305</v>
      </c>
      <c r="GS19" s="36">
        <f t="shared" ca="1" si="35"/>
        <v>45.485079371749492</v>
      </c>
      <c r="GT19" s="36">
        <f t="shared" ca="1" si="35"/>
        <v>44.954481796270819</v>
      </c>
      <c r="GU19" s="36">
        <f t="shared" ca="1" si="35"/>
        <v>44.928826143272708</v>
      </c>
      <c r="GV19" s="36">
        <f t="shared" ca="1" si="35"/>
        <v>45.511034990325051</v>
      </c>
      <c r="GW19" s="36">
        <f t="shared" ca="1" si="35"/>
        <v>46.584414984848081</v>
      </c>
      <c r="GX19" s="36">
        <f t="shared" ca="1" si="35"/>
        <v>47.256588543255333</v>
      </c>
      <c r="GY19" s="36">
        <f t="shared" ca="1" si="35"/>
        <v>47.925808442005355</v>
      </c>
      <c r="GZ19" s="36">
        <f t="shared" ca="1" si="35"/>
        <v>48.4100097398386</v>
      </c>
      <c r="HA19" s="36">
        <f t="shared" ca="1" si="35"/>
        <v>48.956959941453491</v>
      </c>
      <c r="HB19" s="36">
        <f t="shared" ca="1" si="35"/>
        <v>48.702856293056477</v>
      </c>
      <c r="HC19" s="36">
        <f t="shared" ca="1" si="35"/>
        <v>48.591229979964062</v>
      </c>
      <c r="HD19" s="36">
        <f t="shared" ca="1" si="35"/>
        <v>48.529760846975698</v>
      </c>
      <c r="HE19" s="36">
        <f t="shared" ca="1" si="35"/>
        <v>48.742113215551001</v>
      </c>
      <c r="HF19" s="36">
        <f t="shared" ca="1" si="35"/>
        <v>48.374663346974238</v>
      </c>
      <c r="HG19" s="36">
        <f t="shared" ca="1" si="35"/>
        <v>48.10766440533591</v>
      </c>
      <c r="HH19" s="36">
        <f t="shared" ca="1" si="35"/>
        <v>49.714691226962813</v>
      </c>
      <c r="HI19" s="36">
        <f t="shared" ca="1" si="32"/>
        <v>50.029625783227281</v>
      </c>
      <c r="HJ19" s="36">
        <f t="shared" ca="1" si="32"/>
        <v>50.662622777034443</v>
      </c>
      <c r="HK19" s="36">
        <f t="shared" ca="1" si="32"/>
        <v>50.99565652666039</v>
      </c>
      <c r="HL19" s="36">
        <f t="shared" ref="HL19:HT19" ca="1" si="38">HK19*EXP(($B$3-$B$4^2/2)*1+$B$4*_xlfn.NORM.S.INV(RAND()))</f>
        <v>51.770333112900985</v>
      </c>
      <c r="HM19" s="36">
        <f t="shared" ca="1" si="38"/>
        <v>50.039191452992725</v>
      </c>
      <c r="HN19" s="36">
        <f t="shared" ca="1" si="38"/>
        <v>50.760134822590153</v>
      </c>
      <c r="HO19" s="36">
        <f t="shared" ca="1" si="38"/>
        <v>50.286811896221721</v>
      </c>
      <c r="HP19" s="36">
        <f t="shared" ca="1" si="38"/>
        <v>50.970473185223852</v>
      </c>
      <c r="HQ19" s="36">
        <f t="shared" ca="1" si="38"/>
        <v>50.671476973054816</v>
      </c>
      <c r="HR19" s="36">
        <f t="shared" ca="1" si="38"/>
        <v>51.593744010017943</v>
      </c>
      <c r="HS19" s="36">
        <f t="shared" ca="1" si="38"/>
        <v>52.057975469727047</v>
      </c>
      <c r="HT19" s="36">
        <f t="shared" ca="1" si="38"/>
        <v>52.26738513592089</v>
      </c>
      <c r="HU19" s="36">
        <f t="shared" ca="1" si="12"/>
        <v>51.93758370931176</v>
      </c>
      <c r="HV19" s="36">
        <f t="shared" ca="1" si="12"/>
        <v>51.405176438209033</v>
      </c>
      <c r="HW19" s="36">
        <f t="shared" ca="1" si="12"/>
        <v>52.114621409544412</v>
      </c>
      <c r="HX19" s="36">
        <f t="shared" ca="1" si="12"/>
        <v>51.759684449108171</v>
      </c>
      <c r="HY19" s="36">
        <f t="shared" ca="1" si="12"/>
        <v>51.493684062461845</v>
      </c>
      <c r="HZ19" s="36">
        <f t="shared" ca="1" si="23"/>
        <v>51.217710866304436</v>
      </c>
      <c r="IA19" s="36">
        <f t="shared" ca="1" si="23"/>
        <v>51.578298097884712</v>
      </c>
      <c r="IB19" s="36">
        <f t="shared" ca="1" si="23"/>
        <v>50.83262691030923</v>
      </c>
      <c r="IC19" s="36">
        <f t="shared" ca="1" si="23"/>
        <v>51.323455454744106</v>
      </c>
      <c r="ID19" s="36">
        <f t="shared" ca="1" si="23"/>
        <v>50.844841846537712</v>
      </c>
      <c r="IE19" s="36">
        <f t="shared" ca="1" si="23"/>
        <v>51.630050649512128</v>
      </c>
      <c r="IF19" s="36">
        <f t="shared" ca="1" si="23"/>
        <v>52.499690790942644</v>
      </c>
      <c r="IG19" s="36">
        <f t="shared" ca="1" si="23"/>
        <v>53.875658556894891</v>
      </c>
      <c r="IH19" s="36">
        <f t="shared" ca="1" si="23"/>
        <v>54.288690731240138</v>
      </c>
      <c r="II19" s="36">
        <f t="shared" ca="1" si="23"/>
        <v>54.297530143927162</v>
      </c>
      <c r="IJ19" s="36">
        <f t="shared" ca="1" si="23"/>
        <v>53.02088220185319</v>
      </c>
      <c r="IK19" s="36">
        <f t="shared" ca="1" si="23"/>
        <v>53.791502526079469</v>
      </c>
      <c r="IL19" s="36">
        <f t="shared" ca="1" si="23"/>
        <v>54.618420118751438</v>
      </c>
      <c r="IM19" s="36">
        <f t="shared" ca="1" si="23"/>
        <v>54.70712981933093</v>
      </c>
      <c r="IN19" s="36">
        <f t="shared" ca="1" si="23"/>
        <v>54.268333881088182</v>
      </c>
      <c r="IO19" s="36">
        <f t="shared" ca="1" si="23"/>
        <v>54.044677455685608</v>
      </c>
      <c r="IP19" s="36">
        <f t="shared" ca="1" si="23"/>
        <v>52.800515874610696</v>
      </c>
      <c r="IQ19" s="36">
        <f t="shared" ca="1" si="23"/>
        <v>53.506331503770348</v>
      </c>
      <c r="IR19" s="36">
        <f t="shared" ca="1" si="23"/>
        <v>53.696866524099242</v>
      </c>
      <c r="IS19" s="36">
        <f t="shared" ca="1" si="23"/>
        <v>54.794414339859607</v>
      </c>
      <c r="IT19" s="36">
        <f t="shared" ca="1" si="23"/>
        <v>54.856868579397499</v>
      </c>
      <c r="IU19" s="36">
        <f t="shared" ca="1" si="23"/>
        <v>54.071151813762761</v>
      </c>
    </row>
    <row r="20" spans="1:255" x14ac:dyDescent="0.2">
      <c r="A20" s="36"/>
      <c r="B20">
        <v>10</v>
      </c>
      <c r="C20" s="36">
        <v>50</v>
      </c>
      <c r="D20" s="36">
        <f t="shared" ca="1" si="14"/>
        <v>50.653384362101129</v>
      </c>
      <c r="E20" s="36">
        <f t="shared" ca="1" si="14"/>
        <v>51.568764331342202</v>
      </c>
      <c r="F20" s="36">
        <f t="shared" ca="1" si="34"/>
        <v>51.223891966345043</v>
      </c>
      <c r="G20" s="36">
        <f t="shared" ca="1" si="34"/>
        <v>51.138022581152889</v>
      </c>
      <c r="H20" s="36">
        <f t="shared" ca="1" si="34"/>
        <v>50.614408609001771</v>
      </c>
      <c r="I20" s="36">
        <f t="shared" ca="1" si="34"/>
        <v>50.749724480221062</v>
      </c>
      <c r="J20" s="36">
        <f t="shared" ca="1" si="34"/>
        <v>50.025176279111172</v>
      </c>
      <c r="K20" s="36">
        <f t="shared" ca="1" si="34"/>
        <v>49.635128278168658</v>
      </c>
      <c r="L20" s="36">
        <f t="shared" ca="1" si="34"/>
        <v>49.188298901905029</v>
      </c>
      <c r="M20" s="36">
        <f t="shared" ca="1" si="34"/>
        <v>49.696883639560525</v>
      </c>
      <c r="N20" s="36">
        <f t="shared" ca="1" si="34"/>
        <v>50.098136892709356</v>
      </c>
      <c r="O20" s="36">
        <f t="shared" ca="1" si="34"/>
        <v>49.225869623016685</v>
      </c>
      <c r="P20" s="36">
        <f t="shared" ca="1" si="34"/>
        <v>49.41313448902671</v>
      </c>
      <c r="Q20" s="36">
        <f t="shared" ca="1" si="34"/>
        <v>49.789781410597755</v>
      </c>
      <c r="R20" s="36">
        <f t="shared" ca="1" si="34"/>
        <v>50.412859091414255</v>
      </c>
      <c r="S20" s="36">
        <f t="shared" ca="1" si="34"/>
        <v>51.050335759737294</v>
      </c>
      <c r="T20" s="36">
        <f t="shared" ca="1" si="34"/>
        <v>51.544328714460889</v>
      </c>
      <c r="U20" s="36">
        <f t="shared" ca="1" si="34"/>
        <v>51.917269744864946</v>
      </c>
      <c r="V20" s="36">
        <f t="shared" ca="1" si="34"/>
        <v>51.759181668888736</v>
      </c>
      <c r="W20" s="36">
        <f t="shared" ca="1" si="34"/>
        <v>52.304867256266661</v>
      </c>
      <c r="X20" s="36">
        <f t="shared" ca="1" si="34"/>
        <v>52.294852418775847</v>
      </c>
      <c r="Y20" s="36">
        <f t="shared" ca="1" si="34"/>
        <v>52.72723466163287</v>
      </c>
      <c r="Z20" s="36">
        <f t="shared" ca="1" si="34"/>
        <v>52.463995169172364</v>
      </c>
      <c r="AA20" s="36">
        <f t="shared" ca="1" si="34"/>
        <v>52.284149641587611</v>
      </c>
      <c r="AB20" s="36">
        <f t="shared" ca="1" si="34"/>
        <v>51.971357929242195</v>
      </c>
      <c r="AC20" s="36">
        <f t="shared" ca="1" si="34"/>
        <v>51.895193697029327</v>
      </c>
      <c r="AD20" s="36">
        <f t="shared" ca="1" si="34"/>
        <v>52.281332729158329</v>
      </c>
      <c r="AE20" s="36">
        <f t="shared" ca="1" si="34"/>
        <v>51.842442550871894</v>
      </c>
      <c r="AF20" s="36">
        <f t="shared" ca="1" si="34"/>
        <v>52.128275850971725</v>
      </c>
      <c r="AG20" s="36">
        <f t="shared" ca="1" si="34"/>
        <v>51.407360949187641</v>
      </c>
      <c r="AH20" s="36">
        <f t="shared" ca="1" si="34"/>
        <v>51.9740163522263</v>
      </c>
      <c r="AI20" s="36">
        <f t="shared" ca="1" si="34"/>
        <v>52.465477663085132</v>
      </c>
      <c r="AJ20" s="36">
        <f t="shared" ca="1" si="34"/>
        <v>52.077159743539681</v>
      </c>
      <c r="AK20" s="36">
        <f t="shared" ca="1" si="34"/>
        <v>52.330470572539866</v>
      </c>
      <c r="AL20" s="36">
        <f t="shared" ca="1" si="34"/>
        <v>53.583201648901316</v>
      </c>
      <c r="AM20" s="36">
        <f t="shared" ca="1" si="34"/>
        <v>53.789643791275608</v>
      </c>
      <c r="AN20" s="36">
        <f t="shared" ca="1" si="34"/>
        <v>52.984634945692171</v>
      </c>
      <c r="AO20" s="36">
        <f t="shared" ca="1" si="34"/>
        <v>52.505369480196222</v>
      </c>
      <c r="AP20" s="36">
        <f t="shared" ca="1" si="34"/>
        <v>52.855395315305039</v>
      </c>
      <c r="AQ20" s="36">
        <f t="shared" ca="1" si="34"/>
        <v>52.99046835565251</v>
      </c>
      <c r="AR20" s="36">
        <f t="shared" ca="1" si="34"/>
        <v>53.534130161800299</v>
      </c>
      <c r="AS20" s="36">
        <f t="shared" ca="1" si="34"/>
        <v>54.977381473088428</v>
      </c>
      <c r="AT20" s="36">
        <f t="shared" ca="1" si="34"/>
        <v>55.162756653364745</v>
      </c>
      <c r="AU20" s="36">
        <f t="shared" ca="1" si="34"/>
        <v>54.96642375548813</v>
      </c>
      <c r="AV20" s="36">
        <f t="shared" ca="1" si="34"/>
        <v>54.904768767497799</v>
      </c>
      <c r="AW20" s="36">
        <f t="shared" ca="1" si="34"/>
        <v>54.459623147043715</v>
      </c>
      <c r="AX20" s="36">
        <f t="shared" ca="1" si="34"/>
        <v>55.178318224539666</v>
      </c>
      <c r="AY20" s="36">
        <f t="shared" ca="1" si="34"/>
        <v>55.137480760757157</v>
      </c>
      <c r="AZ20" s="36">
        <f t="shared" ca="1" si="34"/>
        <v>55.664379570058301</v>
      </c>
      <c r="BA20" s="36">
        <f t="shared" ca="1" si="34"/>
        <v>55.155534196903815</v>
      </c>
      <c r="BB20" s="36">
        <f t="shared" ca="1" si="34"/>
        <v>55.706457416505245</v>
      </c>
      <c r="BC20" s="36">
        <f t="shared" ca="1" si="34"/>
        <v>55.716487006865826</v>
      </c>
      <c r="BD20" s="36">
        <f t="shared" ca="1" si="34"/>
        <v>55.203956749804739</v>
      </c>
      <c r="BE20" s="36">
        <f t="shared" ca="1" si="34"/>
        <v>54.751958173649498</v>
      </c>
      <c r="BF20" s="36">
        <f t="shared" ca="1" si="34"/>
        <v>55.180654897860308</v>
      </c>
      <c r="BG20" s="36">
        <f t="shared" ca="1" si="34"/>
        <v>54.716013078630425</v>
      </c>
      <c r="BH20" s="36">
        <f t="shared" ca="1" si="34"/>
        <v>54.321855052525095</v>
      </c>
      <c r="BI20" s="36">
        <f t="shared" ca="1" si="34"/>
        <v>54.395123636095207</v>
      </c>
      <c r="BJ20" s="36">
        <f t="shared" ca="1" si="34"/>
        <v>53.945192468191834</v>
      </c>
      <c r="BK20" s="36">
        <f t="shared" ca="1" si="34"/>
        <v>53.934633342813328</v>
      </c>
      <c r="BL20" s="36">
        <f t="shared" ca="1" si="34"/>
        <v>53.626505251587091</v>
      </c>
      <c r="BM20" s="36">
        <f t="shared" ca="1" si="34"/>
        <v>53.683890991712616</v>
      </c>
      <c r="BN20" s="36">
        <f t="shared" ca="1" si="34"/>
        <v>53.548151326628165</v>
      </c>
      <c r="BO20" s="36">
        <f t="shared" ca="1" si="34"/>
        <v>52.484721560776237</v>
      </c>
      <c r="BP20" s="36">
        <f t="shared" ca="1" si="34"/>
        <v>52.652921504508932</v>
      </c>
      <c r="BQ20" s="36">
        <f t="shared" ca="1" si="34"/>
        <v>51.706928553220777</v>
      </c>
      <c r="BR20" s="36">
        <f t="shared" ca="1" si="30"/>
        <v>51.863880814355113</v>
      </c>
      <c r="BS20" s="36">
        <f t="shared" ca="1" si="30"/>
        <v>51.782304048942763</v>
      </c>
      <c r="BT20" s="36">
        <f t="shared" ca="1" si="30"/>
        <v>51.312791399413115</v>
      </c>
      <c r="BU20" s="36">
        <f t="shared" ca="1" si="30"/>
        <v>50.784908665443801</v>
      </c>
      <c r="BV20" s="36">
        <f t="shared" ca="1" si="30"/>
        <v>50.376743764052847</v>
      </c>
      <c r="BW20" s="36">
        <f t="shared" ca="1" si="30"/>
        <v>50.460313390950404</v>
      </c>
      <c r="BX20" s="36">
        <f t="shared" ca="1" si="30"/>
        <v>50.402535099336909</v>
      </c>
      <c r="BY20" s="36">
        <f t="shared" ca="1" si="30"/>
        <v>50.229617504152586</v>
      </c>
      <c r="BZ20" s="36">
        <f t="shared" ca="1" si="30"/>
        <v>50.306719493220264</v>
      </c>
      <c r="CA20" s="36">
        <f t="shared" ca="1" si="30"/>
        <v>50.74314028573761</v>
      </c>
      <c r="CB20" s="36">
        <f t="shared" ca="1" si="30"/>
        <v>50.157099919056435</v>
      </c>
      <c r="CC20" s="36">
        <f t="shared" ca="1" si="30"/>
        <v>49.734580776618742</v>
      </c>
      <c r="CD20" s="36">
        <f t="shared" ca="1" si="30"/>
        <v>48.886254238168519</v>
      </c>
      <c r="CE20" s="36">
        <f t="shared" ca="1" si="30"/>
        <v>48.72434005882026</v>
      </c>
      <c r="CF20" s="36">
        <f t="shared" ca="1" si="30"/>
        <v>49.007091879882154</v>
      </c>
      <c r="CG20" s="36">
        <f t="shared" ca="1" si="30"/>
        <v>48.760908740924499</v>
      </c>
      <c r="CH20" s="36">
        <f t="shared" ca="1" si="30"/>
        <v>49.720486549398935</v>
      </c>
      <c r="CI20" s="36">
        <f t="shared" ca="1" si="30"/>
        <v>49.635308213507287</v>
      </c>
      <c r="CJ20" s="36">
        <f t="shared" ca="1" si="30"/>
        <v>49.549522784656197</v>
      </c>
      <c r="CK20" s="36">
        <f t="shared" ca="1" si="30"/>
        <v>50.204203290849065</v>
      </c>
      <c r="CL20" s="36">
        <f t="shared" ca="1" si="30"/>
        <v>51.286489048350759</v>
      </c>
      <c r="CM20" s="36">
        <f t="shared" ca="1" si="30"/>
        <v>52.138471413390121</v>
      </c>
      <c r="CN20" s="36">
        <f t="shared" ca="1" si="30"/>
        <v>52.484059890972588</v>
      </c>
      <c r="CO20" s="36">
        <f t="shared" ca="1" si="30"/>
        <v>51.94258329084942</v>
      </c>
      <c r="CP20" s="36">
        <f t="shared" ca="1" si="30"/>
        <v>51.10202710804117</v>
      </c>
      <c r="CQ20" s="36">
        <f t="shared" ca="1" si="30"/>
        <v>52.951945933381488</v>
      </c>
      <c r="CR20" s="36">
        <f t="shared" ca="1" si="30"/>
        <v>51.929521672310216</v>
      </c>
      <c r="CS20" s="36">
        <f t="shared" ca="1" si="30"/>
        <v>52.323064277841681</v>
      </c>
      <c r="CT20" s="36">
        <f t="shared" ca="1" si="30"/>
        <v>52.441623355308757</v>
      </c>
      <c r="CU20" s="36">
        <f t="shared" ca="1" si="30"/>
        <v>52.20028850415347</v>
      </c>
      <c r="CV20" s="36">
        <f t="shared" ca="1" si="30"/>
        <v>53.350752885700338</v>
      </c>
      <c r="CW20" s="36">
        <f t="shared" ca="1" si="30"/>
        <v>53.114032719649664</v>
      </c>
      <c r="CX20" s="36">
        <f t="shared" ca="1" si="30"/>
        <v>53.669153698287772</v>
      </c>
      <c r="CY20" s="36">
        <f t="shared" ca="1" si="30"/>
        <v>53.914240690900961</v>
      </c>
      <c r="CZ20" s="36">
        <f t="shared" ca="1" si="30"/>
        <v>53.552771662975445</v>
      </c>
      <c r="DA20" s="36">
        <f t="shared" ca="1" si="30"/>
        <v>52.533051250344919</v>
      </c>
      <c r="DB20" s="36">
        <f t="shared" ca="1" si="30"/>
        <v>52.638873995562967</v>
      </c>
      <c r="DC20" s="36">
        <f t="shared" ca="1" si="30"/>
        <v>52.360637386565109</v>
      </c>
      <c r="DD20" s="36">
        <f t="shared" ca="1" si="30"/>
        <v>53.011092003519984</v>
      </c>
      <c r="DE20" s="36">
        <f t="shared" ca="1" si="30"/>
        <v>52.956287522738577</v>
      </c>
      <c r="DF20" s="36">
        <f t="shared" ca="1" si="30"/>
        <v>53.606952884510626</v>
      </c>
      <c r="DG20" s="36">
        <f t="shared" ca="1" si="30"/>
        <v>54.236431225368065</v>
      </c>
      <c r="DH20" s="36">
        <f t="shared" ca="1" si="30"/>
        <v>54.563078334464912</v>
      </c>
      <c r="DI20" s="36">
        <f t="shared" ca="1" si="30"/>
        <v>53.471828682855957</v>
      </c>
      <c r="DJ20" s="36">
        <f t="shared" ca="1" si="30"/>
        <v>54.073567609714104</v>
      </c>
      <c r="DK20" s="36">
        <f t="shared" ca="1" si="30"/>
        <v>54.63923643474336</v>
      </c>
      <c r="DL20" s="36">
        <f t="shared" ca="1" si="30"/>
        <v>53.937305853818124</v>
      </c>
      <c r="DM20" s="36">
        <f t="shared" ca="1" si="30"/>
        <v>54.950256675899418</v>
      </c>
      <c r="DN20" s="36">
        <f t="shared" ca="1" si="30"/>
        <v>55.115461853069945</v>
      </c>
      <c r="DO20" s="36">
        <f t="shared" ca="1" si="30"/>
        <v>54.403085348061673</v>
      </c>
      <c r="DP20" s="36">
        <f t="shared" ca="1" si="30"/>
        <v>55.10073231970479</v>
      </c>
      <c r="DQ20" s="36">
        <f t="shared" ca="1" si="30"/>
        <v>54.291656672772085</v>
      </c>
      <c r="DR20" s="36">
        <f t="shared" ca="1" si="30"/>
        <v>54.544402833674916</v>
      </c>
      <c r="DS20" s="36">
        <f t="shared" ca="1" si="30"/>
        <v>54.551250995385573</v>
      </c>
      <c r="DT20" s="36">
        <f t="shared" ca="1" si="30"/>
        <v>54.869166481699104</v>
      </c>
      <c r="DU20" s="36">
        <f t="shared" ca="1" si="30"/>
        <v>54.441588299641651</v>
      </c>
      <c r="DV20" s="36">
        <f t="shared" ca="1" si="30"/>
        <v>54.36843016260211</v>
      </c>
      <c r="DW20" s="36">
        <f t="shared" ca="1" si="30"/>
        <v>54.604676019516859</v>
      </c>
      <c r="DX20" s="36">
        <f t="shared" ca="1" si="30"/>
        <v>55.597934287446563</v>
      </c>
      <c r="DY20" s="36">
        <f t="shared" ca="1" si="30"/>
        <v>54.25204315853663</v>
      </c>
      <c r="DZ20" s="36">
        <f t="shared" ca="1" si="30"/>
        <v>53.890640946279639</v>
      </c>
      <c r="EA20" s="36">
        <f t="shared" ca="1" si="30"/>
        <v>54.134435654035741</v>
      </c>
      <c r="EB20" s="36">
        <f t="shared" ca="1" si="30"/>
        <v>54.192369107083543</v>
      </c>
      <c r="EC20" s="36">
        <f t="shared" ca="1" si="28"/>
        <v>53.191324150802309</v>
      </c>
      <c r="ED20" s="36">
        <f t="shared" ca="1" si="26"/>
        <v>53.588820038777691</v>
      </c>
      <c r="EE20" s="36">
        <f t="shared" ca="1" si="26"/>
        <v>53.636370459793163</v>
      </c>
      <c r="EF20" s="36">
        <f t="shared" ca="1" si="26"/>
        <v>53.741113132342498</v>
      </c>
      <c r="EG20" s="36">
        <f t="shared" ca="1" si="26"/>
        <v>53.864213302253546</v>
      </c>
      <c r="EH20" s="36">
        <f t="shared" ca="1" si="26"/>
        <v>53.673297910845349</v>
      </c>
      <c r="EI20" s="36">
        <f t="shared" ca="1" si="26"/>
        <v>53.677162429449936</v>
      </c>
      <c r="EJ20" s="36">
        <f t="shared" ca="1" si="26"/>
        <v>53.916427619998338</v>
      </c>
      <c r="EK20" s="36">
        <f t="shared" ca="1" si="26"/>
        <v>53.742045055577137</v>
      </c>
      <c r="EL20" s="36">
        <f t="shared" ca="1" si="26"/>
        <v>54.538356991922321</v>
      </c>
      <c r="EM20" s="36">
        <f t="shared" ca="1" si="26"/>
        <v>54.154410576386496</v>
      </c>
      <c r="EN20" s="36">
        <f t="shared" ca="1" si="26"/>
        <v>54.184067756518274</v>
      </c>
      <c r="EO20" s="36">
        <f t="shared" ca="1" si="26"/>
        <v>54.250489439246117</v>
      </c>
      <c r="EP20" s="36">
        <f t="shared" ca="1" si="26"/>
        <v>54.741122810238593</v>
      </c>
      <c r="EQ20" s="36">
        <f t="shared" ca="1" si="26"/>
        <v>55.085788243099572</v>
      </c>
      <c r="ER20" s="36">
        <f t="shared" ca="1" si="26"/>
        <v>54.373411391934773</v>
      </c>
      <c r="ES20" s="36">
        <f t="shared" ca="1" si="26"/>
        <v>53.410739832494805</v>
      </c>
      <c r="ET20" s="36">
        <f t="shared" ca="1" si="26"/>
        <v>54.364642298960675</v>
      </c>
      <c r="EU20" s="36">
        <f t="shared" ca="1" si="26"/>
        <v>54.600793551488046</v>
      </c>
      <c r="EV20" s="36">
        <f t="shared" ca="1" si="26"/>
        <v>54.210444062143431</v>
      </c>
      <c r="EW20" s="36">
        <f t="shared" ref="EW20" ca="1" si="39">EV20*EXP(($B$3-$B$4^2/2)*1+$B$4*_xlfn.NORM.S.INV(RAND()))</f>
        <v>53.990407695312797</v>
      </c>
      <c r="EX20" s="36">
        <f t="shared" ca="1" si="35"/>
        <v>53.934532460288466</v>
      </c>
      <c r="EY20" s="36">
        <f t="shared" ca="1" si="35"/>
        <v>53.850087989653403</v>
      </c>
      <c r="EZ20" s="36">
        <f t="shared" ca="1" si="35"/>
        <v>53.609767789593235</v>
      </c>
      <c r="FA20" s="36">
        <f t="shared" ca="1" si="35"/>
        <v>52.944138461567661</v>
      </c>
      <c r="FB20" s="36">
        <f t="shared" ca="1" si="35"/>
        <v>52.673176205623115</v>
      </c>
      <c r="FC20" s="36">
        <f t="shared" ca="1" si="35"/>
        <v>51.990571961319617</v>
      </c>
      <c r="FD20" s="36">
        <f t="shared" ca="1" si="35"/>
        <v>51.245126390409709</v>
      </c>
      <c r="FE20" s="36">
        <f t="shared" ca="1" si="35"/>
        <v>51.745487421526072</v>
      </c>
      <c r="FF20" s="36">
        <f t="shared" ca="1" si="35"/>
        <v>51.863386218570078</v>
      </c>
      <c r="FG20" s="36">
        <f t="shared" ca="1" si="35"/>
        <v>53.759300329503084</v>
      </c>
      <c r="FH20" s="36">
        <f t="shared" ca="1" si="35"/>
        <v>52.97312349707672</v>
      </c>
      <c r="FI20" s="36">
        <f t="shared" ca="1" si="35"/>
        <v>52.430586151920785</v>
      </c>
      <c r="FJ20" s="36">
        <f t="shared" ca="1" si="35"/>
        <v>51.965344264840283</v>
      </c>
      <c r="FK20" s="36">
        <f t="shared" ca="1" si="35"/>
        <v>51.108916557725038</v>
      </c>
      <c r="FL20" s="36">
        <f t="shared" ca="1" si="35"/>
        <v>50.423984236670179</v>
      </c>
      <c r="FM20" s="36">
        <f t="shared" ca="1" si="35"/>
        <v>49.929097852128123</v>
      </c>
      <c r="FN20" s="36">
        <f t="shared" ca="1" si="35"/>
        <v>49.925742800493275</v>
      </c>
      <c r="FO20" s="36">
        <f t="shared" ca="1" si="35"/>
        <v>49.728113925727037</v>
      </c>
      <c r="FP20" s="36">
        <f t="shared" ca="1" si="35"/>
        <v>49.716154993119588</v>
      </c>
      <c r="FQ20" s="36">
        <f t="shared" ca="1" si="35"/>
        <v>49.189639885859386</v>
      </c>
      <c r="FR20" s="36">
        <f t="shared" ca="1" si="35"/>
        <v>48.772910961240612</v>
      </c>
      <c r="FS20" s="36">
        <f t="shared" ca="1" si="35"/>
        <v>48.726270132470475</v>
      </c>
      <c r="FT20" s="36">
        <f t="shared" ca="1" si="35"/>
        <v>48.985940312181263</v>
      </c>
      <c r="FU20" s="36">
        <f t="shared" ca="1" si="35"/>
        <v>48.340480163680994</v>
      </c>
      <c r="FV20" s="36">
        <f t="shared" ca="1" si="35"/>
        <v>48.625052435427001</v>
      </c>
      <c r="FW20" s="36">
        <f t="shared" ca="1" si="35"/>
        <v>48.087504393730391</v>
      </c>
      <c r="FX20" s="36">
        <f t="shared" ca="1" si="35"/>
        <v>48.104004441078544</v>
      </c>
      <c r="FY20" s="36">
        <f t="shared" ca="1" si="35"/>
        <v>49.018590650233769</v>
      </c>
      <c r="FZ20" s="36">
        <f t="shared" ca="1" si="35"/>
        <v>48.602554965458431</v>
      </c>
      <c r="GA20" s="36">
        <f t="shared" ca="1" si="35"/>
        <v>48.576080560000179</v>
      </c>
      <c r="GB20" s="36">
        <f t="shared" ca="1" si="35"/>
        <v>47.848493173679401</v>
      </c>
      <c r="GC20" s="36">
        <f t="shared" ca="1" si="35"/>
        <v>47.910591865740614</v>
      </c>
      <c r="GD20" s="36">
        <f t="shared" ca="1" si="35"/>
        <v>48.098615312988457</v>
      </c>
      <c r="GE20" s="36">
        <f t="shared" ca="1" si="35"/>
        <v>47.589873775470679</v>
      </c>
      <c r="GF20" s="36">
        <f t="shared" ca="1" si="35"/>
        <v>47.810742316837413</v>
      </c>
      <c r="GG20" s="36">
        <f t="shared" ca="1" si="35"/>
        <v>47.498082508906087</v>
      </c>
      <c r="GH20" s="36">
        <f t="shared" ca="1" si="35"/>
        <v>47.063972373864537</v>
      </c>
      <c r="GI20" s="36">
        <f t="shared" ca="1" si="35"/>
        <v>46.786524214876053</v>
      </c>
      <c r="GJ20" s="36">
        <f t="shared" ca="1" si="35"/>
        <v>46.984251763041406</v>
      </c>
      <c r="GK20" s="36">
        <f t="shared" ca="1" si="35"/>
        <v>46.799734158272003</v>
      </c>
      <c r="GL20" s="36">
        <f t="shared" ca="1" si="35"/>
        <v>46.608165737311396</v>
      </c>
      <c r="GM20" s="36">
        <f t="shared" ca="1" si="35"/>
        <v>47.446097660478912</v>
      </c>
      <c r="GN20" s="36">
        <f t="shared" ca="1" si="35"/>
        <v>47.791842659471698</v>
      </c>
      <c r="GO20" s="36">
        <f t="shared" ca="1" si="35"/>
        <v>48.557609612733359</v>
      </c>
      <c r="GP20" s="36">
        <f t="shared" ca="1" si="35"/>
        <v>49.2639663167514</v>
      </c>
      <c r="GQ20" s="36">
        <f t="shared" ca="1" si="35"/>
        <v>49.233298240323919</v>
      </c>
      <c r="GR20" s="36">
        <f t="shared" ca="1" si="35"/>
        <v>47.631061145097156</v>
      </c>
      <c r="GS20" s="36">
        <f t="shared" ca="1" si="35"/>
        <v>47.954421305507005</v>
      </c>
      <c r="GT20" s="36">
        <f t="shared" ca="1" si="35"/>
        <v>48.668156408088777</v>
      </c>
      <c r="GU20" s="36">
        <f t="shared" ca="1" si="35"/>
        <v>48.658677533954133</v>
      </c>
      <c r="GV20" s="36">
        <f t="shared" ca="1" si="35"/>
        <v>49.942403673098958</v>
      </c>
      <c r="GW20" s="36">
        <f t="shared" ca="1" si="35"/>
        <v>49.667572319878992</v>
      </c>
      <c r="GX20" s="36">
        <f t="shared" ca="1" si="35"/>
        <v>49.800511504168846</v>
      </c>
      <c r="GY20" s="36">
        <f t="shared" ca="1" si="35"/>
        <v>49.743091922591269</v>
      </c>
      <c r="GZ20" s="36">
        <f t="shared" ca="1" si="35"/>
        <v>48.85364670334949</v>
      </c>
      <c r="HA20" s="36">
        <f t="shared" ca="1" si="35"/>
        <v>49.403191345187089</v>
      </c>
      <c r="HB20" s="36">
        <f t="shared" ca="1" si="35"/>
        <v>49.221873288770041</v>
      </c>
      <c r="HC20" s="36">
        <f t="shared" ca="1" si="35"/>
        <v>48.599494059402033</v>
      </c>
      <c r="HD20" s="36">
        <f t="shared" ca="1" si="35"/>
        <v>48.146023652500233</v>
      </c>
      <c r="HE20" s="36">
        <f t="shared" ca="1" si="35"/>
        <v>48.251944215697591</v>
      </c>
      <c r="HF20" s="36">
        <f t="shared" ca="1" si="35"/>
        <v>48.262784390183441</v>
      </c>
      <c r="HG20" s="36">
        <f t="shared" ca="1" si="35"/>
        <v>47.895041255747458</v>
      </c>
      <c r="HH20" s="36">
        <f t="shared" ca="1" si="35"/>
        <v>47.904379349512993</v>
      </c>
      <c r="HI20" s="36">
        <f t="shared" ca="1" si="32"/>
        <v>47.729407790840568</v>
      </c>
      <c r="HJ20" s="36">
        <f t="shared" ca="1" si="32"/>
        <v>48.04366936522527</v>
      </c>
      <c r="HK20" s="36">
        <f t="shared" ca="1" si="32"/>
        <v>48.671910419564455</v>
      </c>
      <c r="HL20" s="36">
        <f t="shared" ref="HL20:HT20" ca="1" si="40">HK20*EXP(($B$3-$B$4^2/2)*1+$B$4*_xlfn.NORM.S.INV(RAND()))</f>
        <v>47.912272678360921</v>
      </c>
      <c r="HM20" s="36">
        <f t="shared" ca="1" si="40"/>
        <v>48.371781605176146</v>
      </c>
      <c r="HN20" s="36">
        <f t="shared" ca="1" si="40"/>
        <v>49.097385493377473</v>
      </c>
      <c r="HO20" s="36">
        <f t="shared" ca="1" si="40"/>
        <v>48.297454296558818</v>
      </c>
      <c r="HP20" s="36">
        <f t="shared" ca="1" si="40"/>
        <v>48.640919675944396</v>
      </c>
      <c r="HQ20" s="36">
        <f t="shared" ca="1" si="40"/>
        <v>48.779250440859585</v>
      </c>
      <c r="HR20" s="36">
        <f t="shared" ca="1" si="40"/>
        <v>48.739964656372536</v>
      </c>
      <c r="HS20" s="36">
        <f t="shared" ca="1" si="40"/>
        <v>49.932619886692457</v>
      </c>
      <c r="HT20" s="36">
        <f t="shared" ca="1" si="40"/>
        <v>49.94581736084924</v>
      </c>
      <c r="HU20" s="36">
        <f t="shared" ca="1" si="12"/>
        <v>49.198311615041199</v>
      </c>
      <c r="HV20" s="36">
        <f t="shared" ca="1" si="12"/>
        <v>47.629136490294378</v>
      </c>
      <c r="HW20" s="36">
        <f t="shared" ca="1" si="12"/>
        <v>48.264803355904419</v>
      </c>
      <c r="HX20" s="36">
        <f t="shared" ca="1" si="12"/>
        <v>47.988806696975566</v>
      </c>
      <c r="HY20" s="36">
        <f t="shared" ca="1" si="12"/>
        <v>47.842904647956857</v>
      </c>
      <c r="HZ20" s="36">
        <f t="shared" ca="1" si="23"/>
        <v>47.753007671714983</v>
      </c>
      <c r="IA20" s="36">
        <f t="shared" ca="1" si="23"/>
        <v>47.296020111764598</v>
      </c>
      <c r="IB20" s="36">
        <f t="shared" ca="1" si="23"/>
        <v>46.202333310663803</v>
      </c>
      <c r="IC20" s="36">
        <f t="shared" ca="1" si="23"/>
        <v>46.259253479121533</v>
      </c>
      <c r="ID20" s="36">
        <f t="shared" ca="1" si="23"/>
        <v>45.727798014160385</v>
      </c>
      <c r="IE20" s="36">
        <f t="shared" ca="1" si="23"/>
        <v>45.459500980195088</v>
      </c>
      <c r="IF20" s="36">
        <f t="shared" ca="1" si="23"/>
        <v>45.145470154076108</v>
      </c>
      <c r="IG20" s="36">
        <f t="shared" ca="1" si="23"/>
        <v>44.977676516209016</v>
      </c>
      <c r="IH20" s="36">
        <f t="shared" ca="1" si="23"/>
        <v>45.735859375136791</v>
      </c>
      <c r="II20" s="36">
        <f t="shared" ca="1" si="23"/>
        <v>46.235089469353113</v>
      </c>
      <c r="IJ20" s="36">
        <f t="shared" ca="1" si="23"/>
        <v>47.026831948765192</v>
      </c>
      <c r="IK20" s="36">
        <f t="shared" ca="1" si="23"/>
        <v>46.824606684470268</v>
      </c>
      <c r="IL20" s="36">
        <f t="shared" ca="1" si="23"/>
        <v>47.163677979163573</v>
      </c>
      <c r="IM20" s="36">
        <f t="shared" ca="1" si="23"/>
        <v>47.036337410238751</v>
      </c>
      <c r="IN20" s="36">
        <f t="shared" ca="1" si="23"/>
        <v>47.567672137317174</v>
      </c>
      <c r="IO20" s="36">
        <f t="shared" ca="1" si="23"/>
        <v>48.57844390012982</v>
      </c>
      <c r="IP20" s="36">
        <f t="shared" ca="1" si="23"/>
        <v>48.409342067254755</v>
      </c>
      <c r="IQ20" s="36">
        <f t="shared" ca="1" si="23"/>
        <v>49.026411788364626</v>
      </c>
      <c r="IR20" s="36">
        <f t="shared" ca="1" si="23"/>
        <v>48.722543911029902</v>
      </c>
      <c r="IS20" s="36">
        <f t="shared" ca="1" si="23"/>
        <v>49.283893427640336</v>
      </c>
      <c r="IT20" s="36">
        <f t="shared" ca="1" si="23"/>
        <v>49.585818015822156</v>
      </c>
      <c r="IU20" s="36">
        <f t="shared" ca="1" si="23"/>
        <v>49.629717841970248</v>
      </c>
    </row>
    <row r="21" spans="1:255" x14ac:dyDescent="0.2">
      <c r="A21" s="36"/>
      <c r="B21">
        <v>11</v>
      </c>
      <c r="C21" s="36">
        <v>50</v>
      </c>
      <c r="D21" s="36">
        <f t="shared" ca="1" si="14"/>
        <v>50.645646562484522</v>
      </c>
      <c r="E21" s="36">
        <f t="shared" ca="1" si="14"/>
        <v>49.948758547110913</v>
      </c>
      <c r="F21" s="36">
        <f t="shared" ca="1" si="34"/>
        <v>49.422713602410468</v>
      </c>
      <c r="G21" s="36">
        <f t="shared" ca="1" si="34"/>
        <v>50.34402161295543</v>
      </c>
      <c r="H21" s="36">
        <f t="shared" ca="1" si="34"/>
        <v>50.65833544056558</v>
      </c>
      <c r="I21" s="36">
        <f t="shared" ca="1" si="34"/>
        <v>50.003711731572807</v>
      </c>
      <c r="J21" s="36">
        <f t="shared" ca="1" si="34"/>
        <v>50.083290017002618</v>
      </c>
      <c r="K21" s="36">
        <f t="shared" ca="1" si="34"/>
        <v>50.23519805866173</v>
      </c>
      <c r="L21" s="36">
        <f t="shared" ca="1" si="34"/>
        <v>50.128046560095228</v>
      </c>
      <c r="M21" s="36">
        <f t="shared" ca="1" si="34"/>
        <v>50.478687810980389</v>
      </c>
      <c r="N21" s="36">
        <f t="shared" ca="1" si="34"/>
        <v>49.75213432674704</v>
      </c>
      <c r="O21" s="36">
        <f t="shared" ca="1" si="34"/>
        <v>49.303957246061671</v>
      </c>
      <c r="P21" s="36">
        <f t="shared" ca="1" si="34"/>
        <v>48.772417939839706</v>
      </c>
      <c r="Q21" s="36">
        <f t="shared" ca="1" si="34"/>
        <v>48.476236377241392</v>
      </c>
      <c r="R21" s="36">
        <f t="shared" ca="1" si="34"/>
        <v>48.301224443994208</v>
      </c>
      <c r="S21" s="36">
        <f t="shared" ca="1" si="34"/>
        <v>48.45069585815699</v>
      </c>
      <c r="T21" s="36">
        <f t="shared" ca="1" si="34"/>
        <v>49.249739132158489</v>
      </c>
      <c r="U21" s="36">
        <f t="shared" ca="1" si="34"/>
        <v>49.028025387899106</v>
      </c>
      <c r="V21" s="36">
        <f t="shared" ca="1" si="34"/>
        <v>49.42827031836439</v>
      </c>
      <c r="W21" s="36">
        <f t="shared" ca="1" si="34"/>
        <v>50.416790193769685</v>
      </c>
      <c r="X21" s="36">
        <f t="shared" ca="1" si="34"/>
        <v>50.458140163604575</v>
      </c>
      <c r="Y21" s="36">
        <f t="shared" ca="1" si="34"/>
        <v>50.694888435424467</v>
      </c>
      <c r="Z21" s="36">
        <f t="shared" ca="1" si="34"/>
        <v>51.050283506982069</v>
      </c>
      <c r="AA21" s="36">
        <f t="shared" ca="1" si="34"/>
        <v>52.284806897825987</v>
      </c>
      <c r="AB21" s="36">
        <f t="shared" ca="1" si="34"/>
        <v>51.40247040670949</v>
      </c>
      <c r="AC21" s="36">
        <f t="shared" ca="1" si="34"/>
        <v>50.545060595537713</v>
      </c>
      <c r="AD21" s="36">
        <f t="shared" ca="1" si="34"/>
        <v>50.205400649783705</v>
      </c>
      <c r="AE21" s="36">
        <f t="shared" ca="1" si="34"/>
        <v>50.405994337060271</v>
      </c>
      <c r="AF21" s="36">
        <f t="shared" ca="1" si="34"/>
        <v>51.103579088036909</v>
      </c>
      <c r="AG21" s="36">
        <f t="shared" ca="1" si="34"/>
        <v>51.74124880894923</v>
      </c>
      <c r="AH21" s="36">
        <f t="shared" ca="1" si="34"/>
        <v>52.143069541572174</v>
      </c>
      <c r="AI21" s="36">
        <f t="shared" ca="1" si="34"/>
        <v>52.45947427568165</v>
      </c>
      <c r="AJ21" s="36">
        <f t="shared" ca="1" si="34"/>
        <v>52.181530660704233</v>
      </c>
      <c r="AK21" s="36">
        <f t="shared" ca="1" si="34"/>
        <v>52.914426359692897</v>
      </c>
      <c r="AL21" s="36">
        <f t="shared" ca="1" si="34"/>
        <v>52.969535267959294</v>
      </c>
      <c r="AM21" s="36">
        <f t="shared" ca="1" si="34"/>
        <v>54.207627660441922</v>
      </c>
      <c r="AN21" s="36">
        <f t="shared" ca="1" si="34"/>
        <v>54.348076899724724</v>
      </c>
      <c r="AO21" s="36">
        <f t="shared" ca="1" si="34"/>
        <v>55.134592579358397</v>
      </c>
      <c r="AP21" s="36">
        <f t="shared" ca="1" si="34"/>
        <v>55.510646841860186</v>
      </c>
      <c r="AQ21" s="36">
        <f t="shared" ca="1" si="34"/>
        <v>54.836519125540178</v>
      </c>
      <c r="AR21" s="36">
        <f t="shared" ca="1" si="34"/>
        <v>54.465611369157017</v>
      </c>
      <c r="AS21" s="36">
        <f t="shared" ca="1" si="34"/>
        <v>54.833784450995481</v>
      </c>
      <c r="AT21" s="36">
        <f t="shared" ca="1" si="34"/>
        <v>54.704186082746936</v>
      </c>
      <c r="AU21" s="36">
        <f t="shared" ca="1" si="34"/>
        <v>55.900040783204538</v>
      </c>
      <c r="AV21" s="36">
        <f t="shared" ca="1" si="34"/>
        <v>55.678480658817961</v>
      </c>
      <c r="AW21" s="36">
        <f t="shared" ca="1" si="34"/>
        <v>54.331303174823411</v>
      </c>
      <c r="AX21" s="36">
        <f t="shared" ca="1" si="34"/>
        <v>54.319218892753561</v>
      </c>
      <c r="AY21" s="36">
        <f t="shared" ca="1" si="34"/>
        <v>54.920489042791246</v>
      </c>
      <c r="AZ21" s="36">
        <f t="shared" ca="1" si="34"/>
        <v>54.07193032454942</v>
      </c>
      <c r="BA21" s="36">
        <f t="shared" ca="1" si="34"/>
        <v>52.528128429777162</v>
      </c>
      <c r="BB21" s="36">
        <f t="shared" ca="1" si="34"/>
        <v>52.72094763507333</v>
      </c>
      <c r="BC21" s="36">
        <f t="shared" ca="1" si="34"/>
        <v>53.729462973370197</v>
      </c>
      <c r="BD21" s="36">
        <f t="shared" ca="1" si="34"/>
        <v>53.702013420481293</v>
      </c>
      <c r="BE21" s="36">
        <f t="shared" ca="1" si="34"/>
        <v>53.47966224887201</v>
      </c>
      <c r="BF21" s="36">
        <f t="shared" ca="1" si="34"/>
        <v>53.990903828024813</v>
      </c>
      <c r="BG21" s="36">
        <f t="shared" ca="1" si="34"/>
        <v>53.60264518121879</v>
      </c>
      <c r="BH21" s="36">
        <f t="shared" ca="1" si="34"/>
        <v>54.087721045479746</v>
      </c>
      <c r="BI21" s="36">
        <f t="shared" ca="1" si="34"/>
        <v>54.213645437702191</v>
      </c>
      <c r="BJ21" s="36">
        <f t="shared" ca="1" si="34"/>
        <v>54.938892882772393</v>
      </c>
      <c r="BK21" s="36">
        <f t="shared" ca="1" si="34"/>
        <v>54.844907483730893</v>
      </c>
      <c r="BL21" s="36">
        <f t="shared" ca="1" si="34"/>
        <v>55.93410961683427</v>
      </c>
      <c r="BM21" s="36">
        <f t="shared" ca="1" si="34"/>
        <v>56.129138353247733</v>
      </c>
      <c r="BN21" s="36">
        <f t="shared" ca="1" si="34"/>
        <v>57.170894822096059</v>
      </c>
      <c r="BO21" s="36">
        <f t="shared" ca="1" si="34"/>
        <v>56.06788310839697</v>
      </c>
      <c r="BP21" s="36">
        <f t="shared" ca="1" si="34"/>
        <v>55.875632929257279</v>
      </c>
      <c r="BQ21" s="36">
        <f t="shared" ref="BQ21:EB24" ca="1" si="41">BP21*EXP(($B$3-$B$4^2/2)*1+$B$4*_xlfn.NORM.S.INV(RAND()))</f>
        <v>57.45743392019746</v>
      </c>
      <c r="BR21" s="36">
        <f t="shared" ca="1" si="41"/>
        <v>57.975937400410118</v>
      </c>
      <c r="BS21" s="36">
        <f t="shared" ca="1" si="41"/>
        <v>59.157576520095795</v>
      </c>
      <c r="BT21" s="36">
        <f t="shared" ca="1" si="41"/>
        <v>60.112322848564602</v>
      </c>
      <c r="BU21" s="36">
        <f t="shared" ca="1" si="41"/>
        <v>61.39298393913387</v>
      </c>
      <c r="BV21" s="36">
        <f t="shared" ca="1" si="41"/>
        <v>61.834886650376582</v>
      </c>
      <c r="BW21" s="36">
        <f t="shared" ca="1" si="41"/>
        <v>61.846811962568871</v>
      </c>
      <c r="BX21" s="36">
        <f t="shared" ca="1" si="41"/>
        <v>60.181673357739342</v>
      </c>
      <c r="BY21" s="36">
        <f t="shared" ca="1" si="41"/>
        <v>59.315320827700084</v>
      </c>
      <c r="BZ21" s="36">
        <f t="shared" ca="1" si="41"/>
        <v>59.991089688832183</v>
      </c>
      <c r="CA21" s="36">
        <f t="shared" ca="1" si="41"/>
        <v>59.546798852945379</v>
      </c>
      <c r="CB21" s="36">
        <f t="shared" ca="1" si="41"/>
        <v>59.353207987777964</v>
      </c>
      <c r="CC21" s="36">
        <f t="shared" ca="1" si="41"/>
        <v>58.653603902788163</v>
      </c>
      <c r="CD21" s="36">
        <f t="shared" ca="1" si="41"/>
        <v>58.92403180006859</v>
      </c>
      <c r="CE21" s="36">
        <f t="shared" ca="1" si="41"/>
        <v>59.246719111053643</v>
      </c>
      <c r="CF21" s="36">
        <f t="shared" ca="1" si="41"/>
        <v>60.827490270886976</v>
      </c>
      <c r="CG21" s="36">
        <f t="shared" ca="1" si="41"/>
        <v>60.294326739002571</v>
      </c>
      <c r="CH21" s="36">
        <f t="shared" ca="1" si="41"/>
        <v>60.702756981764992</v>
      </c>
      <c r="CI21" s="36">
        <f t="shared" ca="1" si="41"/>
        <v>59.864721211794254</v>
      </c>
      <c r="CJ21" s="36">
        <f t="shared" ca="1" si="41"/>
        <v>59.696335340175686</v>
      </c>
      <c r="CK21" s="36">
        <f t="shared" ca="1" si="41"/>
        <v>58.419765669585821</v>
      </c>
      <c r="CL21" s="36">
        <f t="shared" ca="1" si="41"/>
        <v>59.099586646006216</v>
      </c>
      <c r="CM21" s="36">
        <f t="shared" ca="1" si="41"/>
        <v>60.167152336173878</v>
      </c>
      <c r="CN21" s="36">
        <f t="shared" ca="1" si="41"/>
        <v>60.4698070114909</v>
      </c>
      <c r="CO21" s="36">
        <f t="shared" ca="1" si="41"/>
        <v>59.907927793363044</v>
      </c>
      <c r="CP21" s="36">
        <f t="shared" ca="1" si="41"/>
        <v>59.028012781604794</v>
      </c>
      <c r="CQ21" s="36">
        <f t="shared" ca="1" si="41"/>
        <v>59.278755319510999</v>
      </c>
      <c r="CR21" s="36">
        <f t="shared" ca="1" si="41"/>
        <v>59.290847805779649</v>
      </c>
      <c r="CS21" s="36">
        <f t="shared" ca="1" si="41"/>
        <v>59.174259127063991</v>
      </c>
      <c r="CT21" s="36">
        <f t="shared" ca="1" si="41"/>
        <v>59.103158579216242</v>
      </c>
      <c r="CU21" s="36">
        <f t="shared" ca="1" si="41"/>
        <v>58.905032397435029</v>
      </c>
      <c r="CV21" s="36">
        <f t="shared" ca="1" si="41"/>
        <v>59.423568815199879</v>
      </c>
      <c r="CW21" s="36">
        <f t="shared" ca="1" si="41"/>
        <v>60.322657817268635</v>
      </c>
      <c r="CX21" s="36">
        <f t="shared" ca="1" si="41"/>
        <v>60.059237825821022</v>
      </c>
      <c r="CY21" s="36">
        <f t="shared" ca="1" si="41"/>
        <v>59.726955044111932</v>
      </c>
      <c r="CZ21" s="36">
        <f t="shared" ca="1" si="41"/>
        <v>60.581857605144208</v>
      </c>
      <c r="DA21" s="36">
        <f t="shared" ca="1" si="41"/>
        <v>60.810814797273274</v>
      </c>
      <c r="DB21" s="36">
        <f t="shared" ca="1" si="41"/>
        <v>60.890549216945871</v>
      </c>
      <c r="DC21" s="36">
        <f t="shared" ca="1" si="41"/>
        <v>61.520453581283661</v>
      </c>
      <c r="DD21" s="36">
        <f t="shared" ca="1" si="41"/>
        <v>61.216872624936187</v>
      </c>
      <c r="DE21" s="36">
        <f t="shared" ca="1" si="41"/>
        <v>60.233599452050584</v>
      </c>
      <c r="DF21" s="36">
        <f t="shared" ca="1" si="41"/>
        <v>61.229759770233699</v>
      </c>
      <c r="DG21" s="36">
        <f t="shared" ca="1" si="41"/>
        <v>61.467347688114195</v>
      </c>
      <c r="DH21" s="36">
        <f t="shared" ca="1" si="41"/>
        <v>62.288378973403482</v>
      </c>
      <c r="DI21" s="36">
        <f t="shared" ca="1" si="41"/>
        <v>61.742175569826529</v>
      </c>
      <c r="DJ21" s="36">
        <f t="shared" ca="1" si="41"/>
        <v>62.699039755265119</v>
      </c>
      <c r="DK21" s="36">
        <f t="shared" ca="1" si="41"/>
        <v>62.529641385204037</v>
      </c>
      <c r="DL21" s="36">
        <f t="shared" ca="1" si="41"/>
        <v>62.826776321581313</v>
      </c>
      <c r="DM21" s="36">
        <f t="shared" ca="1" si="41"/>
        <v>63.378683463648748</v>
      </c>
      <c r="DN21" s="36">
        <f t="shared" ca="1" si="41"/>
        <v>63.320685479895999</v>
      </c>
      <c r="DO21" s="36">
        <f t="shared" ca="1" si="41"/>
        <v>62.63948451582182</v>
      </c>
      <c r="DP21" s="36">
        <f t="shared" ca="1" si="41"/>
        <v>63.009397442294137</v>
      </c>
      <c r="DQ21" s="36">
        <f t="shared" ca="1" si="41"/>
        <v>64.07292157563522</v>
      </c>
      <c r="DR21" s="36">
        <f t="shared" ca="1" si="41"/>
        <v>63.89150981940967</v>
      </c>
      <c r="DS21" s="36">
        <f t="shared" ca="1" si="41"/>
        <v>64.469264777493649</v>
      </c>
      <c r="DT21" s="36">
        <f t="shared" ca="1" si="41"/>
        <v>64.778515087230716</v>
      </c>
      <c r="DU21" s="36">
        <f t="shared" ca="1" si="41"/>
        <v>65.12896441212888</v>
      </c>
      <c r="DV21" s="36">
        <f t="shared" ca="1" si="41"/>
        <v>66.567076458241345</v>
      </c>
      <c r="DW21" s="36">
        <f t="shared" ca="1" si="41"/>
        <v>68.025787061912936</v>
      </c>
      <c r="DX21" s="36">
        <f t="shared" ca="1" si="41"/>
        <v>68.363890042667478</v>
      </c>
      <c r="DY21" s="36">
        <f t="shared" ca="1" si="41"/>
        <v>68.513143601350208</v>
      </c>
      <c r="DZ21" s="36">
        <f t="shared" ca="1" si="41"/>
        <v>67.848733440938261</v>
      </c>
      <c r="EA21" s="36">
        <f t="shared" ca="1" si="41"/>
        <v>67.893576794924243</v>
      </c>
      <c r="EB21" s="36">
        <f t="shared" ca="1" si="41"/>
        <v>67.558866066678306</v>
      </c>
      <c r="EC21" s="36">
        <f t="shared" ca="1" si="28"/>
        <v>68.80323970186808</v>
      </c>
      <c r="ED21" s="36">
        <f t="shared" ca="1" si="26"/>
        <v>69.490090340082574</v>
      </c>
      <c r="EE21" s="36">
        <f t="shared" ca="1" si="26"/>
        <v>69.597392072939556</v>
      </c>
      <c r="EF21" s="36">
        <f t="shared" ca="1" si="26"/>
        <v>68.889690578566572</v>
      </c>
      <c r="EG21" s="36">
        <f t="shared" ca="1" si="26"/>
        <v>68.773600434713998</v>
      </c>
      <c r="EH21" s="36">
        <f t="shared" ca="1" si="26"/>
        <v>68.76459764227377</v>
      </c>
      <c r="EI21" s="36">
        <f t="shared" ca="1" si="26"/>
        <v>68.478450782125847</v>
      </c>
      <c r="EJ21" s="36">
        <f t="shared" ca="1" si="26"/>
        <v>68.480625710439639</v>
      </c>
      <c r="EK21" s="36">
        <f t="shared" ca="1" si="26"/>
        <v>69.201262964889054</v>
      </c>
      <c r="EL21" s="36">
        <f t="shared" ca="1" si="26"/>
        <v>70.401121144662881</v>
      </c>
      <c r="EM21" s="36">
        <f t="shared" ca="1" si="26"/>
        <v>69.916991567007017</v>
      </c>
      <c r="EN21" s="36">
        <f t="shared" ca="1" si="26"/>
        <v>71.975975848047653</v>
      </c>
      <c r="EO21" s="36">
        <f t="shared" ca="1" si="26"/>
        <v>71.583179431272939</v>
      </c>
      <c r="EP21" s="36">
        <f t="shared" ca="1" si="26"/>
        <v>71.546509677508155</v>
      </c>
      <c r="EQ21" s="36">
        <f t="shared" ca="1" si="26"/>
        <v>71.653502939804724</v>
      </c>
      <c r="ER21" s="36">
        <f t="shared" ca="1" si="26"/>
        <v>71.726621468557326</v>
      </c>
      <c r="ES21" s="36">
        <f t="shared" ca="1" si="26"/>
        <v>71.366222081823182</v>
      </c>
      <c r="ET21" s="36">
        <f t="shared" ca="1" si="26"/>
        <v>71.153965322506778</v>
      </c>
      <c r="EU21" s="36">
        <f t="shared" ca="1" si="26"/>
        <v>71.24478830354289</v>
      </c>
      <c r="EV21" s="36">
        <f t="shared" ca="1" si="26"/>
        <v>72.178156094779823</v>
      </c>
      <c r="EW21" s="36">
        <f t="shared" ref="EW21" ca="1" si="42">EV21*EXP(($B$3-$B$4^2/2)*1+$B$4*_xlfn.NORM.S.INV(RAND()))</f>
        <v>73.375301731501153</v>
      </c>
      <c r="EX21" s="36">
        <f t="shared" ca="1" si="35"/>
        <v>74.146477183971342</v>
      </c>
      <c r="EY21" s="36">
        <f t="shared" ca="1" si="35"/>
        <v>72.033297006887153</v>
      </c>
      <c r="EZ21" s="36">
        <f t="shared" ca="1" si="35"/>
        <v>72.910336478556815</v>
      </c>
      <c r="FA21" s="36">
        <f t="shared" ca="1" si="35"/>
        <v>72.149116253319463</v>
      </c>
      <c r="FB21" s="36">
        <f t="shared" ca="1" si="35"/>
        <v>72.37176458959047</v>
      </c>
      <c r="FC21" s="36">
        <f t="shared" ca="1" si="35"/>
        <v>72.493353401121297</v>
      </c>
      <c r="FD21" s="36">
        <f t="shared" ca="1" si="35"/>
        <v>72.345266145315549</v>
      </c>
      <c r="FE21" s="36">
        <f t="shared" ca="1" si="35"/>
        <v>73.007895968688501</v>
      </c>
      <c r="FF21" s="36">
        <f t="shared" ca="1" si="35"/>
        <v>72.684548386690309</v>
      </c>
      <c r="FG21" s="36">
        <f t="shared" ca="1" si="35"/>
        <v>72.429778937817531</v>
      </c>
      <c r="FH21" s="36">
        <f t="shared" ca="1" si="35"/>
        <v>71.430172793795393</v>
      </c>
      <c r="FI21" s="36">
        <f t="shared" ca="1" si="35"/>
        <v>72.137626457531368</v>
      </c>
      <c r="FJ21" s="36">
        <f t="shared" ca="1" si="35"/>
        <v>71.911509106955705</v>
      </c>
      <c r="FK21" s="36">
        <f t="shared" ca="1" si="35"/>
        <v>71.139542498533601</v>
      </c>
      <c r="FL21" s="36">
        <f t="shared" ca="1" si="35"/>
        <v>70.971043062024506</v>
      </c>
      <c r="FM21" s="36">
        <f t="shared" ca="1" si="35"/>
        <v>71.687777929145113</v>
      </c>
      <c r="FN21" s="36">
        <f t="shared" ca="1" si="35"/>
        <v>71.476967581240004</v>
      </c>
      <c r="FO21" s="36">
        <f t="shared" ca="1" si="35"/>
        <v>69.78484529105188</v>
      </c>
      <c r="FP21" s="36">
        <f t="shared" ca="1" si="35"/>
        <v>69.095743550764666</v>
      </c>
      <c r="FQ21" s="36">
        <f t="shared" ca="1" si="35"/>
        <v>69.076842680716993</v>
      </c>
      <c r="FR21" s="36">
        <f t="shared" ca="1" si="35"/>
        <v>69.856458961143318</v>
      </c>
      <c r="FS21" s="36">
        <f t="shared" ca="1" si="35"/>
        <v>70.885638414986715</v>
      </c>
      <c r="FT21" s="36">
        <f t="shared" ca="1" si="35"/>
        <v>69.940079283577518</v>
      </c>
      <c r="FU21" s="36">
        <f t="shared" ca="1" si="35"/>
        <v>68.674403223398542</v>
      </c>
      <c r="FV21" s="36">
        <f t="shared" ca="1" si="35"/>
        <v>68.700353238844684</v>
      </c>
      <c r="FW21" s="36">
        <f t="shared" ca="1" si="35"/>
        <v>68.786170669120892</v>
      </c>
      <c r="FX21" s="36">
        <f t="shared" ca="1" si="35"/>
        <v>68.077188200380888</v>
      </c>
      <c r="FY21" s="36">
        <f t="shared" ca="1" si="35"/>
        <v>67.634492519450177</v>
      </c>
      <c r="FZ21" s="36">
        <f t="shared" ca="1" si="35"/>
        <v>69.085669475776385</v>
      </c>
      <c r="GA21" s="36">
        <f t="shared" ca="1" si="35"/>
        <v>69.328718423770852</v>
      </c>
      <c r="GB21" s="36">
        <f t="shared" ca="1" si="35"/>
        <v>68.096190387237911</v>
      </c>
      <c r="GC21" s="36">
        <f t="shared" ca="1" si="35"/>
        <v>68.558054070197258</v>
      </c>
      <c r="GD21" s="36">
        <f t="shared" ca="1" si="35"/>
        <v>67.8308783129267</v>
      </c>
      <c r="GE21" s="36">
        <f t="shared" ca="1" si="35"/>
        <v>67.691228120046986</v>
      </c>
      <c r="GF21" s="36">
        <f t="shared" ca="1" si="35"/>
        <v>67.695941312595679</v>
      </c>
      <c r="GG21" s="36">
        <f t="shared" ca="1" si="35"/>
        <v>68.982989675488767</v>
      </c>
      <c r="GH21" s="36">
        <f t="shared" ca="1" si="35"/>
        <v>67.339284054030699</v>
      </c>
      <c r="GI21" s="36">
        <f t="shared" ca="1" si="35"/>
        <v>65.42959884558843</v>
      </c>
      <c r="GJ21" s="36">
        <f t="shared" ca="1" si="35"/>
        <v>64.235466625702159</v>
      </c>
      <c r="GK21" s="36">
        <f t="shared" ca="1" si="35"/>
        <v>62.781240939347988</v>
      </c>
      <c r="GL21" s="36">
        <f t="shared" ca="1" si="35"/>
        <v>62.325452120863254</v>
      </c>
      <c r="GM21" s="36">
        <f t="shared" ca="1" si="35"/>
        <v>61.758405731952841</v>
      </c>
      <c r="GN21" s="36">
        <f t="shared" ca="1" si="35"/>
        <v>61.985643478453291</v>
      </c>
      <c r="GO21" s="36">
        <f t="shared" ca="1" si="35"/>
        <v>62.398847560745466</v>
      </c>
      <c r="GP21" s="36">
        <f t="shared" ca="1" si="35"/>
        <v>61.678384718588298</v>
      </c>
      <c r="GQ21" s="36">
        <f t="shared" ca="1" si="35"/>
        <v>61.225804629524475</v>
      </c>
      <c r="GR21" s="36">
        <f t="shared" ca="1" si="35"/>
        <v>61.320871059570273</v>
      </c>
      <c r="GS21" s="36">
        <f t="shared" ca="1" si="35"/>
        <v>60.185659784955135</v>
      </c>
      <c r="GT21" s="36">
        <f t="shared" ca="1" si="35"/>
        <v>59.024731195224646</v>
      </c>
      <c r="GU21" s="36">
        <f t="shared" ca="1" si="35"/>
        <v>58.465245244108793</v>
      </c>
      <c r="GV21" s="36">
        <f t="shared" ca="1" si="35"/>
        <v>57.641626291955951</v>
      </c>
      <c r="GW21" s="36">
        <f t="shared" ca="1" si="35"/>
        <v>56.84610800226546</v>
      </c>
      <c r="GX21" s="36">
        <f t="shared" ca="1" si="35"/>
        <v>55.81837107823484</v>
      </c>
      <c r="GY21" s="36">
        <f t="shared" ca="1" si="35"/>
        <v>55.173040616152953</v>
      </c>
      <c r="GZ21" s="36">
        <f t="shared" ca="1" si="35"/>
        <v>55.707465703452051</v>
      </c>
      <c r="HA21" s="36">
        <f t="shared" ca="1" si="35"/>
        <v>54.389293131662988</v>
      </c>
      <c r="HB21" s="36">
        <f t="shared" ca="1" si="35"/>
        <v>54.04195309659071</v>
      </c>
      <c r="HC21" s="36">
        <f t="shared" ca="1" si="35"/>
        <v>53.729840138025956</v>
      </c>
      <c r="HD21" s="36">
        <f t="shared" ca="1" si="35"/>
        <v>53.501835716600418</v>
      </c>
      <c r="HE21" s="36">
        <f t="shared" ca="1" si="35"/>
        <v>53.223376708103601</v>
      </c>
      <c r="HF21" s="36">
        <f t="shared" ca="1" si="35"/>
        <v>51.832367432360883</v>
      </c>
      <c r="HG21" s="36">
        <f t="shared" ca="1" si="35"/>
        <v>51.462756572716032</v>
      </c>
      <c r="HH21" s="36">
        <f t="shared" ca="1" si="35"/>
        <v>51.378571847111637</v>
      </c>
      <c r="HI21" s="36">
        <f t="shared" ref="HI21:HT21" ca="1" si="43">HH21*EXP(($B$3-$B$4^2/2)*1+$B$4*_xlfn.NORM.S.INV(RAND()))</f>
        <v>51.357611529699199</v>
      </c>
      <c r="HJ21" s="36">
        <f t="shared" ca="1" si="43"/>
        <v>51.357910578863837</v>
      </c>
      <c r="HK21" s="36">
        <f t="shared" ca="1" si="43"/>
        <v>51.123805928292839</v>
      </c>
      <c r="HL21" s="36">
        <f t="shared" ca="1" si="43"/>
        <v>50.909985382391092</v>
      </c>
      <c r="HM21" s="36">
        <f t="shared" ca="1" si="43"/>
        <v>49.575957599955281</v>
      </c>
      <c r="HN21" s="36">
        <f t="shared" ca="1" si="43"/>
        <v>49.734622171103993</v>
      </c>
      <c r="HO21" s="36">
        <f t="shared" ca="1" si="43"/>
        <v>49.39627104509168</v>
      </c>
      <c r="HP21" s="36">
        <f t="shared" ca="1" si="43"/>
        <v>49.24581494916886</v>
      </c>
      <c r="HQ21" s="36">
        <f t="shared" ca="1" si="43"/>
        <v>48.12800860189742</v>
      </c>
      <c r="HR21" s="36">
        <f t="shared" ca="1" si="43"/>
        <v>47.447359811157391</v>
      </c>
      <c r="HS21" s="36">
        <f t="shared" ca="1" si="43"/>
        <v>48.336416096374229</v>
      </c>
      <c r="HT21" s="36">
        <f t="shared" ca="1" si="43"/>
        <v>48.598403453250143</v>
      </c>
      <c r="HU21" s="36">
        <f t="shared" ca="1" si="12"/>
        <v>47.221816156856228</v>
      </c>
      <c r="HV21" s="36">
        <f t="shared" ca="1" si="12"/>
        <v>46.781074373917384</v>
      </c>
      <c r="HW21" s="36">
        <f t="shared" ca="1" si="12"/>
        <v>46.431675410540336</v>
      </c>
      <c r="HX21" s="36">
        <f t="shared" ca="1" si="12"/>
        <v>46.691922556628448</v>
      </c>
      <c r="HY21" s="36">
        <f t="shared" ca="1" si="12"/>
        <v>46.791323230311747</v>
      </c>
      <c r="HZ21" s="36">
        <f t="shared" ca="1" si="23"/>
        <v>47.147825688820276</v>
      </c>
      <c r="IA21" s="36">
        <f t="shared" ca="1" si="23"/>
        <v>47.101097291869451</v>
      </c>
      <c r="IB21" s="36">
        <f t="shared" ca="1" si="23"/>
        <v>46.271001455710753</v>
      </c>
      <c r="IC21" s="36">
        <f t="shared" ca="1" si="23"/>
        <v>45.105451705190553</v>
      </c>
      <c r="ID21" s="36">
        <f t="shared" ca="1" si="23"/>
        <v>45.830278383513601</v>
      </c>
      <c r="IE21" s="36">
        <f t="shared" ca="1" si="23"/>
        <v>44.544698446422139</v>
      </c>
      <c r="IF21" s="36">
        <f t="shared" ca="1" si="23"/>
        <v>44.705978427709276</v>
      </c>
      <c r="IG21" s="36">
        <f t="shared" ca="1" si="23"/>
        <v>44.381049452736455</v>
      </c>
      <c r="IH21" s="36">
        <f t="shared" ca="1" si="23"/>
        <v>44.295438931514497</v>
      </c>
      <c r="II21" s="36">
        <f t="shared" ca="1" si="23"/>
        <v>44.01121570492294</v>
      </c>
      <c r="IJ21" s="36">
        <f t="shared" ca="1" si="23"/>
        <v>44.552227522380612</v>
      </c>
      <c r="IK21" s="36">
        <f t="shared" ca="1" si="23"/>
        <v>45.009144239860213</v>
      </c>
      <c r="IL21" s="36">
        <f t="shared" ca="1" si="23"/>
        <v>45.281214601981986</v>
      </c>
      <c r="IM21" s="36">
        <f t="shared" ca="1" si="23"/>
        <v>45.588954960654135</v>
      </c>
      <c r="IN21" s="36">
        <f t="shared" ca="1" si="23"/>
        <v>45.494252407647252</v>
      </c>
      <c r="IO21" s="36">
        <f t="shared" ca="1" si="23"/>
        <v>45.984734275093899</v>
      </c>
      <c r="IP21" s="36">
        <f t="shared" ca="1" si="23"/>
        <v>46.664290223603544</v>
      </c>
      <c r="IQ21" s="36">
        <f t="shared" ca="1" si="23"/>
        <v>46.694960570562202</v>
      </c>
      <c r="IR21" s="36">
        <f t="shared" ca="1" si="23"/>
        <v>46.074980785447458</v>
      </c>
      <c r="IS21" s="36">
        <f t="shared" ca="1" si="23"/>
        <v>45.808671277666875</v>
      </c>
      <c r="IT21" s="36">
        <f t="shared" ca="1" si="23"/>
        <v>46.744349621772621</v>
      </c>
      <c r="IU21" s="36">
        <f t="shared" ca="1" si="23"/>
        <v>47.055706808693479</v>
      </c>
    </row>
    <row r="22" spans="1:255" x14ac:dyDescent="0.2">
      <c r="A22" s="36"/>
      <c r="B22">
        <v>12</v>
      </c>
      <c r="C22" s="36">
        <v>50</v>
      </c>
      <c r="D22" s="36">
        <f t="shared" ca="1" si="14"/>
        <v>50.096885725747818</v>
      </c>
      <c r="E22" s="36">
        <f t="shared" ca="1" si="14"/>
        <v>51.360008522657168</v>
      </c>
      <c r="F22" s="36">
        <f t="shared" ref="F22:BQ25" ca="1" si="44">E22*EXP(($B$3-$B$4^2/2)*1+$B$4*_xlfn.NORM.S.INV(RAND()))</f>
        <v>51.208450414642712</v>
      </c>
      <c r="G22" s="36">
        <f t="shared" ca="1" si="44"/>
        <v>52.374399136770982</v>
      </c>
      <c r="H22" s="36">
        <f t="shared" ca="1" si="44"/>
        <v>52.058508082821554</v>
      </c>
      <c r="I22" s="36">
        <f t="shared" ca="1" si="44"/>
        <v>51.345898557768251</v>
      </c>
      <c r="J22" s="36">
        <f t="shared" ca="1" si="44"/>
        <v>51.235756933598104</v>
      </c>
      <c r="K22" s="36">
        <f t="shared" ca="1" si="44"/>
        <v>50.462382734928113</v>
      </c>
      <c r="L22" s="36">
        <f t="shared" ca="1" si="44"/>
        <v>51.232324162744206</v>
      </c>
      <c r="M22" s="36">
        <f t="shared" ca="1" si="44"/>
        <v>50.376489760468239</v>
      </c>
      <c r="N22" s="36">
        <f t="shared" ca="1" si="44"/>
        <v>49.753790768846947</v>
      </c>
      <c r="O22" s="36">
        <f t="shared" ca="1" si="44"/>
        <v>48.759112221380768</v>
      </c>
      <c r="P22" s="36">
        <f t="shared" ca="1" si="44"/>
        <v>48.428233634964762</v>
      </c>
      <c r="Q22" s="36">
        <f t="shared" ca="1" si="44"/>
        <v>47.972547863090774</v>
      </c>
      <c r="R22" s="36">
        <f t="shared" ca="1" si="44"/>
        <v>47.234597987816421</v>
      </c>
      <c r="S22" s="36">
        <f t="shared" ca="1" si="44"/>
        <v>46.878958780225069</v>
      </c>
      <c r="T22" s="36">
        <f t="shared" ca="1" si="44"/>
        <v>46.503880269422986</v>
      </c>
      <c r="U22" s="36">
        <f t="shared" ca="1" si="44"/>
        <v>45.899840021137557</v>
      </c>
      <c r="V22" s="36">
        <f t="shared" ca="1" si="44"/>
        <v>45.824680562892773</v>
      </c>
      <c r="W22" s="36">
        <f t="shared" ca="1" si="44"/>
        <v>45.209767757592978</v>
      </c>
      <c r="X22" s="36">
        <f t="shared" ca="1" si="44"/>
        <v>44.984227684908262</v>
      </c>
      <c r="Y22" s="36">
        <f t="shared" ca="1" si="44"/>
        <v>45.256054292366599</v>
      </c>
      <c r="Z22" s="36">
        <f t="shared" ca="1" si="44"/>
        <v>45.631917268094696</v>
      </c>
      <c r="AA22" s="36">
        <f t="shared" ca="1" si="44"/>
        <v>46.619168759205003</v>
      </c>
      <c r="AB22" s="36">
        <f t="shared" ca="1" si="44"/>
        <v>46.286899311454697</v>
      </c>
      <c r="AC22" s="36">
        <f t="shared" ca="1" si="44"/>
        <v>45.444503294089962</v>
      </c>
      <c r="AD22" s="36">
        <f t="shared" ca="1" si="44"/>
        <v>45.763301422521515</v>
      </c>
      <c r="AE22" s="36">
        <f t="shared" ca="1" si="44"/>
        <v>45.694298784341846</v>
      </c>
      <c r="AF22" s="36">
        <f t="shared" ca="1" si="44"/>
        <v>44.859327360880776</v>
      </c>
      <c r="AG22" s="36">
        <f t="shared" ca="1" si="44"/>
        <v>43.810645144359157</v>
      </c>
      <c r="AH22" s="36">
        <f t="shared" ca="1" si="44"/>
        <v>44.080245466985964</v>
      </c>
      <c r="AI22" s="36">
        <f t="shared" ca="1" si="44"/>
        <v>44.369656859119758</v>
      </c>
      <c r="AJ22" s="36">
        <f t="shared" ca="1" si="44"/>
        <v>44.317497079328575</v>
      </c>
      <c r="AK22" s="36">
        <f t="shared" ca="1" si="44"/>
        <v>44.306494115669089</v>
      </c>
      <c r="AL22" s="36">
        <f t="shared" ca="1" si="44"/>
        <v>43.135012175582624</v>
      </c>
      <c r="AM22" s="36">
        <f t="shared" ca="1" si="44"/>
        <v>42.961572768812204</v>
      </c>
      <c r="AN22" s="36">
        <f t="shared" ca="1" si="44"/>
        <v>43.719440535425115</v>
      </c>
      <c r="AO22" s="36">
        <f t="shared" ca="1" si="44"/>
        <v>43.760794572964834</v>
      </c>
      <c r="AP22" s="36">
        <f t="shared" ca="1" si="44"/>
        <v>44.017430137264128</v>
      </c>
      <c r="AQ22" s="36">
        <f t="shared" ca="1" si="44"/>
        <v>44.932964239302478</v>
      </c>
      <c r="AR22" s="36">
        <f t="shared" ca="1" si="44"/>
        <v>44.179540446601791</v>
      </c>
      <c r="AS22" s="36">
        <f t="shared" ca="1" si="44"/>
        <v>45.006725569488445</v>
      </c>
      <c r="AT22" s="36">
        <f t="shared" ca="1" si="44"/>
        <v>44.666998911188543</v>
      </c>
      <c r="AU22" s="36">
        <f t="shared" ca="1" si="44"/>
        <v>44.666654725294713</v>
      </c>
      <c r="AV22" s="36">
        <f t="shared" ca="1" si="44"/>
        <v>45.33484867607271</v>
      </c>
      <c r="AW22" s="36">
        <f t="shared" ca="1" si="44"/>
        <v>45.412454508101149</v>
      </c>
      <c r="AX22" s="36">
        <f t="shared" ca="1" si="44"/>
        <v>44.887725149176426</v>
      </c>
      <c r="AY22" s="36">
        <f t="shared" ca="1" si="44"/>
        <v>43.767357237674908</v>
      </c>
      <c r="AZ22" s="36">
        <f t="shared" ca="1" si="44"/>
        <v>44.217486765843496</v>
      </c>
      <c r="BA22" s="36">
        <f t="shared" ca="1" si="44"/>
        <v>44.275670024230834</v>
      </c>
      <c r="BB22" s="36">
        <f t="shared" ca="1" si="44"/>
        <v>44.880776885699028</v>
      </c>
      <c r="BC22" s="36">
        <f t="shared" ca="1" si="44"/>
        <v>44.689680851818927</v>
      </c>
      <c r="BD22" s="36">
        <f t="shared" ca="1" si="44"/>
        <v>44.643696355961389</v>
      </c>
      <c r="BE22" s="36">
        <f t="shared" ca="1" si="44"/>
        <v>44.381229579419241</v>
      </c>
      <c r="BF22" s="36">
        <f t="shared" ca="1" si="44"/>
        <v>44.015676103107197</v>
      </c>
      <c r="BG22" s="36">
        <f t="shared" ca="1" si="44"/>
        <v>44.603858678154573</v>
      </c>
      <c r="BH22" s="36">
        <f t="shared" ca="1" si="44"/>
        <v>44.692170539351274</v>
      </c>
      <c r="BI22" s="36">
        <f t="shared" ca="1" si="44"/>
        <v>45.033150319121148</v>
      </c>
      <c r="BJ22" s="36">
        <f t="shared" ca="1" si="44"/>
        <v>45.727200812136175</v>
      </c>
      <c r="BK22" s="36">
        <f t="shared" ca="1" si="44"/>
        <v>45.698963191508589</v>
      </c>
      <c r="BL22" s="36">
        <f t="shared" ca="1" si="44"/>
        <v>44.816010542767742</v>
      </c>
      <c r="BM22" s="36">
        <f t="shared" ca="1" si="44"/>
        <v>44.72143521566467</v>
      </c>
      <c r="BN22" s="36">
        <f t="shared" ca="1" si="44"/>
        <v>45.052630678882615</v>
      </c>
      <c r="BO22" s="36">
        <f t="shared" ca="1" si="44"/>
        <v>45.695173624429906</v>
      </c>
      <c r="BP22" s="36">
        <f t="shared" ca="1" si="44"/>
        <v>45.607634121493035</v>
      </c>
      <c r="BQ22" s="36">
        <f t="shared" ca="1" si="44"/>
        <v>45.138081985520827</v>
      </c>
      <c r="BR22" s="36">
        <f t="shared" ca="1" si="41"/>
        <v>44.166406300208315</v>
      </c>
      <c r="BS22" s="36">
        <f t="shared" ca="1" si="41"/>
        <v>44.246998421680416</v>
      </c>
      <c r="BT22" s="36">
        <f t="shared" ca="1" si="41"/>
        <v>44.110537496181813</v>
      </c>
      <c r="BU22" s="36">
        <f t="shared" ca="1" si="41"/>
        <v>44.220543116112509</v>
      </c>
      <c r="BV22" s="36">
        <f t="shared" ca="1" si="41"/>
        <v>45.328406903253978</v>
      </c>
      <c r="BW22" s="36">
        <f t="shared" ca="1" si="41"/>
        <v>45.882373394555188</v>
      </c>
      <c r="BX22" s="36">
        <f t="shared" ca="1" si="41"/>
        <v>45.856117162658755</v>
      </c>
      <c r="BY22" s="36">
        <f t="shared" ca="1" si="41"/>
        <v>46.46194548089818</v>
      </c>
      <c r="BZ22" s="36">
        <f t="shared" ca="1" si="41"/>
        <v>46.336255177424427</v>
      </c>
      <c r="CA22" s="36">
        <f t="shared" ca="1" si="41"/>
        <v>47.459947147828039</v>
      </c>
      <c r="CB22" s="36">
        <f t="shared" ca="1" si="41"/>
        <v>45.913837843765506</v>
      </c>
      <c r="CC22" s="36">
        <f t="shared" ca="1" si="41"/>
        <v>45.927453287004063</v>
      </c>
      <c r="CD22" s="36">
        <f t="shared" ca="1" si="41"/>
        <v>45.914225596574788</v>
      </c>
      <c r="CE22" s="36">
        <f t="shared" ca="1" si="41"/>
        <v>45.678178848983649</v>
      </c>
      <c r="CF22" s="36">
        <f t="shared" ca="1" si="41"/>
        <v>45.480129165709549</v>
      </c>
      <c r="CG22" s="36">
        <f t="shared" ca="1" si="41"/>
        <v>45.2153753832918</v>
      </c>
      <c r="CH22" s="36">
        <f t="shared" ca="1" si="41"/>
        <v>44.973301447093775</v>
      </c>
      <c r="CI22" s="36">
        <f t="shared" ca="1" si="41"/>
        <v>44.679424588757101</v>
      </c>
      <c r="CJ22" s="36">
        <f t="shared" ca="1" si="41"/>
        <v>44.665726435167649</v>
      </c>
      <c r="CK22" s="36">
        <f t="shared" ca="1" si="41"/>
        <v>45.702752578868783</v>
      </c>
      <c r="CL22" s="36">
        <f t="shared" ca="1" si="41"/>
        <v>44.657617112580446</v>
      </c>
      <c r="CM22" s="36">
        <f t="shared" ca="1" si="41"/>
        <v>44.255969625441111</v>
      </c>
      <c r="CN22" s="36">
        <f t="shared" ca="1" si="41"/>
        <v>44.599736046556622</v>
      </c>
      <c r="CO22" s="36">
        <f t="shared" ca="1" si="41"/>
        <v>45.271457663007496</v>
      </c>
      <c r="CP22" s="36">
        <f t="shared" ca="1" si="41"/>
        <v>45.578074656836051</v>
      </c>
      <c r="CQ22" s="36">
        <f t="shared" ca="1" si="41"/>
        <v>45.923341841734825</v>
      </c>
      <c r="CR22" s="36">
        <f t="shared" ca="1" si="41"/>
        <v>46.113556263663213</v>
      </c>
      <c r="CS22" s="36">
        <f t="shared" ca="1" si="41"/>
        <v>46.049083775351562</v>
      </c>
      <c r="CT22" s="36">
        <f t="shared" ca="1" si="41"/>
        <v>46.930351451670859</v>
      </c>
      <c r="CU22" s="36">
        <f t="shared" ca="1" si="41"/>
        <v>47.390451048970867</v>
      </c>
      <c r="CV22" s="36">
        <f t="shared" ca="1" si="41"/>
        <v>46.849524304451961</v>
      </c>
      <c r="CW22" s="36">
        <f t="shared" ca="1" si="41"/>
        <v>46.886453534103694</v>
      </c>
      <c r="CX22" s="36">
        <f t="shared" ca="1" si="41"/>
        <v>46.766439332957603</v>
      </c>
      <c r="CY22" s="36">
        <f t="shared" ca="1" si="41"/>
        <v>46.761200213467866</v>
      </c>
      <c r="CZ22" s="36">
        <f t="shared" ca="1" si="41"/>
        <v>46.295064732283521</v>
      </c>
      <c r="DA22" s="36">
        <f t="shared" ca="1" si="41"/>
        <v>45.786862261868663</v>
      </c>
      <c r="DB22" s="36">
        <f t="shared" ca="1" si="41"/>
        <v>45.430331714777367</v>
      </c>
      <c r="DC22" s="36">
        <f t="shared" ca="1" si="41"/>
        <v>44.790437531919267</v>
      </c>
      <c r="DD22" s="36">
        <f t="shared" ca="1" si="41"/>
        <v>44.626504144177659</v>
      </c>
      <c r="DE22" s="36">
        <f t="shared" ca="1" si="41"/>
        <v>45.320015073742859</v>
      </c>
      <c r="DF22" s="36">
        <f t="shared" ca="1" si="41"/>
        <v>46.420197936742305</v>
      </c>
      <c r="DG22" s="36">
        <f t="shared" ca="1" si="41"/>
        <v>46.049922853992875</v>
      </c>
      <c r="DH22" s="36">
        <f t="shared" ca="1" si="41"/>
        <v>44.862545003430775</v>
      </c>
      <c r="DI22" s="36">
        <f t="shared" ca="1" si="41"/>
        <v>45.255055189606757</v>
      </c>
      <c r="DJ22" s="36">
        <f t="shared" ca="1" si="41"/>
        <v>44.945172091571642</v>
      </c>
      <c r="DK22" s="36">
        <f t="shared" ca="1" si="41"/>
        <v>44.728118618815422</v>
      </c>
      <c r="DL22" s="36">
        <f t="shared" ca="1" si="41"/>
        <v>44.782201418178317</v>
      </c>
      <c r="DM22" s="36">
        <f t="shared" ca="1" si="41"/>
        <v>43.994873835579391</v>
      </c>
      <c r="DN22" s="36">
        <f t="shared" ca="1" si="41"/>
        <v>44.936753347475737</v>
      </c>
      <c r="DO22" s="36">
        <f t="shared" ca="1" si="41"/>
        <v>45.244881868527912</v>
      </c>
      <c r="DP22" s="36">
        <f t="shared" ca="1" si="41"/>
        <v>45.447939614578665</v>
      </c>
      <c r="DQ22" s="36">
        <f t="shared" ca="1" si="41"/>
        <v>45.698224214858399</v>
      </c>
      <c r="DR22" s="36">
        <f t="shared" ca="1" si="41"/>
        <v>45.812505581373905</v>
      </c>
      <c r="DS22" s="36">
        <f t="shared" ca="1" si="41"/>
        <v>45.851858434086395</v>
      </c>
      <c r="DT22" s="36">
        <f t="shared" ca="1" si="41"/>
        <v>45.538452399640214</v>
      </c>
      <c r="DU22" s="36">
        <f t="shared" ca="1" si="41"/>
        <v>46.040960354737486</v>
      </c>
      <c r="DV22" s="36">
        <f t="shared" ca="1" si="41"/>
        <v>46.584595796936433</v>
      </c>
      <c r="DW22" s="36">
        <f t="shared" ca="1" si="41"/>
        <v>48.099432269389226</v>
      </c>
      <c r="DX22" s="36">
        <f t="shared" ca="1" si="41"/>
        <v>48.209122274433966</v>
      </c>
      <c r="DY22" s="36">
        <f t="shared" ca="1" si="41"/>
        <v>49.282470533864554</v>
      </c>
      <c r="DZ22" s="36">
        <f t="shared" ca="1" si="41"/>
        <v>48.658618261938898</v>
      </c>
      <c r="EA22" s="36">
        <f t="shared" ca="1" si="41"/>
        <v>49.071550414182717</v>
      </c>
      <c r="EB22" s="36">
        <f t="shared" ca="1" si="41"/>
        <v>48.772790775752313</v>
      </c>
      <c r="EC22" s="36">
        <f t="shared" ca="1" si="28"/>
        <v>48.566003169264981</v>
      </c>
      <c r="ED22" s="36">
        <f t="shared" ca="1" si="26"/>
        <v>48.842486580513885</v>
      </c>
      <c r="EE22" s="36">
        <f t="shared" ca="1" si="26"/>
        <v>49.746328900486489</v>
      </c>
      <c r="EF22" s="36">
        <f t="shared" ca="1" si="26"/>
        <v>49.866136577340022</v>
      </c>
      <c r="EG22" s="36">
        <f t="shared" ca="1" si="26"/>
        <v>50.200749337056635</v>
      </c>
      <c r="EH22" s="36">
        <f t="shared" ca="1" si="26"/>
        <v>49.611241416954599</v>
      </c>
      <c r="EI22" s="36">
        <f t="shared" ca="1" si="26"/>
        <v>47.719193180510764</v>
      </c>
      <c r="EJ22" s="36">
        <f t="shared" ca="1" si="26"/>
        <v>47.316680363203318</v>
      </c>
      <c r="EK22" s="36">
        <f t="shared" ca="1" si="26"/>
        <v>47.164329949549135</v>
      </c>
      <c r="EL22" s="36">
        <f t="shared" ca="1" si="26"/>
        <v>47.193863342135714</v>
      </c>
      <c r="EM22" s="36">
        <f t="shared" ca="1" si="26"/>
        <v>46.25171495470665</v>
      </c>
      <c r="EN22" s="36">
        <f t="shared" ca="1" si="26"/>
        <v>46.005501664037958</v>
      </c>
      <c r="EO22" s="36">
        <f t="shared" ca="1" si="26"/>
        <v>46.018639889475494</v>
      </c>
      <c r="EP22" s="36">
        <f t="shared" ca="1" si="26"/>
        <v>46.68219647174071</v>
      </c>
      <c r="EQ22" s="36">
        <f t="shared" ca="1" si="26"/>
        <v>47.042300989325071</v>
      </c>
      <c r="ER22" s="36">
        <f t="shared" ca="1" si="26"/>
        <v>47.765174037041149</v>
      </c>
      <c r="ES22" s="36">
        <f t="shared" ca="1" si="26"/>
        <v>47.3505060098379</v>
      </c>
      <c r="ET22" s="36">
        <f t="shared" ca="1" si="26"/>
        <v>46.175800420409665</v>
      </c>
      <c r="EU22" s="36">
        <f t="shared" ca="1" si="26"/>
        <v>45.471950535110231</v>
      </c>
      <c r="EV22" s="36">
        <f t="shared" ca="1" si="26"/>
        <v>45.813983465342602</v>
      </c>
      <c r="EW22" s="36">
        <f t="shared" ref="EW22" ca="1" si="45">EV22*EXP(($B$3-$B$4^2/2)*1+$B$4*_xlfn.NORM.S.INV(RAND()))</f>
        <v>45.740863671699699</v>
      </c>
      <c r="EX22" s="36">
        <f t="shared" ca="1" si="35"/>
        <v>46.551129818892306</v>
      </c>
      <c r="EY22" s="36">
        <f t="shared" ca="1" si="35"/>
        <v>46.153098421336445</v>
      </c>
      <c r="EZ22" s="36">
        <f t="shared" ref="EZ22:HK24" ca="1" si="46">EY22*EXP(($B$3-$B$4^2/2)*1+$B$4*_xlfn.NORM.S.INV(RAND()))</f>
        <v>45.788892075285922</v>
      </c>
      <c r="FA22" s="36">
        <f t="shared" ca="1" si="46"/>
        <v>44.82794202298858</v>
      </c>
      <c r="FB22" s="36">
        <f t="shared" ca="1" si="46"/>
        <v>44.178570299236078</v>
      </c>
      <c r="FC22" s="36">
        <f t="shared" ca="1" si="46"/>
        <v>44.527045317895571</v>
      </c>
      <c r="FD22" s="36">
        <f t="shared" ca="1" si="46"/>
        <v>44.645280291430794</v>
      </c>
      <c r="FE22" s="36">
        <f t="shared" ca="1" si="46"/>
        <v>44.48483483747669</v>
      </c>
      <c r="FF22" s="36">
        <f t="shared" ca="1" si="46"/>
        <v>44.018378192608552</v>
      </c>
      <c r="FG22" s="36">
        <f t="shared" ca="1" si="46"/>
        <v>43.931169827399991</v>
      </c>
      <c r="FH22" s="36">
        <f t="shared" ca="1" si="46"/>
        <v>44.528751988050487</v>
      </c>
      <c r="FI22" s="36">
        <f t="shared" ca="1" si="46"/>
        <v>44.848137185390598</v>
      </c>
      <c r="FJ22" s="36">
        <f t="shared" ca="1" si="46"/>
        <v>44.088213298684067</v>
      </c>
      <c r="FK22" s="36">
        <f t="shared" ca="1" si="46"/>
        <v>44.072717125040604</v>
      </c>
      <c r="FL22" s="36">
        <f t="shared" ca="1" si="46"/>
        <v>44.202384194300556</v>
      </c>
      <c r="FM22" s="36">
        <f t="shared" ca="1" si="46"/>
        <v>44.022732254880509</v>
      </c>
      <c r="FN22" s="36">
        <f t="shared" ca="1" si="46"/>
        <v>44.553172927634094</v>
      </c>
      <c r="FO22" s="36">
        <f t="shared" ca="1" si="46"/>
        <v>44.29030357068455</v>
      </c>
      <c r="FP22" s="36">
        <f t="shared" ca="1" si="46"/>
        <v>43.732416930448068</v>
      </c>
      <c r="FQ22" s="36">
        <f t="shared" ca="1" si="46"/>
        <v>44.876101389475366</v>
      </c>
      <c r="FR22" s="36">
        <f t="shared" ca="1" si="46"/>
        <v>44.688580920922973</v>
      </c>
      <c r="FS22" s="36">
        <f t="shared" ca="1" si="46"/>
        <v>44.296155329104209</v>
      </c>
      <c r="FT22" s="36">
        <f t="shared" ca="1" si="46"/>
        <v>44.753562408648008</v>
      </c>
      <c r="FU22" s="36">
        <f t="shared" ca="1" si="46"/>
        <v>45.174197875650783</v>
      </c>
      <c r="FV22" s="36">
        <f t="shared" ca="1" si="46"/>
        <v>45.647072055567165</v>
      </c>
      <c r="FW22" s="36">
        <f t="shared" ca="1" si="46"/>
        <v>45.689929754250841</v>
      </c>
      <c r="FX22" s="36">
        <f t="shared" ca="1" si="46"/>
        <v>45.46243336945448</v>
      </c>
      <c r="FY22" s="36">
        <f t="shared" ca="1" si="46"/>
        <v>45.914236705977949</v>
      </c>
      <c r="FZ22" s="36">
        <f t="shared" ca="1" si="46"/>
        <v>46.987737022266501</v>
      </c>
      <c r="GA22" s="36">
        <f t="shared" ca="1" si="46"/>
        <v>47.0003449579131</v>
      </c>
      <c r="GB22" s="36">
        <f t="shared" ca="1" si="46"/>
        <v>47.41332522479388</v>
      </c>
      <c r="GC22" s="36">
        <f t="shared" ca="1" si="46"/>
        <v>47.098302979160337</v>
      </c>
      <c r="GD22" s="36">
        <f t="shared" ca="1" si="46"/>
        <v>46.651672949352154</v>
      </c>
      <c r="GE22" s="36">
        <f t="shared" ca="1" si="46"/>
        <v>46.224987286593361</v>
      </c>
      <c r="GF22" s="36">
        <f t="shared" ca="1" si="46"/>
        <v>46.052737324632901</v>
      </c>
      <c r="GG22" s="36">
        <f t="shared" ca="1" si="46"/>
        <v>46.059336965810623</v>
      </c>
      <c r="GH22" s="36">
        <f t="shared" ca="1" si="46"/>
        <v>46.542363950741695</v>
      </c>
      <c r="GI22" s="36">
        <f t="shared" ca="1" si="46"/>
        <v>47.553679739253376</v>
      </c>
      <c r="GJ22" s="36">
        <f t="shared" ca="1" si="46"/>
        <v>47.464890131796771</v>
      </c>
      <c r="GK22" s="36">
        <f t="shared" ca="1" si="46"/>
        <v>48.425017572398687</v>
      </c>
      <c r="GL22" s="36">
        <f t="shared" ca="1" si="46"/>
        <v>48.293705372711834</v>
      </c>
      <c r="GM22" s="36">
        <f t="shared" ca="1" si="46"/>
        <v>47.851006244020418</v>
      </c>
      <c r="GN22" s="36">
        <f t="shared" ca="1" si="46"/>
        <v>48.89362033798912</v>
      </c>
      <c r="GO22" s="36">
        <f t="shared" ca="1" si="46"/>
        <v>49.108392956215752</v>
      </c>
      <c r="GP22" s="36">
        <f t="shared" ca="1" si="46"/>
        <v>50.058083872468174</v>
      </c>
      <c r="GQ22" s="36">
        <f t="shared" ca="1" si="46"/>
        <v>49.901034984371883</v>
      </c>
      <c r="GR22" s="36">
        <f t="shared" ca="1" si="46"/>
        <v>48.87090914944644</v>
      </c>
      <c r="GS22" s="36">
        <f t="shared" ca="1" si="46"/>
        <v>47.929528758406072</v>
      </c>
      <c r="GT22" s="36">
        <f t="shared" ca="1" si="46"/>
        <v>47.671542968858326</v>
      </c>
      <c r="GU22" s="36">
        <f t="shared" ca="1" si="46"/>
        <v>46.987289013793259</v>
      </c>
      <c r="GV22" s="36">
        <f t="shared" ca="1" si="46"/>
        <v>47.130366135227341</v>
      </c>
      <c r="GW22" s="36">
        <f t="shared" ca="1" si="46"/>
        <v>46.447668702317408</v>
      </c>
      <c r="GX22" s="36">
        <f t="shared" ca="1" si="46"/>
        <v>46.798867196436511</v>
      </c>
      <c r="GY22" s="36">
        <f t="shared" ca="1" si="46"/>
        <v>47.434051242325332</v>
      </c>
      <c r="GZ22" s="36">
        <f t="shared" ca="1" si="46"/>
        <v>47.918920457380366</v>
      </c>
      <c r="HA22" s="36">
        <f t="shared" ca="1" si="46"/>
        <v>48.63397534379282</v>
      </c>
      <c r="HB22" s="36">
        <f t="shared" ca="1" si="46"/>
        <v>49.054149192514878</v>
      </c>
      <c r="HC22" s="36">
        <f t="shared" ca="1" si="46"/>
        <v>49.910392668522782</v>
      </c>
      <c r="HD22" s="36">
        <f t="shared" ca="1" si="46"/>
        <v>49.586911085243372</v>
      </c>
      <c r="HE22" s="36">
        <f t="shared" ca="1" si="46"/>
        <v>49.062788790402614</v>
      </c>
      <c r="HF22" s="36">
        <f t="shared" ca="1" si="46"/>
        <v>49.106859732790973</v>
      </c>
      <c r="HG22" s="36">
        <f t="shared" ca="1" si="46"/>
        <v>49.065180018549761</v>
      </c>
      <c r="HH22" s="36">
        <f t="shared" ca="1" si="46"/>
        <v>49.38793115162224</v>
      </c>
      <c r="HI22" s="36">
        <f t="shared" ca="1" si="46"/>
        <v>50.200616754210351</v>
      </c>
      <c r="HJ22" s="36">
        <f t="shared" ca="1" si="46"/>
        <v>50.4801847578101</v>
      </c>
      <c r="HK22" s="36">
        <f t="shared" ca="1" si="46"/>
        <v>49.795363074695743</v>
      </c>
      <c r="HL22" s="36">
        <f t="shared" ref="HL22:HT22" ca="1" si="47">HK22*EXP(($B$3-$B$4^2/2)*1+$B$4*_xlfn.NORM.S.INV(RAND()))</f>
        <v>50.113645036345197</v>
      </c>
      <c r="HM22" s="36">
        <f t="shared" ca="1" si="47"/>
        <v>51.194760760859303</v>
      </c>
      <c r="HN22" s="36">
        <f t="shared" ca="1" si="47"/>
        <v>51.580436598536274</v>
      </c>
      <c r="HO22" s="36">
        <f t="shared" ca="1" si="47"/>
        <v>53.210791870899683</v>
      </c>
      <c r="HP22" s="36">
        <f t="shared" ca="1" si="47"/>
        <v>52.842934144467677</v>
      </c>
      <c r="HQ22" s="36">
        <f t="shared" ca="1" si="47"/>
        <v>52.495297309069635</v>
      </c>
      <c r="HR22" s="36">
        <f t="shared" ca="1" si="47"/>
        <v>51.816321398918205</v>
      </c>
      <c r="HS22" s="36">
        <f t="shared" ca="1" si="47"/>
        <v>51.337581361491296</v>
      </c>
      <c r="HT22" s="36">
        <f t="shared" ca="1" si="47"/>
        <v>51.281022053041376</v>
      </c>
      <c r="HU22" s="36">
        <f t="shared" ca="1" si="12"/>
        <v>51.156805361274223</v>
      </c>
      <c r="HV22" s="36">
        <f t="shared" ca="1" si="12"/>
        <v>52.096354859127807</v>
      </c>
      <c r="HW22" s="36">
        <f t="shared" ca="1" si="12"/>
        <v>51.52126262182648</v>
      </c>
      <c r="HX22" s="36">
        <f t="shared" ca="1" si="12"/>
        <v>50.528768433193846</v>
      </c>
      <c r="HY22" s="36">
        <f t="shared" ca="1" si="12"/>
        <v>50.92982872529879</v>
      </c>
      <c r="HZ22" s="36">
        <f t="shared" ca="1" si="23"/>
        <v>52.959602779045419</v>
      </c>
      <c r="IA22" s="36">
        <f t="shared" ca="1" si="23"/>
        <v>52.094753148409772</v>
      </c>
      <c r="IB22" s="36">
        <f t="shared" ca="1" si="23"/>
        <v>51.500485496499273</v>
      </c>
      <c r="IC22" s="36">
        <f t="shared" ca="1" si="23"/>
        <v>51.81931182776561</v>
      </c>
      <c r="ID22" s="36">
        <f t="shared" ca="1" si="23"/>
        <v>50.447703410876343</v>
      </c>
      <c r="IE22" s="36">
        <f t="shared" ca="1" si="23"/>
        <v>50.373216656049259</v>
      </c>
      <c r="IF22" s="36">
        <f t="shared" ca="1" si="23"/>
        <v>50.173111005108083</v>
      </c>
      <c r="IG22" s="36">
        <f t="shared" ca="1" si="23"/>
        <v>49.977269533578777</v>
      </c>
      <c r="IH22" s="36">
        <f t="shared" ca="1" si="23"/>
        <v>50.382610622024067</v>
      </c>
      <c r="II22" s="36">
        <f t="shared" ca="1" si="23"/>
        <v>49.906190349947721</v>
      </c>
      <c r="IJ22" s="36">
        <f t="shared" ca="1" si="23"/>
        <v>49.716572372292369</v>
      </c>
      <c r="IK22" s="36">
        <f t="shared" ca="1" si="23"/>
        <v>50.329555448425566</v>
      </c>
      <c r="IL22" s="36">
        <f t="shared" ca="1" si="23"/>
        <v>50.543101442551908</v>
      </c>
      <c r="IM22" s="36">
        <f t="shared" ca="1" si="23"/>
        <v>50.446283327484835</v>
      </c>
      <c r="IN22" s="36">
        <f t="shared" ca="1" si="23"/>
        <v>51.323432393303001</v>
      </c>
      <c r="IO22" s="36">
        <f t="shared" ca="1" si="23"/>
        <v>50.402929877365779</v>
      </c>
      <c r="IP22" s="36">
        <f t="shared" ca="1" si="23"/>
        <v>51.299337574700665</v>
      </c>
      <c r="IQ22" s="36">
        <f t="shared" ca="1" si="23"/>
        <v>51.053809404926568</v>
      </c>
      <c r="IR22" s="36">
        <f t="shared" ca="1" si="23"/>
        <v>51.612935975777816</v>
      </c>
      <c r="IS22" s="36">
        <f t="shared" ca="1" si="23"/>
        <v>52.288179285583062</v>
      </c>
      <c r="IT22" s="36">
        <f t="shared" ca="1" si="23"/>
        <v>52.917807630066356</v>
      </c>
      <c r="IU22" s="36">
        <f t="shared" ca="1" si="23"/>
        <v>53.433915626244556</v>
      </c>
    </row>
    <row r="23" spans="1:255" x14ac:dyDescent="0.2">
      <c r="A23" s="36"/>
      <c r="B23">
        <v>13</v>
      </c>
      <c r="C23" s="36">
        <v>50</v>
      </c>
      <c r="D23" s="36">
        <f t="shared" ca="1" si="14"/>
        <v>48.927336922847907</v>
      </c>
      <c r="E23" s="36">
        <f t="shared" ca="1" si="14"/>
        <v>50.383788257568717</v>
      </c>
      <c r="F23" s="36">
        <f t="shared" ca="1" si="44"/>
        <v>50.447793557485852</v>
      </c>
      <c r="G23" s="36">
        <f t="shared" ca="1" si="44"/>
        <v>50.503840859406722</v>
      </c>
      <c r="H23" s="36">
        <f t="shared" ca="1" si="44"/>
        <v>50.582629549329852</v>
      </c>
      <c r="I23" s="36">
        <f t="shared" ca="1" si="44"/>
        <v>50.195970455966595</v>
      </c>
      <c r="J23" s="36">
        <f t="shared" ca="1" si="44"/>
        <v>51.028973446925569</v>
      </c>
      <c r="K23" s="36">
        <f t="shared" ca="1" si="44"/>
        <v>50.846269297114041</v>
      </c>
      <c r="L23" s="36">
        <f t="shared" ca="1" si="44"/>
        <v>51.039306417323857</v>
      </c>
      <c r="M23" s="36">
        <f t="shared" ca="1" si="44"/>
        <v>51.088644412037226</v>
      </c>
      <c r="N23" s="36">
        <f t="shared" ca="1" si="44"/>
        <v>51.059691444216533</v>
      </c>
      <c r="O23" s="36">
        <f t="shared" ca="1" si="44"/>
        <v>51.656807805044643</v>
      </c>
      <c r="P23" s="36">
        <f t="shared" ca="1" si="44"/>
        <v>52.961383692629042</v>
      </c>
      <c r="Q23" s="36">
        <f t="shared" ca="1" si="44"/>
        <v>52.785331486660603</v>
      </c>
      <c r="R23" s="36">
        <f t="shared" ca="1" si="44"/>
        <v>53.092033124241972</v>
      </c>
      <c r="S23" s="36">
        <f t="shared" ca="1" si="44"/>
        <v>53.866574351202715</v>
      </c>
      <c r="T23" s="36">
        <f t="shared" ca="1" si="44"/>
        <v>53.708155013698239</v>
      </c>
      <c r="U23" s="36">
        <f t="shared" ca="1" si="44"/>
        <v>54.152626044034818</v>
      </c>
      <c r="V23" s="36">
        <f t="shared" ca="1" si="44"/>
        <v>54.466090782604752</v>
      </c>
      <c r="W23" s="36">
        <f t="shared" ca="1" si="44"/>
        <v>54.404061866909757</v>
      </c>
      <c r="X23" s="36">
        <f t="shared" ca="1" si="44"/>
        <v>54.375696125373977</v>
      </c>
      <c r="Y23" s="36">
        <f t="shared" ca="1" si="44"/>
        <v>53.856836292994792</v>
      </c>
      <c r="Z23" s="36">
        <f t="shared" ca="1" si="44"/>
        <v>54.759420288036601</v>
      </c>
      <c r="AA23" s="36">
        <f t="shared" ca="1" si="44"/>
        <v>54.513841845620945</v>
      </c>
      <c r="AB23" s="36">
        <f t="shared" ca="1" si="44"/>
        <v>53.288545488689074</v>
      </c>
      <c r="AC23" s="36">
        <f t="shared" ca="1" si="44"/>
        <v>52.823571191985494</v>
      </c>
      <c r="AD23" s="36">
        <f t="shared" ca="1" si="44"/>
        <v>54.26557619587355</v>
      </c>
      <c r="AE23" s="36">
        <f t="shared" ca="1" si="44"/>
        <v>54.503249613856028</v>
      </c>
      <c r="AF23" s="36">
        <f t="shared" ca="1" si="44"/>
        <v>53.699495991757892</v>
      </c>
      <c r="AG23" s="36">
        <f t="shared" ca="1" si="44"/>
        <v>53.138511983584877</v>
      </c>
      <c r="AH23" s="36">
        <f t="shared" ca="1" si="44"/>
        <v>54.054484962746834</v>
      </c>
      <c r="AI23" s="36">
        <f t="shared" ca="1" si="44"/>
        <v>53.677928944911621</v>
      </c>
      <c r="AJ23" s="36">
        <f t="shared" ca="1" si="44"/>
        <v>53.672170957241242</v>
      </c>
      <c r="AK23" s="36">
        <f t="shared" ca="1" si="44"/>
        <v>53.326971233013545</v>
      </c>
      <c r="AL23" s="36">
        <f t="shared" ca="1" si="44"/>
        <v>52.029368599341403</v>
      </c>
      <c r="AM23" s="36">
        <f t="shared" ca="1" si="44"/>
        <v>51.790688850435075</v>
      </c>
      <c r="AN23" s="36">
        <f t="shared" ca="1" si="44"/>
        <v>53.032611599972952</v>
      </c>
      <c r="AO23" s="36">
        <f t="shared" ca="1" si="44"/>
        <v>52.272860661961197</v>
      </c>
      <c r="AP23" s="36">
        <f t="shared" ca="1" si="44"/>
        <v>52.602592704665184</v>
      </c>
      <c r="AQ23" s="36">
        <f t="shared" ca="1" si="44"/>
        <v>52.974435688776936</v>
      </c>
      <c r="AR23" s="36">
        <f t="shared" ca="1" si="44"/>
        <v>53.499668361413036</v>
      </c>
      <c r="AS23" s="36">
        <f t="shared" ca="1" si="44"/>
        <v>54.012484982572339</v>
      </c>
      <c r="AT23" s="36">
        <f t="shared" ca="1" si="44"/>
        <v>52.679205027382004</v>
      </c>
      <c r="AU23" s="36">
        <f t="shared" ca="1" si="44"/>
        <v>53.122408650953773</v>
      </c>
      <c r="AV23" s="36">
        <f t="shared" ca="1" si="44"/>
        <v>53.277673547318642</v>
      </c>
      <c r="AW23" s="36">
        <f t="shared" ca="1" si="44"/>
        <v>53.354308187818575</v>
      </c>
      <c r="AX23" s="36">
        <f t="shared" ca="1" si="44"/>
        <v>53.009562268601691</v>
      </c>
      <c r="AY23" s="36">
        <f t="shared" ca="1" si="44"/>
        <v>54.21150964178652</v>
      </c>
      <c r="AZ23" s="36">
        <f t="shared" ca="1" si="44"/>
        <v>53.862946441923448</v>
      </c>
      <c r="BA23" s="36">
        <f t="shared" ca="1" si="44"/>
        <v>54.16167427080876</v>
      </c>
      <c r="BB23" s="36">
        <f t="shared" ca="1" si="44"/>
        <v>55.185985711077855</v>
      </c>
      <c r="BC23" s="36">
        <f t="shared" ca="1" si="44"/>
        <v>55.893909709798592</v>
      </c>
      <c r="BD23" s="36">
        <f t="shared" ca="1" si="44"/>
        <v>57.239877717543436</v>
      </c>
      <c r="BE23" s="36">
        <f t="shared" ca="1" si="44"/>
        <v>57.972518376418492</v>
      </c>
      <c r="BF23" s="36">
        <f t="shared" ca="1" si="44"/>
        <v>58.643401980175732</v>
      </c>
      <c r="BG23" s="36">
        <f t="shared" ca="1" si="44"/>
        <v>57.45413320072025</v>
      </c>
      <c r="BH23" s="36">
        <f t="shared" ca="1" si="44"/>
        <v>56.657339101305212</v>
      </c>
      <c r="BI23" s="36">
        <f t="shared" ca="1" si="44"/>
        <v>55.660681805131283</v>
      </c>
      <c r="BJ23" s="36">
        <f t="shared" ca="1" si="44"/>
        <v>56.035993766203141</v>
      </c>
      <c r="BK23" s="36">
        <f t="shared" ca="1" si="44"/>
        <v>55.289626862049225</v>
      </c>
      <c r="BL23" s="36">
        <f t="shared" ca="1" si="44"/>
        <v>54.455180920453827</v>
      </c>
      <c r="BM23" s="36">
        <f t="shared" ca="1" si="44"/>
        <v>54.261847176093426</v>
      </c>
      <c r="BN23" s="36">
        <f t="shared" ca="1" si="44"/>
        <v>54.014156683020545</v>
      </c>
      <c r="BO23" s="36">
        <f t="shared" ca="1" si="44"/>
        <v>53.577761788504866</v>
      </c>
      <c r="BP23" s="36">
        <f t="shared" ca="1" si="44"/>
        <v>53.999856206557261</v>
      </c>
      <c r="BQ23" s="36">
        <f t="shared" ca="1" si="44"/>
        <v>54.217934860314152</v>
      </c>
      <c r="BR23" s="36">
        <f t="shared" ca="1" si="41"/>
        <v>53.834465827040944</v>
      </c>
      <c r="BS23" s="36">
        <f t="shared" ca="1" si="41"/>
        <v>52.944457752217716</v>
      </c>
      <c r="BT23" s="36">
        <f t="shared" ca="1" si="41"/>
        <v>53.192579841948586</v>
      </c>
      <c r="BU23" s="36">
        <f t="shared" ca="1" si="41"/>
        <v>52.497579338537705</v>
      </c>
      <c r="BV23" s="36">
        <f t="shared" ca="1" si="41"/>
        <v>52.263353935569228</v>
      </c>
      <c r="BW23" s="36">
        <f t="shared" ca="1" si="41"/>
        <v>51.54382893150791</v>
      </c>
      <c r="BX23" s="36">
        <f t="shared" ca="1" si="41"/>
        <v>51.636113207610919</v>
      </c>
      <c r="BY23" s="36">
        <f t="shared" ca="1" si="41"/>
        <v>52.114382968424216</v>
      </c>
      <c r="BZ23" s="36">
        <f t="shared" ca="1" si="41"/>
        <v>51.727319668924366</v>
      </c>
      <c r="CA23" s="36">
        <f t="shared" ca="1" si="41"/>
        <v>51.607418929811374</v>
      </c>
      <c r="CB23" s="36">
        <f t="shared" ca="1" si="41"/>
        <v>51.500762945576064</v>
      </c>
      <c r="CC23" s="36">
        <f t="shared" ca="1" si="41"/>
        <v>51.732512192593816</v>
      </c>
      <c r="CD23" s="36">
        <f t="shared" ca="1" si="41"/>
        <v>50.29953299143633</v>
      </c>
      <c r="CE23" s="36">
        <f t="shared" ca="1" si="41"/>
        <v>51.308647263855171</v>
      </c>
      <c r="CF23" s="36">
        <f t="shared" ca="1" si="41"/>
        <v>51.729646603025913</v>
      </c>
      <c r="CG23" s="36">
        <f t="shared" ca="1" si="41"/>
        <v>52.580036090866088</v>
      </c>
      <c r="CH23" s="36">
        <f t="shared" ca="1" si="41"/>
        <v>51.657344908662232</v>
      </c>
      <c r="CI23" s="36">
        <f t="shared" ca="1" si="41"/>
        <v>51.959891595550275</v>
      </c>
      <c r="CJ23" s="36">
        <f t="shared" ca="1" si="41"/>
        <v>51.205059632115471</v>
      </c>
      <c r="CK23" s="36">
        <f t="shared" ca="1" si="41"/>
        <v>51.150954411493238</v>
      </c>
      <c r="CL23" s="36">
        <f t="shared" ca="1" si="41"/>
        <v>51.359397603203995</v>
      </c>
      <c r="CM23" s="36">
        <f t="shared" ca="1" si="41"/>
        <v>51.835485072786412</v>
      </c>
      <c r="CN23" s="36">
        <f t="shared" ca="1" si="41"/>
        <v>52.009886493777302</v>
      </c>
      <c r="CO23" s="36">
        <f t="shared" ca="1" si="41"/>
        <v>52.19026856839163</v>
      </c>
      <c r="CP23" s="36">
        <f t="shared" ca="1" si="41"/>
        <v>51.764857670245654</v>
      </c>
      <c r="CQ23" s="36">
        <f t="shared" ca="1" si="41"/>
        <v>51.398985089363705</v>
      </c>
      <c r="CR23" s="36">
        <f t="shared" ca="1" si="41"/>
        <v>51.168637567081724</v>
      </c>
      <c r="CS23" s="36">
        <f t="shared" ca="1" si="41"/>
        <v>51.533378329538472</v>
      </c>
      <c r="CT23" s="36">
        <f t="shared" ca="1" si="41"/>
        <v>51.792653622490462</v>
      </c>
      <c r="CU23" s="36">
        <f t="shared" ca="1" si="41"/>
        <v>53.095078157228414</v>
      </c>
      <c r="CV23" s="36">
        <f t="shared" ca="1" si="41"/>
        <v>52.050912776662877</v>
      </c>
      <c r="CW23" s="36">
        <f t="shared" ca="1" si="41"/>
        <v>51.827157501059567</v>
      </c>
      <c r="CX23" s="36">
        <f t="shared" ca="1" si="41"/>
        <v>51.584167507937387</v>
      </c>
      <c r="CY23" s="36">
        <f t="shared" ca="1" si="41"/>
        <v>51.750906799111178</v>
      </c>
      <c r="CZ23" s="36">
        <f t="shared" ca="1" si="41"/>
        <v>52.480391028722529</v>
      </c>
      <c r="DA23" s="36">
        <f t="shared" ca="1" si="41"/>
        <v>52.030133300111167</v>
      </c>
      <c r="DB23" s="36">
        <f t="shared" ca="1" si="41"/>
        <v>52.940411666855503</v>
      </c>
      <c r="DC23" s="36">
        <f t="shared" ca="1" si="41"/>
        <v>52.421727121543995</v>
      </c>
      <c r="DD23" s="36">
        <f t="shared" ca="1" si="41"/>
        <v>52.54235029913314</v>
      </c>
      <c r="DE23" s="36">
        <f t="shared" ca="1" si="41"/>
        <v>53.072058916440696</v>
      </c>
      <c r="DF23" s="36">
        <f t="shared" ca="1" si="41"/>
        <v>54.016555606617629</v>
      </c>
      <c r="DG23" s="36">
        <f t="shared" ca="1" si="41"/>
        <v>53.559841956420748</v>
      </c>
      <c r="DH23" s="36">
        <f t="shared" ca="1" si="41"/>
        <v>54.121950695700832</v>
      </c>
      <c r="DI23" s="36">
        <f t="shared" ca="1" si="41"/>
        <v>53.876465855144509</v>
      </c>
      <c r="DJ23" s="36">
        <f t="shared" ca="1" si="41"/>
        <v>53.515637507669553</v>
      </c>
      <c r="DK23" s="36">
        <f t="shared" ca="1" si="41"/>
        <v>53.320034902459263</v>
      </c>
      <c r="DL23" s="36">
        <f t="shared" ca="1" si="41"/>
        <v>53.492076138906036</v>
      </c>
      <c r="DM23" s="36">
        <f t="shared" ca="1" si="41"/>
        <v>54.08770494868439</v>
      </c>
      <c r="DN23" s="36">
        <f t="shared" ca="1" si="41"/>
        <v>54.510514738726698</v>
      </c>
      <c r="DO23" s="36">
        <f t="shared" ca="1" si="41"/>
        <v>53.876830142017354</v>
      </c>
      <c r="DP23" s="36">
        <f t="shared" ca="1" si="41"/>
        <v>53.387839788986156</v>
      </c>
      <c r="DQ23" s="36">
        <f t="shared" ca="1" si="41"/>
        <v>52.60110935001584</v>
      </c>
      <c r="DR23" s="36">
        <f t="shared" ca="1" si="41"/>
        <v>52.465414112388082</v>
      </c>
      <c r="DS23" s="36">
        <f t="shared" ca="1" si="41"/>
        <v>53.442794856831377</v>
      </c>
      <c r="DT23" s="36">
        <f t="shared" ca="1" si="41"/>
        <v>52.523310518637963</v>
      </c>
      <c r="DU23" s="36">
        <f t="shared" ca="1" si="41"/>
        <v>52.856806580957283</v>
      </c>
      <c r="DV23" s="36">
        <f t="shared" ca="1" si="41"/>
        <v>54.496290320889038</v>
      </c>
      <c r="DW23" s="36">
        <f t="shared" ca="1" si="41"/>
        <v>54.566489730496968</v>
      </c>
      <c r="DX23" s="36">
        <f t="shared" ca="1" si="41"/>
        <v>55.465199937898319</v>
      </c>
      <c r="DY23" s="36">
        <f t="shared" ca="1" si="41"/>
        <v>56.621165028173721</v>
      </c>
      <c r="DZ23" s="36">
        <f t="shared" ca="1" si="41"/>
        <v>56.319319645819284</v>
      </c>
      <c r="EA23" s="36">
        <f t="shared" ca="1" si="41"/>
        <v>55.73217666024064</v>
      </c>
      <c r="EB23" s="36">
        <f t="shared" ca="1" si="41"/>
        <v>55.513299697843003</v>
      </c>
      <c r="EC23" s="36">
        <f t="shared" ca="1" si="28"/>
        <v>55.145804843962352</v>
      </c>
      <c r="ED23" s="36">
        <f t="shared" ca="1" si="26"/>
        <v>55.275409625978021</v>
      </c>
      <c r="EE23" s="36">
        <f t="shared" ca="1" si="26"/>
        <v>54.912410979631389</v>
      </c>
      <c r="EF23" s="36">
        <f t="shared" ca="1" si="26"/>
        <v>55.142409211073129</v>
      </c>
      <c r="EG23" s="36">
        <f t="shared" ca="1" si="26"/>
        <v>55.559690801209285</v>
      </c>
      <c r="EH23" s="36">
        <f t="shared" ca="1" si="26"/>
        <v>54.554171322890177</v>
      </c>
      <c r="EI23" s="36">
        <f t="shared" ca="1" si="26"/>
        <v>53.845888558456188</v>
      </c>
      <c r="EJ23" s="36">
        <f t="shared" ca="1" si="26"/>
        <v>53.61627985874734</v>
      </c>
      <c r="EK23" s="36">
        <f t="shared" ca="1" si="26"/>
        <v>54.329058389215</v>
      </c>
      <c r="EL23" s="36">
        <f t="shared" ca="1" si="26"/>
        <v>53.522713384000745</v>
      </c>
      <c r="EM23" s="36">
        <f t="shared" ca="1" si="26"/>
        <v>53.250602457485513</v>
      </c>
      <c r="EN23" s="36">
        <f t="shared" ca="1" si="26"/>
        <v>53.453322368923715</v>
      </c>
      <c r="EO23" s="36">
        <f t="shared" ca="1" si="26"/>
        <v>53.576079784855104</v>
      </c>
      <c r="EP23" s="36">
        <f t="shared" ca="1" si="26"/>
        <v>53.926211259937169</v>
      </c>
      <c r="EQ23" s="36">
        <f t="shared" ca="1" si="26"/>
        <v>53.751585123682787</v>
      </c>
      <c r="ER23" s="36">
        <f t="shared" ca="1" si="26"/>
        <v>54.357427027504215</v>
      </c>
      <c r="ES23" s="36">
        <f t="shared" ca="1" si="26"/>
        <v>53.581005699901972</v>
      </c>
      <c r="ET23" s="36">
        <f t="shared" ca="1" si="26"/>
        <v>54.803648420982228</v>
      </c>
      <c r="EU23" s="36">
        <f t="shared" ca="1" si="26"/>
        <v>55.025231788981067</v>
      </c>
      <c r="EV23" s="36">
        <f t="shared" ca="1" si="26"/>
        <v>53.977061347421326</v>
      </c>
      <c r="EW23" s="36">
        <f t="shared" ref="EW23:HH27" ca="1" si="48">EV23*EXP(($B$3-$B$4^2/2)*1+$B$4*_xlfn.NORM.S.INV(RAND()))</f>
        <v>54.027611151836368</v>
      </c>
      <c r="EX23" s="36">
        <f t="shared" ca="1" si="48"/>
        <v>54.292162587082686</v>
      </c>
      <c r="EY23" s="36">
        <f t="shared" ca="1" si="48"/>
        <v>54.552132691412332</v>
      </c>
      <c r="EZ23" s="36">
        <f t="shared" ca="1" si="48"/>
        <v>55.056747861261059</v>
      </c>
      <c r="FA23" s="36">
        <f t="shared" ca="1" si="48"/>
        <v>54.253776974080196</v>
      </c>
      <c r="FB23" s="36">
        <f t="shared" ca="1" si="48"/>
        <v>53.617891502231487</v>
      </c>
      <c r="FC23" s="36">
        <f t="shared" ca="1" si="48"/>
        <v>53.781545324020058</v>
      </c>
      <c r="FD23" s="36">
        <f t="shared" ca="1" si="48"/>
        <v>53.666288069626269</v>
      </c>
      <c r="FE23" s="36">
        <f t="shared" ca="1" si="48"/>
        <v>53.478454684865909</v>
      </c>
      <c r="FF23" s="36">
        <f t="shared" ca="1" si="48"/>
        <v>53.30969402773944</v>
      </c>
      <c r="FG23" s="36">
        <f t="shared" ca="1" si="48"/>
        <v>53.193479152780988</v>
      </c>
      <c r="FH23" s="36">
        <f t="shared" ca="1" si="48"/>
        <v>53.924605415716705</v>
      </c>
      <c r="FI23" s="36">
        <f t="shared" ca="1" si="48"/>
        <v>53.271703139261682</v>
      </c>
      <c r="FJ23" s="36">
        <f t="shared" ca="1" si="48"/>
        <v>53.802231850986701</v>
      </c>
      <c r="FK23" s="36">
        <f t="shared" ca="1" si="48"/>
        <v>52.819799339639545</v>
      </c>
      <c r="FL23" s="36">
        <f t="shared" ca="1" si="48"/>
        <v>52.779429410149547</v>
      </c>
      <c r="FM23" s="36">
        <f t="shared" ca="1" si="48"/>
        <v>53.144663583448157</v>
      </c>
      <c r="FN23" s="36">
        <f t="shared" ca="1" si="48"/>
        <v>53.422747538231313</v>
      </c>
      <c r="FO23" s="36">
        <f t="shared" ca="1" si="48"/>
        <v>53.194815750649184</v>
      </c>
      <c r="FP23" s="36">
        <f t="shared" ca="1" si="48"/>
        <v>54.330360573078543</v>
      </c>
      <c r="FQ23" s="36">
        <f t="shared" ca="1" si="48"/>
        <v>53.415695410300735</v>
      </c>
      <c r="FR23" s="36">
        <f t="shared" ca="1" si="48"/>
        <v>54.115646766076331</v>
      </c>
      <c r="FS23" s="36">
        <f t="shared" ca="1" si="48"/>
        <v>53.874254771118501</v>
      </c>
      <c r="FT23" s="36">
        <f t="shared" ca="1" si="48"/>
        <v>54.426030272896107</v>
      </c>
      <c r="FU23" s="36">
        <f t="shared" ca="1" si="48"/>
        <v>55.148351192410779</v>
      </c>
      <c r="FV23" s="36">
        <f t="shared" ca="1" si="48"/>
        <v>55.465582125726108</v>
      </c>
      <c r="FW23" s="36">
        <f t="shared" ca="1" si="48"/>
        <v>54.620772679914808</v>
      </c>
      <c r="FX23" s="36">
        <f t="shared" ca="1" si="48"/>
        <v>53.688267495103688</v>
      </c>
      <c r="FY23" s="36">
        <f t="shared" ca="1" si="48"/>
        <v>52.626582450048765</v>
      </c>
      <c r="FZ23" s="36">
        <f t="shared" ca="1" si="48"/>
        <v>52.086719386871415</v>
      </c>
      <c r="GA23" s="36">
        <f t="shared" ca="1" si="48"/>
        <v>50.950455716046733</v>
      </c>
      <c r="GB23" s="36">
        <f t="shared" ca="1" si="48"/>
        <v>50.76836385266769</v>
      </c>
      <c r="GC23" s="36">
        <f t="shared" ca="1" si="48"/>
        <v>50.747380663443863</v>
      </c>
      <c r="GD23" s="36">
        <f t="shared" ca="1" si="48"/>
        <v>51.32160242069061</v>
      </c>
      <c r="GE23" s="36">
        <f t="shared" ca="1" si="48"/>
        <v>51.734909632803564</v>
      </c>
      <c r="GF23" s="36">
        <f t="shared" ca="1" si="48"/>
        <v>51.398211906964548</v>
      </c>
      <c r="GG23" s="36">
        <f t="shared" ca="1" si="48"/>
        <v>51.514387954153612</v>
      </c>
      <c r="GH23" s="36">
        <f t="shared" ca="1" si="48"/>
        <v>50.904969366502101</v>
      </c>
      <c r="GI23" s="36">
        <f t="shared" ca="1" si="48"/>
        <v>51.960136315745039</v>
      </c>
      <c r="GJ23" s="36">
        <f t="shared" ca="1" si="48"/>
        <v>51.485211737647148</v>
      </c>
      <c r="GK23" s="36">
        <f t="shared" ca="1" si="48"/>
        <v>52.486789225284191</v>
      </c>
      <c r="GL23" s="36">
        <f t="shared" ca="1" si="48"/>
        <v>51.1590959605482</v>
      </c>
      <c r="GM23" s="36">
        <f t="shared" ca="1" si="48"/>
        <v>51.063842297142685</v>
      </c>
      <c r="GN23" s="36">
        <f t="shared" ca="1" si="48"/>
        <v>51.626276315841714</v>
      </c>
      <c r="GO23" s="36">
        <f t="shared" ca="1" si="48"/>
        <v>51.661110221877905</v>
      </c>
      <c r="GP23" s="36">
        <f t="shared" ca="1" si="48"/>
        <v>51.010664694149838</v>
      </c>
      <c r="GQ23" s="36">
        <f t="shared" ca="1" si="48"/>
        <v>51.945509896329526</v>
      </c>
      <c r="GR23" s="36">
        <f t="shared" ca="1" si="48"/>
        <v>52.423468388617188</v>
      </c>
      <c r="GS23" s="36">
        <f t="shared" ca="1" si="48"/>
        <v>53.013676885614885</v>
      </c>
      <c r="GT23" s="36">
        <f t="shared" ca="1" si="48"/>
        <v>52.460344635945908</v>
      </c>
      <c r="GU23" s="36">
        <f t="shared" ca="1" si="48"/>
        <v>53.124638719641837</v>
      </c>
      <c r="GV23" s="36">
        <f t="shared" ca="1" si="48"/>
        <v>53.196426267094182</v>
      </c>
      <c r="GW23" s="36">
        <f t="shared" ca="1" si="48"/>
        <v>54.03939144822661</v>
      </c>
      <c r="GX23" s="36">
        <f t="shared" ca="1" si="48"/>
        <v>53.922116405806037</v>
      </c>
      <c r="GY23" s="36">
        <f t="shared" ca="1" si="48"/>
        <v>53.58052273387613</v>
      </c>
      <c r="GZ23" s="36">
        <f t="shared" ca="1" si="48"/>
        <v>54.041852126098817</v>
      </c>
      <c r="HA23" s="36">
        <f t="shared" ca="1" si="48"/>
        <v>53.395433864552899</v>
      </c>
      <c r="HB23" s="36">
        <f t="shared" ca="1" si="48"/>
        <v>53.23526965722467</v>
      </c>
      <c r="HC23" s="36">
        <f t="shared" ca="1" si="48"/>
        <v>52.531668083900129</v>
      </c>
      <c r="HD23" s="36">
        <f t="shared" ca="1" si="48"/>
        <v>52.127043320154044</v>
      </c>
      <c r="HE23" s="36">
        <f t="shared" ca="1" si="48"/>
        <v>52.497293691671203</v>
      </c>
      <c r="HF23" s="36">
        <f t="shared" ca="1" si="48"/>
        <v>52.097448334094899</v>
      </c>
      <c r="HG23" s="36">
        <f t="shared" ca="1" si="48"/>
        <v>50.805892328231458</v>
      </c>
      <c r="HH23" s="36">
        <f t="shared" ca="1" si="48"/>
        <v>51.232087542923423</v>
      </c>
      <c r="HI23" s="36">
        <f t="shared" ca="1" si="46"/>
        <v>50.443463856059388</v>
      </c>
      <c r="HJ23" s="36">
        <f t="shared" ca="1" si="46"/>
        <v>49.653266207442826</v>
      </c>
      <c r="HK23" s="36">
        <f t="shared" ca="1" si="46"/>
        <v>48.941853377114029</v>
      </c>
      <c r="HL23" s="36">
        <f t="shared" ref="HL23:HT23" ca="1" si="49">HK23*EXP(($B$3-$B$4^2/2)*1+$B$4*_xlfn.NORM.S.INV(RAND()))</f>
        <v>48.112363032492631</v>
      </c>
      <c r="HM23" s="36">
        <f t="shared" ca="1" si="49"/>
        <v>48.284808113753932</v>
      </c>
      <c r="HN23" s="36">
        <f t="shared" ca="1" si="49"/>
        <v>48.571622879790183</v>
      </c>
      <c r="HO23" s="36">
        <f t="shared" ca="1" si="49"/>
        <v>48.56681408332097</v>
      </c>
      <c r="HP23" s="36">
        <f t="shared" ca="1" si="49"/>
        <v>49.060959796235707</v>
      </c>
      <c r="HQ23" s="36">
        <f t="shared" ca="1" si="49"/>
        <v>49.065228731132962</v>
      </c>
      <c r="HR23" s="36">
        <f t="shared" ca="1" si="49"/>
        <v>48.326012970365561</v>
      </c>
      <c r="HS23" s="36">
        <f t="shared" ca="1" si="49"/>
        <v>48.414134500438031</v>
      </c>
      <c r="HT23" s="36">
        <f t="shared" ca="1" si="49"/>
        <v>47.729776787588442</v>
      </c>
      <c r="HU23" s="36">
        <f t="shared" ca="1" si="12"/>
        <v>47.525603047814421</v>
      </c>
      <c r="HV23" s="36">
        <f t="shared" ca="1" si="12"/>
        <v>48.177680352383206</v>
      </c>
      <c r="HW23" s="36">
        <f t="shared" ca="1" si="12"/>
        <v>48.802113227406593</v>
      </c>
      <c r="HX23" s="36">
        <f t="shared" ca="1" si="12"/>
        <v>49.505056582777861</v>
      </c>
      <c r="HY23" s="36">
        <f t="shared" ca="1" si="12"/>
        <v>49.188114225725329</v>
      </c>
      <c r="HZ23" s="36">
        <f t="shared" ca="1" si="23"/>
        <v>49.466771718936904</v>
      </c>
      <c r="IA23" s="36">
        <f t="shared" ca="1" si="23"/>
        <v>49.595549649819525</v>
      </c>
      <c r="IB23" s="36">
        <f t="shared" ca="1" si="23"/>
        <v>49.223763179331335</v>
      </c>
      <c r="IC23" s="36">
        <f t="shared" ca="1" si="23"/>
        <v>49.670920205111187</v>
      </c>
      <c r="ID23" s="36">
        <f t="shared" ca="1" si="23"/>
        <v>50.176504772809075</v>
      </c>
      <c r="IE23" s="36">
        <f t="shared" ca="1" si="23"/>
        <v>50.582104372021625</v>
      </c>
      <c r="IF23" s="36">
        <f t="shared" ca="1" si="23"/>
        <v>50.509213020813455</v>
      </c>
      <c r="IG23" s="36">
        <f t="shared" ca="1" si="23"/>
        <v>50.368287723426072</v>
      </c>
      <c r="IH23" s="36">
        <f t="shared" ca="1" si="23"/>
        <v>50.890646911234697</v>
      </c>
      <c r="II23" s="36">
        <f t="shared" ca="1" si="23"/>
        <v>51.066868510944573</v>
      </c>
      <c r="IJ23" s="36">
        <f t="shared" ca="1" si="23"/>
        <v>50.317335340500627</v>
      </c>
      <c r="IK23" s="36">
        <f t="shared" ca="1" si="23"/>
        <v>51.123031204609617</v>
      </c>
      <c r="IL23" s="36">
        <f t="shared" ca="1" si="23"/>
        <v>49.639511725065418</v>
      </c>
      <c r="IM23" s="36">
        <f t="shared" ca="1" si="23"/>
        <v>50.322662459556057</v>
      </c>
      <c r="IN23" s="36">
        <f t="shared" ca="1" si="23"/>
        <v>50.718341090060441</v>
      </c>
      <c r="IO23" s="36">
        <f t="shared" ca="1" si="23"/>
        <v>50.183300465229813</v>
      </c>
      <c r="IP23" s="36">
        <f t="shared" ca="1" si="23"/>
        <v>50.421921647227762</v>
      </c>
      <c r="IQ23" s="36">
        <f t="shared" ca="1" si="23"/>
        <v>50.774039653990883</v>
      </c>
      <c r="IR23" s="36">
        <f t="shared" ca="1" si="23"/>
        <v>50.811274696001512</v>
      </c>
      <c r="IS23" s="36">
        <f t="shared" ca="1" si="23"/>
        <v>50.609689047564196</v>
      </c>
      <c r="IT23" s="36">
        <f t="shared" ca="1" si="23"/>
        <v>50.654495887094924</v>
      </c>
      <c r="IU23" s="36">
        <f t="shared" ca="1" si="23"/>
        <v>50.277426116963412</v>
      </c>
    </row>
    <row r="24" spans="1:255" x14ac:dyDescent="0.2">
      <c r="A24" s="36"/>
      <c r="B24">
        <v>14</v>
      </c>
      <c r="C24" s="36">
        <v>50</v>
      </c>
      <c r="D24" s="36">
        <f t="shared" ca="1" si="14"/>
        <v>50.690668525574644</v>
      </c>
      <c r="E24" s="36">
        <f t="shared" ca="1" si="14"/>
        <v>50.512599105684835</v>
      </c>
      <c r="F24" s="36">
        <f t="shared" ca="1" si="44"/>
        <v>50.678815405141513</v>
      </c>
      <c r="G24" s="36">
        <f t="shared" ca="1" si="44"/>
        <v>51.005056557413155</v>
      </c>
      <c r="H24" s="36">
        <f t="shared" ca="1" si="44"/>
        <v>50.944206309374643</v>
      </c>
      <c r="I24" s="36">
        <f t="shared" ca="1" si="44"/>
        <v>50.07196681985819</v>
      </c>
      <c r="J24" s="36">
        <f t="shared" ca="1" si="44"/>
        <v>49.932745366796794</v>
      </c>
      <c r="K24" s="36">
        <f t="shared" ca="1" si="44"/>
        <v>49.574107350470484</v>
      </c>
      <c r="L24" s="36">
        <f t="shared" ca="1" si="44"/>
        <v>48.83501218491611</v>
      </c>
      <c r="M24" s="36">
        <f t="shared" ca="1" si="44"/>
        <v>49.436177107793689</v>
      </c>
      <c r="N24" s="36">
        <f t="shared" ca="1" si="44"/>
        <v>49.893231315994051</v>
      </c>
      <c r="O24" s="36">
        <f t="shared" ca="1" si="44"/>
        <v>48.588221855336343</v>
      </c>
      <c r="P24" s="36">
        <f t="shared" ca="1" si="44"/>
        <v>47.192274636933284</v>
      </c>
      <c r="Q24" s="36">
        <f t="shared" ca="1" si="44"/>
        <v>48.437971156518728</v>
      </c>
      <c r="R24" s="36">
        <f t="shared" ca="1" si="44"/>
        <v>48.074098766809669</v>
      </c>
      <c r="S24" s="36">
        <f t="shared" ca="1" si="44"/>
        <v>47.748519437454974</v>
      </c>
      <c r="T24" s="36">
        <f t="shared" ca="1" si="44"/>
        <v>47.663885293153029</v>
      </c>
      <c r="U24" s="36">
        <f t="shared" ca="1" si="44"/>
        <v>48.66817985113115</v>
      </c>
      <c r="V24" s="36">
        <f t="shared" ca="1" si="44"/>
        <v>48.455304018908556</v>
      </c>
      <c r="W24" s="36">
        <f t="shared" ca="1" si="44"/>
        <v>48.926209035993836</v>
      </c>
      <c r="X24" s="36">
        <f t="shared" ca="1" si="44"/>
        <v>48.297509882487837</v>
      </c>
      <c r="Y24" s="36">
        <f t="shared" ca="1" si="44"/>
        <v>48.544997661651827</v>
      </c>
      <c r="Z24" s="36">
        <f t="shared" ca="1" si="44"/>
        <v>48.981278148106021</v>
      </c>
      <c r="AA24" s="36">
        <f t="shared" ca="1" si="44"/>
        <v>48.124207312385593</v>
      </c>
      <c r="AB24" s="36">
        <f t="shared" ca="1" si="44"/>
        <v>49.157810884967731</v>
      </c>
      <c r="AC24" s="36">
        <f t="shared" ca="1" si="44"/>
        <v>49.031947335916925</v>
      </c>
      <c r="AD24" s="36">
        <f t="shared" ca="1" si="44"/>
        <v>48.807019989430323</v>
      </c>
      <c r="AE24" s="36">
        <f t="shared" ca="1" si="44"/>
        <v>48.476978356069026</v>
      </c>
      <c r="AF24" s="36">
        <f t="shared" ca="1" si="44"/>
        <v>48.130606038894307</v>
      </c>
      <c r="AG24" s="36">
        <f t="shared" ca="1" si="44"/>
        <v>47.889108469963311</v>
      </c>
      <c r="AH24" s="36">
        <f t="shared" ca="1" si="44"/>
        <v>48.254655190921376</v>
      </c>
      <c r="AI24" s="36">
        <f t="shared" ca="1" si="44"/>
        <v>48.401330239808637</v>
      </c>
      <c r="AJ24" s="36">
        <f t="shared" ca="1" si="44"/>
        <v>49.371681017078636</v>
      </c>
      <c r="AK24" s="36">
        <f t="shared" ca="1" si="44"/>
        <v>48.461658535104156</v>
      </c>
      <c r="AL24" s="36">
        <f t="shared" ca="1" si="44"/>
        <v>47.831818540316561</v>
      </c>
      <c r="AM24" s="36">
        <f t="shared" ca="1" si="44"/>
        <v>47.275746223330323</v>
      </c>
      <c r="AN24" s="36">
        <f t="shared" ca="1" si="44"/>
        <v>47.071317770057526</v>
      </c>
      <c r="AO24" s="36">
        <f t="shared" ca="1" si="44"/>
        <v>47.265354855657542</v>
      </c>
      <c r="AP24" s="36">
        <f t="shared" ca="1" si="44"/>
        <v>47.159416583528738</v>
      </c>
      <c r="AQ24" s="36">
        <f t="shared" ca="1" si="44"/>
        <v>47.179786344155957</v>
      </c>
      <c r="AR24" s="36">
        <f t="shared" ca="1" si="44"/>
        <v>46.052952290128331</v>
      </c>
      <c r="AS24" s="36">
        <f t="shared" ca="1" si="44"/>
        <v>45.858754946021755</v>
      </c>
      <c r="AT24" s="36">
        <f t="shared" ca="1" si="44"/>
        <v>45.921617002302817</v>
      </c>
      <c r="AU24" s="36">
        <f t="shared" ca="1" si="44"/>
        <v>46.207994814622261</v>
      </c>
      <c r="AV24" s="36">
        <f t="shared" ca="1" si="44"/>
        <v>46.329588540032944</v>
      </c>
      <c r="AW24" s="36">
        <f t="shared" ca="1" si="44"/>
        <v>46.439359942679673</v>
      </c>
      <c r="AX24" s="36">
        <f t="shared" ca="1" si="44"/>
        <v>47.220372644136958</v>
      </c>
      <c r="AY24" s="36">
        <f t="shared" ca="1" si="44"/>
        <v>46.180711856892316</v>
      </c>
      <c r="AZ24" s="36">
        <f t="shared" ca="1" si="44"/>
        <v>47.159722796076181</v>
      </c>
      <c r="BA24" s="36">
        <f t="shared" ca="1" si="44"/>
        <v>46.544582033619925</v>
      </c>
      <c r="BB24" s="36">
        <f t="shared" ca="1" si="44"/>
        <v>46.868146514806618</v>
      </c>
      <c r="BC24" s="36">
        <f t="shared" ca="1" si="44"/>
        <v>45.935224824374984</v>
      </c>
      <c r="BD24" s="36">
        <f t="shared" ca="1" si="44"/>
        <v>46.526653514873509</v>
      </c>
      <c r="BE24" s="36">
        <f t="shared" ca="1" si="44"/>
        <v>46.281280993565176</v>
      </c>
      <c r="BF24" s="36">
        <f t="shared" ca="1" si="44"/>
        <v>46.126411325388482</v>
      </c>
      <c r="BG24" s="36">
        <f t="shared" ca="1" si="44"/>
        <v>46.536492861850071</v>
      </c>
      <c r="BH24" s="36">
        <f t="shared" ca="1" si="44"/>
        <v>47.228457319731064</v>
      </c>
      <c r="BI24" s="36">
        <f t="shared" ca="1" si="44"/>
        <v>47.717569389190963</v>
      </c>
      <c r="BJ24" s="36">
        <f t="shared" ca="1" si="44"/>
        <v>47.561738521102583</v>
      </c>
      <c r="BK24" s="36">
        <f t="shared" ca="1" si="44"/>
        <v>46.740893963030523</v>
      </c>
      <c r="BL24" s="36">
        <f t="shared" ca="1" si="44"/>
        <v>46.920588143459177</v>
      </c>
      <c r="BM24" s="36">
        <f t="shared" ca="1" si="44"/>
        <v>47.024172844461447</v>
      </c>
      <c r="BN24" s="36">
        <f t="shared" ca="1" si="44"/>
        <v>46.763381210099354</v>
      </c>
      <c r="BO24" s="36">
        <f t="shared" ca="1" si="44"/>
        <v>46.086166187324629</v>
      </c>
      <c r="BP24" s="36">
        <f t="shared" ca="1" si="44"/>
        <v>45.723480324853796</v>
      </c>
      <c r="BQ24" s="36">
        <f t="shared" ca="1" si="44"/>
        <v>45.774002322039792</v>
      </c>
      <c r="BR24" s="36">
        <f t="shared" ca="1" si="41"/>
        <v>44.739100445329953</v>
      </c>
      <c r="BS24" s="36">
        <f t="shared" ca="1" si="41"/>
        <v>44.842776444112545</v>
      </c>
      <c r="BT24" s="36">
        <f t="shared" ca="1" si="41"/>
        <v>44.907717500519489</v>
      </c>
      <c r="BU24" s="36">
        <f t="shared" ca="1" si="41"/>
        <v>45.355114849626318</v>
      </c>
      <c r="BV24" s="36">
        <f t="shared" ca="1" si="41"/>
        <v>44.773417001867394</v>
      </c>
      <c r="BW24" s="36">
        <f t="shared" ca="1" si="41"/>
        <v>45.156621186567548</v>
      </c>
      <c r="BX24" s="36">
        <f t="shared" ca="1" si="41"/>
        <v>45.315241308236523</v>
      </c>
      <c r="BY24" s="36">
        <f t="shared" ca="1" si="41"/>
        <v>45.590257870627354</v>
      </c>
      <c r="BZ24" s="36">
        <f t="shared" ca="1" si="41"/>
        <v>45.299935565934845</v>
      </c>
      <c r="CA24" s="36">
        <f t="shared" ca="1" si="41"/>
        <v>45.528372571164965</v>
      </c>
      <c r="CB24" s="36">
        <f t="shared" ca="1" si="41"/>
        <v>45.349917144829227</v>
      </c>
      <c r="CC24" s="36">
        <f t="shared" ca="1" si="41"/>
        <v>45.075242745571259</v>
      </c>
      <c r="CD24" s="36">
        <f t="shared" ca="1" si="41"/>
        <v>45.588512681633162</v>
      </c>
      <c r="CE24" s="36">
        <f t="shared" ca="1" si="41"/>
        <v>45.24044873969315</v>
      </c>
      <c r="CF24" s="36">
        <f t="shared" ca="1" si="41"/>
        <v>44.630328125231642</v>
      </c>
      <c r="CG24" s="36">
        <f t="shared" ca="1" si="41"/>
        <v>43.569812909440188</v>
      </c>
      <c r="CH24" s="36">
        <f t="shared" ca="1" si="41"/>
        <v>43.009746503735002</v>
      </c>
      <c r="CI24" s="36">
        <f t="shared" ca="1" si="41"/>
        <v>42.753085213219642</v>
      </c>
      <c r="CJ24" s="36">
        <f t="shared" ca="1" si="41"/>
        <v>42.093677355420603</v>
      </c>
      <c r="CK24" s="36">
        <f t="shared" ca="1" si="41"/>
        <v>42.086067591685442</v>
      </c>
      <c r="CL24" s="36">
        <f t="shared" ca="1" si="41"/>
        <v>41.551505415816131</v>
      </c>
      <c r="CM24" s="36">
        <f t="shared" ca="1" si="41"/>
        <v>41.749453021583818</v>
      </c>
      <c r="CN24" s="36">
        <f t="shared" ca="1" si="41"/>
        <v>41.712059581114829</v>
      </c>
      <c r="CO24" s="36">
        <f t="shared" ca="1" si="41"/>
        <v>41.339272254729273</v>
      </c>
      <c r="CP24" s="36">
        <f t="shared" ca="1" si="41"/>
        <v>40.943078523053728</v>
      </c>
      <c r="CQ24" s="36">
        <f t="shared" ca="1" si="41"/>
        <v>40.75678050845044</v>
      </c>
      <c r="CR24" s="36">
        <f t="shared" ca="1" si="41"/>
        <v>40.691408712146995</v>
      </c>
      <c r="CS24" s="36">
        <f t="shared" ca="1" si="41"/>
        <v>40.692060694396147</v>
      </c>
      <c r="CT24" s="36">
        <f t="shared" ca="1" si="41"/>
        <v>41.16412439223199</v>
      </c>
      <c r="CU24" s="36">
        <f t="shared" ca="1" si="41"/>
        <v>41.494322612867606</v>
      </c>
      <c r="CV24" s="36">
        <f t="shared" ca="1" si="41"/>
        <v>42.25836131127172</v>
      </c>
      <c r="CW24" s="36">
        <f t="shared" ca="1" si="41"/>
        <v>41.749388811578577</v>
      </c>
      <c r="CX24" s="36">
        <f t="shared" ca="1" si="41"/>
        <v>42.269175350317809</v>
      </c>
      <c r="CY24" s="36">
        <f t="shared" ca="1" si="41"/>
        <v>43.134105394322084</v>
      </c>
      <c r="CZ24" s="36">
        <f t="shared" ca="1" si="41"/>
        <v>43.366110237928339</v>
      </c>
      <c r="DA24" s="36">
        <f t="shared" ca="1" si="41"/>
        <v>42.857154478019005</v>
      </c>
      <c r="DB24" s="36">
        <f t="shared" ca="1" si="41"/>
        <v>42.930663047085041</v>
      </c>
      <c r="DC24" s="36">
        <f t="shared" ca="1" si="41"/>
        <v>43.182991394964169</v>
      </c>
      <c r="DD24" s="36">
        <f t="shared" ca="1" si="41"/>
        <v>42.057061594460855</v>
      </c>
      <c r="DE24" s="36">
        <f t="shared" ca="1" si="41"/>
        <v>42.22060368387271</v>
      </c>
      <c r="DF24" s="36">
        <f t="shared" ca="1" si="41"/>
        <v>41.927531117543772</v>
      </c>
      <c r="DG24" s="36">
        <f t="shared" ca="1" si="41"/>
        <v>41.825695120507341</v>
      </c>
      <c r="DH24" s="36">
        <f t="shared" ca="1" si="41"/>
        <v>41.916147538971025</v>
      </c>
      <c r="DI24" s="36">
        <f t="shared" ca="1" si="41"/>
        <v>42.038381694465897</v>
      </c>
      <c r="DJ24" s="36">
        <f t="shared" ca="1" si="41"/>
        <v>42.500021445714331</v>
      </c>
      <c r="DK24" s="36">
        <f t="shared" ca="1" si="41"/>
        <v>42.380328638521021</v>
      </c>
      <c r="DL24" s="36">
        <f t="shared" ca="1" si="41"/>
        <v>42.26458655941024</v>
      </c>
      <c r="DM24" s="36">
        <f t="shared" ca="1" si="41"/>
        <v>43.171230040198289</v>
      </c>
      <c r="DN24" s="36">
        <f t="shared" ca="1" si="41"/>
        <v>43.0397890315624</v>
      </c>
      <c r="DO24" s="36">
        <f t="shared" ca="1" si="41"/>
        <v>42.709253373614771</v>
      </c>
      <c r="DP24" s="36">
        <f t="shared" ca="1" si="41"/>
        <v>43.011672210851536</v>
      </c>
      <c r="DQ24" s="36">
        <f t="shared" ca="1" si="41"/>
        <v>42.446073167022014</v>
      </c>
      <c r="DR24" s="36">
        <f t="shared" ca="1" si="41"/>
        <v>42.039570811973135</v>
      </c>
      <c r="DS24" s="36">
        <f t="shared" ca="1" si="41"/>
        <v>41.982872864742831</v>
      </c>
      <c r="DT24" s="36">
        <f t="shared" ca="1" si="41"/>
        <v>42.289152389895889</v>
      </c>
      <c r="DU24" s="36">
        <f t="shared" ca="1" si="41"/>
        <v>41.228901483525789</v>
      </c>
      <c r="DV24" s="36">
        <f t="shared" ca="1" si="41"/>
        <v>40.7741487878396</v>
      </c>
      <c r="DW24" s="36">
        <f t="shared" ca="1" si="41"/>
        <v>41.065429406421757</v>
      </c>
      <c r="DX24" s="36">
        <f t="shared" ca="1" si="41"/>
        <v>41.713441488464667</v>
      </c>
      <c r="DY24" s="36">
        <f t="shared" ca="1" si="41"/>
        <v>41.443316912464766</v>
      </c>
      <c r="DZ24" s="36">
        <f t="shared" ca="1" si="41"/>
        <v>40.876265055622341</v>
      </c>
      <c r="EA24" s="36">
        <f t="shared" ca="1" si="41"/>
        <v>41.445137030632488</v>
      </c>
      <c r="EB24" s="36">
        <f t="shared" ca="1" si="41"/>
        <v>41.537371027573549</v>
      </c>
      <c r="EC24" s="36">
        <f t="shared" ca="1" si="28"/>
        <v>40.933793723716676</v>
      </c>
      <c r="ED24" s="36">
        <f t="shared" ca="1" si="26"/>
        <v>40.193780745943172</v>
      </c>
      <c r="EE24" s="36">
        <f t="shared" ca="1" si="26"/>
        <v>39.869652141703412</v>
      </c>
      <c r="EF24" s="36">
        <f t="shared" ca="1" si="26"/>
        <v>39.279599169860894</v>
      </c>
      <c r="EG24" s="36">
        <f t="shared" ca="1" si="26"/>
        <v>38.907333189349863</v>
      </c>
      <c r="EH24" s="36">
        <f t="shared" ca="1" si="26"/>
        <v>38.154275529157658</v>
      </c>
      <c r="EI24" s="36">
        <f t="shared" ca="1" si="26"/>
        <v>37.563939115855753</v>
      </c>
      <c r="EJ24" s="36">
        <f t="shared" ca="1" si="26"/>
        <v>37.448941632612694</v>
      </c>
      <c r="EK24" s="36">
        <f t="shared" ca="1" si="26"/>
        <v>38.321447606445979</v>
      </c>
      <c r="EL24" s="36">
        <f t="shared" ca="1" si="26"/>
        <v>38.110751852795154</v>
      </c>
      <c r="EM24" s="36">
        <f t="shared" ca="1" si="26"/>
        <v>38.788365200558438</v>
      </c>
      <c r="EN24" s="36">
        <f t="shared" ca="1" si="26"/>
        <v>38.566143383295795</v>
      </c>
      <c r="EO24" s="36">
        <f t="shared" ca="1" si="26"/>
        <v>38.545379213576275</v>
      </c>
      <c r="EP24" s="36">
        <f t="shared" ca="1" si="26"/>
        <v>37.409770669996909</v>
      </c>
      <c r="EQ24" s="36">
        <f t="shared" ca="1" si="26"/>
        <v>37.163426806151953</v>
      </c>
      <c r="ER24" s="36">
        <f t="shared" ca="1" si="26"/>
        <v>36.944579745985187</v>
      </c>
      <c r="ES24" s="36">
        <f t="shared" ca="1" si="26"/>
        <v>37.185554227886207</v>
      </c>
      <c r="ET24" s="36">
        <f t="shared" ca="1" si="26"/>
        <v>36.500162540777673</v>
      </c>
      <c r="EU24" s="36">
        <f t="shared" ca="1" si="26"/>
        <v>37.194803623628495</v>
      </c>
      <c r="EV24" s="36">
        <f t="shared" ca="1" si="26"/>
        <v>37.425167914726956</v>
      </c>
      <c r="EW24" s="36">
        <f t="shared" ref="EW24" ca="1" si="50">EV24*EXP(($B$3-$B$4^2/2)*1+$B$4*_xlfn.NORM.S.INV(RAND()))</f>
        <v>37.344456409172317</v>
      </c>
      <c r="EX24" s="36">
        <f t="shared" ca="1" si="48"/>
        <v>37.642413149018076</v>
      </c>
      <c r="EY24" s="36">
        <f t="shared" ca="1" si="48"/>
        <v>37.552789444218277</v>
      </c>
      <c r="EZ24" s="36">
        <f t="shared" ca="1" si="48"/>
        <v>37.304242128521601</v>
      </c>
      <c r="FA24" s="36">
        <f t="shared" ca="1" si="48"/>
        <v>37.113292987640669</v>
      </c>
      <c r="FB24" s="36">
        <f t="shared" ca="1" si="48"/>
        <v>37.188144406848537</v>
      </c>
      <c r="FC24" s="36">
        <f t="shared" ca="1" si="48"/>
        <v>37.112931831458994</v>
      </c>
      <c r="FD24" s="36">
        <f t="shared" ca="1" si="48"/>
        <v>37.750097891264225</v>
      </c>
      <c r="FE24" s="36">
        <f t="shared" ca="1" si="48"/>
        <v>38.534689518547673</v>
      </c>
      <c r="FF24" s="36">
        <f t="shared" ca="1" si="48"/>
        <v>38.628476987516343</v>
      </c>
      <c r="FG24" s="36">
        <f t="shared" ca="1" si="48"/>
        <v>38.333537678051648</v>
      </c>
      <c r="FH24" s="36">
        <f t="shared" ca="1" si="48"/>
        <v>38.483861422484807</v>
      </c>
      <c r="FI24" s="36">
        <f t="shared" ca="1" si="48"/>
        <v>37.212923599341664</v>
      </c>
      <c r="FJ24" s="36">
        <f t="shared" ca="1" si="48"/>
        <v>37.334216631373494</v>
      </c>
      <c r="FK24" s="36">
        <f t="shared" ca="1" si="48"/>
        <v>36.861816517456262</v>
      </c>
      <c r="FL24" s="36">
        <f t="shared" ca="1" si="48"/>
        <v>37.023405915106999</v>
      </c>
      <c r="FM24" s="36">
        <f t="shared" ca="1" si="48"/>
        <v>37.313498394532679</v>
      </c>
      <c r="FN24" s="36">
        <f t="shared" ca="1" si="48"/>
        <v>38.037933312597431</v>
      </c>
      <c r="FO24" s="36">
        <f t="shared" ca="1" si="48"/>
        <v>38.100434942680479</v>
      </c>
      <c r="FP24" s="36">
        <f t="shared" ca="1" si="48"/>
        <v>38.868440189704259</v>
      </c>
      <c r="FQ24" s="36">
        <f t="shared" ca="1" si="48"/>
        <v>39.167259385120374</v>
      </c>
      <c r="FR24" s="36">
        <f t="shared" ca="1" si="48"/>
        <v>39.069782244038578</v>
      </c>
      <c r="FS24" s="36">
        <f t="shared" ca="1" si="48"/>
        <v>38.460263674844846</v>
      </c>
      <c r="FT24" s="36">
        <f t="shared" ca="1" si="48"/>
        <v>39.434040224176016</v>
      </c>
      <c r="FU24" s="36">
        <f t="shared" ca="1" si="48"/>
        <v>39.421914151025646</v>
      </c>
      <c r="FV24" s="36">
        <f t="shared" ca="1" si="48"/>
        <v>38.781080466311465</v>
      </c>
      <c r="FW24" s="36">
        <f t="shared" ca="1" si="48"/>
        <v>39.104962763752141</v>
      </c>
      <c r="FX24" s="36">
        <f t="shared" ca="1" si="48"/>
        <v>39.291016682098373</v>
      </c>
      <c r="FY24" s="36">
        <f t="shared" ca="1" si="48"/>
        <v>39.444927315566609</v>
      </c>
      <c r="FZ24" s="36">
        <f t="shared" ca="1" si="48"/>
        <v>39.803452388219377</v>
      </c>
      <c r="GA24" s="36">
        <f t="shared" ca="1" si="48"/>
        <v>39.868752631898808</v>
      </c>
      <c r="GB24" s="36">
        <f t="shared" ca="1" si="48"/>
        <v>39.96630347846952</v>
      </c>
      <c r="GC24" s="36">
        <f t="shared" ca="1" si="48"/>
        <v>41.127250631009417</v>
      </c>
      <c r="GD24" s="36">
        <f t="shared" ca="1" si="48"/>
        <v>41.829502215575388</v>
      </c>
      <c r="GE24" s="36">
        <f t="shared" ca="1" si="48"/>
        <v>42.221867557730796</v>
      </c>
      <c r="GF24" s="36">
        <f t="shared" ca="1" si="48"/>
        <v>42.741975816566942</v>
      </c>
      <c r="GG24" s="36">
        <f t="shared" ca="1" si="48"/>
        <v>43.420219666219545</v>
      </c>
      <c r="GH24" s="36">
        <f t="shared" ca="1" si="48"/>
        <v>43.727403031469741</v>
      </c>
      <c r="GI24" s="36">
        <f t="shared" ca="1" si="48"/>
        <v>43.957051326418657</v>
      </c>
      <c r="GJ24" s="36">
        <f t="shared" ca="1" si="48"/>
        <v>43.411085792615431</v>
      </c>
      <c r="GK24" s="36">
        <f t="shared" ca="1" si="48"/>
        <v>44.274538460646149</v>
      </c>
      <c r="GL24" s="36">
        <f t="shared" ca="1" si="48"/>
        <v>44.661955594845288</v>
      </c>
      <c r="GM24" s="36">
        <f t="shared" ca="1" si="48"/>
        <v>43.882722385261808</v>
      </c>
      <c r="GN24" s="36">
        <f t="shared" ca="1" si="48"/>
        <v>43.239273442820775</v>
      </c>
      <c r="GO24" s="36">
        <f t="shared" ca="1" si="48"/>
        <v>43.073128169828038</v>
      </c>
      <c r="GP24" s="36">
        <f t="shared" ca="1" si="48"/>
        <v>42.538864942039027</v>
      </c>
      <c r="GQ24" s="36">
        <f t="shared" ca="1" si="48"/>
        <v>41.62933381590436</v>
      </c>
      <c r="GR24" s="36">
        <f t="shared" ca="1" si="48"/>
        <v>41.40578303245438</v>
      </c>
      <c r="GS24" s="36">
        <f t="shared" ca="1" si="48"/>
        <v>40.998046630068835</v>
      </c>
      <c r="GT24" s="36">
        <f t="shared" ca="1" si="48"/>
        <v>40.488216901674363</v>
      </c>
      <c r="GU24" s="36">
        <f t="shared" ca="1" si="48"/>
        <v>40.200177125321872</v>
      </c>
      <c r="GV24" s="36">
        <f t="shared" ca="1" si="48"/>
        <v>40.769451240172835</v>
      </c>
      <c r="GW24" s="36">
        <f t="shared" ca="1" si="48"/>
        <v>39.447765351154281</v>
      </c>
      <c r="GX24" s="36">
        <f t="shared" ca="1" si="48"/>
        <v>39.986596509637288</v>
      </c>
      <c r="GY24" s="36">
        <f t="shared" ca="1" si="48"/>
        <v>40.95425052352283</v>
      </c>
      <c r="GZ24" s="36">
        <f t="shared" ca="1" si="48"/>
        <v>40.543859672131909</v>
      </c>
      <c r="HA24" s="36">
        <f t="shared" ca="1" si="48"/>
        <v>40.394575835696209</v>
      </c>
      <c r="HB24" s="36">
        <f t="shared" ca="1" si="48"/>
        <v>40.393075580144725</v>
      </c>
      <c r="HC24" s="36">
        <f t="shared" ca="1" si="48"/>
        <v>40.428582701015962</v>
      </c>
      <c r="HD24" s="36">
        <f t="shared" ca="1" si="48"/>
        <v>40.020286971972958</v>
      </c>
      <c r="HE24" s="36">
        <f t="shared" ca="1" si="48"/>
        <v>39.111700195200399</v>
      </c>
      <c r="HF24" s="36">
        <f t="shared" ca="1" si="48"/>
        <v>39.411815210236867</v>
      </c>
      <c r="HG24" s="36">
        <f t="shared" ca="1" si="48"/>
        <v>39.457325709396081</v>
      </c>
      <c r="HH24" s="36">
        <f t="shared" ca="1" si="48"/>
        <v>39.282578243288718</v>
      </c>
      <c r="HI24" s="36">
        <f t="shared" ca="1" si="46"/>
        <v>39.078272988818</v>
      </c>
      <c r="HJ24" s="36">
        <f t="shared" ca="1" si="46"/>
        <v>39.175548176593125</v>
      </c>
      <c r="HK24" s="36">
        <f t="shared" ca="1" si="46"/>
        <v>38.86223069671378</v>
      </c>
      <c r="HL24" s="36">
        <f t="shared" ref="HL24:HT24" ca="1" si="51">HK24*EXP(($B$3-$B$4^2/2)*1+$B$4*_xlfn.NORM.S.INV(RAND()))</f>
        <v>39.350630619408349</v>
      </c>
      <c r="HM24" s="36">
        <f t="shared" ca="1" si="51"/>
        <v>39.577934425606493</v>
      </c>
      <c r="HN24" s="36">
        <f t="shared" ca="1" si="51"/>
        <v>38.790909968779957</v>
      </c>
      <c r="HO24" s="36">
        <f t="shared" ca="1" si="51"/>
        <v>38.813102355469475</v>
      </c>
      <c r="HP24" s="36">
        <f t="shared" ca="1" si="51"/>
        <v>38.620182735911058</v>
      </c>
      <c r="HQ24" s="36">
        <f t="shared" ca="1" si="51"/>
        <v>38.917472401623428</v>
      </c>
      <c r="HR24" s="36">
        <f t="shared" ca="1" si="51"/>
        <v>39.515721177844746</v>
      </c>
      <c r="HS24" s="36">
        <f t="shared" ca="1" si="51"/>
        <v>39.476181062952861</v>
      </c>
      <c r="HT24" s="36">
        <f t="shared" ca="1" si="51"/>
        <v>39.064080390429567</v>
      </c>
      <c r="HU24" s="36">
        <f t="shared" ca="1" si="12"/>
        <v>39.192036464554285</v>
      </c>
      <c r="HV24" s="36">
        <f t="shared" ca="1" si="12"/>
        <v>39.57232754739843</v>
      </c>
      <c r="HW24" s="36">
        <f t="shared" ca="1" si="12"/>
        <v>40.387765543038547</v>
      </c>
      <c r="HX24" s="36">
        <f t="shared" ca="1" si="12"/>
        <v>40.594378786391296</v>
      </c>
      <c r="HY24" s="36">
        <f t="shared" ca="1" si="12"/>
        <v>41.044498165768189</v>
      </c>
      <c r="HZ24" s="36">
        <f t="shared" ca="1" si="23"/>
        <v>41.178061986047787</v>
      </c>
      <c r="IA24" s="36">
        <f t="shared" ca="1" si="23"/>
        <v>40.936970993665831</v>
      </c>
      <c r="IB24" s="36">
        <f t="shared" ca="1" si="23"/>
        <v>40.396438701504941</v>
      </c>
      <c r="IC24" s="36">
        <f t="shared" ca="1" si="23"/>
        <v>40.817591092110398</v>
      </c>
      <c r="ID24" s="36">
        <f t="shared" ca="1" si="23"/>
        <v>41.217113184219123</v>
      </c>
      <c r="IE24" s="36">
        <f t="shared" ca="1" si="23"/>
        <v>40.940942208325595</v>
      </c>
      <c r="IF24" s="36">
        <f t="shared" ca="1" si="23"/>
        <v>41.670925041387981</v>
      </c>
      <c r="IG24" s="36">
        <f t="shared" ca="1" si="23"/>
        <v>41.855283974538445</v>
      </c>
      <c r="IH24" s="36">
        <f t="shared" ca="1" si="23"/>
        <v>41.32165772347512</v>
      </c>
      <c r="II24" s="36">
        <f t="shared" ca="1" si="23"/>
        <v>41.423613089142535</v>
      </c>
      <c r="IJ24" s="36">
        <f t="shared" ca="1" si="23"/>
        <v>42.285583538594729</v>
      </c>
      <c r="IK24" s="36">
        <f t="shared" ca="1" si="23"/>
        <v>42.909721589510283</v>
      </c>
      <c r="IL24" s="36">
        <f t="shared" ca="1" si="23"/>
        <v>42.896109060255959</v>
      </c>
      <c r="IM24" s="36">
        <f t="shared" ref="HU24:IU34" ca="1" si="52">IL24*EXP(($B$3-$B$4^2/2)*1+$B$4*_xlfn.NORM.S.INV(RAND()))</f>
        <v>43.57164821561819</v>
      </c>
      <c r="IN24" s="36">
        <f t="shared" ca="1" si="52"/>
        <v>43.545977949760967</v>
      </c>
      <c r="IO24" s="36">
        <f t="shared" ca="1" si="52"/>
        <v>43.418220754011585</v>
      </c>
      <c r="IP24" s="36">
        <f t="shared" ca="1" si="52"/>
        <v>42.978257245117447</v>
      </c>
      <c r="IQ24" s="36">
        <f t="shared" ca="1" si="52"/>
        <v>42.580345055467824</v>
      </c>
      <c r="IR24" s="36">
        <f t="shared" ca="1" si="52"/>
        <v>42.365158555438271</v>
      </c>
      <c r="IS24" s="36">
        <f t="shared" ca="1" si="52"/>
        <v>43.647796878199784</v>
      </c>
      <c r="IT24" s="36">
        <f t="shared" ca="1" si="52"/>
        <v>43.502841393409597</v>
      </c>
      <c r="IU24" s="36">
        <f t="shared" ca="1" si="52"/>
        <v>44.334416271899698</v>
      </c>
    </row>
    <row r="25" spans="1:255" x14ac:dyDescent="0.2">
      <c r="A25" s="36"/>
      <c r="B25">
        <v>15</v>
      </c>
      <c r="C25" s="36">
        <v>50</v>
      </c>
      <c r="D25" s="36">
        <f t="shared" ca="1" si="14"/>
        <v>50.994940023510615</v>
      </c>
      <c r="E25" s="36">
        <f t="shared" ca="1" si="14"/>
        <v>50.927982110102342</v>
      </c>
      <c r="F25" s="36">
        <f t="shared" ca="1" si="44"/>
        <v>50.706918161961404</v>
      </c>
      <c r="G25" s="36">
        <f t="shared" ca="1" si="44"/>
        <v>50.12577570880643</v>
      </c>
      <c r="H25" s="36">
        <f t="shared" ca="1" si="44"/>
        <v>49.614431170570924</v>
      </c>
      <c r="I25" s="36">
        <f t="shared" ca="1" si="44"/>
        <v>49.237836710885254</v>
      </c>
      <c r="J25" s="36">
        <f t="shared" ca="1" si="44"/>
        <v>48.875777072633511</v>
      </c>
      <c r="K25" s="36">
        <f t="shared" ca="1" si="44"/>
        <v>48.599281297215882</v>
      </c>
      <c r="L25" s="36">
        <f t="shared" ca="1" si="44"/>
        <v>48.325583932670931</v>
      </c>
      <c r="M25" s="36">
        <f t="shared" ca="1" si="44"/>
        <v>48.263696196751916</v>
      </c>
      <c r="N25" s="36">
        <f t="shared" ca="1" si="44"/>
        <v>48.449792424265283</v>
      </c>
      <c r="O25" s="36">
        <f t="shared" ca="1" si="44"/>
        <v>48.824245901912427</v>
      </c>
      <c r="P25" s="36">
        <f t="shared" ca="1" si="44"/>
        <v>48.831511004437139</v>
      </c>
      <c r="Q25" s="36">
        <f t="shared" ca="1" si="44"/>
        <v>47.849016818647527</v>
      </c>
      <c r="R25" s="36">
        <f t="shared" ca="1" si="44"/>
        <v>47.818284305605523</v>
      </c>
      <c r="S25" s="36">
        <f t="shared" ca="1" si="44"/>
        <v>47.532540193137038</v>
      </c>
      <c r="T25" s="36">
        <f t="shared" ca="1" si="44"/>
        <v>47.262489251328475</v>
      </c>
      <c r="U25" s="36">
        <f t="shared" ca="1" si="44"/>
        <v>47.604372598119781</v>
      </c>
      <c r="V25" s="36">
        <f t="shared" ca="1" si="44"/>
        <v>47.567477801674343</v>
      </c>
      <c r="W25" s="36">
        <f t="shared" ca="1" si="44"/>
        <v>47.500404270515148</v>
      </c>
      <c r="X25" s="36">
        <f t="shared" ca="1" si="44"/>
        <v>47.281137736368422</v>
      </c>
      <c r="Y25" s="36">
        <f t="shared" ca="1" si="44"/>
        <v>46.778125995765876</v>
      </c>
      <c r="Z25" s="36">
        <f t="shared" ca="1" si="44"/>
        <v>46.235243256034074</v>
      </c>
      <c r="AA25" s="36">
        <f t="shared" ca="1" si="44"/>
        <v>46.127684010215908</v>
      </c>
      <c r="AB25" s="36">
        <f t="shared" ca="1" si="44"/>
        <v>45.620579608294818</v>
      </c>
      <c r="AC25" s="36">
        <f t="shared" ca="1" si="44"/>
        <v>45.614822877696128</v>
      </c>
      <c r="AD25" s="36">
        <f t="shared" ca="1" si="44"/>
        <v>45.745289445819409</v>
      </c>
      <c r="AE25" s="36">
        <f t="shared" ca="1" si="44"/>
        <v>45.90542750741011</v>
      </c>
      <c r="AF25" s="36">
        <f t="shared" ca="1" si="44"/>
        <v>46.177077666623752</v>
      </c>
      <c r="AG25" s="36">
        <f t="shared" ca="1" si="44"/>
        <v>46.08982138248971</v>
      </c>
      <c r="AH25" s="36">
        <f t="shared" ca="1" si="44"/>
        <v>45.443103611241753</v>
      </c>
      <c r="AI25" s="36">
        <f t="shared" ca="1" si="44"/>
        <v>46.009403049116685</v>
      </c>
      <c r="AJ25" s="36">
        <f t="shared" ca="1" si="44"/>
        <v>46.154917957327804</v>
      </c>
      <c r="AK25" s="36">
        <f t="shared" ca="1" si="44"/>
        <v>46.679021150790334</v>
      </c>
      <c r="AL25" s="36">
        <f t="shared" ca="1" si="44"/>
        <v>46.890131133890627</v>
      </c>
      <c r="AM25" s="36">
        <f t="shared" ca="1" si="44"/>
        <v>45.79934296658049</v>
      </c>
      <c r="AN25" s="36">
        <f t="shared" ca="1" si="44"/>
        <v>46.122636541678844</v>
      </c>
      <c r="AO25" s="36">
        <f t="shared" ca="1" si="44"/>
        <v>45.892297174963154</v>
      </c>
      <c r="AP25" s="36">
        <f t="shared" ca="1" si="44"/>
        <v>46.447658235341422</v>
      </c>
      <c r="AQ25" s="36">
        <f t="shared" ca="1" si="44"/>
        <v>45.800377087161316</v>
      </c>
      <c r="AR25" s="36">
        <f t="shared" ca="1" si="44"/>
        <v>45.659441000846726</v>
      </c>
      <c r="AS25" s="36">
        <f t="shared" ca="1" si="44"/>
        <v>45.492205753557236</v>
      </c>
      <c r="AT25" s="36">
        <f t="shared" ca="1" si="44"/>
        <v>45.496152434306822</v>
      </c>
      <c r="AU25" s="36">
        <f t="shared" ca="1" si="44"/>
        <v>45.47841255900093</v>
      </c>
      <c r="AV25" s="36">
        <f t="shared" ca="1" si="44"/>
        <v>45.838997821076973</v>
      </c>
      <c r="AW25" s="36">
        <f t="shared" ca="1" si="44"/>
        <v>46.127385811443716</v>
      </c>
      <c r="AX25" s="36">
        <f t="shared" ca="1" si="44"/>
        <v>45.973053187657861</v>
      </c>
      <c r="AY25" s="36">
        <f t="shared" ca="1" si="44"/>
        <v>45.972949349667118</v>
      </c>
      <c r="AZ25" s="36">
        <f t="shared" ca="1" si="44"/>
        <v>46.218875684826997</v>
      </c>
      <c r="BA25" s="36">
        <f t="shared" ca="1" si="44"/>
        <v>45.76314064874191</v>
      </c>
      <c r="BB25" s="36">
        <f t="shared" ca="1" si="44"/>
        <v>46.405468337533335</v>
      </c>
      <c r="BC25" s="36">
        <f t="shared" ca="1" si="44"/>
        <v>45.712442273752103</v>
      </c>
      <c r="BD25" s="36">
        <f t="shared" ca="1" si="44"/>
        <v>45.762042967483339</v>
      </c>
      <c r="BE25" s="36">
        <f t="shared" ca="1" si="44"/>
        <v>46.484938841407732</v>
      </c>
      <c r="BF25" s="36">
        <f t="shared" ca="1" si="44"/>
        <v>47.253732624976394</v>
      </c>
      <c r="BG25" s="36">
        <f t="shared" ca="1" si="44"/>
        <v>47.014826280313294</v>
      </c>
      <c r="BH25" s="36">
        <f t="shared" ca="1" si="44"/>
        <v>46.354880180505312</v>
      </c>
      <c r="BI25" s="36">
        <f t="shared" ca="1" si="44"/>
        <v>46.295787936088757</v>
      </c>
      <c r="BJ25" s="36">
        <f t="shared" ca="1" si="44"/>
        <v>45.783204742459347</v>
      </c>
      <c r="BK25" s="36">
        <f t="shared" ca="1" si="44"/>
        <v>45.823622172796064</v>
      </c>
      <c r="BL25" s="36">
        <f t="shared" ca="1" si="44"/>
        <v>46.10003075678808</v>
      </c>
      <c r="BM25" s="36">
        <f t="shared" ca="1" si="44"/>
        <v>46.653091661757003</v>
      </c>
      <c r="BN25" s="36">
        <f t="shared" ca="1" si="44"/>
        <v>46.507741718127654</v>
      </c>
      <c r="BO25" s="36">
        <f t="shared" ca="1" si="44"/>
        <v>46.687137191002634</v>
      </c>
      <c r="BP25" s="36">
        <f t="shared" ca="1" si="44"/>
        <v>45.641396321453932</v>
      </c>
      <c r="BQ25" s="36">
        <f t="shared" ref="BQ25:EB28" ca="1" si="53">BP25*EXP(($B$3-$B$4^2/2)*1+$B$4*_xlfn.NORM.S.INV(RAND()))</f>
        <v>45.457036097515974</v>
      </c>
      <c r="BR25" s="36">
        <f t="shared" ca="1" si="53"/>
        <v>44.772295877548856</v>
      </c>
      <c r="BS25" s="36">
        <f t="shared" ca="1" si="53"/>
        <v>45.223230647122399</v>
      </c>
      <c r="BT25" s="36">
        <f t="shared" ca="1" si="53"/>
        <v>45.493648059643419</v>
      </c>
      <c r="BU25" s="36">
        <f t="shared" ca="1" si="53"/>
        <v>45.128354305115153</v>
      </c>
      <c r="BV25" s="36">
        <f t="shared" ca="1" si="53"/>
        <v>45.107030334771039</v>
      </c>
      <c r="BW25" s="36">
        <f t="shared" ca="1" si="53"/>
        <v>45.121915266178533</v>
      </c>
      <c r="BX25" s="36">
        <f t="shared" ca="1" si="53"/>
        <v>44.735090879247032</v>
      </c>
      <c r="BY25" s="36">
        <f t="shared" ca="1" si="53"/>
        <v>44.709162619037855</v>
      </c>
      <c r="BZ25" s="36">
        <f t="shared" ca="1" si="53"/>
        <v>44.147575000998259</v>
      </c>
      <c r="CA25" s="36">
        <f t="shared" ca="1" si="53"/>
        <v>44.265063238320174</v>
      </c>
      <c r="CB25" s="36">
        <f t="shared" ca="1" si="53"/>
        <v>44.8560813605962</v>
      </c>
      <c r="CC25" s="36">
        <f t="shared" ca="1" si="53"/>
        <v>44.622906346290648</v>
      </c>
      <c r="CD25" s="36">
        <f t="shared" ca="1" si="53"/>
        <v>45.066878543724869</v>
      </c>
      <c r="CE25" s="36">
        <f t="shared" ca="1" si="53"/>
        <v>45.633025856524633</v>
      </c>
      <c r="CF25" s="36">
        <f t="shared" ca="1" si="53"/>
        <v>46.990480418081738</v>
      </c>
      <c r="CG25" s="36">
        <f t="shared" ca="1" si="53"/>
        <v>46.295042628347929</v>
      </c>
      <c r="CH25" s="36">
        <f t="shared" ca="1" si="53"/>
        <v>46.083825871182555</v>
      </c>
      <c r="CI25" s="36">
        <f t="shared" ca="1" si="53"/>
        <v>47.47084126344042</v>
      </c>
      <c r="CJ25" s="36">
        <f t="shared" ca="1" si="53"/>
        <v>46.470215349750724</v>
      </c>
      <c r="CK25" s="36">
        <f t="shared" ca="1" si="53"/>
        <v>46.230474793759377</v>
      </c>
      <c r="CL25" s="36">
        <f t="shared" ca="1" si="53"/>
        <v>46.960083329916408</v>
      </c>
      <c r="CM25" s="36">
        <f t="shared" ca="1" si="53"/>
        <v>47.030132974014982</v>
      </c>
      <c r="CN25" s="36">
        <f t="shared" ca="1" si="53"/>
        <v>45.963441703703644</v>
      </c>
      <c r="CO25" s="36">
        <f t="shared" ca="1" si="53"/>
        <v>45.935448878739344</v>
      </c>
      <c r="CP25" s="36">
        <f t="shared" ca="1" si="53"/>
        <v>46.796237432182657</v>
      </c>
      <c r="CQ25" s="36">
        <f t="shared" ca="1" si="53"/>
        <v>46.618625888202232</v>
      </c>
      <c r="CR25" s="36">
        <f t="shared" ca="1" si="53"/>
        <v>46.481638123418101</v>
      </c>
      <c r="CS25" s="36">
        <f t="shared" ca="1" si="53"/>
        <v>47.128820288627907</v>
      </c>
      <c r="CT25" s="36">
        <f t="shared" ca="1" si="53"/>
        <v>47.537517936602192</v>
      </c>
      <c r="CU25" s="36">
        <f t="shared" ca="1" si="53"/>
        <v>47.121190179101852</v>
      </c>
      <c r="CV25" s="36">
        <f t="shared" ca="1" si="53"/>
        <v>46.517869234604575</v>
      </c>
      <c r="CW25" s="36">
        <f t="shared" ca="1" si="53"/>
        <v>46.826898055569231</v>
      </c>
      <c r="CX25" s="36">
        <f t="shared" ca="1" si="53"/>
        <v>47.587358853786824</v>
      </c>
      <c r="CY25" s="36">
        <f t="shared" ca="1" si="53"/>
        <v>47.818436810451253</v>
      </c>
      <c r="CZ25" s="36">
        <f t="shared" ca="1" si="53"/>
        <v>47.476096483884923</v>
      </c>
      <c r="DA25" s="36">
        <f t="shared" ca="1" si="53"/>
        <v>46.863807622077658</v>
      </c>
      <c r="DB25" s="36">
        <f t="shared" ca="1" si="53"/>
        <v>46.464709475097656</v>
      </c>
      <c r="DC25" s="36">
        <f t="shared" ca="1" si="53"/>
        <v>46.593451812749471</v>
      </c>
      <c r="DD25" s="36">
        <f t="shared" ca="1" si="53"/>
        <v>45.431439484106235</v>
      </c>
      <c r="DE25" s="36">
        <f t="shared" ca="1" si="53"/>
        <v>44.836591928046431</v>
      </c>
      <c r="DF25" s="36">
        <f t="shared" ca="1" si="53"/>
        <v>44.489074914855152</v>
      </c>
      <c r="DG25" s="36">
        <f t="shared" ca="1" si="53"/>
        <v>44.704781024151366</v>
      </c>
      <c r="DH25" s="36">
        <f t="shared" ca="1" si="53"/>
        <v>44.043653948515043</v>
      </c>
      <c r="DI25" s="36">
        <f t="shared" ca="1" si="53"/>
        <v>43.916798804111401</v>
      </c>
      <c r="DJ25" s="36">
        <f t="shared" ca="1" si="53"/>
        <v>44.932172905731541</v>
      </c>
      <c r="DK25" s="36">
        <f t="shared" ca="1" si="53"/>
        <v>44.68892472225955</v>
      </c>
      <c r="DL25" s="36">
        <f t="shared" ca="1" si="53"/>
        <v>44.100531580874701</v>
      </c>
      <c r="DM25" s="36">
        <f t="shared" ca="1" si="53"/>
        <v>44.097512224741322</v>
      </c>
      <c r="DN25" s="36">
        <f t="shared" ca="1" si="53"/>
        <v>44.772215275425893</v>
      </c>
      <c r="DO25" s="36">
        <f t="shared" ca="1" si="53"/>
        <v>44.5486861723099</v>
      </c>
      <c r="DP25" s="36">
        <f t="shared" ca="1" si="53"/>
        <v>44.00055955225023</v>
      </c>
      <c r="DQ25" s="36">
        <f t="shared" ca="1" si="53"/>
        <v>44.501926161324576</v>
      </c>
      <c r="DR25" s="36">
        <f t="shared" ca="1" si="53"/>
        <v>44.076494535834271</v>
      </c>
      <c r="DS25" s="36">
        <f t="shared" ca="1" si="53"/>
        <v>44.069879829708604</v>
      </c>
      <c r="DT25" s="36">
        <f t="shared" ca="1" si="53"/>
        <v>44.512989055292962</v>
      </c>
      <c r="DU25" s="36">
        <f t="shared" ca="1" si="53"/>
        <v>44.260984982032319</v>
      </c>
      <c r="DV25" s="36">
        <f t="shared" ca="1" si="53"/>
        <v>43.851834679554379</v>
      </c>
      <c r="DW25" s="36">
        <f t="shared" ca="1" si="53"/>
        <v>43.510154546870943</v>
      </c>
      <c r="DX25" s="36">
        <f t="shared" ca="1" si="53"/>
        <v>43.502667156304206</v>
      </c>
      <c r="DY25" s="36">
        <f t="shared" ca="1" si="53"/>
        <v>43.426684005637739</v>
      </c>
      <c r="DZ25" s="36">
        <f t="shared" ca="1" si="53"/>
        <v>44.440473868661456</v>
      </c>
      <c r="EA25" s="36">
        <f t="shared" ca="1" si="53"/>
        <v>44.881690110953869</v>
      </c>
      <c r="EB25" s="36">
        <f t="shared" ca="1" si="53"/>
        <v>44.002671733714145</v>
      </c>
      <c r="EC25" s="36">
        <f t="shared" ca="1" si="28"/>
        <v>45.01063271322348</v>
      </c>
      <c r="ED25" s="36">
        <f t="shared" ca="1" si="26"/>
        <v>45.681717980435096</v>
      </c>
      <c r="EE25" s="36">
        <f t="shared" ca="1" si="26"/>
        <v>45.039125006542399</v>
      </c>
      <c r="EF25" s="36">
        <f t="shared" ca="1" si="26"/>
        <v>44.869033539159929</v>
      </c>
      <c r="EG25" s="36">
        <f t="shared" ca="1" si="26"/>
        <v>44.272194981892483</v>
      </c>
      <c r="EH25" s="36">
        <f t="shared" ca="1" si="26"/>
        <v>43.936559587989883</v>
      </c>
      <c r="EI25" s="36">
        <f t="shared" ca="1" si="26"/>
        <v>44.394495051435257</v>
      </c>
      <c r="EJ25" s="36">
        <f t="shared" ca="1" si="26"/>
        <v>44.887193505709647</v>
      </c>
      <c r="EK25" s="36">
        <f t="shared" ca="1" si="26"/>
        <v>44.195244452711343</v>
      </c>
      <c r="EL25" s="36">
        <f t="shared" ca="1" si="26"/>
        <v>44.651226399381613</v>
      </c>
      <c r="EM25" s="36">
        <f t="shared" ca="1" si="26"/>
        <v>44.019776632303099</v>
      </c>
      <c r="EN25" s="36">
        <f t="shared" ca="1" si="26"/>
        <v>43.966225693762631</v>
      </c>
      <c r="EO25" s="36">
        <f t="shared" ca="1" si="26"/>
        <v>43.202901263368339</v>
      </c>
      <c r="EP25" s="36">
        <f t="shared" ca="1" si="26"/>
        <v>42.915749451028667</v>
      </c>
      <c r="EQ25" s="36">
        <f t="shared" ca="1" si="26"/>
        <v>42.264439529626422</v>
      </c>
      <c r="ER25" s="36">
        <f t="shared" ca="1" si="26"/>
        <v>42.673358230335644</v>
      </c>
      <c r="ES25" s="36">
        <f t="shared" ca="1" si="26"/>
        <v>42.885838485004129</v>
      </c>
      <c r="ET25" s="36">
        <f t="shared" ca="1" si="26"/>
        <v>41.827755075259809</v>
      </c>
      <c r="EU25" s="36">
        <f t="shared" ca="1" si="26"/>
        <v>41.72403514460305</v>
      </c>
      <c r="EV25" s="36">
        <f t="shared" ca="1" si="26"/>
        <v>41.474134599404039</v>
      </c>
      <c r="EW25" s="36">
        <f t="shared" ref="EW25" ca="1" si="54">EV25*EXP(($B$3-$B$4^2/2)*1+$B$4*_xlfn.NORM.S.INV(RAND()))</f>
        <v>41.409312241331797</v>
      </c>
      <c r="EX25" s="36">
        <f t="shared" ca="1" si="48"/>
        <v>41.773670974936906</v>
      </c>
      <c r="EY25" s="36">
        <f t="shared" ca="1" si="48"/>
        <v>42.205154854607471</v>
      </c>
      <c r="EZ25" s="36">
        <f t="shared" ca="1" si="48"/>
        <v>43.671022684200963</v>
      </c>
      <c r="FA25" s="36">
        <f t="shared" ca="1" si="48"/>
        <v>44.166044012689923</v>
      </c>
      <c r="FB25" s="36">
        <f t="shared" ca="1" si="48"/>
        <v>44.101524512017292</v>
      </c>
      <c r="FC25" s="36">
        <f t="shared" ca="1" si="48"/>
        <v>43.441947033182217</v>
      </c>
      <c r="FD25" s="36">
        <f t="shared" ca="1" si="48"/>
        <v>42.67874667045966</v>
      </c>
      <c r="FE25" s="36">
        <f t="shared" ca="1" si="48"/>
        <v>43.320881154031511</v>
      </c>
      <c r="FF25" s="36">
        <f t="shared" ca="1" si="48"/>
        <v>44.187677803862357</v>
      </c>
      <c r="FG25" s="36">
        <f t="shared" ca="1" si="48"/>
        <v>43.462757809243044</v>
      </c>
      <c r="FH25" s="36">
        <f t="shared" ca="1" si="48"/>
        <v>44.287079470243263</v>
      </c>
      <c r="FI25" s="36">
        <f t="shared" ca="1" si="48"/>
        <v>45.323500300003396</v>
      </c>
      <c r="FJ25" s="36">
        <f t="shared" ca="1" si="48"/>
        <v>45.992405400413418</v>
      </c>
      <c r="FK25" s="36">
        <f t="shared" ca="1" si="48"/>
        <v>45.782010232848108</v>
      </c>
      <c r="FL25" s="36">
        <f t="shared" ca="1" si="48"/>
        <v>45.718542357844811</v>
      </c>
      <c r="FM25" s="36">
        <f t="shared" ca="1" si="48"/>
        <v>45.561745141552116</v>
      </c>
      <c r="FN25" s="36">
        <f t="shared" ca="1" si="48"/>
        <v>45.598716931021258</v>
      </c>
      <c r="FO25" s="36">
        <f t="shared" ca="1" si="48"/>
        <v>46.688763253858461</v>
      </c>
      <c r="FP25" s="36">
        <f t="shared" ca="1" si="48"/>
        <v>47.464839771282456</v>
      </c>
      <c r="FQ25" s="36">
        <f t="shared" ca="1" si="48"/>
        <v>48.270314963607056</v>
      </c>
      <c r="FR25" s="36">
        <f t="shared" ca="1" si="48"/>
        <v>49.085505034561599</v>
      </c>
      <c r="FS25" s="36">
        <f t="shared" ca="1" si="48"/>
        <v>48.511007371301176</v>
      </c>
      <c r="FT25" s="36">
        <f t="shared" ca="1" si="48"/>
        <v>48.368707187606596</v>
      </c>
      <c r="FU25" s="36">
        <f t="shared" ca="1" si="48"/>
        <v>48.163688625310392</v>
      </c>
      <c r="FV25" s="36">
        <f t="shared" ca="1" si="48"/>
        <v>48.237289054050564</v>
      </c>
      <c r="FW25" s="36">
        <f t="shared" ca="1" si="48"/>
        <v>47.336591079564336</v>
      </c>
      <c r="FX25" s="36">
        <f t="shared" ca="1" si="48"/>
        <v>47.03979012612551</v>
      </c>
      <c r="FY25" s="36">
        <f t="shared" ca="1" si="48"/>
        <v>46.420071780642715</v>
      </c>
      <c r="FZ25" s="36">
        <f t="shared" ca="1" si="48"/>
        <v>47.00122062190119</v>
      </c>
      <c r="GA25" s="36">
        <f t="shared" ca="1" si="48"/>
        <v>47.100559652522264</v>
      </c>
      <c r="GB25" s="36">
        <f t="shared" ca="1" si="48"/>
        <v>47.581226945627925</v>
      </c>
      <c r="GC25" s="36">
        <f t="shared" ca="1" si="48"/>
        <v>48.361776928386618</v>
      </c>
      <c r="GD25" s="36">
        <f t="shared" ca="1" si="48"/>
        <v>48.3301657669655</v>
      </c>
      <c r="GE25" s="36">
        <f t="shared" ca="1" si="48"/>
        <v>48.285253099819712</v>
      </c>
      <c r="GF25" s="36">
        <f t="shared" ca="1" si="48"/>
        <v>48.146608365953576</v>
      </c>
      <c r="GG25" s="36">
        <f t="shared" ca="1" si="48"/>
        <v>48.70855877767292</v>
      </c>
      <c r="GH25" s="36">
        <f t="shared" ca="1" si="48"/>
        <v>48.656478409543354</v>
      </c>
      <c r="GI25" s="36">
        <f t="shared" ca="1" si="48"/>
        <v>48.805682477671375</v>
      </c>
      <c r="GJ25" s="36">
        <f t="shared" ca="1" si="48"/>
        <v>48.327827308629125</v>
      </c>
      <c r="GK25" s="36">
        <f t="shared" ca="1" si="48"/>
        <v>48.783442568202808</v>
      </c>
      <c r="GL25" s="36">
        <f t="shared" ca="1" si="48"/>
        <v>49.016978080213441</v>
      </c>
      <c r="GM25" s="36">
        <f t="shared" ca="1" si="48"/>
        <v>48.705245039157653</v>
      </c>
      <c r="GN25" s="36">
        <f t="shared" ca="1" si="48"/>
        <v>48.888686987603535</v>
      </c>
      <c r="GO25" s="36">
        <f t="shared" ca="1" si="48"/>
        <v>48.846971382518902</v>
      </c>
      <c r="GP25" s="36">
        <f t="shared" ca="1" si="48"/>
        <v>49.775215564243396</v>
      </c>
      <c r="GQ25" s="36">
        <f t="shared" ca="1" si="48"/>
        <v>49.367323339033952</v>
      </c>
      <c r="GR25" s="36">
        <f t="shared" ca="1" si="48"/>
        <v>49.732174247033967</v>
      </c>
      <c r="GS25" s="36">
        <f t="shared" ca="1" si="48"/>
        <v>49.770070631795875</v>
      </c>
      <c r="GT25" s="36">
        <f t="shared" ca="1" si="48"/>
        <v>49.465338095131365</v>
      </c>
      <c r="GU25" s="36">
        <f t="shared" ca="1" si="48"/>
        <v>50.184070807051022</v>
      </c>
      <c r="GV25" s="36">
        <f t="shared" ca="1" si="48"/>
        <v>51.554243820783526</v>
      </c>
      <c r="GW25" s="36">
        <f t="shared" ca="1" si="48"/>
        <v>52.435381243545336</v>
      </c>
      <c r="GX25" s="36">
        <f t="shared" ca="1" si="48"/>
        <v>52.592441697643146</v>
      </c>
      <c r="GY25" s="36">
        <f t="shared" ca="1" si="48"/>
        <v>52.727161428266463</v>
      </c>
      <c r="GZ25" s="36">
        <f t="shared" ca="1" si="48"/>
        <v>53.293140320414153</v>
      </c>
      <c r="HA25" s="36">
        <f t="shared" ca="1" si="48"/>
        <v>54.042406866854485</v>
      </c>
      <c r="HB25" s="36">
        <f t="shared" ca="1" si="48"/>
        <v>54.068235872057571</v>
      </c>
      <c r="HC25" s="36">
        <f t="shared" ca="1" si="48"/>
        <v>54.66565792855247</v>
      </c>
      <c r="HD25" s="36">
        <f t="shared" ca="1" si="48"/>
        <v>54.271091323733131</v>
      </c>
      <c r="HE25" s="36">
        <f t="shared" ca="1" si="48"/>
        <v>53.526775703737513</v>
      </c>
      <c r="HF25" s="36">
        <f t="shared" ca="1" si="48"/>
        <v>54.397518379206829</v>
      </c>
      <c r="HG25" s="36">
        <f t="shared" ca="1" si="48"/>
        <v>53.444326115333986</v>
      </c>
      <c r="HH25" s="36">
        <f t="shared" ca="1" si="48"/>
        <v>52.99273234930812</v>
      </c>
      <c r="HI25" s="36">
        <f t="shared" ref="HI25:HT26" ca="1" si="55">HH25*EXP(($B$3-$B$4^2/2)*1+$B$4*_xlfn.NORM.S.INV(RAND()))</f>
        <v>52.517577146223374</v>
      </c>
      <c r="HJ25" s="36">
        <f t="shared" ca="1" si="55"/>
        <v>52.052736181179135</v>
      </c>
      <c r="HK25" s="36">
        <f t="shared" ca="1" si="55"/>
        <v>52.173139199446943</v>
      </c>
      <c r="HL25" s="36">
        <f t="shared" ca="1" si="55"/>
        <v>52.366509070241598</v>
      </c>
      <c r="HM25" s="36">
        <f t="shared" ca="1" si="55"/>
        <v>53.220739367070863</v>
      </c>
      <c r="HN25" s="36">
        <f t="shared" ca="1" si="55"/>
        <v>52.972165857312135</v>
      </c>
      <c r="HO25" s="36">
        <f t="shared" ca="1" si="55"/>
        <v>52.721558968462453</v>
      </c>
      <c r="HP25" s="36">
        <f t="shared" ca="1" si="55"/>
        <v>54.291177250639002</v>
      </c>
      <c r="HQ25" s="36">
        <f t="shared" ca="1" si="55"/>
        <v>54.771312551315184</v>
      </c>
      <c r="HR25" s="36">
        <f t="shared" ca="1" si="55"/>
        <v>52.696542664526987</v>
      </c>
      <c r="HS25" s="36">
        <f t="shared" ca="1" si="55"/>
        <v>53.237868955815784</v>
      </c>
      <c r="HT25" s="36">
        <f t="shared" ca="1" si="55"/>
        <v>52.803219250417634</v>
      </c>
      <c r="HU25" s="36">
        <f t="shared" ca="1" si="52"/>
        <v>51.11786363570392</v>
      </c>
      <c r="HV25" s="36">
        <f t="shared" ca="1" si="52"/>
        <v>50.997522827370496</v>
      </c>
      <c r="HW25" s="36">
        <f t="shared" ca="1" si="52"/>
        <v>51.629476646489636</v>
      </c>
      <c r="HX25" s="36">
        <f t="shared" ca="1" si="52"/>
        <v>50.749159477720561</v>
      </c>
      <c r="HY25" s="36">
        <f t="shared" ca="1" si="52"/>
        <v>51.301570437248081</v>
      </c>
      <c r="HZ25" s="36">
        <f t="shared" ca="1" si="52"/>
        <v>51.863052163887502</v>
      </c>
      <c r="IA25" s="36">
        <f t="shared" ca="1" si="52"/>
        <v>50.806748067476086</v>
      </c>
      <c r="IB25" s="36">
        <f t="shared" ca="1" si="52"/>
        <v>51.031675512368317</v>
      </c>
      <c r="IC25" s="36">
        <f t="shared" ca="1" si="52"/>
        <v>51.088155632462602</v>
      </c>
      <c r="ID25" s="36">
        <f t="shared" ca="1" si="52"/>
        <v>51.141247414870293</v>
      </c>
      <c r="IE25" s="36">
        <f t="shared" ca="1" si="52"/>
        <v>51.63618316817842</v>
      </c>
      <c r="IF25" s="36">
        <f t="shared" ca="1" si="52"/>
        <v>51.834821038775694</v>
      </c>
      <c r="IG25" s="36">
        <f t="shared" ca="1" si="52"/>
        <v>50.364129677170958</v>
      </c>
      <c r="IH25" s="36">
        <f t="shared" ca="1" si="52"/>
        <v>50.210303371367779</v>
      </c>
      <c r="II25" s="36">
        <f t="shared" ca="1" si="52"/>
        <v>50.69531509994416</v>
      </c>
      <c r="IJ25" s="36">
        <f t="shared" ca="1" si="52"/>
        <v>51.185359966403233</v>
      </c>
      <c r="IK25" s="36">
        <f t="shared" ca="1" si="52"/>
        <v>51.658386067915615</v>
      </c>
      <c r="IL25" s="36">
        <f t="shared" ca="1" si="52"/>
        <v>51.295477124567633</v>
      </c>
      <c r="IM25" s="36">
        <f t="shared" ca="1" si="52"/>
        <v>50.370203417892476</v>
      </c>
      <c r="IN25" s="36">
        <f t="shared" ca="1" si="52"/>
        <v>49.992878438855271</v>
      </c>
      <c r="IO25" s="36">
        <f t="shared" ca="1" si="52"/>
        <v>50.2450645291458</v>
      </c>
      <c r="IP25" s="36">
        <f t="shared" ca="1" si="52"/>
        <v>50.378024543825298</v>
      </c>
      <c r="IQ25" s="36">
        <f t="shared" ca="1" si="52"/>
        <v>50.814281109317086</v>
      </c>
      <c r="IR25" s="36">
        <f t="shared" ca="1" si="52"/>
        <v>51.060711587745949</v>
      </c>
      <c r="IS25" s="36">
        <f t="shared" ca="1" si="52"/>
        <v>50.928495519843622</v>
      </c>
      <c r="IT25" s="36">
        <f t="shared" ca="1" si="52"/>
        <v>50.091170061208317</v>
      </c>
      <c r="IU25" s="36">
        <f t="shared" ca="1" si="52"/>
        <v>49.911007050320961</v>
      </c>
    </row>
    <row r="26" spans="1:255" x14ac:dyDescent="0.2">
      <c r="A26" s="36"/>
      <c r="B26">
        <v>16</v>
      </c>
      <c r="C26" s="36">
        <v>50</v>
      </c>
      <c r="D26" s="36">
        <f t="shared" ca="1" si="14"/>
        <v>49.601111057066241</v>
      </c>
      <c r="E26" s="36">
        <f t="shared" ca="1" si="14"/>
        <v>48.781944923601607</v>
      </c>
      <c r="F26" s="36">
        <f t="shared" ref="F26:BQ29" ca="1" si="56">E26*EXP(($B$3-$B$4^2/2)*1+$B$4*_xlfn.NORM.S.INV(RAND()))</f>
        <v>48.981529178528291</v>
      </c>
      <c r="G26" s="36">
        <f t="shared" ca="1" si="56"/>
        <v>48.88982574009426</v>
      </c>
      <c r="H26" s="36">
        <f t="shared" ca="1" si="56"/>
        <v>48.631746703305517</v>
      </c>
      <c r="I26" s="36">
        <f t="shared" ca="1" si="56"/>
        <v>48.393646467522821</v>
      </c>
      <c r="J26" s="36">
        <f t="shared" ca="1" si="56"/>
        <v>48.233894874785534</v>
      </c>
      <c r="K26" s="36">
        <f t="shared" ca="1" si="56"/>
        <v>48.335495754004349</v>
      </c>
      <c r="L26" s="36">
        <f t="shared" ca="1" si="56"/>
        <v>48.991144240811003</v>
      </c>
      <c r="M26" s="36">
        <f t="shared" ca="1" si="56"/>
        <v>49.040702294841104</v>
      </c>
      <c r="N26" s="36">
        <f t="shared" ca="1" si="56"/>
        <v>49.197483553217907</v>
      </c>
      <c r="O26" s="36">
        <f t="shared" ca="1" si="56"/>
        <v>50.23684697217071</v>
      </c>
      <c r="P26" s="36">
        <f t="shared" ca="1" si="56"/>
        <v>50.877331776301467</v>
      </c>
      <c r="Q26" s="36">
        <f t="shared" ca="1" si="56"/>
        <v>50.175342370476415</v>
      </c>
      <c r="R26" s="36">
        <f t="shared" ca="1" si="56"/>
        <v>49.911095291848319</v>
      </c>
      <c r="S26" s="36">
        <f t="shared" ca="1" si="56"/>
        <v>49.439344821428328</v>
      </c>
      <c r="T26" s="36">
        <f t="shared" ca="1" si="56"/>
        <v>49.697000487769316</v>
      </c>
      <c r="U26" s="36">
        <f t="shared" ca="1" si="56"/>
        <v>49.821214792357239</v>
      </c>
      <c r="V26" s="36">
        <f t="shared" ca="1" si="56"/>
        <v>49.671981761182941</v>
      </c>
      <c r="W26" s="36">
        <f t="shared" ca="1" si="56"/>
        <v>49.84312297511309</v>
      </c>
      <c r="X26" s="36">
        <f t="shared" ca="1" si="56"/>
        <v>49.374107409916526</v>
      </c>
      <c r="Y26" s="36">
        <f t="shared" ca="1" si="56"/>
        <v>49.599879474933005</v>
      </c>
      <c r="Z26" s="36">
        <f t="shared" ca="1" si="56"/>
        <v>49.710522392732756</v>
      </c>
      <c r="AA26" s="36">
        <f t="shared" ca="1" si="56"/>
        <v>49.932657417193894</v>
      </c>
      <c r="AB26" s="36">
        <f t="shared" ca="1" si="56"/>
        <v>50.776129300015164</v>
      </c>
      <c r="AC26" s="36">
        <f t="shared" ca="1" si="56"/>
        <v>50.317071417875255</v>
      </c>
      <c r="AD26" s="36">
        <f t="shared" ca="1" si="56"/>
        <v>49.205056513400585</v>
      </c>
      <c r="AE26" s="36">
        <f t="shared" ca="1" si="56"/>
        <v>49.656415989969588</v>
      </c>
      <c r="AF26" s="36">
        <f t="shared" ca="1" si="56"/>
        <v>48.719302446526775</v>
      </c>
      <c r="AG26" s="36">
        <f t="shared" ca="1" si="56"/>
        <v>47.80612210442105</v>
      </c>
      <c r="AH26" s="36">
        <f t="shared" ca="1" si="56"/>
        <v>48.028293669905324</v>
      </c>
      <c r="AI26" s="36">
        <f t="shared" ca="1" si="56"/>
        <v>48.931481944395955</v>
      </c>
      <c r="AJ26" s="36">
        <f t="shared" ca="1" si="56"/>
        <v>50.680428914211262</v>
      </c>
      <c r="AK26" s="36">
        <f t="shared" ca="1" si="56"/>
        <v>51.233135935189523</v>
      </c>
      <c r="AL26" s="36">
        <f t="shared" ca="1" si="56"/>
        <v>50.331594257713043</v>
      </c>
      <c r="AM26" s="36">
        <f t="shared" ca="1" si="56"/>
        <v>49.330350129313878</v>
      </c>
      <c r="AN26" s="36">
        <f t="shared" ca="1" si="56"/>
        <v>48.833747878801276</v>
      </c>
      <c r="AO26" s="36">
        <f t="shared" ca="1" si="56"/>
        <v>49.110226587674504</v>
      </c>
      <c r="AP26" s="36">
        <f t="shared" ca="1" si="56"/>
        <v>48.716687761455042</v>
      </c>
      <c r="AQ26" s="36">
        <f t="shared" ca="1" si="56"/>
        <v>49.283763872510356</v>
      </c>
      <c r="AR26" s="36">
        <f t="shared" ca="1" si="56"/>
        <v>48.600784262477006</v>
      </c>
      <c r="AS26" s="36">
        <f t="shared" ca="1" si="56"/>
        <v>48.735294993595112</v>
      </c>
      <c r="AT26" s="36">
        <f t="shared" ca="1" si="56"/>
        <v>48.702209015523621</v>
      </c>
      <c r="AU26" s="36">
        <f t="shared" ca="1" si="56"/>
        <v>47.613164109541167</v>
      </c>
      <c r="AV26" s="36">
        <f t="shared" ca="1" si="56"/>
        <v>47.650163732301785</v>
      </c>
      <c r="AW26" s="36">
        <f t="shared" ca="1" si="56"/>
        <v>47.476560062504682</v>
      </c>
      <c r="AX26" s="36">
        <f t="shared" ca="1" si="56"/>
        <v>47.82418087859714</v>
      </c>
      <c r="AY26" s="36">
        <f t="shared" ca="1" si="56"/>
        <v>48.338309315496453</v>
      </c>
      <c r="AZ26" s="36">
        <f t="shared" ca="1" si="56"/>
        <v>48.816561557606875</v>
      </c>
      <c r="BA26" s="36">
        <f t="shared" ca="1" si="56"/>
        <v>48.809340923324307</v>
      </c>
      <c r="BB26" s="36">
        <f t="shared" ca="1" si="56"/>
        <v>47.754040486631617</v>
      </c>
      <c r="BC26" s="36">
        <f t="shared" ca="1" si="56"/>
        <v>47.829478144742403</v>
      </c>
      <c r="BD26" s="36">
        <f t="shared" ca="1" si="56"/>
        <v>47.772714542607574</v>
      </c>
      <c r="BE26" s="36">
        <f t="shared" ca="1" si="56"/>
        <v>48.338826304335129</v>
      </c>
      <c r="BF26" s="36">
        <f t="shared" ca="1" si="56"/>
        <v>48.840543589054221</v>
      </c>
      <c r="BG26" s="36">
        <f t="shared" ca="1" si="56"/>
        <v>48.826583418116471</v>
      </c>
      <c r="BH26" s="36">
        <f t="shared" ca="1" si="56"/>
        <v>49.136725844504504</v>
      </c>
      <c r="BI26" s="36">
        <f t="shared" ca="1" si="56"/>
        <v>48.860923803662558</v>
      </c>
      <c r="BJ26" s="36">
        <f t="shared" ca="1" si="56"/>
        <v>49.366840493918026</v>
      </c>
      <c r="BK26" s="36">
        <f t="shared" ca="1" si="56"/>
        <v>49.683529084260726</v>
      </c>
      <c r="BL26" s="36">
        <f t="shared" ca="1" si="56"/>
        <v>49.553146795600021</v>
      </c>
      <c r="BM26" s="36">
        <f t="shared" ca="1" si="56"/>
        <v>49.704961685906007</v>
      </c>
      <c r="BN26" s="36">
        <f t="shared" ca="1" si="56"/>
        <v>50.770541376277485</v>
      </c>
      <c r="BO26" s="36">
        <f t="shared" ca="1" si="56"/>
        <v>50.11963196332669</v>
      </c>
      <c r="BP26" s="36">
        <f t="shared" ca="1" si="56"/>
        <v>50.404011088748199</v>
      </c>
      <c r="BQ26" s="36">
        <f t="shared" ca="1" si="56"/>
        <v>50.856619272503686</v>
      </c>
      <c r="BR26" s="36">
        <f t="shared" ca="1" si="53"/>
        <v>51.048567084792793</v>
      </c>
      <c r="BS26" s="36">
        <f t="shared" ca="1" si="53"/>
        <v>50.525921762606885</v>
      </c>
      <c r="BT26" s="36">
        <f t="shared" ca="1" si="53"/>
        <v>51.067455199465172</v>
      </c>
      <c r="BU26" s="36">
        <f t="shared" ca="1" si="53"/>
        <v>50.877227436960581</v>
      </c>
      <c r="BV26" s="36">
        <f t="shared" ca="1" si="53"/>
        <v>49.823306314072639</v>
      </c>
      <c r="BW26" s="36">
        <f t="shared" ca="1" si="53"/>
        <v>50.82716655726307</v>
      </c>
      <c r="BX26" s="36">
        <f t="shared" ca="1" si="53"/>
        <v>51.489584995053207</v>
      </c>
      <c r="BY26" s="36">
        <f t="shared" ca="1" si="53"/>
        <v>51.308078627278718</v>
      </c>
      <c r="BZ26" s="36">
        <f t="shared" ca="1" si="53"/>
        <v>51.626767843434237</v>
      </c>
      <c r="CA26" s="36">
        <f t="shared" ca="1" si="53"/>
        <v>51.875936382776814</v>
      </c>
      <c r="CB26" s="36">
        <f t="shared" ca="1" si="53"/>
        <v>52.154087731042047</v>
      </c>
      <c r="CC26" s="36">
        <f t="shared" ca="1" si="53"/>
        <v>52.421646444294502</v>
      </c>
      <c r="CD26" s="36">
        <f t="shared" ca="1" si="53"/>
        <v>52.03474842507125</v>
      </c>
      <c r="CE26" s="36">
        <f t="shared" ca="1" si="53"/>
        <v>51.789968967567567</v>
      </c>
      <c r="CF26" s="36">
        <f t="shared" ca="1" si="53"/>
        <v>51.239918137844811</v>
      </c>
      <c r="CG26" s="36">
        <f t="shared" ca="1" si="53"/>
        <v>50.829970404051089</v>
      </c>
      <c r="CH26" s="36">
        <f t="shared" ca="1" si="53"/>
        <v>51.410382337489885</v>
      </c>
      <c r="CI26" s="36">
        <f t="shared" ca="1" si="53"/>
        <v>51.567934992963437</v>
      </c>
      <c r="CJ26" s="36">
        <f t="shared" ca="1" si="53"/>
        <v>51.600547263560863</v>
      </c>
      <c r="CK26" s="36">
        <f t="shared" ca="1" si="53"/>
        <v>51.41035297290869</v>
      </c>
      <c r="CL26" s="36">
        <f t="shared" ca="1" si="53"/>
        <v>51.297084708933781</v>
      </c>
      <c r="CM26" s="36">
        <f t="shared" ca="1" si="53"/>
        <v>50.860168741672069</v>
      </c>
      <c r="CN26" s="36">
        <f t="shared" ca="1" si="53"/>
        <v>50.950271262463112</v>
      </c>
      <c r="CO26" s="36">
        <f t="shared" ca="1" si="53"/>
        <v>50.87720516088828</v>
      </c>
      <c r="CP26" s="36">
        <f t="shared" ca="1" si="53"/>
        <v>51.451828778119562</v>
      </c>
      <c r="CQ26" s="36">
        <f t="shared" ca="1" si="53"/>
        <v>51.4550650691478</v>
      </c>
      <c r="CR26" s="36">
        <f t="shared" ca="1" si="53"/>
        <v>50.99101761222024</v>
      </c>
      <c r="CS26" s="36">
        <f t="shared" ca="1" si="53"/>
        <v>50.509822736501484</v>
      </c>
      <c r="CT26" s="36">
        <f t="shared" ca="1" si="53"/>
        <v>50.998166946780977</v>
      </c>
      <c r="CU26" s="36">
        <f t="shared" ca="1" si="53"/>
        <v>51.199808504516469</v>
      </c>
      <c r="CV26" s="36">
        <f t="shared" ca="1" si="53"/>
        <v>51.045321558485405</v>
      </c>
      <c r="CW26" s="36">
        <f t="shared" ca="1" si="53"/>
        <v>51.022253629139449</v>
      </c>
      <c r="CX26" s="36">
        <f t="shared" ca="1" si="53"/>
        <v>51.252976787203984</v>
      </c>
      <c r="CY26" s="36">
        <f t="shared" ca="1" si="53"/>
        <v>51.057691193624485</v>
      </c>
      <c r="CZ26" s="36">
        <f t="shared" ca="1" si="53"/>
        <v>50.422456407768728</v>
      </c>
      <c r="DA26" s="36">
        <f t="shared" ca="1" si="53"/>
        <v>50.635683996222561</v>
      </c>
      <c r="DB26" s="36">
        <f t="shared" ca="1" si="53"/>
        <v>49.646231483095882</v>
      </c>
      <c r="DC26" s="36">
        <f t="shared" ca="1" si="53"/>
        <v>49.39660065020562</v>
      </c>
      <c r="DD26" s="36">
        <f t="shared" ca="1" si="53"/>
        <v>48.957346701598681</v>
      </c>
      <c r="DE26" s="36">
        <f t="shared" ca="1" si="53"/>
        <v>48.825904348181894</v>
      </c>
      <c r="DF26" s="36">
        <f t="shared" ca="1" si="53"/>
        <v>48.878375983644297</v>
      </c>
      <c r="DG26" s="36">
        <f t="shared" ca="1" si="53"/>
        <v>48.860689583122962</v>
      </c>
      <c r="DH26" s="36">
        <f t="shared" ca="1" si="53"/>
        <v>49.083525320447869</v>
      </c>
      <c r="DI26" s="36">
        <f t="shared" ca="1" si="53"/>
        <v>49.163419004317149</v>
      </c>
      <c r="DJ26" s="36">
        <f t="shared" ca="1" si="53"/>
        <v>48.379297213622031</v>
      </c>
      <c r="DK26" s="36">
        <f t="shared" ca="1" si="53"/>
        <v>48.16206455275983</v>
      </c>
      <c r="DL26" s="36">
        <f t="shared" ca="1" si="53"/>
        <v>48.130026552509833</v>
      </c>
      <c r="DM26" s="36">
        <f t="shared" ca="1" si="53"/>
        <v>48.816432888954402</v>
      </c>
      <c r="DN26" s="36">
        <f t="shared" ca="1" si="53"/>
        <v>49.044751971805006</v>
      </c>
      <c r="DO26" s="36">
        <f t="shared" ca="1" si="53"/>
        <v>48.77290187346361</v>
      </c>
      <c r="DP26" s="36">
        <f t="shared" ca="1" si="53"/>
        <v>48.697105562216123</v>
      </c>
      <c r="DQ26" s="36">
        <f t="shared" ca="1" si="53"/>
        <v>47.764148155316867</v>
      </c>
      <c r="DR26" s="36">
        <f t="shared" ca="1" si="53"/>
        <v>47.969802614706232</v>
      </c>
      <c r="DS26" s="36">
        <f t="shared" ca="1" si="53"/>
        <v>48.591987073343816</v>
      </c>
      <c r="DT26" s="36">
        <f t="shared" ca="1" si="53"/>
        <v>48.26397644110768</v>
      </c>
      <c r="DU26" s="36">
        <f t="shared" ca="1" si="53"/>
        <v>49.030492595351156</v>
      </c>
      <c r="DV26" s="36">
        <f t="shared" ca="1" si="53"/>
        <v>48.926000866201299</v>
      </c>
      <c r="DW26" s="36">
        <f t="shared" ca="1" si="53"/>
        <v>48.929405523816179</v>
      </c>
      <c r="DX26" s="36">
        <f t="shared" ca="1" si="53"/>
        <v>48.858085269227324</v>
      </c>
      <c r="DY26" s="36">
        <f t="shared" ca="1" si="53"/>
        <v>50.331057009307621</v>
      </c>
      <c r="DZ26" s="36">
        <f t="shared" ca="1" si="53"/>
        <v>50.499856328207727</v>
      </c>
      <c r="EA26" s="36">
        <f t="shared" ca="1" si="53"/>
        <v>50.66407109477808</v>
      </c>
      <c r="EB26" s="36">
        <f t="shared" ca="1" si="53"/>
        <v>50.636218067614585</v>
      </c>
      <c r="EC26" s="36">
        <f t="shared" ca="1" si="28"/>
        <v>50.217128825050928</v>
      </c>
      <c r="ED26" s="36">
        <f t="shared" ca="1" si="26"/>
        <v>49.717004630656255</v>
      </c>
      <c r="EE26" s="36">
        <f t="shared" ca="1" si="26"/>
        <v>49.273465404048139</v>
      </c>
      <c r="EF26" s="36">
        <f t="shared" ca="1" si="26"/>
        <v>48.477291640276931</v>
      </c>
      <c r="EG26" s="36">
        <f t="shared" ca="1" si="26"/>
        <v>46.972421403972852</v>
      </c>
      <c r="EH26" s="36">
        <f t="shared" ca="1" si="26"/>
        <v>47.262752686459692</v>
      </c>
      <c r="EI26" s="36">
        <f t="shared" ca="1" si="26"/>
        <v>46.82441548904626</v>
      </c>
      <c r="EJ26" s="36">
        <f t="shared" ca="1" si="26"/>
        <v>45.8592440071737</v>
      </c>
      <c r="EK26" s="36">
        <f t="shared" ca="1" si="26"/>
        <v>45.666887425729584</v>
      </c>
      <c r="EL26" s="36">
        <f t="shared" ca="1" si="26"/>
        <v>45.413442845137588</v>
      </c>
      <c r="EM26" s="36">
        <f t="shared" ca="1" si="26"/>
        <v>45.298155326816293</v>
      </c>
      <c r="EN26" s="36">
        <f t="shared" ca="1" si="26"/>
        <v>45.126864260371008</v>
      </c>
      <c r="EO26" s="36">
        <f t="shared" ca="1" si="26"/>
        <v>44.807067245521914</v>
      </c>
      <c r="EP26" s="36">
        <f t="shared" ca="1" si="26"/>
        <v>44.649798953183257</v>
      </c>
      <c r="EQ26" s="36">
        <f t="shared" ca="1" si="26"/>
        <v>44.494689128494329</v>
      </c>
      <c r="ER26" s="36">
        <f t="shared" ca="1" si="26"/>
        <v>44.1477986175979</v>
      </c>
      <c r="ES26" s="36">
        <f t="shared" ca="1" si="26"/>
        <v>44.463745185951034</v>
      </c>
      <c r="ET26" s="36">
        <f t="shared" ca="1" si="26"/>
        <v>44.149416584052261</v>
      </c>
      <c r="EU26" s="36">
        <f t="shared" ca="1" si="26"/>
        <v>44.400468366889633</v>
      </c>
      <c r="EV26" s="36">
        <f t="shared" ca="1" si="26"/>
        <v>43.81503347910968</v>
      </c>
      <c r="EW26" s="36">
        <f t="shared" ref="EW26" ca="1" si="57">EV26*EXP(($B$3-$B$4^2/2)*1+$B$4*_xlfn.NORM.S.INV(RAND()))</f>
        <v>43.775594859690848</v>
      </c>
      <c r="EX26" s="36">
        <f t="shared" ca="1" si="48"/>
        <v>43.218260488493556</v>
      </c>
      <c r="EY26" s="36">
        <f t="shared" ca="1" si="48"/>
        <v>42.813177783895895</v>
      </c>
      <c r="EZ26" s="36">
        <f t="shared" ca="1" si="48"/>
        <v>42.545702595555085</v>
      </c>
      <c r="FA26" s="36">
        <f t="shared" ca="1" si="48"/>
        <v>42.995349191104232</v>
      </c>
      <c r="FB26" s="36">
        <f t="shared" ca="1" si="48"/>
        <v>43.260232230788809</v>
      </c>
      <c r="FC26" s="36">
        <f t="shared" ca="1" si="48"/>
        <v>43.652424822790074</v>
      </c>
      <c r="FD26" s="36">
        <f t="shared" ca="1" si="48"/>
        <v>43.503906354396676</v>
      </c>
      <c r="FE26" s="36">
        <f t="shared" ca="1" si="48"/>
        <v>43.98937520115026</v>
      </c>
      <c r="FF26" s="36">
        <f t="shared" ca="1" si="48"/>
        <v>44.181045142033447</v>
      </c>
      <c r="FG26" s="36">
        <f t="shared" ca="1" si="48"/>
        <v>43.96897172346705</v>
      </c>
      <c r="FH26" s="36">
        <f t="shared" ca="1" si="48"/>
        <v>43.708171221344337</v>
      </c>
      <c r="FI26" s="36">
        <f t="shared" ca="1" si="48"/>
        <v>43.612775621209906</v>
      </c>
      <c r="FJ26" s="36">
        <f t="shared" ca="1" si="48"/>
        <v>43.830143669297826</v>
      </c>
      <c r="FK26" s="36">
        <f t="shared" ca="1" si="48"/>
        <v>43.49438655280202</v>
      </c>
      <c r="FL26" s="36">
        <f t="shared" ca="1" si="48"/>
        <v>43.048538766510951</v>
      </c>
      <c r="FM26" s="36">
        <f t="shared" ca="1" si="48"/>
        <v>43.178266373437296</v>
      </c>
      <c r="FN26" s="36">
        <f t="shared" ca="1" si="48"/>
        <v>42.996612459696024</v>
      </c>
      <c r="FO26" s="36">
        <f t="shared" ca="1" si="48"/>
        <v>43.060101106536038</v>
      </c>
      <c r="FP26" s="36">
        <f t="shared" ca="1" si="48"/>
        <v>43.806986550201991</v>
      </c>
      <c r="FQ26" s="36">
        <f t="shared" ca="1" si="48"/>
        <v>44.626936026426471</v>
      </c>
      <c r="FR26" s="36">
        <f t="shared" ca="1" si="48"/>
        <v>45.995159899747556</v>
      </c>
      <c r="FS26" s="36">
        <f t="shared" ca="1" si="48"/>
        <v>45.699143401547673</v>
      </c>
      <c r="FT26" s="36">
        <f t="shared" ca="1" si="48"/>
        <v>46.267003273254304</v>
      </c>
      <c r="FU26" s="36">
        <f t="shared" ca="1" si="48"/>
        <v>45.494647091945879</v>
      </c>
      <c r="FV26" s="36">
        <f t="shared" ca="1" si="48"/>
        <v>44.816374981538885</v>
      </c>
      <c r="FW26" s="36">
        <f t="shared" ca="1" si="48"/>
        <v>44.013928407121441</v>
      </c>
      <c r="FX26" s="36">
        <f t="shared" ca="1" si="48"/>
        <v>43.964635583767233</v>
      </c>
      <c r="FY26" s="36">
        <f t="shared" ca="1" si="48"/>
        <v>44.460833199385107</v>
      </c>
      <c r="FZ26" s="36">
        <f t="shared" ca="1" si="48"/>
        <v>44.522139110308935</v>
      </c>
      <c r="GA26" s="36">
        <f t="shared" ca="1" si="48"/>
        <v>44.323514329768379</v>
      </c>
      <c r="GB26" s="36">
        <f t="shared" ca="1" si="48"/>
        <v>44.632595685308445</v>
      </c>
      <c r="GC26" s="36">
        <f t="shared" ca="1" si="48"/>
        <v>45.136438751170658</v>
      </c>
      <c r="GD26" s="36">
        <f t="shared" ca="1" si="48"/>
        <v>44.655587556044033</v>
      </c>
      <c r="GE26" s="36">
        <f t="shared" ca="1" si="48"/>
        <v>46.112621910758698</v>
      </c>
      <c r="GF26" s="36">
        <f t="shared" ca="1" si="48"/>
        <v>45.862998212954402</v>
      </c>
      <c r="GG26" s="36">
        <f t="shared" ca="1" si="48"/>
        <v>46.230807297623436</v>
      </c>
      <c r="GH26" s="36">
        <f t="shared" ca="1" si="48"/>
        <v>46.309450909134561</v>
      </c>
      <c r="GI26" s="36">
        <f t="shared" ca="1" si="48"/>
        <v>45.790992619526683</v>
      </c>
      <c r="GJ26" s="36">
        <f t="shared" ca="1" si="48"/>
        <v>45.211335678656276</v>
      </c>
      <c r="GK26" s="36">
        <f t="shared" ca="1" si="48"/>
        <v>44.280856802486994</v>
      </c>
      <c r="GL26" s="36">
        <f t="shared" ca="1" si="48"/>
        <v>43.523280537977485</v>
      </c>
      <c r="GM26" s="36">
        <f t="shared" ca="1" si="48"/>
        <v>43.909986165552326</v>
      </c>
      <c r="GN26" s="36">
        <f t="shared" ca="1" si="48"/>
        <v>43.336889283261527</v>
      </c>
      <c r="GO26" s="36">
        <f t="shared" ca="1" si="48"/>
        <v>43.749705702927933</v>
      </c>
      <c r="GP26" s="36">
        <f t="shared" ca="1" si="48"/>
        <v>42.938761802215815</v>
      </c>
      <c r="GQ26" s="36">
        <f t="shared" ca="1" si="48"/>
        <v>42.683656236882989</v>
      </c>
      <c r="GR26" s="36">
        <f t="shared" ca="1" si="48"/>
        <v>43.032406421423396</v>
      </c>
      <c r="GS26" s="36">
        <f t="shared" ca="1" si="48"/>
        <v>42.834697904827323</v>
      </c>
      <c r="GT26" s="36">
        <f t="shared" ca="1" si="48"/>
        <v>42.493635175627894</v>
      </c>
      <c r="GU26" s="36">
        <f t="shared" ca="1" si="48"/>
        <v>42.615954160740543</v>
      </c>
      <c r="GV26" s="36">
        <f t="shared" ca="1" si="48"/>
        <v>42.843923525880079</v>
      </c>
      <c r="GW26" s="36">
        <f t="shared" ca="1" si="48"/>
        <v>42.915835018429817</v>
      </c>
      <c r="GX26" s="36">
        <f t="shared" ca="1" si="48"/>
        <v>42.363121185563166</v>
      </c>
      <c r="GY26" s="36">
        <f t="shared" ca="1" si="48"/>
        <v>42.447641120607628</v>
      </c>
      <c r="GZ26" s="36">
        <f t="shared" ca="1" si="48"/>
        <v>42.333222944025124</v>
      </c>
      <c r="HA26" s="36">
        <f t="shared" ca="1" si="48"/>
        <v>42.693882622954867</v>
      </c>
      <c r="HB26" s="36">
        <f t="shared" ca="1" si="48"/>
        <v>42.877293201525276</v>
      </c>
      <c r="HC26" s="36">
        <f t="shared" ca="1" si="48"/>
        <v>43.217343473465789</v>
      </c>
      <c r="HD26" s="36">
        <f t="shared" ca="1" si="48"/>
        <v>43.220650685721431</v>
      </c>
      <c r="HE26" s="36">
        <f t="shared" ca="1" si="48"/>
        <v>43.435188116544111</v>
      </c>
      <c r="HF26" s="36">
        <f t="shared" ca="1" si="48"/>
        <v>43.267929351458015</v>
      </c>
      <c r="HG26" s="36">
        <f t="shared" ca="1" si="48"/>
        <v>42.821849103390591</v>
      </c>
      <c r="HH26" s="36">
        <f t="shared" ca="1" si="48"/>
        <v>42.957163956968877</v>
      </c>
      <c r="HI26" s="36">
        <f t="shared" ca="1" si="55"/>
        <v>42.441815703803087</v>
      </c>
      <c r="HJ26" s="36">
        <f t="shared" ca="1" si="55"/>
        <v>42.253697236634231</v>
      </c>
      <c r="HK26" s="36">
        <f t="shared" ca="1" si="55"/>
        <v>43.034454532914467</v>
      </c>
      <c r="HL26" s="36">
        <f t="shared" ca="1" si="55"/>
        <v>43.322265153295938</v>
      </c>
      <c r="HM26" s="36">
        <f t="shared" ca="1" si="55"/>
        <v>43.771323549394161</v>
      </c>
      <c r="HN26" s="36">
        <f t="shared" ca="1" si="55"/>
        <v>44.618352885000213</v>
      </c>
      <c r="HO26" s="36">
        <f t="shared" ca="1" si="55"/>
        <v>44.118264930976615</v>
      </c>
      <c r="HP26" s="36">
        <f t="shared" ca="1" si="55"/>
        <v>44.297421627080674</v>
      </c>
      <c r="HQ26" s="36">
        <f t="shared" ca="1" si="55"/>
        <v>44.370356045411064</v>
      </c>
      <c r="HR26" s="36">
        <f t="shared" ca="1" si="55"/>
        <v>44.130936191597733</v>
      </c>
      <c r="HS26" s="36">
        <f t="shared" ca="1" si="55"/>
        <v>44.43024927656613</v>
      </c>
      <c r="HT26" s="36">
        <f t="shared" ca="1" si="55"/>
        <v>44.425150417743033</v>
      </c>
      <c r="HU26" s="36">
        <f t="shared" ca="1" si="52"/>
        <v>44.39958124261215</v>
      </c>
      <c r="HV26" s="36">
        <f t="shared" ca="1" si="52"/>
        <v>43.146527955345185</v>
      </c>
      <c r="HW26" s="36">
        <f t="shared" ca="1" si="52"/>
        <v>42.722638192471464</v>
      </c>
      <c r="HX26" s="36">
        <f t="shared" ca="1" si="52"/>
        <v>43.399439464035879</v>
      </c>
      <c r="HY26" s="36">
        <f t="shared" ca="1" si="52"/>
        <v>42.825558385314942</v>
      </c>
      <c r="HZ26" s="36">
        <f t="shared" ca="1" si="52"/>
        <v>42.065386674876308</v>
      </c>
      <c r="IA26" s="36">
        <f t="shared" ca="1" si="52"/>
        <v>42.024547001297975</v>
      </c>
      <c r="IB26" s="36">
        <f t="shared" ca="1" si="52"/>
        <v>42.678612173415743</v>
      </c>
      <c r="IC26" s="36">
        <f t="shared" ca="1" si="52"/>
        <v>42.605260743028111</v>
      </c>
      <c r="ID26" s="36">
        <f t="shared" ca="1" si="52"/>
        <v>41.541727455990838</v>
      </c>
      <c r="IE26" s="36">
        <f t="shared" ca="1" si="52"/>
        <v>42.086498380287125</v>
      </c>
      <c r="IF26" s="36">
        <f t="shared" ca="1" si="52"/>
        <v>42.86446560123315</v>
      </c>
      <c r="IG26" s="36">
        <f t="shared" ca="1" si="52"/>
        <v>42.988748984288819</v>
      </c>
      <c r="IH26" s="36">
        <f t="shared" ca="1" si="52"/>
        <v>43.442532013445863</v>
      </c>
      <c r="II26" s="36">
        <f t="shared" ca="1" si="52"/>
        <v>42.850880484502682</v>
      </c>
      <c r="IJ26" s="36">
        <f t="shared" ca="1" si="52"/>
        <v>43.215493013061163</v>
      </c>
      <c r="IK26" s="36">
        <f t="shared" ca="1" si="52"/>
        <v>42.602628761791109</v>
      </c>
      <c r="IL26" s="36">
        <f t="shared" ca="1" si="52"/>
        <v>42.27862139373044</v>
      </c>
      <c r="IM26" s="36">
        <f t="shared" ca="1" si="52"/>
        <v>42.063634595393147</v>
      </c>
      <c r="IN26" s="36">
        <f t="shared" ca="1" si="52"/>
        <v>41.724316342146444</v>
      </c>
      <c r="IO26" s="36">
        <f t="shared" ca="1" si="52"/>
        <v>40.969022352201549</v>
      </c>
      <c r="IP26" s="36">
        <f t="shared" ca="1" si="52"/>
        <v>40.216458810856082</v>
      </c>
      <c r="IQ26" s="36">
        <f t="shared" ca="1" si="52"/>
        <v>40.526281369534182</v>
      </c>
      <c r="IR26" s="36">
        <f t="shared" ca="1" si="52"/>
        <v>41.02921333247577</v>
      </c>
      <c r="IS26" s="36">
        <f t="shared" ca="1" si="52"/>
        <v>41.256274382096223</v>
      </c>
      <c r="IT26" s="36">
        <f t="shared" ca="1" si="52"/>
        <v>41.718964999444211</v>
      </c>
      <c r="IU26" s="36">
        <f t="shared" ca="1" si="52"/>
        <v>41.536454328651629</v>
      </c>
    </row>
    <row r="27" spans="1:255" x14ac:dyDescent="0.2">
      <c r="A27" s="36"/>
      <c r="B27">
        <v>17</v>
      </c>
      <c r="C27" s="36">
        <v>50</v>
      </c>
      <c r="D27" s="36">
        <f t="shared" ca="1" si="14"/>
        <v>50.070096604059032</v>
      </c>
      <c r="E27" s="36">
        <f t="shared" ca="1" si="14"/>
        <v>50.278062552262206</v>
      </c>
      <c r="F27" s="36">
        <f t="shared" ca="1" si="56"/>
        <v>50.208959485468604</v>
      </c>
      <c r="G27" s="36">
        <f t="shared" ca="1" si="56"/>
        <v>50.861034920339911</v>
      </c>
      <c r="H27" s="36">
        <f t="shared" ca="1" si="56"/>
        <v>51.238182025048012</v>
      </c>
      <c r="I27" s="36">
        <f t="shared" ca="1" si="56"/>
        <v>51.632917999894048</v>
      </c>
      <c r="J27" s="36">
        <f t="shared" ca="1" si="56"/>
        <v>51.0114461054579</v>
      </c>
      <c r="K27" s="36">
        <f t="shared" ca="1" si="56"/>
        <v>50.853818878679519</v>
      </c>
      <c r="L27" s="36">
        <f t="shared" ca="1" si="56"/>
        <v>51.278607041967796</v>
      </c>
      <c r="M27" s="36">
        <f t="shared" ca="1" si="56"/>
        <v>50.811001419145327</v>
      </c>
      <c r="N27" s="36">
        <f t="shared" ca="1" si="56"/>
        <v>50.523418278918591</v>
      </c>
      <c r="O27" s="36">
        <f t="shared" ca="1" si="56"/>
        <v>50.167218345400777</v>
      </c>
      <c r="P27" s="36">
        <f t="shared" ca="1" si="56"/>
        <v>50.178496387094384</v>
      </c>
      <c r="Q27" s="36">
        <f t="shared" ca="1" si="56"/>
        <v>50.42055905826777</v>
      </c>
      <c r="R27" s="36">
        <f t="shared" ca="1" si="56"/>
        <v>49.598105619333765</v>
      </c>
      <c r="S27" s="36">
        <f t="shared" ca="1" si="56"/>
        <v>49.500252019457392</v>
      </c>
      <c r="T27" s="36">
        <f t="shared" ca="1" si="56"/>
        <v>49.675035212777672</v>
      </c>
      <c r="U27" s="36">
        <f t="shared" ca="1" si="56"/>
        <v>50.346988435661743</v>
      </c>
      <c r="V27" s="36">
        <f t="shared" ca="1" si="56"/>
        <v>50.428458273982407</v>
      </c>
      <c r="W27" s="36">
        <f t="shared" ca="1" si="56"/>
        <v>51.749483572986428</v>
      </c>
      <c r="X27" s="36">
        <f t="shared" ca="1" si="56"/>
        <v>51.203759488392095</v>
      </c>
      <c r="Y27" s="36">
        <f t="shared" ca="1" si="56"/>
        <v>51.614414017505261</v>
      </c>
      <c r="Z27" s="36">
        <f t="shared" ca="1" si="56"/>
        <v>51.832823953472349</v>
      </c>
      <c r="AA27" s="36">
        <f t="shared" ca="1" si="56"/>
        <v>51.856472940350628</v>
      </c>
      <c r="AB27" s="36">
        <f t="shared" ca="1" si="56"/>
        <v>52.912249108954384</v>
      </c>
      <c r="AC27" s="36">
        <f t="shared" ca="1" si="56"/>
        <v>52.489710866547483</v>
      </c>
      <c r="AD27" s="36">
        <f t="shared" ca="1" si="56"/>
        <v>52.725566887745408</v>
      </c>
      <c r="AE27" s="36">
        <f t="shared" ca="1" si="56"/>
        <v>52.074535188479167</v>
      </c>
      <c r="AF27" s="36">
        <f t="shared" ca="1" si="56"/>
        <v>53.087932547145279</v>
      </c>
      <c r="AG27" s="36">
        <f t="shared" ca="1" si="56"/>
        <v>53.421264201618669</v>
      </c>
      <c r="AH27" s="36">
        <f t="shared" ca="1" si="56"/>
        <v>53.197404215675625</v>
      </c>
      <c r="AI27" s="36">
        <f t="shared" ca="1" si="56"/>
        <v>53.286403321830988</v>
      </c>
      <c r="AJ27" s="36">
        <f t="shared" ca="1" si="56"/>
        <v>54.848564092708955</v>
      </c>
      <c r="AK27" s="36">
        <f t="shared" ca="1" si="56"/>
        <v>54.628920530271024</v>
      </c>
      <c r="AL27" s="36">
        <f t="shared" ca="1" si="56"/>
        <v>55.109674940694688</v>
      </c>
      <c r="AM27" s="36">
        <f t="shared" ca="1" si="56"/>
        <v>55.478276320327467</v>
      </c>
      <c r="AN27" s="36">
        <f t="shared" ca="1" si="56"/>
        <v>55.684774240515566</v>
      </c>
      <c r="AO27" s="36">
        <f t="shared" ca="1" si="56"/>
        <v>54.59429657278374</v>
      </c>
      <c r="AP27" s="36">
        <f t="shared" ca="1" si="56"/>
        <v>55.344248334026439</v>
      </c>
      <c r="AQ27" s="36">
        <f t="shared" ca="1" si="56"/>
        <v>55.374124496857789</v>
      </c>
      <c r="AR27" s="36">
        <f t="shared" ca="1" si="56"/>
        <v>54.061073908841742</v>
      </c>
      <c r="AS27" s="36">
        <f t="shared" ca="1" si="56"/>
        <v>54.235264597888587</v>
      </c>
      <c r="AT27" s="36">
        <f t="shared" ca="1" si="56"/>
        <v>55.639249093654918</v>
      </c>
      <c r="AU27" s="36">
        <f t="shared" ca="1" si="56"/>
        <v>56.151815070056337</v>
      </c>
      <c r="AV27" s="36">
        <f t="shared" ca="1" si="56"/>
        <v>55.413345299901295</v>
      </c>
      <c r="AW27" s="36">
        <f t="shared" ca="1" si="56"/>
        <v>55.963058078256175</v>
      </c>
      <c r="AX27" s="36">
        <f t="shared" ca="1" si="56"/>
        <v>57.505423006802019</v>
      </c>
      <c r="AY27" s="36">
        <f t="shared" ca="1" si="56"/>
        <v>57.01602237931214</v>
      </c>
      <c r="AZ27" s="36">
        <f t="shared" ca="1" si="56"/>
        <v>56.364805759895511</v>
      </c>
      <c r="BA27" s="36">
        <f t="shared" ca="1" si="56"/>
        <v>55.817972707709266</v>
      </c>
      <c r="BB27" s="36">
        <f t="shared" ca="1" si="56"/>
        <v>55.613728945665571</v>
      </c>
      <c r="BC27" s="36">
        <f t="shared" ca="1" si="56"/>
        <v>55.647781714177725</v>
      </c>
      <c r="BD27" s="36">
        <f t="shared" ca="1" si="56"/>
        <v>56.491490085473657</v>
      </c>
      <c r="BE27" s="36">
        <f t="shared" ca="1" si="56"/>
        <v>55.593709098009228</v>
      </c>
      <c r="BF27" s="36">
        <f t="shared" ca="1" si="56"/>
        <v>54.447509145902451</v>
      </c>
      <c r="BG27" s="36">
        <f t="shared" ca="1" si="56"/>
        <v>55.11016230709798</v>
      </c>
      <c r="BH27" s="36">
        <f t="shared" ca="1" si="56"/>
        <v>53.827554498870953</v>
      </c>
      <c r="BI27" s="36">
        <f t="shared" ca="1" si="56"/>
        <v>53.13695249671337</v>
      </c>
      <c r="BJ27" s="36">
        <f t="shared" ca="1" si="56"/>
        <v>52.201298900464693</v>
      </c>
      <c r="BK27" s="36">
        <f t="shared" ca="1" si="56"/>
        <v>53.392300575968754</v>
      </c>
      <c r="BL27" s="36">
        <f t="shared" ca="1" si="56"/>
        <v>52.938387138548727</v>
      </c>
      <c r="BM27" s="36">
        <f t="shared" ca="1" si="56"/>
        <v>52.383291782306145</v>
      </c>
      <c r="BN27" s="36">
        <f t="shared" ca="1" si="56"/>
        <v>53.592362248761091</v>
      </c>
      <c r="BO27" s="36">
        <f t="shared" ca="1" si="56"/>
        <v>54.18824420524583</v>
      </c>
      <c r="BP27" s="36">
        <f t="shared" ca="1" si="56"/>
        <v>54.138647933349134</v>
      </c>
      <c r="BQ27" s="36">
        <f t="shared" ca="1" si="56"/>
        <v>54.545460819971119</v>
      </c>
      <c r="BR27" s="36">
        <f t="shared" ca="1" si="53"/>
        <v>54.928803662219728</v>
      </c>
      <c r="BS27" s="36">
        <f t="shared" ca="1" si="53"/>
        <v>52.842078864336685</v>
      </c>
      <c r="BT27" s="36">
        <f t="shared" ca="1" si="53"/>
        <v>53.420127508910845</v>
      </c>
      <c r="BU27" s="36">
        <f t="shared" ca="1" si="53"/>
        <v>52.880070055533849</v>
      </c>
      <c r="BV27" s="36">
        <f t="shared" ca="1" si="53"/>
        <v>52.161258695648094</v>
      </c>
      <c r="BW27" s="36">
        <f t="shared" ca="1" si="53"/>
        <v>51.815973072946505</v>
      </c>
      <c r="BX27" s="36">
        <f t="shared" ca="1" si="53"/>
        <v>51.489932920776781</v>
      </c>
      <c r="BY27" s="36">
        <f t="shared" ca="1" si="53"/>
        <v>51.481184438558223</v>
      </c>
      <c r="BZ27" s="36">
        <f t="shared" ca="1" si="53"/>
        <v>50.968590065588913</v>
      </c>
      <c r="CA27" s="36">
        <f t="shared" ca="1" si="53"/>
        <v>51.244621966940514</v>
      </c>
      <c r="CB27" s="36">
        <f t="shared" ca="1" si="53"/>
        <v>51.857000842644268</v>
      </c>
      <c r="CC27" s="36">
        <f t="shared" ca="1" si="53"/>
        <v>52.990607227447526</v>
      </c>
      <c r="CD27" s="36">
        <f t="shared" ca="1" si="53"/>
        <v>53.334389755835055</v>
      </c>
      <c r="CE27" s="36">
        <f t="shared" ca="1" si="53"/>
        <v>52.562933245241048</v>
      </c>
      <c r="CF27" s="36">
        <f t="shared" ca="1" si="53"/>
        <v>53.563365915752797</v>
      </c>
      <c r="CG27" s="36">
        <f t="shared" ca="1" si="53"/>
        <v>53.654637957019666</v>
      </c>
      <c r="CH27" s="36">
        <f t="shared" ca="1" si="53"/>
        <v>53.611016693711299</v>
      </c>
      <c r="CI27" s="36">
        <f t="shared" ca="1" si="53"/>
        <v>52.146026305392574</v>
      </c>
      <c r="CJ27" s="36">
        <f t="shared" ca="1" si="53"/>
        <v>51.418751738058397</v>
      </c>
      <c r="CK27" s="36">
        <f t="shared" ca="1" si="53"/>
        <v>51.516358024478066</v>
      </c>
      <c r="CL27" s="36">
        <f t="shared" ca="1" si="53"/>
        <v>50.940683762829096</v>
      </c>
      <c r="CM27" s="36">
        <f t="shared" ca="1" si="53"/>
        <v>51.510737949874823</v>
      </c>
      <c r="CN27" s="36">
        <f t="shared" ca="1" si="53"/>
        <v>51.204666605598916</v>
      </c>
      <c r="CO27" s="36">
        <f t="shared" ca="1" si="53"/>
        <v>50.399085135187832</v>
      </c>
      <c r="CP27" s="36">
        <f t="shared" ca="1" si="53"/>
        <v>50.646135158400291</v>
      </c>
      <c r="CQ27" s="36">
        <f t="shared" ca="1" si="53"/>
        <v>50.647745058097655</v>
      </c>
      <c r="CR27" s="36">
        <f t="shared" ca="1" si="53"/>
        <v>51.561146302438296</v>
      </c>
      <c r="CS27" s="36">
        <f t="shared" ca="1" si="53"/>
        <v>51.527106144619914</v>
      </c>
      <c r="CT27" s="36">
        <f t="shared" ca="1" si="53"/>
        <v>51.399930584269754</v>
      </c>
      <c r="CU27" s="36">
        <f t="shared" ca="1" si="53"/>
        <v>51.497339326153281</v>
      </c>
      <c r="CV27" s="36">
        <f t="shared" ca="1" si="53"/>
        <v>51.369379279134101</v>
      </c>
      <c r="CW27" s="36">
        <f t="shared" ca="1" si="53"/>
        <v>51.345325911801332</v>
      </c>
      <c r="CX27" s="36">
        <f t="shared" ca="1" si="53"/>
        <v>51.835279293246401</v>
      </c>
      <c r="CY27" s="36">
        <f t="shared" ca="1" si="53"/>
        <v>50.748656319927179</v>
      </c>
      <c r="CZ27" s="36">
        <f t="shared" ca="1" si="53"/>
        <v>50.92553214040079</v>
      </c>
      <c r="DA27" s="36">
        <f t="shared" ca="1" si="53"/>
        <v>50.350100128289533</v>
      </c>
      <c r="DB27" s="36">
        <f t="shared" ca="1" si="53"/>
        <v>49.104704869065507</v>
      </c>
      <c r="DC27" s="36">
        <f t="shared" ca="1" si="53"/>
        <v>48.14444618512421</v>
      </c>
      <c r="DD27" s="36">
        <f t="shared" ca="1" si="53"/>
        <v>48.236283925135481</v>
      </c>
      <c r="DE27" s="36">
        <f t="shared" ca="1" si="53"/>
        <v>47.462557307588575</v>
      </c>
      <c r="DF27" s="36">
        <f t="shared" ca="1" si="53"/>
        <v>47.784713797317742</v>
      </c>
      <c r="DG27" s="36">
        <f t="shared" ca="1" si="53"/>
        <v>47.193053682940146</v>
      </c>
      <c r="DH27" s="36">
        <f t="shared" ca="1" si="53"/>
        <v>47.764242174627995</v>
      </c>
      <c r="DI27" s="36">
        <f t="shared" ca="1" si="53"/>
        <v>47.784446036131484</v>
      </c>
      <c r="DJ27" s="36">
        <f t="shared" ca="1" si="53"/>
        <v>47.5690868333824</v>
      </c>
      <c r="DK27" s="36">
        <f t="shared" ca="1" si="53"/>
        <v>47.007922796385053</v>
      </c>
      <c r="DL27" s="36">
        <f t="shared" ca="1" si="53"/>
        <v>48.266480450379895</v>
      </c>
      <c r="DM27" s="36">
        <f t="shared" ca="1" si="53"/>
        <v>49.400370293893445</v>
      </c>
      <c r="DN27" s="36">
        <f t="shared" ca="1" si="53"/>
        <v>49.048434454089239</v>
      </c>
      <c r="DO27" s="36">
        <f t="shared" ca="1" si="53"/>
        <v>48.614902247964118</v>
      </c>
      <c r="DP27" s="36">
        <f t="shared" ca="1" si="53"/>
        <v>48.563590175503208</v>
      </c>
      <c r="DQ27" s="36">
        <f t="shared" ca="1" si="53"/>
        <v>49.377388000325659</v>
      </c>
      <c r="DR27" s="36">
        <f t="shared" ca="1" si="53"/>
        <v>49.97444988267376</v>
      </c>
      <c r="DS27" s="36">
        <f t="shared" ca="1" si="53"/>
        <v>49.803931111784166</v>
      </c>
      <c r="DT27" s="36">
        <f t="shared" ca="1" si="53"/>
        <v>50.294514987678973</v>
      </c>
      <c r="DU27" s="36">
        <f t="shared" ca="1" si="53"/>
        <v>51.056293228748132</v>
      </c>
      <c r="DV27" s="36">
        <f t="shared" ca="1" si="53"/>
        <v>50.417737482848743</v>
      </c>
      <c r="DW27" s="36">
        <f t="shared" ca="1" si="53"/>
        <v>49.555739384780892</v>
      </c>
      <c r="DX27" s="36">
        <f t="shared" ca="1" si="53"/>
        <v>49.941409013248347</v>
      </c>
      <c r="DY27" s="36">
        <f t="shared" ca="1" si="53"/>
        <v>48.823153452928864</v>
      </c>
      <c r="DZ27" s="36">
        <f t="shared" ca="1" si="53"/>
        <v>48.971846095433243</v>
      </c>
      <c r="EA27" s="36">
        <f t="shared" ca="1" si="53"/>
        <v>49.385730483052541</v>
      </c>
      <c r="EB27" s="36">
        <f t="shared" ca="1" si="53"/>
        <v>49.625249291595281</v>
      </c>
      <c r="EC27" s="36">
        <f t="shared" ca="1" si="28"/>
        <v>48.808030230945626</v>
      </c>
      <c r="ED27" s="36">
        <f t="shared" ca="1" si="26"/>
        <v>47.578961956960057</v>
      </c>
      <c r="EE27" s="36">
        <f t="shared" ca="1" si="26"/>
        <v>47.141294805846584</v>
      </c>
      <c r="EF27" s="36">
        <f t="shared" ca="1" si="26"/>
        <v>47.499971476635871</v>
      </c>
      <c r="EG27" s="36">
        <f t="shared" ca="1" si="26"/>
        <v>47.297873122050639</v>
      </c>
      <c r="EH27" s="36">
        <f t="shared" ca="1" si="26"/>
        <v>46.236128254423463</v>
      </c>
      <c r="EI27" s="36">
        <f t="shared" ca="1" si="26"/>
        <v>45.53659108588208</v>
      </c>
      <c r="EJ27" s="36">
        <f t="shared" ca="1" si="26"/>
        <v>45.204751474312921</v>
      </c>
      <c r="EK27" s="36">
        <f t="shared" ca="1" si="26"/>
        <v>45.077195138490104</v>
      </c>
      <c r="EL27" s="36">
        <f t="shared" ca="1" si="26"/>
        <v>44.537155839385711</v>
      </c>
      <c r="EM27" s="36">
        <f t="shared" ca="1" si="26"/>
        <v>45.107720174559702</v>
      </c>
      <c r="EN27" s="36">
        <f t="shared" ca="1" si="26"/>
        <v>45.753860919270167</v>
      </c>
      <c r="EO27" s="36">
        <f t="shared" ca="1" si="26"/>
        <v>45.428693769863557</v>
      </c>
      <c r="EP27" s="36">
        <f t="shared" ca="1" si="26"/>
        <v>45.96911103928349</v>
      </c>
      <c r="EQ27" s="36">
        <f t="shared" ca="1" si="26"/>
        <v>46.315725323496707</v>
      </c>
      <c r="ER27" s="36">
        <f t="shared" ca="1" si="26"/>
        <v>45.442518228438161</v>
      </c>
      <c r="ES27" s="36">
        <f t="shared" ca="1" si="26"/>
        <v>44.880323194122333</v>
      </c>
      <c r="ET27" s="36">
        <f t="shared" ca="1" si="26"/>
        <v>45.571902252862387</v>
      </c>
      <c r="EU27" s="36">
        <f t="shared" ca="1" si="26"/>
        <v>44.98955304092965</v>
      </c>
      <c r="EV27" s="36">
        <f t="shared" ca="1" si="26"/>
        <v>45.800790863976793</v>
      </c>
      <c r="EW27" s="36">
        <f t="shared" ref="EW27" ca="1" si="58">EV27*EXP(($B$3-$B$4^2/2)*1+$B$4*_xlfn.NORM.S.INV(RAND()))</f>
        <v>46.443643448118038</v>
      </c>
      <c r="EX27" s="36">
        <f t="shared" ca="1" si="48"/>
        <v>47.571188336987738</v>
      </c>
      <c r="EY27" s="36">
        <f t="shared" ca="1" si="48"/>
        <v>47.535627352201445</v>
      </c>
      <c r="EZ27" s="36">
        <f t="shared" ref="EZ27:HK31" ca="1" si="59">EY27*EXP(($B$3-$B$4^2/2)*1+$B$4*_xlfn.NORM.S.INV(RAND()))</f>
        <v>48.454242510977572</v>
      </c>
      <c r="FA27" s="36">
        <f t="shared" ca="1" si="59"/>
        <v>47.81408081321883</v>
      </c>
      <c r="FB27" s="36">
        <f t="shared" ca="1" si="59"/>
        <v>47.215296472768998</v>
      </c>
      <c r="FC27" s="36">
        <f t="shared" ca="1" si="59"/>
        <v>46.3390008254542</v>
      </c>
      <c r="FD27" s="36">
        <f t="shared" ca="1" si="59"/>
        <v>47.399499257038919</v>
      </c>
      <c r="FE27" s="36">
        <f t="shared" ca="1" si="59"/>
        <v>46.893461412788952</v>
      </c>
      <c r="FF27" s="36">
        <f t="shared" ca="1" si="59"/>
        <v>46.712903945415619</v>
      </c>
      <c r="FG27" s="36">
        <f t="shared" ca="1" si="59"/>
        <v>47.400992869585906</v>
      </c>
      <c r="FH27" s="36">
        <f t="shared" ca="1" si="59"/>
        <v>47.049277845473625</v>
      </c>
      <c r="FI27" s="36">
        <f t="shared" ca="1" si="59"/>
        <v>47.256123479032595</v>
      </c>
      <c r="FJ27" s="36">
        <f t="shared" ca="1" si="59"/>
        <v>46.704574917528099</v>
      </c>
      <c r="FK27" s="36">
        <f t="shared" ca="1" si="59"/>
        <v>45.663710103663277</v>
      </c>
      <c r="FL27" s="36">
        <f t="shared" ca="1" si="59"/>
        <v>45.258055615929536</v>
      </c>
      <c r="FM27" s="36">
        <f t="shared" ca="1" si="59"/>
        <v>45.620714785911851</v>
      </c>
      <c r="FN27" s="36">
        <f t="shared" ca="1" si="59"/>
        <v>45.757379016665695</v>
      </c>
      <c r="FO27" s="36">
        <f t="shared" ca="1" si="59"/>
        <v>45.984183535313761</v>
      </c>
      <c r="FP27" s="36">
        <f t="shared" ca="1" si="59"/>
        <v>45.439348147604449</v>
      </c>
      <c r="FQ27" s="36">
        <f t="shared" ca="1" si="59"/>
        <v>45.131729536211836</v>
      </c>
      <c r="FR27" s="36">
        <f t="shared" ca="1" si="59"/>
        <v>44.77175071815153</v>
      </c>
      <c r="FS27" s="36">
        <f t="shared" ca="1" si="59"/>
        <v>44.609292175327042</v>
      </c>
      <c r="FT27" s="36">
        <f t="shared" ca="1" si="59"/>
        <v>43.684510926010923</v>
      </c>
      <c r="FU27" s="36">
        <f t="shared" ca="1" si="59"/>
        <v>43.285609233722475</v>
      </c>
      <c r="FV27" s="36">
        <f t="shared" ca="1" si="59"/>
        <v>43.678311192222331</v>
      </c>
      <c r="FW27" s="36">
        <f t="shared" ca="1" si="59"/>
        <v>43.528055352445911</v>
      </c>
      <c r="FX27" s="36">
        <f t="shared" ca="1" si="59"/>
        <v>43.267689443444887</v>
      </c>
      <c r="FY27" s="36">
        <f t="shared" ca="1" si="59"/>
        <v>43.241485032583412</v>
      </c>
      <c r="FZ27" s="36">
        <f t="shared" ca="1" si="59"/>
        <v>43.277936190931079</v>
      </c>
      <c r="GA27" s="36">
        <f t="shared" ca="1" si="59"/>
        <v>43.185779173608793</v>
      </c>
      <c r="GB27" s="36">
        <f t="shared" ca="1" si="59"/>
        <v>43.328050849998327</v>
      </c>
      <c r="GC27" s="36">
        <f t="shared" ca="1" si="59"/>
        <v>43.317972173032445</v>
      </c>
      <c r="GD27" s="36">
        <f t="shared" ca="1" si="59"/>
        <v>43.43566031959741</v>
      </c>
      <c r="GE27" s="36">
        <f t="shared" ca="1" si="59"/>
        <v>43.475277776581834</v>
      </c>
      <c r="GF27" s="36">
        <f t="shared" ca="1" si="59"/>
        <v>44.111132195412644</v>
      </c>
      <c r="GG27" s="36">
        <f t="shared" ca="1" si="59"/>
        <v>43.385308626197158</v>
      </c>
      <c r="GH27" s="36">
        <f t="shared" ca="1" si="59"/>
        <v>42.604379257916484</v>
      </c>
      <c r="GI27" s="36">
        <f t="shared" ca="1" si="59"/>
        <v>42.704690544188679</v>
      </c>
      <c r="GJ27" s="36">
        <f t="shared" ca="1" si="59"/>
        <v>43.423779422257788</v>
      </c>
      <c r="GK27" s="36">
        <f t="shared" ca="1" si="59"/>
        <v>43.819938291180812</v>
      </c>
      <c r="GL27" s="36">
        <f t="shared" ca="1" si="59"/>
        <v>43.44461821752639</v>
      </c>
      <c r="GM27" s="36">
        <f t="shared" ca="1" si="59"/>
        <v>44.142952921541713</v>
      </c>
      <c r="GN27" s="36">
        <f t="shared" ca="1" si="59"/>
        <v>44.138731092362484</v>
      </c>
      <c r="GO27" s="36">
        <f t="shared" ca="1" si="59"/>
        <v>44.373989208222753</v>
      </c>
      <c r="GP27" s="36">
        <f t="shared" ca="1" si="59"/>
        <v>44.032608953734105</v>
      </c>
      <c r="GQ27" s="36">
        <f t="shared" ca="1" si="59"/>
        <v>43.872043346299719</v>
      </c>
      <c r="GR27" s="36">
        <f t="shared" ca="1" si="59"/>
        <v>44.375296476393522</v>
      </c>
      <c r="GS27" s="36">
        <f t="shared" ca="1" si="59"/>
        <v>44.319282025528338</v>
      </c>
      <c r="GT27" s="36">
        <f t="shared" ca="1" si="59"/>
        <v>43.813276987878979</v>
      </c>
      <c r="GU27" s="36">
        <f t="shared" ca="1" si="59"/>
        <v>43.322976272697773</v>
      </c>
      <c r="GV27" s="36">
        <f t="shared" ca="1" si="59"/>
        <v>43.050396170334835</v>
      </c>
      <c r="GW27" s="36">
        <f t="shared" ca="1" si="59"/>
        <v>42.857576166555106</v>
      </c>
      <c r="GX27" s="36">
        <f t="shared" ca="1" si="59"/>
        <v>42.420811823223382</v>
      </c>
      <c r="GY27" s="36">
        <f t="shared" ca="1" si="59"/>
        <v>42.176667385705336</v>
      </c>
      <c r="GZ27" s="36">
        <f t="shared" ca="1" si="59"/>
        <v>41.784747354930609</v>
      </c>
      <c r="HA27" s="36">
        <f t="shared" ca="1" si="59"/>
        <v>41.779236347404449</v>
      </c>
      <c r="HB27" s="36">
        <f t="shared" ca="1" si="59"/>
        <v>41.686707682046489</v>
      </c>
      <c r="HC27" s="36">
        <f t="shared" ca="1" si="59"/>
        <v>42.49589912275728</v>
      </c>
      <c r="HD27" s="36">
        <f t="shared" ca="1" si="59"/>
        <v>42.722418234889389</v>
      </c>
      <c r="HE27" s="36">
        <f t="shared" ca="1" si="59"/>
        <v>42.95955260034183</v>
      </c>
      <c r="HF27" s="36">
        <f t="shared" ca="1" si="59"/>
        <v>42.914793947975824</v>
      </c>
      <c r="HG27" s="36">
        <f t="shared" ca="1" si="59"/>
        <v>43.32930842224053</v>
      </c>
      <c r="HH27" s="36">
        <f t="shared" ca="1" si="59"/>
        <v>43.144597366469505</v>
      </c>
      <c r="HI27" s="36">
        <f t="shared" ca="1" si="59"/>
        <v>43.231708404022491</v>
      </c>
      <c r="HJ27" s="36">
        <f t="shared" ca="1" si="59"/>
        <v>44.194884578251539</v>
      </c>
      <c r="HK27" s="36">
        <f t="shared" ca="1" si="59"/>
        <v>43.246152444765514</v>
      </c>
      <c r="HL27" s="36">
        <f t="shared" ref="HL27:HT27" ca="1" si="60">HK27*EXP(($B$3-$B$4^2/2)*1+$B$4*_xlfn.NORM.S.INV(RAND()))</f>
        <v>43.706619010669705</v>
      </c>
      <c r="HM27" s="36">
        <f t="shared" ca="1" si="60"/>
        <v>43.542181521295326</v>
      </c>
      <c r="HN27" s="36">
        <f t="shared" ca="1" si="60"/>
        <v>43.547915243460281</v>
      </c>
      <c r="HO27" s="36">
        <f t="shared" ca="1" si="60"/>
        <v>44.042263460182447</v>
      </c>
      <c r="HP27" s="36">
        <f t="shared" ca="1" si="60"/>
        <v>45.617261859442735</v>
      </c>
      <c r="HQ27" s="36">
        <f t="shared" ca="1" si="60"/>
        <v>46.11594579957228</v>
      </c>
      <c r="HR27" s="36">
        <f t="shared" ca="1" si="60"/>
        <v>45.494378337039819</v>
      </c>
      <c r="HS27" s="36">
        <f t="shared" ca="1" si="60"/>
        <v>45.510586064332536</v>
      </c>
      <c r="HT27" s="36">
        <f t="shared" ca="1" si="60"/>
        <v>45.84816656025145</v>
      </c>
      <c r="HU27" s="36">
        <f t="shared" ca="1" si="52"/>
        <v>45.532873261310648</v>
      </c>
      <c r="HV27" s="36">
        <f t="shared" ca="1" si="52"/>
        <v>43.847225550848599</v>
      </c>
      <c r="HW27" s="36">
        <f t="shared" ca="1" si="52"/>
        <v>44.214369444998972</v>
      </c>
      <c r="HX27" s="36">
        <f t="shared" ca="1" si="52"/>
        <v>44.959211665606198</v>
      </c>
      <c r="HY27" s="36">
        <f t="shared" ca="1" si="52"/>
        <v>44.558996007000673</v>
      </c>
      <c r="HZ27" s="36">
        <f t="shared" ca="1" si="52"/>
        <v>45.08395684586894</v>
      </c>
      <c r="IA27" s="36">
        <f t="shared" ca="1" si="52"/>
        <v>44.369909986911956</v>
      </c>
      <c r="IB27" s="36">
        <f t="shared" ca="1" si="52"/>
        <v>44.325933717521117</v>
      </c>
      <c r="IC27" s="36">
        <f t="shared" ca="1" si="52"/>
        <v>44.120827185030222</v>
      </c>
      <c r="ID27" s="36">
        <f t="shared" ca="1" si="52"/>
        <v>44.441703970170288</v>
      </c>
      <c r="IE27" s="36">
        <f t="shared" ca="1" si="52"/>
        <v>44.186797772757338</v>
      </c>
      <c r="IF27" s="36">
        <f t="shared" ca="1" si="52"/>
        <v>43.975890401353595</v>
      </c>
      <c r="IG27" s="36">
        <f t="shared" ca="1" si="52"/>
        <v>44.379050316248517</v>
      </c>
      <c r="IH27" s="36">
        <f t="shared" ca="1" si="52"/>
        <v>43.958931841871063</v>
      </c>
      <c r="II27" s="36">
        <f t="shared" ca="1" si="52"/>
        <v>43.733185440815554</v>
      </c>
      <c r="IJ27" s="36">
        <f t="shared" ca="1" si="52"/>
        <v>43.867426839782844</v>
      </c>
      <c r="IK27" s="36">
        <f t="shared" ca="1" si="52"/>
        <v>44.749515178218218</v>
      </c>
      <c r="IL27" s="36">
        <f t="shared" ca="1" si="52"/>
        <v>45.020957087568455</v>
      </c>
      <c r="IM27" s="36">
        <f t="shared" ca="1" si="52"/>
        <v>44.434265261878785</v>
      </c>
      <c r="IN27" s="36">
        <f t="shared" ca="1" si="52"/>
        <v>44.141966618211775</v>
      </c>
      <c r="IO27" s="36">
        <f t="shared" ca="1" si="52"/>
        <v>44.854824093511453</v>
      </c>
      <c r="IP27" s="36">
        <f t="shared" ca="1" si="52"/>
        <v>44.972825689128989</v>
      </c>
      <c r="IQ27" s="36">
        <f t="shared" ca="1" si="52"/>
        <v>44.997302163452133</v>
      </c>
      <c r="IR27" s="36">
        <f t="shared" ca="1" si="52"/>
        <v>44.960407846797814</v>
      </c>
      <c r="IS27" s="36">
        <f t="shared" ca="1" si="52"/>
        <v>44.761405714929161</v>
      </c>
      <c r="IT27" s="36">
        <f t="shared" ca="1" si="52"/>
        <v>44.364441351619419</v>
      </c>
      <c r="IU27" s="36">
        <f t="shared" ca="1" si="52"/>
        <v>43.693705915166319</v>
      </c>
    </row>
    <row r="28" spans="1:255" x14ac:dyDescent="0.2">
      <c r="A28" s="36"/>
      <c r="B28">
        <v>18</v>
      </c>
      <c r="C28" s="36">
        <v>50</v>
      </c>
      <c r="D28" s="36">
        <f t="shared" ca="1" si="14"/>
        <v>50.465195958451091</v>
      </c>
      <c r="E28" s="36">
        <f t="shared" ca="1" si="14"/>
        <v>50.565923149457007</v>
      </c>
      <c r="F28" s="36">
        <f t="shared" ca="1" si="56"/>
        <v>49.955985620473136</v>
      </c>
      <c r="G28" s="36">
        <f t="shared" ca="1" si="56"/>
        <v>49.737381348635736</v>
      </c>
      <c r="H28" s="36">
        <f t="shared" ca="1" si="56"/>
        <v>48.935352933554569</v>
      </c>
      <c r="I28" s="36">
        <f t="shared" ca="1" si="56"/>
        <v>48.729905433408</v>
      </c>
      <c r="J28" s="36">
        <f t="shared" ca="1" si="56"/>
        <v>48.519965330678644</v>
      </c>
      <c r="K28" s="36">
        <f t="shared" ca="1" si="56"/>
        <v>48.931561926960747</v>
      </c>
      <c r="L28" s="36">
        <f t="shared" ca="1" si="56"/>
        <v>48.366242024977204</v>
      </c>
      <c r="M28" s="36">
        <f t="shared" ca="1" si="56"/>
        <v>48.109529029230877</v>
      </c>
      <c r="N28" s="36">
        <f t="shared" ca="1" si="56"/>
        <v>47.598673528778392</v>
      </c>
      <c r="O28" s="36">
        <f t="shared" ca="1" si="56"/>
        <v>47.899820388634907</v>
      </c>
      <c r="P28" s="36">
        <f t="shared" ca="1" si="56"/>
        <v>46.815705295227538</v>
      </c>
      <c r="Q28" s="36">
        <f t="shared" ca="1" si="56"/>
        <v>46.193834184689734</v>
      </c>
      <c r="R28" s="36">
        <f t="shared" ca="1" si="56"/>
        <v>46.819405850711682</v>
      </c>
      <c r="S28" s="36">
        <f t="shared" ca="1" si="56"/>
        <v>47.23162892378258</v>
      </c>
      <c r="T28" s="36">
        <f t="shared" ca="1" si="56"/>
        <v>46.790296018158763</v>
      </c>
      <c r="U28" s="36">
        <f t="shared" ca="1" si="56"/>
        <v>47.095710431112003</v>
      </c>
      <c r="V28" s="36">
        <f t="shared" ca="1" si="56"/>
        <v>47.370669956817054</v>
      </c>
      <c r="W28" s="36">
        <f t="shared" ca="1" si="56"/>
        <v>46.584371214910355</v>
      </c>
      <c r="X28" s="36">
        <f t="shared" ca="1" si="56"/>
        <v>45.543870489758433</v>
      </c>
      <c r="Y28" s="36">
        <f t="shared" ca="1" si="56"/>
        <v>44.947287375568195</v>
      </c>
      <c r="Z28" s="36">
        <f t="shared" ca="1" si="56"/>
        <v>44.491157790669128</v>
      </c>
      <c r="AA28" s="36">
        <f t="shared" ca="1" si="56"/>
        <v>44.973606316330127</v>
      </c>
      <c r="AB28" s="36">
        <f t="shared" ca="1" si="56"/>
        <v>44.900892365863186</v>
      </c>
      <c r="AC28" s="36">
        <f t="shared" ca="1" si="56"/>
        <v>45.464941480273637</v>
      </c>
      <c r="AD28" s="36">
        <f t="shared" ca="1" si="56"/>
        <v>45.180095417172083</v>
      </c>
      <c r="AE28" s="36">
        <f t="shared" ca="1" si="56"/>
        <v>45.988230131391205</v>
      </c>
      <c r="AF28" s="36">
        <f t="shared" ca="1" si="56"/>
        <v>45.265169839401835</v>
      </c>
      <c r="AG28" s="36">
        <f t="shared" ca="1" si="56"/>
        <v>45.432398208482866</v>
      </c>
      <c r="AH28" s="36">
        <f t="shared" ca="1" si="56"/>
        <v>46.567432999227556</v>
      </c>
      <c r="AI28" s="36">
        <f t="shared" ca="1" si="56"/>
        <v>46.708700518236498</v>
      </c>
      <c r="AJ28" s="36">
        <f t="shared" ca="1" si="56"/>
        <v>47.328237337705247</v>
      </c>
      <c r="AK28" s="36">
        <f t="shared" ca="1" si="56"/>
        <v>47.870698530041977</v>
      </c>
      <c r="AL28" s="36">
        <f t="shared" ca="1" si="56"/>
        <v>48.237485692748479</v>
      </c>
      <c r="AM28" s="36">
        <f t="shared" ca="1" si="56"/>
        <v>49.775503536762479</v>
      </c>
      <c r="AN28" s="36">
        <f t="shared" ca="1" si="56"/>
        <v>49.788578193462079</v>
      </c>
      <c r="AO28" s="36">
        <f t="shared" ca="1" si="56"/>
        <v>50.311127305084646</v>
      </c>
      <c r="AP28" s="36">
        <f t="shared" ca="1" si="56"/>
        <v>49.91279117290204</v>
      </c>
      <c r="AQ28" s="36">
        <f t="shared" ca="1" si="56"/>
        <v>49.984694757582048</v>
      </c>
      <c r="AR28" s="36">
        <f t="shared" ca="1" si="56"/>
        <v>49.76966533640244</v>
      </c>
      <c r="AS28" s="36">
        <f t="shared" ca="1" si="56"/>
        <v>50.236827265827628</v>
      </c>
      <c r="AT28" s="36">
        <f t="shared" ca="1" si="56"/>
        <v>50.716197860390544</v>
      </c>
      <c r="AU28" s="36">
        <f t="shared" ca="1" si="56"/>
        <v>51.380163317310434</v>
      </c>
      <c r="AV28" s="36">
        <f t="shared" ca="1" si="56"/>
        <v>51.167160220182637</v>
      </c>
      <c r="AW28" s="36">
        <f t="shared" ca="1" si="56"/>
        <v>51.64162804095146</v>
      </c>
      <c r="AX28" s="36">
        <f t="shared" ca="1" si="56"/>
        <v>51.254124192906268</v>
      </c>
      <c r="AY28" s="36">
        <f t="shared" ca="1" si="56"/>
        <v>51.837634776185325</v>
      </c>
      <c r="AZ28" s="36">
        <f t="shared" ca="1" si="56"/>
        <v>51.718438179728217</v>
      </c>
      <c r="BA28" s="36">
        <f t="shared" ca="1" si="56"/>
        <v>52.788733992289785</v>
      </c>
      <c r="BB28" s="36">
        <f t="shared" ca="1" si="56"/>
        <v>52.740248999244479</v>
      </c>
      <c r="BC28" s="36">
        <f t="shared" ca="1" si="56"/>
        <v>52.742954124068397</v>
      </c>
      <c r="BD28" s="36">
        <f t="shared" ca="1" si="56"/>
        <v>53.165300762035841</v>
      </c>
      <c r="BE28" s="36">
        <f t="shared" ca="1" si="56"/>
        <v>52.080684225659745</v>
      </c>
      <c r="BF28" s="36">
        <f t="shared" ca="1" si="56"/>
        <v>51.893948511184462</v>
      </c>
      <c r="BG28" s="36">
        <f t="shared" ca="1" si="56"/>
        <v>51.972995441312655</v>
      </c>
      <c r="BH28" s="36">
        <f t="shared" ca="1" si="56"/>
        <v>52.157496505712643</v>
      </c>
      <c r="BI28" s="36">
        <f t="shared" ca="1" si="56"/>
        <v>51.825301275370734</v>
      </c>
      <c r="BJ28" s="36">
        <f t="shared" ca="1" si="56"/>
        <v>51.525513048561166</v>
      </c>
      <c r="BK28" s="36">
        <f t="shared" ca="1" si="56"/>
        <v>52.351268969810008</v>
      </c>
      <c r="BL28" s="36">
        <f t="shared" ca="1" si="56"/>
        <v>53.459682390359475</v>
      </c>
      <c r="BM28" s="36">
        <f t="shared" ca="1" si="56"/>
        <v>53.842525987612284</v>
      </c>
      <c r="BN28" s="36">
        <f t="shared" ca="1" si="56"/>
        <v>54.363040178422068</v>
      </c>
      <c r="BO28" s="36">
        <f t="shared" ca="1" si="56"/>
        <v>53.716153430084177</v>
      </c>
      <c r="BP28" s="36">
        <f t="shared" ca="1" si="56"/>
        <v>54.057293810720473</v>
      </c>
      <c r="BQ28" s="36">
        <f t="shared" ca="1" si="56"/>
        <v>53.218978195588434</v>
      </c>
      <c r="BR28" s="36">
        <f t="shared" ca="1" si="53"/>
        <v>52.368531230613804</v>
      </c>
      <c r="BS28" s="36">
        <f t="shared" ca="1" si="53"/>
        <v>52.00863796321439</v>
      </c>
      <c r="BT28" s="36">
        <f t="shared" ca="1" si="53"/>
        <v>52.543176719324279</v>
      </c>
      <c r="BU28" s="36">
        <f t="shared" ca="1" si="53"/>
        <v>52.51583899778894</v>
      </c>
      <c r="BV28" s="36">
        <f t="shared" ca="1" si="53"/>
        <v>51.437685357762874</v>
      </c>
      <c r="BW28" s="36">
        <f t="shared" ca="1" si="53"/>
        <v>51.638436963798561</v>
      </c>
      <c r="BX28" s="36">
        <f t="shared" ca="1" si="53"/>
        <v>50.714730793078665</v>
      </c>
      <c r="BY28" s="36">
        <f t="shared" ca="1" si="53"/>
        <v>49.900536046902772</v>
      </c>
      <c r="BZ28" s="36">
        <f t="shared" ca="1" si="53"/>
        <v>49.64781373708103</v>
      </c>
      <c r="CA28" s="36">
        <f t="shared" ca="1" si="53"/>
        <v>48.969191701784766</v>
      </c>
      <c r="CB28" s="36">
        <f t="shared" ca="1" si="53"/>
        <v>50.050916257091949</v>
      </c>
      <c r="CC28" s="36">
        <f t="shared" ca="1" si="53"/>
        <v>49.335789720569608</v>
      </c>
      <c r="CD28" s="36">
        <f t="shared" ca="1" si="53"/>
        <v>49.42763192412324</v>
      </c>
      <c r="CE28" s="36">
        <f t="shared" ca="1" si="53"/>
        <v>49.766801649394672</v>
      </c>
      <c r="CF28" s="36">
        <f t="shared" ca="1" si="53"/>
        <v>50.130283753194512</v>
      </c>
      <c r="CG28" s="36">
        <f t="shared" ca="1" si="53"/>
        <v>50.089446435899553</v>
      </c>
      <c r="CH28" s="36">
        <f t="shared" ca="1" si="53"/>
        <v>49.918399431036171</v>
      </c>
      <c r="CI28" s="36">
        <f t="shared" ca="1" si="53"/>
        <v>49.65179280491531</v>
      </c>
      <c r="CJ28" s="36">
        <f t="shared" ca="1" si="53"/>
        <v>49.669304076393743</v>
      </c>
      <c r="CK28" s="36">
        <f t="shared" ca="1" si="53"/>
        <v>49.850011538202658</v>
      </c>
      <c r="CL28" s="36">
        <f t="shared" ca="1" si="53"/>
        <v>48.910784079079583</v>
      </c>
      <c r="CM28" s="36">
        <f t="shared" ca="1" si="53"/>
        <v>48.91111241430454</v>
      </c>
      <c r="CN28" s="36">
        <f t="shared" ca="1" si="53"/>
        <v>49.210451391909011</v>
      </c>
      <c r="CO28" s="36">
        <f t="shared" ca="1" si="53"/>
        <v>48.86703542746568</v>
      </c>
      <c r="CP28" s="36">
        <f t="shared" ca="1" si="53"/>
        <v>48.862848517689123</v>
      </c>
      <c r="CQ28" s="36">
        <f t="shared" ca="1" si="53"/>
        <v>49.713962166865485</v>
      </c>
      <c r="CR28" s="36">
        <f t="shared" ca="1" si="53"/>
        <v>50.190630085248806</v>
      </c>
      <c r="CS28" s="36">
        <f t="shared" ca="1" si="53"/>
        <v>49.606503523859871</v>
      </c>
      <c r="CT28" s="36">
        <f t="shared" ca="1" si="53"/>
        <v>49.586620742801998</v>
      </c>
      <c r="CU28" s="36">
        <f t="shared" ca="1" si="53"/>
        <v>49.465954066547212</v>
      </c>
      <c r="CV28" s="36">
        <f t="shared" ca="1" si="53"/>
        <v>49.213059226010238</v>
      </c>
      <c r="CW28" s="36">
        <f t="shared" ca="1" si="53"/>
        <v>48.269924680166739</v>
      </c>
      <c r="CX28" s="36">
        <f t="shared" ca="1" si="53"/>
        <v>47.850843890828344</v>
      </c>
      <c r="CY28" s="36">
        <f t="shared" ca="1" si="53"/>
        <v>48.497228926362922</v>
      </c>
      <c r="CZ28" s="36">
        <f t="shared" ca="1" si="53"/>
        <v>48.91916429869417</v>
      </c>
      <c r="DA28" s="36">
        <f t="shared" ca="1" si="53"/>
        <v>48.631627179769687</v>
      </c>
      <c r="DB28" s="36">
        <f t="shared" ca="1" si="53"/>
        <v>49.251346900797337</v>
      </c>
      <c r="DC28" s="36">
        <f t="shared" ca="1" si="53"/>
        <v>49.074734784211529</v>
      </c>
      <c r="DD28" s="36">
        <f t="shared" ca="1" si="53"/>
        <v>49.927719547268225</v>
      </c>
      <c r="DE28" s="36">
        <f t="shared" ca="1" si="53"/>
        <v>50.187203728893756</v>
      </c>
      <c r="DF28" s="36">
        <f t="shared" ca="1" si="53"/>
        <v>50.476022538207971</v>
      </c>
      <c r="DG28" s="36">
        <f t="shared" ca="1" si="53"/>
        <v>50.11552552771473</v>
      </c>
      <c r="DH28" s="36">
        <f t="shared" ca="1" si="53"/>
        <v>49.608601828052613</v>
      </c>
      <c r="DI28" s="36">
        <f t="shared" ca="1" si="53"/>
        <v>49.194752205818993</v>
      </c>
      <c r="DJ28" s="36">
        <f t="shared" ca="1" si="53"/>
        <v>48.961205367546853</v>
      </c>
      <c r="DK28" s="36">
        <f t="shared" ca="1" si="53"/>
        <v>48.462212722894733</v>
      </c>
      <c r="DL28" s="36">
        <f t="shared" ca="1" si="53"/>
        <v>48.285874344271264</v>
      </c>
      <c r="DM28" s="36">
        <f t="shared" ca="1" si="53"/>
        <v>48.369992938128853</v>
      </c>
      <c r="DN28" s="36">
        <f t="shared" ca="1" si="53"/>
        <v>48.579832219205663</v>
      </c>
      <c r="DO28" s="36">
        <f t="shared" ca="1" si="53"/>
        <v>48.277173916008927</v>
      </c>
      <c r="DP28" s="36">
        <f t="shared" ca="1" si="53"/>
        <v>47.948792352358062</v>
      </c>
      <c r="DQ28" s="36">
        <f t="shared" ca="1" si="53"/>
        <v>48.63903958959564</v>
      </c>
      <c r="DR28" s="36">
        <f t="shared" ca="1" si="53"/>
        <v>49.790526368745716</v>
      </c>
      <c r="DS28" s="36">
        <f t="shared" ca="1" si="53"/>
        <v>49.515599553404662</v>
      </c>
      <c r="DT28" s="36">
        <f t="shared" ca="1" si="53"/>
        <v>49.759664099678375</v>
      </c>
      <c r="DU28" s="36">
        <f t="shared" ca="1" si="53"/>
        <v>50.219895483298025</v>
      </c>
      <c r="DV28" s="36">
        <f t="shared" ca="1" si="53"/>
        <v>50.646024915441899</v>
      </c>
      <c r="DW28" s="36">
        <f t="shared" ca="1" si="53"/>
        <v>50.514649005043232</v>
      </c>
      <c r="DX28" s="36">
        <f t="shared" ca="1" si="53"/>
        <v>49.994012703051816</v>
      </c>
      <c r="DY28" s="36">
        <f t="shared" ca="1" si="53"/>
        <v>50.250999173157602</v>
      </c>
      <c r="DZ28" s="36">
        <f t="shared" ca="1" si="53"/>
        <v>49.671949157925688</v>
      </c>
      <c r="EA28" s="36">
        <f t="shared" ca="1" si="53"/>
        <v>49.915095061230559</v>
      </c>
      <c r="EB28" s="36">
        <f t="shared" ca="1" si="53"/>
        <v>50.383629559578871</v>
      </c>
      <c r="EC28" s="36">
        <f t="shared" ca="1" si="28"/>
        <v>50.65426623467156</v>
      </c>
      <c r="ED28" s="36">
        <f t="shared" ca="1" si="26"/>
        <v>50.861061985652853</v>
      </c>
      <c r="EE28" s="36">
        <f t="shared" ca="1" si="26"/>
        <v>51.072939880565883</v>
      </c>
      <c r="EF28" s="36">
        <f t="shared" ca="1" si="26"/>
        <v>50.944544716050608</v>
      </c>
      <c r="EG28" s="36">
        <f t="shared" ca="1" si="26"/>
        <v>51.441272859232697</v>
      </c>
      <c r="EH28" s="36">
        <f t="shared" ca="1" si="26"/>
        <v>50.999801489514951</v>
      </c>
      <c r="EI28" s="36">
        <f t="shared" ca="1" si="26"/>
        <v>52.60763324150092</v>
      </c>
      <c r="EJ28" s="36">
        <f t="shared" ca="1" si="26"/>
        <v>52.923632748689386</v>
      </c>
      <c r="EK28" s="36">
        <f t="shared" ref="EK28:GV32" ca="1" si="61">EJ28*EXP(($B$3-$B$4^2/2)*1+$B$4*_xlfn.NORM.S.INV(RAND()))</f>
        <v>52.831484568984934</v>
      </c>
      <c r="EL28" s="36">
        <f t="shared" ca="1" si="61"/>
        <v>53.260134336184223</v>
      </c>
      <c r="EM28" s="36">
        <f t="shared" ca="1" si="61"/>
        <v>53.088599227764696</v>
      </c>
      <c r="EN28" s="36">
        <f t="shared" ca="1" si="61"/>
        <v>52.808406443687694</v>
      </c>
      <c r="EO28" s="36">
        <f t="shared" ca="1" si="61"/>
        <v>51.349518499450618</v>
      </c>
      <c r="EP28" s="36">
        <f t="shared" ca="1" si="61"/>
        <v>50.496392268203898</v>
      </c>
      <c r="EQ28" s="36">
        <f t="shared" ca="1" si="61"/>
        <v>49.842780795803826</v>
      </c>
      <c r="ER28" s="36">
        <f t="shared" ca="1" si="61"/>
        <v>49.417048509437869</v>
      </c>
      <c r="ES28" s="36">
        <f t="shared" ca="1" si="61"/>
        <v>48.338087773233994</v>
      </c>
      <c r="ET28" s="36">
        <f t="shared" ca="1" si="61"/>
        <v>48.15798247394229</v>
      </c>
      <c r="EU28" s="36">
        <f t="shared" ca="1" si="61"/>
        <v>47.981399879242154</v>
      </c>
      <c r="EV28" s="36">
        <f t="shared" ca="1" si="61"/>
        <v>48.863663612115218</v>
      </c>
      <c r="EW28" s="36">
        <f t="shared" ca="1" si="61"/>
        <v>50.033969075271202</v>
      </c>
      <c r="EX28" s="36">
        <f t="shared" ca="1" si="61"/>
        <v>51.480819976516344</v>
      </c>
      <c r="EY28" s="36">
        <f t="shared" ca="1" si="61"/>
        <v>51.430970242008335</v>
      </c>
      <c r="EZ28" s="36">
        <f t="shared" ca="1" si="61"/>
        <v>50.849059878989159</v>
      </c>
      <c r="FA28" s="36">
        <f t="shared" ca="1" si="61"/>
        <v>50.788040396775877</v>
      </c>
      <c r="FB28" s="36">
        <f t="shared" ca="1" si="61"/>
        <v>50.445253939054446</v>
      </c>
      <c r="FC28" s="36">
        <f t="shared" ca="1" si="61"/>
        <v>51.159664144434501</v>
      </c>
      <c r="FD28" s="36">
        <f t="shared" ca="1" si="61"/>
        <v>51.164473634711555</v>
      </c>
      <c r="FE28" s="36">
        <f t="shared" ca="1" si="61"/>
        <v>51.721544445336356</v>
      </c>
      <c r="FF28" s="36">
        <f t="shared" ca="1" si="61"/>
        <v>52.303383842922301</v>
      </c>
      <c r="FG28" s="36">
        <f t="shared" ca="1" si="61"/>
        <v>51.634153196465242</v>
      </c>
      <c r="FH28" s="36">
        <f t="shared" ca="1" si="61"/>
        <v>50.989333083555096</v>
      </c>
      <c r="FI28" s="36">
        <f t="shared" ca="1" si="61"/>
        <v>52.131623217810137</v>
      </c>
      <c r="FJ28" s="36">
        <f t="shared" ca="1" si="61"/>
        <v>52.62853764705482</v>
      </c>
      <c r="FK28" s="36">
        <f t="shared" ca="1" si="61"/>
        <v>52.083541555087137</v>
      </c>
      <c r="FL28" s="36">
        <f t="shared" ca="1" si="61"/>
        <v>51.493171461430293</v>
      </c>
      <c r="FM28" s="36">
        <f t="shared" ca="1" si="61"/>
        <v>52.187582588854731</v>
      </c>
      <c r="FN28" s="36">
        <f t="shared" ca="1" si="61"/>
        <v>51.746304187514674</v>
      </c>
      <c r="FO28" s="36">
        <f t="shared" ca="1" si="61"/>
        <v>51.411294446538832</v>
      </c>
      <c r="FP28" s="36">
        <f t="shared" ca="1" si="61"/>
        <v>50.653077853857347</v>
      </c>
      <c r="FQ28" s="36">
        <f t="shared" ca="1" si="61"/>
        <v>49.984555640544592</v>
      </c>
      <c r="FR28" s="36">
        <f t="shared" ca="1" si="61"/>
        <v>49.366367220868327</v>
      </c>
      <c r="FS28" s="36">
        <f t="shared" ca="1" si="61"/>
        <v>49.126982135824171</v>
      </c>
      <c r="FT28" s="36">
        <f t="shared" ca="1" si="61"/>
        <v>49.336187308737649</v>
      </c>
      <c r="FU28" s="36">
        <f t="shared" ca="1" si="61"/>
        <v>49.316337572508452</v>
      </c>
      <c r="FV28" s="36">
        <f t="shared" ca="1" si="61"/>
        <v>49.78084431846073</v>
      </c>
      <c r="FW28" s="36">
        <f t="shared" ca="1" si="61"/>
        <v>50.28821710350558</v>
      </c>
      <c r="FX28" s="36">
        <f t="shared" ca="1" si="61"/>
        <v>50.681903113052591</v>
      </c>
      <c r="FY28" s="36">
        <f t="shared" ca="1" si="61"/>
        <v>51.120349204537639</v>
      </c>
      <c r="FZ28" s="36">
        <f t="shared" ca="1" si="61"/>
        <v>51.212412012658987</v>
      </c>
      <c r="GA28" s="36">
        <f t="shared" ca="1" si="61"/>
        <v>51.123996465724325</v>
      </c>
      <c r="GB28" s="36">
        <f t="shared" ca="1" si="61"/>
        <v>51.239680197054781</v>
      </c>
      <c r="GC28" s="36">
        <f t="shared" ca="1" si="61"/>
        <v>51.946134730936116</v>
      </c>
      <c r="GD28" s="36">
        <f t="shared" ca="1" si="61"/>
        <v>53.194485401615061</v>
      </c>
      <c r="GE28" s="36">
        <f t="shared" ca="1" si="61"/>
        <v>52.933774963840371</v>
      </c>
      <c r="GF28" s="36">
        <f t="shared" ca="1" si="61"/>
        <v>52.900418690842962</v>
      </c>
      <c r="GG28" s="36">
        <f t="shared" ca="1" si="61"/>
        <v>51.734628328004071</v>
      </c>
      <c r="GH28" s="36">
        <f t="shared" ca="1" si="61"/>
        <v>51.663963038505493</v>
      </c>
      <c r="GI28" s="36">
        <f t="shared" ca="1" si="61"/>
        <v>51.560330276458338</v>
      </c>
      <c r="GJ28" s="36">
        <f t="shared" ca="1" si="61"/>
        <v>51.239207433859846</v>
      </c>
      <c r="GK28" s="36">
        <f t="shared" ca="1" si="61"/>
        <v>50.741244810113457</v>
      </c>
      <c r="GL28" s="36">
        <f t="shared" ca="1" si="61"/>
        <v>50.544752666910284</v>
      </c>
      <c r="GM28" s="36">
        <f t="shared" ca="1" si="61"/>
        <v>50.783271011814236</v>
      </c>
      <c r="GN28" s="36">
        <f t="shared" ca="1" si="61"/>
        <v>51.294432244415283</v>
      </c>
      <c r="GO28" s="36">
        <f t="shared" ca="1" si="61"/>
        <v>51.698733702396154</v>
      </c>
      <c r="GP28" s="36">
        <f t="shared" ca="1" si="61"/>
        <v>51.310224756285137</v>
      </c>
      <c r="GQ28" s="36">
        <f t="shared" ca="1" si="61"/>
        <v>52.973201306584336</v>
      </c>
      <c r="GR28" s="36">
        <f t="shared" ca="1" si="61"/>
        <v>53.222650437564653</v>
      </c>
      <c r="GS28" s="36">
        <f t="shared" ca="1" si="61"/>
        <v>54.27896732487774</v>
      </c>
      <c r="GT28" s="36">
        <f t="shared" ca="1" si="61"/>
        <v>53.155228715814317</v>
      </c>
      <c r="GU28" s="36">
        <f t="shared" ca="1" si="61"/>
        <v>54.49805268786448</v>
      </c>
      <c r="GV28" s="36">
        <f t="shared" ca="1" si="61"/>
        <v>55.482740084093422</v>
      </c>
      <c r="GW28" s="36">
        <f t="shared" ca="1" si="59"/>
        <v>56.235645890705598</v>
      </c>
      <c r="GX28" s="36">
        <f t="shared" ca="1" si="59"/>
        <v>56.059337892471973</v>
      </c>
      <c r="GY28" s="36">
        <f t="shared" ca="1" si="59"/>
        <v>56.238528943905251</v>
      </c>
      <c r="GZ28" s="36">
        <f t="shared" ca="1" si="59"/>
        <v>56.229297997374545</v>
      </c>
      <c r="HA28" s="36">
        <f t="shared" ca="1" si="59"/>
        <v>55.425844007059226</v>
      </c>
      <c r="HB28" s="36">
        <f t="shared" ca="1" si="59"/>
        <v>55.337208791625073</v>
      </c>
      <c r="HC28" s="36">
        <f t="shared" ca="1" si="59"/>
        <v>54.331266410582288</v>
      </c>
      <c r="HD28" s="36">
        <f t="shared" ca="1" si="59"/>
        <v>54.495966488998796</v>
      </c>
      <c r="HE28" s="36">
        <f t="shared" ca="1" si="59"/>
        <v>53.615187426095289</v>
      </c>
      <c r="HF28" s="36">
        <f t="shared" ca="1" si="59"/>
        <v>53.563506321592975</v>
      </c>
      <c r="HG28" s="36">
        <f t="shared" ca="1" si="59"/>
        <v>53.330231817798271</v>
      </c>
      <c r="HH28" s="36">
        <f t="shared" ca="1" si="59"/>
        <v>52.186717595459953</v>
      </c>
      <c r="HI28" s="36">
        <f t="shared" ca="1" si="59"/>
        <v>52.364189265269346</v>
      </c>
      <c r="HJ28" s="36">
        <f t="shared" ca="1" si="59"/>
        <v>53.439517899214579</v>
      </c>
      <c r="HK28" s="36">
        <f t="shared" ca="1" si="59"/>
        <v>53.303007218330677</v>
      </c>
      <c r="HL28" s="36">
        <f t="shared" ref="HL28:HT28" ca="1" si="62">HK28*EXP(($B$3-$B$4^2/2)*1+$B$4*_xlfn.NORM.S.INV(RAND()))</f>
        <v>54.079504737074927</v>
      </c>
      <c r="HM28" s="36">
        <f t="shared" ca="1" si="62"/>
        <v>54.780140601085328</v>
      </c>
      <c r="HN28" s="36">
        <f t="shared" ca="1" si="62"/>
        <v>54.438762598257497</v>
      </c>
      <c r="HO28" s="36">
        <f t="shared" ca="1" si="62"/>
        <v>53.442114682389601</v>
      </c>
      <c r="HP28" s="36">
        <f t="shared" ca="1" si="62"/>
        <v>53.10369026546428</v>
      </c>
      <c r="HQ28" s="36">
        <f t="shared" ca="1" si="62"/>
        <v>52.316873859074612</v>
      </c>
      <c r="HR28" s="36">
        <f t="shared" ca="1" si="62"/>
        <v>51.649029650235946</v>
      </c>
      <c r="HS28" s="36">
        <f t="shared" ca="1" si="62"/>
        <v>52.264651771358842</v>
      </c>
      <c r="HT28" s="36">
        <f t="shared" ca="1" si="62"/>
        <v>52.870265328638631</v>
      </c>
      <c r="HU28" s="36">
        <f t="shared" ca="1" si="52"/>
        <v>51.505803185573633</v>
      </c>
      <c r="HV28" s="36">
        <f t="shared" ca="1" si="52"/>
        <v>50.97971612087067</v>
      </c>
      <c r="HW28" s="36">
        <f t="shared" ca="1" si="52"/>
        <v>50.91163825962505</v>
      </c>
      <c r="HX28" s="36">
        <f t="shared" ca="1" si="52"/>
        <v>51.591089985752404</v>
      </c>
      <c r="HY28" s="36">
        <f t="shared" ca="1" si="52"/>
        <v>52.414091488634696</v>
      </c>
      <c r="HZ28" s="36">
        <f t="shared" ca="1" si="52"/>
        <v>53.092342713545264</v>
      </c>
      <c r="IA28" s="36">
        <f t="shared" ca="1" si="52"/>
        <v>53.401995667908324</v>
      </c>
      <c r="IB28" s="36">
        <f t="shared" ca="1" si="52"/>
        <v>53.504884493625561</v>
      </c>
      <c r="IC28" s="36">
        <f t="shared" ca="1" si="52"/>
        <v>54.980305557676772</v>
      </c>
      <c r="ID28" s="36">
        <f t="shared" ca="1" si="52"/>
        <v>55.155460804203415</v>
      </c>
      <c r="IE28" s="36">
        <f t="shared" ca="1" si="52"/>
        <v>55.09287285328849</v>
      </c>
      <c r="IF28" s="36">
        <f t="shared" ca="1" si="52"/>
        <v>54.84856347192914</v>
      </c>
      <c r="IG28" s="36">
        <f t="shared" ca="1" si="52"/>
        <v>54.872208653719632</v>
      </c>
      <c r="IH28" s="36">
        <f t="shared" ca="1" si="52"/>
        <v>55.560134588838771</v>
      </c>
      <c r="II28" s="36">
        <f t="shared" ca="1" si="52"/>
        <v>56.642649697588766</v>
      </c>
      <c r="IJ28" s="36">
        <f t="shared" ca="1" si="52"/>
        <v>55.460595588438565</v>
      </c>
      <c r="IK28" s="36">
        <f t="shared" ca="1" si="52"/>
        <v>56.294625733420716</v>
      </c>
      <c r="IL28" s="36">
        <f t="shared" ca="1" si="52"/>
        <v>56.361905053325636</v>
      </c>
      <c r="IM28" s="36">
        <f t="shared" ca="1" si="52"/>
        <v>56.126817174806177</v>
      </c>
      <c r="IN28" s="36">
        <f t="shared" ca="1" si="52"/>
        <v>55.525443516231462</v>
      </c>
      <c r="IO28" s="36">
        <f t="shared" ca="1" si="52"/>
        <v>55.871560718121891</v>
      </c>
      <c r="IP28" s="36">
        <f t="shared" ca="1" si="52"/>
        <v>57.220890675315665</v>
      </c>
      <c r="IQ28" s="36">
        <f t="shared" ca="1" si="52"/>
        <v>55.404699368828908</v>
      </c>
      <c r="IR28" s="36">
        <f t="shared" ca="1" si="52"/>
        <v>56.190335947838861</v>
      </c>
      <c r="IS28" s="36">
        <f t="shared" ca="1" si="52"/>
        <v>56.56124433732306</v>
      </c>
      <c r="IT28" s="36">
        <f t="shared" ca="1" si="52"/>
        <v>56.276462280026415</v>
      </c>
      <c r="IU28" s="36">
        <f t="shared" ca="1" si="52"/>
        <v>56.122763877543903</v>
      </c>
    </row>
    <row r="29" spans="1:255" x14ac:dyDescent="0.2">
      <c r="A29" s="36"/>
      <c r="B29">
        <v>19</v>
      </c>
      <c r="C29" s="36">
        <v>50</v>
      </c>
      <c r="D29" s="36">
        <f t="shared" ca="1" si="14"/>
        <v>50.349442333724916</v>
      </c>
      <c r="E29" s="36">
        <f t="shared" ca="1" si="14"/>
        <v>50.469168727801289</v>
      </c>
      <c r="F29" s="36">
        <f t="shared" ca="1" si="56"/>
        <v>50.078142548374537</v>
      </c>
      <c r="G29" s="36">
        <f t="shared" ca="1" si="56"/>
        <v>50.56028525274575</v>
      </c>
      <c r="H29" s="36">
        <f t="shared" ca="1" si="56"/>
        <v>50.9582955463068</v>
      </c>
      <c r="I29" s="36">
        <f t="shared" ca="1" si="56"/>
        <v>50.696127078760519</v>
      </c>
      <c r="J29" s="36">
        <f t="shared" ca="1" si="56"/>
        <v>50.507535463361187</v>
      </c>
      <c r="K29" s="36">
        <f t="shared" ca="1" si="56"/>
        <v>51.088993722739787</v>
      </c>
      <c r="L29" s="36">
        <f t="shared" ca="1" si="56"/>
        <v>51.231311050074922</v>
      </c>
      <c r="M29" s="36">
        <f t="shared" ca="1" si="56"/>
        <v>51.533545721939092</v>
      </c>
      <c r="N29" s="36">
        <f t="shared" ca="1" si="56"/>
        <v>51.948212421671833</v>
      </c>
      <c r="O29" s="36">
        <f t="shared" ca="1" si="56"/>
        <v>51.881696000277252</v>
      </c>
      <c r="P29" s="36">
        <f t="shared" ca="1" si="56"/>
        <v>52.303473064669497</v>
      </c>
      <c r="Q29" s="36">
        <f t="shared" ca="1" si="56"/>
        <v>51.857322813493539</v>
      </c>
      <c r="R29" s="36">
        <f t="shared" ca="1" si="56"/>
        <v>51.613760586835419</v>
      </c>
      <c r="S29" s="36">
        <f t="shared" ca="1" si="56"/>
        <v>51.233268762397216</v>
      </c>
      <c r="T29" s="36">
        <f t="shared" ca="1" si="56"/>
        <v>50.825559700020378</v>
      </c>
      <c r="U29" s="36">
        <f t="shared" ca="1" si="56"/>
        <v>51.277808192878993</v>
      </c>
      <c r="V29" s="36">
        <f t="shared" ca="1" si="56"/>
        <v>49.931885151557893</v>
      </c>
      <c r="W29" s="36">
        <f t="shared" ca="1" si="56"/>
        <v>50.299744323718379</v>
      </c>
      <c r="X29" s="36">
        <f t="shared" ca="1" si="56"/>
        <v>50.247305594243088</v>
      </c>
      <c r="Y29" s="36">
        <f t="shared" ca="1" si="56"/>
        <v>49.83508063101376</v>
      </c>
      <c r="Z29" s="36">
        <f t="shared" ca="1" si="56"/>
        <v>49.84459867232998</v>
      </c>
      <c r="AA29" s="36">
        <f t="shared" ca="1" si="56"/>
        <v>49.375165682994272</v>
      </c>
      <c r="AB29" s="36">
        <f t="shared" ca="1" si="56"/>
        <v>48.587451938523422</v>
      </c>
      <c r="AC29" s="36">
        <f t="shared" ca="1" si="56"/>
        <v>47.736016407580806</v>
      </c>
      <c r="AD29" s="36">
        <f t="shared" ca="1" si="56"/>
        <v>46.654409201575227</v>
      </c>
      <c r="AE29" s="36">
        <f t="shared" ca="1" si="56"/>
        <v>46.637910818969104</v>
      </c>
      <c r="AF29" s="36">
        <f t="shared" ca="1" si="56"/>
        <v>46.167575365037969</v>
      </c>
      <c r="AG29" s="36">
        <f t="shared" ca="1" si="56"/>
        <v>46.351538020005457</v>
      </c>
      <c r="AH29" s="36">
        <f t="shared" ca="1" si="56"/>
        <v>47.235647955494535</v>
      </c>
      <c r="AI29" s="36">
        <f t="shared" ca="1" si="56"/>
        <v>47.130127937122566</v>
      </c>
      <c r="AJ29" s="36">
        <f t="shared" ca="1" si="56"/>
        <v>47.559639362699258</v>
      </c>
      <c r="AK29" s="36">
        <f t="shared" ca="1" si="56"/>
        <v>48.086499350646911</v>
      </c>
      <c r="AL29" s="36">
        <f t="shared" ca="1" si="56"/>
        <v>49.445495934453625</v>
      </c>
      <c r="AM29" s="36">
        <f t="shared" ca="1" si="56"/>
        <v>49.716382262263778</v>
      </c>
      <c r="AN29" s="36">
        <f t="shared" ca="1" si="56"/>
        <v>50.2525503373611</v>
      </c>
      <c r="AO29" s="36">
        <f t="shared" ca="1" si="56"/>
        <v>50.648975560185164</v>
      </c>
      <c r="AP29" s="36">
        <f t="shared" ca="1" si="56"/>
        <v>50.193616291596307</v>
      </c>
      <c r="AQ29" s="36">
        <f t="shared" ca="1" si="56"/>
        <v>51.649712276992751</v>
      </c>
      <c r="AR29" s="36">
        <f t="shared" ca="1" si="56"/>
        <v>52.486886265253339</v>
      </c>
      <c r="AS29" s="36">
        <f t="shared" ca="1" si="56"/>
        <v>51.800080790997988</v>
      </c>
      <c r="AT29" s="36">
        <f t="shared" ca="1" si="56"/>
        <v>52.042546851423296</v>
      </c>
      <c r="AU29" s="36">
        <f t="shared" ca="1" si="56"/>
        <v>51.922877173334278</v>
      </c>
      <c r="AV29" s="36">
        <f t="shared" ca="1" si="56"/>
        <v>51.515178392174263</v>
      </c>
      <c r="AW29" s="36">
        <f t="shared" ca="1" si="56"/>
        <v>50.656740862157079</v>
      </c>
      <c r="AX29" s="36">
        <f t="shared" ca="1" si="56"/>
        <v>51.221399762191552</v>
      </c>
      <c r="AY29" s="36">
        <f t="shared" ca="1" si="56"/>
        <v>52.106728572292745</v>
      </c>
      <c r="AZ29" s="36">
        <f t="shared" ca="1" si="56"/>
        <v>51.708702654021593</v>
      </c>
      <c r="BA29" s="36">
        <f t="shared" ca="1" si="56"/>
        <v>51.925556276955739</v>
      </c>
      <c r="BB29" s="36">
        <f t="shared" ca="1" si="56"/>
        <v>52.908346989465635</v>
      </c>
      <c r="BC29" s="36">
        <f t="shared" ca="1" si="56"/>
        <v>52.383949102247492</v>
      </c>
      <c r="BD29" s="36">
        <f t="shared" ca="1" si="56"/>
        <v>53.33118094200055</v>
      </c>
      <c r="BE29" s="36">
        <f t="shared" ca="1" si="56"/>
        <v>52.947352098997264</v>
      </c>
      <c r="BF29" s="36">
        <f t="shared" ca="1" si="56"/>
        <v>54.431520654486292</v>
      </c>
      <c r="BG29" s="36">
        <f t="shared" ca="1" si="56"/>
        <v>53.442583087471192</v>
      </c>
      <c r="BH29" s="36">
        <f t="shared" ca="1" si="56"/>
        <v>53.6314270905469</v>
      </c>
      <c r="BI29" s="36">
        <f t="shared" ca="1" si="56"/>
        <v>54.252339337206372</v>
      </c>
      <c r="BJ29" s="36">
        <f t="shared" ca="1" si="56"/>
        <v>53.717123699871088</v>
      </c>
      <c r="BK29" s="36">
        <f t="shared" ca="1" si="56"/>
        <v>53.964252170096998</v>
      </c>
      <c r="BL29" s="36">
        <f t="shared" ca="1" si="56"/>
        <v>55.834012862902291</v>
      </c>
      <c r="BM29" s="36">
        <f t="shared" ca="1" si="56"/>
        <v>55.938990447413559</v>
      </c>
      <c r="BN29" s="36">
        <f t="shared" ca="1" si="56"/>
        <v>54.919931944785382</v>
      </c>
      <c r="BO29" s="36">
        <f t="shared" ca="1" si="56"/>
        <v>55.111257130811275</v>
      </c>
      <c r="BP29" s="36">
        <f t="shared" ca="1" si="56"/>
        <v>55.138740029663886</v>
      </c>
      <c r="BQ29" s="36">
        <f t="shared" ref="BQ29:EB32" ca="1" si="63">BP29*EXP(($B$3-$B$4^2/2)*1+$B$4*_xlfn.NORM.S.INV(RAND()))</f>
        <v>54.471365179203431</v>
      </c>
      <c r="BR29" s="36">
        <f t="shared" ca="1" si="63"/>
        <v>53.496193321607464</v>
      </c>
      <c r="BS29" s="36">
        <f t="shared" ca="1" si="63"/>
        <v>53.710230336422718</v>
      </c>
      <c r="BT29" s="36">
        <f t="shared" ca="1" si="63"/>
        <v>54.254324610385076</v>
      </c>
      <c r="BU29" s="36">
        <f t="shared" ca="1" si="63"/>
        <v>53.645656132375699</v>
      </c>
      <c r="BV29" s="36">
        <f t="shared" ca="1" si="63"/>
        <v>53.844749390122828</v>
      </c>
      <c r="BW29" s="36">
        <f t="shared" ca="1" si="63"/>
        <v>53.037552972149896</v>
      </c>
      <c r="BX29" s="36">
        <f t="shared" ca="1" si="63"/>
        <v>53.242867933639694</v>
      </c>
      <c r="BY29" s="36">
        <f t="shared" ca="1" si="63"/>
        <v>54.367475262276926</v>
      </c>
      <c r="BZ29" s="36">
        <f t="shared" ca="1" si="63"/>
        <v>56.28318559636422</v>
      </c>
      <c r="CA29" s="36">
        <f t="shared" ca="1" si="63"/>
        <v>56.749421556564847</v>
      </c>
      <c r="CB29" s="36">
        <f t="shared" ca="1" si="63"/>
        <v>56.801153546925342</v>
      </c>
      <c r="CC29" s="36">
        <f t="shared" ca="1" si="63"/>
        <v>55.862291413771516</v>
      </c>
      <c r="CD29" s="36">
        <f t="shared" ca="1" si="63"/>
        <v>55.532026875695983</v>
      </c>
      <c r="CE29" s="36">
        <f t="shared" ca="1" si="63"/>
        <v>55.257550175993146</v>
      </c>
      <c r="CF29" s="36">
        <f t="shared" ca="1" si="63"/>
        <v>55.403782080845893</v>
      </c>
      <c r="CG29" s="36">
        <f t="shared" ca="1" si="63"/>
        <v>54.80838107769965</v>
      </c>
      <c r="CH29" s="36">
        <f t="shared" ca="1" si="63"/>
        <v>54.504464448810296</v>
      </c>
      <c r="CI29" s="36">
        <f t="shared" ca="1" si="63"/>
        <v>55.433298164473413</v>
      </c>
      <c r="CJ29" s="36">
        <f t="shared" ca="1" si="63"/>
        <v>54.013455387408719</v>
      </c>
      <c r="CK29" s="36">
        <f t="shared" ca="1" si="63"/>
        <v>53.657166135956736</v>
      </c>
      <c r="CL29" s="36">
        <f t="shared" ca="1" si="63"/>
        <v>52.916199004697603</v>
      </c>
      <c r="CM29" s="36">
        <f t="shared" ca="1" si="63"/>
        <v>53.062016130938069</v>
      </c>
      <c r="CN29" s="36">
        <f t="shared" ca="1" si="63"/>
        <v>52.592472469294741</v>
      </c>
      <c r="CO29" s="36">
        <f t="shared" ca="1" si="63"/>
        <v>53.063422778359104</v>
      </c>
      <c r="CP29" s="36">
        <f t="shared" ca="1" si="63"/>
        <v>53.91285846810198</v>
      </c>
      <c r="CQ29" s="36">
        <f t="shared" ca="1" si="63"/>
        <v>54.718429037881421</v>
      </c>
      <c r="CR29" s="36">
        <f t="shared" ca="1" si="63"/>
        <v>55.570843208040728</v>
      </c>
      <c r="CS29" s="36">
        <f t="shared" ca="1" si="63"/>
        <v>54.481828791080268</v>
      </c>
      <c r="CT29" s="36">
        <f t="shared" ca="1" si="63"/>
        <v>54.526980318499938</v>
      </c>
      <c r="CU29" s="36">
        <f t="shared" ca="1" si="63"/>
        <v>55.264898226026922</v>
      </c>
      <c r="CV29" s="36">
        <f t="shared" ca="1" si="63"/>
        <v>55.044761505256318</v>
      </c>
      <c r="CW29" s="36">
        <f t="shared" ca="1" si="63"/>
        <v>55.646017879800191</v>
      </c>
      <c r="CX29" s="36">
        <f t="shared" ca="1" si="63"/>
        <v>55.850940518775758</v>
      </c>
      <c r="CY29" s="36">
        <f t="shared" ca="1" si="63"/>
        <v>54.904788001848559</v>
      </c>
      <c r="CZ29" s="36">
        <f t="shared" ca="1" si="63"/>
        <v>55.077795104492687</v>
      </c>
      <c r="DA29" s="36">
        <f t="shared" ca="1" si="63"/>
        <v>55.711695546103428</v>
      </c>
      <c r="DB29" s="36">
        <f t="shared" ca="1" si="63"/>
        <v>56.164546557397564</v>
      </c>
      <c r="DC29" s="36">
        <f t="shared" ca="1" si="63"/>
        <v>55.273977876973696</v>
      </c>
      <c r="DD29" s="36">
        <f t="shared" ca="1" si="63"/>
        <v>54.992337241790835</v>
      </c>
      <c r="DE29" s="36">
        <f t="shared" ca="1" si="63"/>
        <v>54.657707707796256</v>
      </c>
      <c r="DF29" s="36">
        <f t="shared" ca="1" si="63"/>
        <v>55.14672327489113</v>
      </c>
      <c r="DG29" s="36">
        <f t="shared" ca="1" si="63"/>
        <v>54.801869808115335</v>
      </c>
      <c r="DH29" s="36">
        <f t="shared" ca="1" si="63"/>
        <v>55.801029985478095</v>
      </c>
      <c r="DI29" s="36">
        <f t="shared" ca="1" si="63"/>
        <v>56.375482321468319</v>
      </c>
      <c r="DJ29" s="36">
        <f t="shared" ca="1" si="63"/>
        <v>57.332459734290985</v>
      </c>
      <c r="DK29" s="36">
        <f t="shared" ca="1" si="63"/>
        <v>58.320841748182772</v>
      </c>
      <c r="DL29" s="36">
        <f t="shared" ca="1" si="63"/>
        <v>57.013347286812426</v>
      </c>
      <c r="DM29" s="36">
        <f t="shared" ca="1" si="63"/>
        <v>56.517792613764712</v>
      </c>
      <c r="DN29" s="36">
        <f t="shared" ca="1" si="63"/>
        <v>56.545802868196674</v>
      </c>
      <c r="DO29" s="36">
        <f t="shared" ca="1" si="63"/>
        <v>57.37093281632697</v>
      </c>
      <c r="DP29" s="36">
        <f t="shared" ca="1" si="63"/>
        <v>56.454833495082667</v>
      </c>
      <c r="DQ29" s="36">
        <f t="shared" ca="1" si="63"/>
        <v>57.112916941671678</v>
      </c>
      <c r="DR29" s="36">
        <f t="shared" ca="1" si="63"/>
        <v>56.577613295147692</v>
      </c>
      <c r="DS29" s="36">
        <f t="shared" ca="1" si="63"/>
        <v>56.731673583543888</v>
      </c>
      <c r="DT29" s="36">
        <f t="shared" ca="1" si="63"/>
        <v>57.136731761719673</v>
      </c>
      <c r="DU29" s="36">
        <f t="shared" ca="1" si="63"/>
        <v>57.180334977556761</v>
      </c>
      <c r="DV29" s="36">
        <f t="shared" ca="1" si="63"/>
        <v>56.979687314130032</v>
      </c>
      <c r="DW29" s="36">
        <f t="shared" ca="1" si="63"/>
        <v>56.908841570896605</v>
      </c>
      <c r="DX29" s="36">
        <f t="shared" ca="1" si="63"/>
        <v>56.791526725866348</v>
      </c>
      <c r="DY29" s="36">
        <f t="shared" ca="1" si="63"/>
        <v>56.955165722289266</v>
      </c>
      <c r="DZ29" s="36">
        <f t="shared" ca="1" si="63"/>
        <v>56.946292561351228</v>
      </c>
      <c r="EA29" s="36">
        <f t="shared" ca="1" si="63"/>
        <v>58.345076684745848</v>
      </c>
      <c r="EB29" s="36">
        <f t="shared" ca="1" si="63"/>
        <v>58.644545733092123</v>
      </c>
      <c r="EC29" s="36">
        <f t="shared" ca="1" si="28"/>
        <v>58.024598318100281</v>
      </c>
      <c r="ED29" s="36">
        <f t="shared" ref="ED29:EV31" ca="1" si="64">EC29*EXP(($B$3-$B$4^2/2)*1+$B$4*_xlfn.NORM.S.INV(RAND()))</f>
        <v>58.53212996943526</v>
      </c>
      <c r="EE29" s="36">
        <f t="shared" ca="1" si="64"/>
        <v>57.415568909533455</v>
      </c>
      <c r="EF29" s="36">
        <f t="shared" ca="1" si="64"/>
        <v>57.354440726235616</v>
      </c>
      <c r="EG29" s="36">
        <f t="shared" ca="1" si="64"/>
        <v>58.659069859230748</v>
      </c>
      <c r="EH29" s="36">
        <f t="shared" ca="1" si="64"/>
        <v>58.912286110307861</v>
      </c>
      <c r="EI29" s="36">
        <f t="shared" ca="1" si="64"/>
        <v>58.948105606581414</v>
      </c>
      <c r="EJ29" s="36">
        <f t="shared" ca="1" si="64"/>
        <v>59.673974679770105</v>
      </c>
      <c r="EK29" s="36">
        <f t="shared" ca="1" si="64"/>
        <v>58.986844886662254</v>
      </c>
      <c r="EL29" s="36">
        <f t="shared" ca="1" si="64"/>
        <v>57.573570727621885</v>
      </c>
      <c r="EM29" s="36">
        <f t="shared" ca="1" si="64"/>
        <v>58.294218285438312</v>
      </c>
      <c r="EN29" s="36">
        <f t="shared" ca="1" si="64"/>
        <v>58.723903672643416</v>
      </c>
      <c r="EO29" s="36">
        <f t="shared" ca="1" si="64"/>
        <v>60.399515770661857</v>
      </c>
      <c r="EP29" s="36">
        <f t="shared" ca="1" si="64"/>
        <v>61.031824303503093</v>
      </c>
      <c r="EQ29" s="36">
        <f t="shared" ca="1" si="64"/>
        <v>60.752930074556701</v>
      </c>
      <c r="ER29" s="36">
        <f t="shared" ca="1" si="64"/>
        <v>61.18395971038175</v>
      </c>
      <c r="ES29" s="36">
        <f t="shared" ca="1" si="64"/>
        <v>61.694958992872188</v>
      </c>
      <c r="ET29" s="36">
        <f t="shared" ca="1" si="64"/>
        <v>61.999311696048473</v>
      </c>
      <c r="EU29" s="36">
        <f t="shared" ca="1" si="64"/>
        <v>61.843691971308779</v>
      </c>
      <c r="EV29" s="36">
        <f t="shared" ca="1" si="64"/>
        <v>62.571488853666843</v>
      </c>
      <c r="EW29" s="36">
        <f t="shared" ref="EW29" ca="1" si="65">EV29*EXP(($B$3-$B$4^2/2)*1+$B$4*_xlfn.NORM.S.INV(RAND()))</f>
        <v>63.070843348023423</v>
      </c>
      <c r="EX29" s="36">
        <f t="shared" ca="1" si="61"/>
        <v>62.567014998596555</v>
      </c>
      <c r="EY29" s="36">
        <f t="shared" ca="1" si="61"/>
        <v>62.336616311553541</v>
      </c>
      <c r="EZ29" s="36">
        <f t="shared" ca="1" si="61"/>
        <v>62.774463374248178</v>
      </c>
      <c r="FA29" s="36">
        <f t="shared" ca="1" si="61"/>
        <v>63.346895248197931</v>
      </c>
      <c r="FB29" s="36">
        <f t="shared" ca="1" si="61"/>
        <v>62.532869992284333</v>
      </c>
      <c r="FC29" s="36">
        <f t="shared" ca="1" si="61"/>
        <v>61.565998691182877</v>
      </c>
      <c r="FD29" s="36">
        <f t="shared" ca="1" si="61"/>
        <v>61.311217559199186</v>
      </c>
      <c r="FE29" s="36">
        <f t="shared" ca="1" si="61"/>
        <v>61.395584430669402</v>
      </c>
      <c r="FF29" s="36">
        <f t="shared" ca="1" si="61"/>
        <v>63.344843893547562</v>
      </c>
      <c r="FG29" s="36">
        <f t="shared" ca="1" si="61"/>
        <v>62.751265253709391</v>
      </c>
      <c r="FH29" s="36">
        <f t="shared" ca="1" si="61"/>
        <v>62.356519087755167</v>
      </c>
      <c r="FI29" s="36">
        <f t="shared" ca="1" si="61"/>
        <v>62.902907929059381</v>
      </c>
      <c r="FJ29" s="36">
        <f t="shared" ca="1" si="61"/>
        <v>62.005513627472311</v>
      </c>
      <c r="FK29" s="36">
        <f t="shared" ca="1" si="61"/>
        <v>61.831484033987287</v>
      </c>
      <c r="FL29" s="36">
        <f t="shared" ca="1" si="61"/>
        <v>62.197496961626818</v>
      </c>
      <c r="FM29" s="36">
        <f t="shared" ca="1" si="61"/>
        <v>62.253921615337433</v>
      </c>
      <c r="FN29" s="36">
        <f t="shared" ca="1" si="61"/>
        <v>63.212551823251324</v>
      </c>
      <c r="FO29" s="36">
        <f t="shared" ca="1" si="61"/>
        <v>63.086970063578022</v>
      </c>
      <c r="FP29" s="36">
        <f t="shared" ca="1" si="61"/>
        <v>64.603689323308103</v>
      </c>
      <c r="FQ29" s="36">
        <f t="shared" ca="1" si="61"/>
        <v>63.866692144691584</v>
      </c>
      <c r="FR29" s="36">
        <f t="shared" ca="1" si="61"/>
        <v>64.243251704038101</v>
      </c>
      <c r="FS29" s="36">
        <f t="shared" ca="1" si="61"/>
        <v>63.311157066379636</v>
      </c>
      <c r="FT29" s="36">
        <f t="shared" ca="1" si="61"/>
        <v>63.070043033751105</v>
      </c>
      <c r="FU29" s="36">
        <f t="shared" ca="1" si="61"/>
        <v>64.066158382187922</v>
      </c>
      <c r="FV29" s="36">
        <f t="shared" ca="1" si="61"/>
        <v>64.876215975748707</v>
      </c>
      <c r="FW29" s="36">
        <f t="shared" ca="1" si="61"/>
        <v>65.185861312818645</v>
      </c>
      <c r="FX29" s="36">
        <f t="shared" ca="1" si="61"/>
        <v>64.609168812085784</v>
      </c>
      <c r="FY29" s="36">
        <f t="shared" ca="1" si="61"/>
        <v>64.313134751443044</v>
      </c>
      <c r="FZ29" s="36">
        <f t="shared" ca="1" si="61"/>
        <v>63.857508584765768</v>
      </c>
      <c r="GA29" s="36">
        <f t="shared" ca="1" si="61"/>
        <v>64.793079735256697</v>
      </c>
      <c r="GB29" s="36">
        <f t="shared" ca="1" si="61"/>
        <v>64.353725697748303</v>
      </c>
      <c r="GC29" s="36">
        <f t="shared" ca="1" si="61"/>
        <v>63.412023100317015</v>
      </c>
      <c r="GD29" s="36">
        <f t="shared" ca="1" si="61"/>
        <v>63.026109223139123</v>
      </c>
      <c r="GE29" s="36">
        <f t="shared" ca="1" si="61"/>
        <v>64.078237740665074</v>
      </c>
      <c r="GF29" s="36">
        <f t="shared" ca="1" si="61"/>
        <v>64.82033428014114</v>
      </c>
      <c r="GG29" s="36">
        <f t="shared" ca="1" si="61"/>
        <v>65.106918722262137</v>
      </c>
      <c r="GH29" s="36">
        <f t="shared" ca="1" si="61"/>
        <v>63.637836262756643</v>
      </c>
      <c r="GI29" s="36">
        <f t="shared" ca="1" si="61"/>
        <v>64.376756408086251</v>
      </c>
      <c r="GJ29" s="36">
        <f t="shared" ca="1" si="61"/>
        <v>64.970423721589754</v>
      </c>
      <c r="GK29" s="36">
        <f t="shared" ca="1" si="61"/>
        <v>64.562852795951514</v>
      </c>
      <c r="GL29" s="36">
        <f t="shared" ca="1" si="61"/>
        <v>65.672334204093602</v>
      </c>
      <c r="GM29" s="36">
        <f t="shared" ca="1" si="61"/>
        <v>66.735418661908639</v>
      </c>
      <c r="GN29" s="36">
        <f t="shared" ca="1" si="61"/>
        <v>66.546166959224848</v>
      </c>
      <c r="GO29" s="36">
        <f t="shared" ca="1" si="61"/>
        <v>66.191607722478963</v>
      </c>
      <c r="GP29" s="36">
        <f t="shared" ca="1" si="61"/>
        <v>66.629185582984434</v>
      </c>
      <c r="GQ29" s="36">
        <f t="shared" ca="1" si="61"/>
        <v>66.721375525775116</v>
      </c>
      <c r="GR29" s="36">
        <f t="shared" ca="1" si="61"/>
        <v>67.022190912539358</v>
      </c>
      <c r="GS29" s="36">
        <f t="shared" ca="1" si="61"/>
        <v>66.631397516477421</v>
      </c>
      <c r="GT29" s="36">
        <f t="shared" ca="1" si="61"/>
        <v>65.438802296308637</v>
      </c>
      <c r="GU29" s="36">
        <f t="shared" ca="1" si="61"/>
        <v>65.956132890289553</v>
      </c>
      <c r="GV29" s="36">
        <f t="shared" ca="1" si="61"/>
        <v>65.553769270561034</v>
      </c>
      <c r="GW29" s="36">
        <f t="shared" ca="1" si="59"/>
        <v>66.644191443777402</v>
      </c>
      <c r="GX29" s="36">
        <f t="shared" ca="1" si="59"/>
        <v>66.203872261700212</v>
      </c>
      <c r="GY29" s="36">
        <f t="shared" ca="1" si="59"/>
        <v>66.892360868012361</v>
      </c>
      <c r="GZ29" s="36">
        <f t="shared" ca="1" si="59"/>
        <v>67.35048659175358</v>
      </c>
      <c r="HA29" s="36">
        <f t="shared" ca="1" si="59"/>
        <v>68.151191634588628</v>
      </c>
      <c r="HB29" s="36">
        <f t="shared" ca="1" si="59"/>
        <v>67.735055636010188</v>
      </c>
      <c r="HC29" s="36">
        <f t="shared" ca="1" si="59"/>
        <v>68.749064716628524</v>
      </c>
      <c r="HD29" s="36">
        <f t="shared" ca="1" si="59"/>
        <v>68.830745626218018</v>
      </c>
      <c r="HE29" s="36">
        <f t="shared" ca="1" si="59"/>
        <v>69.478480465439262</v>
      </c>
      <c r="HF29" s="36">
        <f t="shared" ca="1" si="59"/>
        <v>68.59638673253248</v>
      </c>
      <c r="HG29" s="36">
        <f t="shared" ca="1" si="59"/>
        <v>69.681018393024985</v>
      </c>
      <c r="HH29" s="36">
        <f t="shared" ca="1" si="59"/>
        <v>69.280416938700782</v>
      </c>
      <c r="HI29" s="36">
        <f t="shared" ca="1" si="59"/>
        <v>72.166505131592317</v>
      </c>
      <c r="HJ29" s="36">
        <f t="shared" ca="1" si="59"/>
        <v>72.258439888883188</v>
      </c>
      <c r="HK29" s="36">
        <f t="shared" ca="1" si="59"/>
        <v>71.798728893302012</v>
      </c>
      <c r="HL29" s="36">
        <f t="shared" ref="HL29:HT29" ca="1" si="66">HK29*EXP(($B$3-$B$4^2/2)*1+$B$4*_xlfn.NORM.S.INV(RAND()))</f>
        <v>71.882659318758684</v>
      </c>
      <c r="HM29" s="36">
        <f t="shared" ca="1" si="66"/>
        <v>71.051245390191795</v>
      </c>
      <c r="HN29" s="36">
        <f t="shared" ca="1" si="66"/>
        <v>71.506475530898967</v>
      </c>
      <c r="HO29" s="36">
        <f t="shared" ca="1" si="66"/>
        <v>70.50589311400816</v>
      </c>
      <c r="HP29" s="36">
        <f t="shared" ca="1" si="66"/>
        <v>70.879114834509295</v>
      </c>
      <c r="HQ29" s="36">
        <f t="shared" ca="1" si="66"/>
        <v>71.502878904284159</v>
      </c>
      <c r="HR29" s="36">
        <f t="shared" ca="1" si="66"/>
        <v>73.219894689556639</v>
      </c>
      <c r="HS29" s="36">
        <f t="shared" ca="1" si="66"/>
        <v>72.635173058539152</v>
      </c>
      <c r="HT29" s="36">
        <f t="shared" ca="1" si="66"/>
        <v>72.310600500466222</v>
      </c>
      <c r="HU29" s="36">
        <f t="shared" ca="1" si="52"/>
        <v>73.102419857980578</v>
      </c>
      <c r="HV29" s="36">
        <f t="shared" ca="1" si="52"/>
        <v>73.315674488804831</v>
      </c>
      <c r="HW29" s="36">
        <f t="shared" ca="1" si="52"/>
        <v>75.422393381504818</v>
      </c>
      <c r="HX29" s="36">
        <f t="shared" ca="1" si="52"/>
        <v>75.776220874380158</v>
      </c>
      <c r="HY29" s="36">
        <f t="shared" ca="1" si="52"/>
        <v>75.390991539713681</v>
      </c>
      <c r="HZ29" s="36">
        <f t="shared" ca="1" si="52"/>
        <v>74.096096106008105</v>
      </c>
      <c r="IA29" s="36">
        <f t="shared" ca="1" si="52"/>
        <v>72.680834551913279</v>
      </c>
      <c r="IB29" s="36">
        <f t="shared" ca="1" si="52"/>
        <v>73.034564998037268</v>
      </c>
      <c r="IC29" s="36">
        <f t="shared" ca="1" si="52"/>
        <v>73.347008164099492</v>
      </c>
      <c r="ID29" s="36">
        <f t="shared" ca="1" si="52"/>
        <v>73.588082140494379</v>
      </c>
      <c r="IE29" s="36">
        <f t="shared" ca="1" si="52"/>
        <v>73.854496786042262</v>
      </c>
      <c r="IF29" s="36">
        <f t="shared" ca="1" si="52"/>
        <v>73.413074017935628</v>
      </c>
      <c r="IG29" s="36">
        <f t="shared" ca="1" si="52"/>
        <v>73.631408330413748</v>
      </c>
      <c r="IH29" s="36">
        <f t="shared" ca="1" si="52"/>
        <v>73.013320219320548</v>
      </c>
      <c r="II29" s="36">
        <f t="shared" ca="1" si="52"/>
        <v>72.858819826297193</v>
      </c>
      <c r="IJ29" s="36">
        <f t="shared" ca="1" si="52"/>
        <v>72.648279662924452</v>
      </c>
      <c r="IK29" s="36">
        <f t="shared" ca="1" si="52"/>
        <v>71.144644194820813</v>
      </c>
      <c r="IL29" s="36">
        <f t="shared" ca="1" si="52"/>
        <v>70.787824547715843</v>
      </c>
      <c r="IM29" s="36">
        <f t="shared" ca="1" si="52"/>
        <v>69.536473054157199</v>
      </c>
      <c r="IN29" s="36">
        <f t="shared" ca="1" si="52"/>
        <v>70.584789403124489</v>
      </c>
      <c r="IO29" s="36">
        <f t="shared" ca="1" si="52"/>
        <v>69.923127972266087</v>
      </c>
      <c r="IP29" s="36">
        <f t="shared" ca="1" si="52"/>
        <v>70.441224349417809</v>
      </c>
      <c r="IQ29" s="36">
        <f t="shared" ca="1" si="52"/>
        <v>69.313496038648168</v>
      </c>
      <c r="IR29" s="36">
        <f t="shared" ca="1" si="52"/>
        <v>69.206244842344404</v>
      </c>
      <c r="IS29" s="36">
        <f t="shared" ca="1" si="52"/>
        <v>70.479397620415</v>
      </c>
      <c r="IT29" s="36">
        <f t="shared" ca="1" si="52"/>
        <v>70.736715087005507</v>
      </c>
      <c r="IU29" s="36">
        <f t="shared" ca="1" si="52"/>
        <v>71.093727845494669</v>
      </c>
    </row>
    <row r="30" spans="1:255" x14ac:dyDescent="0.2">
      <c r="A30" s="36"/>
      <c r="B30">
        <v>20</v>
      </c>
      <c r="C30" s="36">
        <v>50</v>
      </c>
      <c r="D30" s="36">
        <f t="shared" ca="1" si="14"/>
        <v>49.132491508485842</v>
      </c>
      <c r="E30" s="36">
        <f t="shared" ca="1" si="14"/>
        <v>49.780025027488762</v>
      </c>
      <c r="F30" s="36">
        <f t="shared" ref="F30:BQ33" ca="1" si="67">E30*EXP(($B$3-$B$4^2/2)*1+$B$4*_xlfn.NORM.S.INV(RAND()))</f>
        <v>50.607518965736297</v>
      </c>
      <c r="G30" s="36">
        <f t="shared" ca="1" si="67"/>
        <v>51.753666646958933</v>
      </c>
      <c r="H30" s="36">
        <f t="shared" ca="1" si="67"/>
        <v>51.736658654866801</v>
      </c>
      <c r="I30" s="36">
        <f t="shared" ca="1" si="67"/>
        <v>51.136924383557819</v>
      </c>
      <c r="J30" s="36">
        <f t="shared" ca="1" si="67"/>
        <v>51.519587617274475</v>
      </c>
      <c r="K30" s="36">
        <f t="shared" ca="1" si="67"/>
        <v>50.499703219348106</v>
      </c>
      <c r="L30" s="36">
        <f t="shared" ca="1" si="67"/>
        <v>50.402766584264675</v>
      </c>
      <c r="M30" s="36">
        <f t="shared" ca="1" si="67"/>
        <v>50.518674738502156</v>
      </c>
      <c r="N30" s="36">
        <f t="shared" ca="1" si="67"/>
        <v>50.697009331687163</v>
      </c>
      <c r="O30" s="36">
        <f t="shared" ca="1" si="67"/>
        <v>50.266105100014371</v>
      </c>
      <c r="P30" s="36">
        <f t="shared" ca="1" si="67"/>
        <v>50.401544136156936</v>
      </c>
      <c r="Q30" s="36">
        <f t="shared" ca="1" si="67"/>
        <v>50.879703189265648</v>
      </c>
      <c r="R30" s="36">
        <f t="shared" ca="1" si="67"/>
        <v>51.111444114407277</v>
      </c>
      <c r="S30" s="36">
        <f t="shared" ca="1" si="67"/>
        <v>51.340986473204843</v>
      </c>
      <c r="T30" s="36">
        <f t="shared" ca="1" si="67"/>
        <v>50.635055361532885</v>
      </c>
      <c r="U30" s="36">
        <f t="shared" ca="1" si="67"/>
        <v>49.804391779656051</v>
      </c>
      <c r="V30" s="36">
        <f t="shared" ca="1" si="67"/>
        <v>49.175572817375198</v>
      </c>
      <c r="W30" s="36">
        <f t="shared" ca="1" si="67"/>
        <v>49.4420817076888</v>
      </c>
      <c r="X30" s="36">
        <f t="shared" ca="1" si="67"/>
        <v>49.588529905569835</v>
      </c>
      <c r="Y30" s="36">
        <f t="shared" ca="1" si="67"/>
        <v>50.014140774061893</v>
      </c>
      <c r="Z30" s="36">
        <f t="shared" ca="1" si="67"/>
        <v>49.344555716353533</v>
      </c>
      <c r="AA30" s="36">
        <f t="shared" ca="1" si="67"/>
        <v>49.593872106570537</v>
      </c>
      <c r="AB30" s="36">
        <f t="shared" ca="1" si="67"/>
        <v>49.8054260962802</v>
      </c>
      <c r="AC30" s="36">
        <f t="shared" ca="1" si="67"/>
        <v>50.182567533907253</v>
      </c>
      <c r="AD30" s="36">
        <f t="shared" ca="1" si="67"/>
        <v>50.532385166645085</v>
      </c>
      <c r="AE30" s="36">
        <f t="shared" ca="1" si="67"/>
        <v>51.181290948249021</v>
      </c>
      <c r="AF30" s="36">
        <f t="shared" ca="1" si="67"/>
        <v>51.094561617024922</v>
      </c>
      <c r="AG30" s="36">
        <f t="shared" ca="1" si="67"/>
        <v>51.78327486742608</v>
      </c>
      <c r="AH30" s="36">
        <f t="shared" ca="1" si="67"/>
        <v>50.932660433635604</v>
      </c>
      <c r="AI30" s="36">
        <f t="shared" ca="1" si="67"/>
        <v>51.712243356366557</v>
      </c>
      <c r="AJ30" s="36">
        <f t="shared" ca="1" si="67"/>
        <v>52.476691799952924</v>
      </c>
      <c r="AK30" s="36">
        <f t="shared" ca="1" si="67"/>
        <v>53.268900364625793</v>
      </c>
      <c r="AL30" s="36">
        <f t="shared" ca="1" si="67"/>
        <v>53.50189114914064</v>
      </c>
      <c r="AM30" s="36">
        <f t="shared" ca="1" si="67"/>
        <v>54.057673031899299</v>
      </c>
      <c r="AN30" s="36">
        <f t="shared" ca="1" si="67"/>
        <v>53.482074611027002</v>
      </c>
      <c r="AO30" s="36">
        <f t="shared" ca="1" si="67"/>
        <v>53.105584627284323</v>
      </c>
      <c r="AP30" s="36">
        <f t="shared" ca="1" si="67"/>
        <v>54.314442657297043</v>
      </c>
      <c r="AQ30" s="36">
        <f t="shared" ca="1" si="67"/>
        <v>53.51144682797657</v>
      </c>
      <c r="AR30" s="36">
        <f t="shared" ca="1" si="67"/>
        <v>54.260366633594757</v>
      </c>
      <c r="AS30" s="36">
        <f t="shared" ca="1" si="67"/>
        <v>53.972423373586025</v>
      </c>
      <c r="AT30" s="36">
        <f t="shared" ca="1" si="67"/>
        <v>54.358350975547602</v>
      </c>
      <c r="AU30" s="36">
        <f t="shared" ca="1" si="67"/>
        <v>53.731293702931985</v>
      </c>
      <c r="AV30" s="36">
        <f t="shared" ca="1" si="67"/>
        <v>54.594243442170992</v>
      </c>
      <c r="AW30" s="36">
        <f t="shared" ca="1" si="67"/>
        <v>54.137008936461427</v>
      </c>
      <c r="AX30" s="36">
        <f t="shared" ca="1" si="67"/>
        <v>55.76213760730468</v>
      </c>
      <c r="AY30" s="36">
        <f t="shared" ca="1" si="67"/>
        <v>56.049360232891409</v>
      </c>
      <c r="AZ30" s="36">
        <f t="shared" ca="1" si="67"/>
        <v>55.447637481719845</v>
      </c>
      <c r="BA30" s="36">
        <f t="shared" ca="1" si="67"/>
        <v>55.290342629750043</v>
      </c>
      <c r="BB30" s="36">
        <f t="shared" ca="1" si="67"/>
        <v>54.997249272679369</v>
      </c>
      <c r="BC30" s="36">
        <f t="shared" ca="1" si="67"/>
        <v>55.815715782732312</v>
      </c>
      <c r="BD30" s="36">
        <f t="shared" ca="1" si="67"/>
        <v>56.053149096383777</v>
      </c>
      <c r="BE30" s="36">
        <f t="shared" ca="1" si="67"/>
        <v>55.83454952970876</v>
      </c>
      <c r="BF30" s="36">
        <f t="shared" ca="1" si="67"/>
        <v>54.751499585000779</v>
      </c>
      <c r="BG30" s="36">
        <f t="shared" ca="1" si="67"/>
        <v>55.591796771966891</v>
      </c>
      <c r="BH30" s="36">
        <f t="shared" ca="1" si="67"/>
        <v>56.085305955351103</v>
      </c>
      <c r="BI30" s="36">
        <f t="shared" ca="1" si="67"/>
        <v>56.044816817899353</v>
      </c>
      <c r="BJ30" s="36">
        <f t="shared" ca="1" si="67"/>
        <v>55.676924979029707</v>
      </c>
      <c r="BK30" s="36">
        <f t="shared" ca="1" si="67"/>
        <v>55.359140643496978</v>
      </c>
      <c r="BL30" s="36">
        <f t="shared" ca="1" si="67"/>
        <v>55.144378511514617</v>
      </c>
      <c r="BM30" s="36">
        <f t="shared" ca="1" si="67"/>
        <v>55.724420199597162</v>
      </c>
      <c r="BN30" s="36">
        <f t="shared" ca="1" si="67"/>
        <v>54.890757449331808</v>
      </c>
      <c r="BO30" s="36">
        <f t="shared" ca="1" si="67"/>
        <v>55.271020109888234</v>
      </c>
      <c r="BP30" s="36">
        <f t="shared" ca="1" si="67"/>
        <v>53.045945238069088</v>
      </c>
      <c r="BQ30" s="36">
        <f t="shared" ca="1" si="67"/>
        <v>53.422155782679638</v>
      </c>
      <c r="BR30" s="36">
        <f t="shared" ca="1" si="63"/>
        <v>53.419602890356543</v>
      </c>
      <c r="BS30" s="36">
        <f t="shared" ca="1" si="63"/>
        <v>53.851072648052636</v>
      </c>
      <c r="BT30" s="36">
        <f t="shared" ca="1" si="63"/>
        <v>53.103217111099539</v>
      </c>
      <c r="BU30" s="36">
        <f t="shared" ca="1" si="63"/>
        <v>52.877138548828619</v>
      </c>
      <c r="BV30" s="36">
        <f t="shared" ca="1" si="63"/>
        <v>51.516618498894914</v>
      </c>
      <c r="BW30" s="36">
        <f t="shared" ca="1" si="63"/>
        <v>51.798910446441489</v>
      </c>
      <c r="BX30" s="36">
        <f t="shared" ca="1" si="63"/>
        <v>53.214707019542196</v>
      </c>
      <c r="BY30" s="36">
        <f t="shared" ca="1" si="63"/>
        <v>53.232394625328034</v>
      </c>
      <c r="BZ30" s="36">
        <f t="shared" ca="1" si="63"/>
        <v>54.83351344143238</v>
      </c>
      <c r="CA30" s="36">
        <f t="shared" ca="1" si="63"/>
        <v>54.38175163074682</v>
      </c>
      <c r="CB30" s="36">
        <f t="shared" ca="1" si="63"/>
        <v>54.593399611582655</v>
      </c>
      <c r="CC30" s="36">
        <f t="shared" ca="1" si="63"/>
        <v>54.61933889973416</v>
      </c>
      <c r="CD30" s="36">
        <f t="shared" ca="1" si="63"/>
        <v>54.567901120803086</v>
      </c>
      <c r="CE30" s="36">
        <f t="shared" ca="1" si="63"/>
        <v>55.697195125382379</v>
      </c>
      <c r="CF30" s="36">
        <f t="shared" ca="1" si="63"/>
        <v>56.410233582239812</v>
      </c>
      <c r="CG30" s="36">
        <f t="shared" ca="1" si="63"/>
        <v>56.242672489187726</v>
      </c>
      <c r="CH30" s="36">
        <f t="shared" ca="1" si="63"/>
        <v>57.136095212291622</v>
      </c>
      <c r="CI30" s="36">
        <f t="shared" ca="1" si="63"/>
        <v>57.453698003964334</v>
      </c>
      <c r="CJ30" s="36">
        <f t="shared" ca="1" si="63"/>
        <v>57.408362156770956</v>
      </c>
      <c r="CK30" s="36">
        <f t="shared" ca="1" si="63"/>
        <v>57.397757943318304</v>
      </c>
      <c r="CL30" s="36">
        <f t="shared" ca="1" si="63"/>
        <v>58.600577134055428</v>
      </c>
      <c r="CM30" s="36">
        <f t="shared" ca="1" si="63"/>
        <v>59.055172623408588</v>
      </c>
      <c r="CN30" s="36">
        <f t="shared" ca="1" si="63"/>
        <v>59.844720047769066</v>
      </c>
      <c r="CO30" s="36">
        <f t="shared" ca="1" si="63"/>
        <v>59.254803885022554</v>
      </c>
      <c r="CP30" s="36">
        <f t="shared" ca="1" si="63"/>
        <v>58.768158859309473</v>
      </c>
      <c r="CQ30" s="36">
        <f t="shared" ca="1" si="63"/>
        <v>59.756649944251912</v>
      </c>
      <c r="CR30" s="36">
        <f t="shared" ca="1" si="63"/>
        <v>58.900835117361261</v>
      </c>
      <c r="CS30" s="36">
        <f t="shared" ca="1" si="63"/>
        <v>57.809629447238265</v>
      </c>
      <c r="CT30" s="36">
        <f t="shared" ca="1" si="63"/>
        <v>58.116615331214255</v>
      </c>
      <c r="CU30" s="36">
        <f t="shared" ca="1" si="63"/>
        <v>59.286784501288913</v>
      </c>
      <c r="CV30" s="36">
        <f t="shared" ca="1" si="63"/>
        <v>58.234352826933581</v>
      </c>
      <c r="CW30" s="36">
        <f t="shared" ca="1" si="63"/>
        <v>58.980722634384108</v>
      </c>
      <c r="CX30" s="36">
        <f t="shared" ca="1" si="63"/>
        <v>60.168537293694037</v>
      </c>
      <c r="CY30" s="36">
        <f t="shared" ca="1" si="63"/>
        <v>60.090820754378285</v>
      </c>
      <c r="CZ30" s="36">
        <f t="shared" ca="1" si="63"/>
        <v>60.203118700560672</v>
      </c>
      <c r="DA30" s="36">
        <f t="shared" ca="1" si="63"/>
        <v>59.579655939868502</v>
      </c>
      <c r="DB30" s="36">
        <f t="shared" ca="1" si="63"/>
        <v>60.587902701573341</v>
      </c>
      <c r="DC30" s="36">
        <f t="shared" ca="1" si="63"/>
        <v>62.055770411598367</v>
      </c>
      <c r="DD30" s="36">
        <f t="shared" ca="1" si="63"/>
        <v>62.042055204552497</v>
      </c>
      <c r="DE30" s="36">
        <f t="shared" ca="1" si="63"/>
        <v>62.387786570839822</v>
      </c>
      <c r="DF30" s="36">
        <f t="shared" ca="1" si="63"/>
        <v>62.882530191074125</v>
      </c>
      <c r="DG30" s="36">
        <f t="shared" ca="1" si="63"/>
        <v>61.995765262629952</v>
      </c>
      <c r="DH30" s="36">
        <f t="shared" ca="1" si="63"/>
        <v>62.03173520188458</v>
      </c>
      <c r="DI30" s="36">
        <f t="shared" ca="1" si="63"/>
        <v>63.315808534501166</v>
      </c>
      <c r="DJ30" s="36">
        <f t="shared" ca="1" si="63"/>
        <v>62.545049246742607</v>
      </c>
      <c r="DK30" s="36">
        <f t="shared" ca="1" si="63"/>
        <v>62.588534793483085</v>
      </c>
      <c r="DL30" s="36">
        <f t="shared" ca="1" si="63"/>
        <v>62.722888760593456</v>
      </c>
      <c r="DM30" s="36">
        <f t="shared" ca="1" si="63"/>
        <v>62.964707282155111</v>
      </c>
      <c r="DN30" s="36">
        <f t="shared" ca="1" si="63"/>
        <v>62.339000407800242</v>
      </c>
      <c r="DO30" s="36">
        <f t="shared" ca="1" si="63"/>
        <v>61.585173588709395</v>
      </c>
      <c r="DP30" s="36">
        <f t="shared" ca="1" si="63"/>
        <v>60.268755129564035</v>
      </c>
      <c r="DQ30" s="36">
        <f t="shared" ca="1" si="63"/>
        <v>60.501093266624061</v>
      </c>
      <c r="DR30" s="36">
        <f t="shared" ca="1" si="63"/>
        <v>60.305682633165631</v>
      </c>
      <c r="DS30" s="36">
        <f t="shared" ca="1" si="63"/>
        <v>59.278924467491443</v>
      </c>
      <c r="DT30" s="36">
        <f t="shared" ca="1" si="63"/>
        <v>59.009340765387741</v>
      </c>
      <c r="DU30" s="36">
        <f t="shared" ca="1" si="63"/>
        <v>58.571858010197765</v>
      </c>
      <c r="DV30" s="36">
        <f t="shared" ca="1" si="63"/>
        <v>57.727046746059152</v>
      </c>
      <c r="DW30" s="36">
        <f t="shared" ca="1" si="63"/>
        <v>58.09421453562431</v>
      </c>
      <c r="DX30" s="36">
        <f t="shared" ca="1" si="63"/>
        <v>57.354334666791061</v>
      </c>
      <c r="DY30" s="36">
        <f t="shared" ca="1" si="63"/>
        <v>56.667617958056212</v>
      </c>
      <c r="DZ30" s="36">
        <f t="shared" ca="1" si="63"/>
        <v>55.795473231260374</v>
      </c>
      <c r="EA30" s="36">
        <f t="shared" ca="1" si="63"/>
        <v>56.332148562819157</v>
      </c>
      <c r="EB30" s="36">
        <f t="shared" ca="1" si="63"/>
        <v>56.400438679394028</v>
      </c>
      <c r="EC30" s="36">
        <f t="shared" ca="1" si="28"/>
        <v>56.763245866548161</v>
      </c>
      <c r="ED30" s="36">
        <f t="shared" ca="1" si="64"/>
        <v>55.94518736903548</v>
      </c>
      <c r="EE30" s="36">
        <f t="shared" ca="1" si="64"/>
        <v>56.56151040915271</v>
      </c>
      <c r="EF30" s="36">
        <f t="shared" ca="1" si="64"/>
        <v>57.112124087369104</v>
      </c>
      <c r="EG30" s="36">
        <f t="shared" ca="1" si="64"/>
        <v>56.885045593945819</v>
      </c>
      <c r="EH30" s="36">
        <f t="shared" ca="1" si="64"/>
        <v>56.207522721522011</v>
      </c>
      <c r="EI30" s="36">
        <f t="shared" ca="1" si="64"/>
        <v>54.343833324768731</v>
      </c>
      <c r="EJ30" s="36">
        <f t="shared" ca="1" si="64"/>
        <v>53.545406224628806</v>
      </c>
      <c r="EK30" s="36">
        <f t="shared" ca="1" si="64"/>
        <v>53.245877899344556</v>
      </c>
      <c r="EL30" s="36">
        <f t="shared" ca="1" si="64"/>
        <v>53.511852252602964</v>
      </c>
      <c r="EM30" s="36">
        <f t="shared" ca="1" si="64"/>
        <v>53.564444291546991</v>
      </c>
      <c r="EN30" s="36">
        <f t="shared" ca="1" si="64"/>
        <v>53.494538173412927</v>
      </c>
      <c r="EO30" s="36">
        <f t="shared" ca="1" si="64"/>
        <v>53.865491554179947</v>
      </c>
      <c r="EP30" s="36">
        <f t="shared" ca="1" si="64"/>
        <v>53.700044390775297</v>
      </c>
      <c r="EQ30" s="36">
        <f t="shared" ca="1" si="64"/>
        <v>52.728032720091399</v>
      </c>
      <c r="ER30" s="36">
        <f t="shared" ca="1" si="64"/>
        <v>51.598889102303147</v>
      </c>
      <c r="ES30" s="36">
        <f t="shared" ca="1" si="64"/>
        <v>50.81052278198699</v>
      </c>
      <c r="ET30" s="36">
        <f t="shared" ca="1" si="64"/>
        <v>51.046591899759413</v>
      </c>
      <c r="EU30" s="36">
        <f t="shared" ca="1" si="64"/>
        <v>50.655721692447855</v>
      </c>
      <c r="EV30" s="36">
        <f t="shared" ca="1" si="64"/>
        <v>51.715036526873654</v>
      </c>
      <c r="EW30" s="36">
        <f t="shared" ref="EW30" ca="1" si="68">EV30*EXP(($B$3-$B$4^2/2)*1+$B$4*_xlfn.NORM.S.INV(RAND()))</f>
        <v>51.47517943556111</v>
      </c>
      <c r="EX30" s="36">
        <f t="shared" ca="1" si="61"/>
        <v>51.855542138155968</v>
      </c>
      <c r="EY30" s="36">
        <f t="shared" ca="1" si="61"/>
        <v>51.18950861861326</v>
      </c>
      <c r="EZ30" s="36">
        <f t="shared" ca="1" si="61"/>
        <v>51.244652650417116</v>
      </c>
      <c r="FA30" s="36">
        <f t="shared" ca="1" si="61"/>
        <v>50.896816771837351</v>
      </c>
      <c r="FB30" s="36">
        <f t="shared" ca="1" si="61"/>
        <v>50.086378606547576</v>
      </c>
      <c r="FC30" s="36">
        <f t="shared" ca="1" si="61"/>
        <v>48.880791509804645</v>
      </c>
      <c r="FD30" s="36">
        <f t="shared" ca="1" si="61"/>
        <v>49.203738811586391</v>
      </c>
      <c r="FE30" s="36">
        <f t="shared" ca="1" si="61"/>
        <v>50.070916761115164</v>
      </c>
      <c r="FF30" s="36">
        <f t="shared" ca="1" si="61"/>
        <v>50.788846932324248</v>
      </c>
      <c r="FG30" s="36">
        <f t="shared" ca="1" si="61"/>
        <v>51.999808873464239</v>
      </c>
      <c r="FH30" s="36">
        <f t="shared" ca="1" si="61"/>
        <v>52.204175767460079</v>
      </c>
      <c r="FI30" s="36">
        <f t="shared" ca="1" si="61"/>
        <v>52.67363946674763</v>
      </c>
      <c r="FJ30" s="36">
        <f t="shared" ca="1" si="61"/>
        <v>51.159999933969402</v>
      </c>
      <c r="FK30" s="36">
        <f t="shared" ca="1" si="61"/>
        <v>50.46481216904251</v>
      </c>
      <c r="FL30" s="36">
        <f t="shared" ca="1" si="61"/>
        <v>50.488617410124498</v>
      </c>
      <c r="FM30" s="36">
        <f t="shared" ca="1" si="61"/>
        <v>50.296764314900514</v>
      </c>
      <c r="FN30" s="36">
        <f t="shared" ca="1" si="61"/>
        <v>51.324978341568077</v>
      </c>
      <c r="FO30" s="36">
        <f t="shared" ca="1" si="61"/>
        <v>51.390018130090468</v>
      </c>
      <c r="FP30" s="36">
        <f t="shared" ca="1" si="61"/>
        <v>52.893800179795257</v>
      </c>
      <c r="FQ30" s="36">
        <f t="shared" ca="1" si="61"/>
        <v>52.619139821113428</v>
      </c>
      <c r="FR30" s="36">
        <f t="shared" ca="1" si="61"/>
        <v>52.358763400870068</v>
      </c>
      <c r="FS30" s="36">
        <f t="shared" ca="1" si="61"/>
        <v>52.041517157053278</v>
      </c>
      <c r="FT30" s="36">
        <f t="shared" ca="1" si="61"/>
        <v>51.596993991780337</v>
      </c>
      <c r="FU30" s="36">
        <f t="shared" ca="1" si="61"/>
        <v>50.728582585551244</v>
      </c>
      <c r="FV30" s="36">
        <f t="shared" ca="1" si="61"/>
        <v>50.098386620257394</v>
      </c>
      <c r="FW30" s="36">
        <f t="shared" ca="1" si="61"/>
        <v>49.796336130286356</v>
      </c>
      <c r="FX30" s="36">
        <f t="shared" ca="1" si="61"/>
        <v>49.503437014251787</v>
      </c>
      <c r="FY30" s="36">
        <f t="shared" ca="1" si="61"/>
        <v>48.740747314116668</v>
      </c>
      <c r="FZ30" s="36">
        <f t="shared" ca="1" si="61"/>
        <v>48.923597482908178</v>
      </c>
      <c r="GA30" s="36">
        <f t="shared" ca="1" si="61"/>
        <v>49.368895793124004</v>
      </c>
      <c r="GB30" s="36">
        <f t="shared" ca="1" si="61"/>
        <v>48.741968190421616</v>
      </c>
      <c r="GC30" s="36">
        <f t="shared" ca="1" si="61"/>
        <v>48.75675078241062</v>
      </c>
      <c r="GD30" s="36">
        <f t="shared" ca="1" si="61"/>
        <v>48.006888694403614</v>
      </c>
      <c r="GE30" s="36">
        <f t="shared" ca="1" si="61"/>
        <v>48.989208431226608</v>
      </c>
      <c r="GF30" s="36">
        <f t="shared" ca="1" si="61"/>
        <v>50.004741774088281</v>
      </c>
      <c r="GG30" s="36">
        <f t="shared" ca="1" si="61"/>
        <v>50.927290656081666</v>
      </c>
      <c r="GH30" s="36">
        <f t="shared" ca="1" si="61"/>
        <v>51.178372853667945</v>
      </c>
      <c r="GI30" s="36">
        <f t="shared" ca="1" si="61"/>
        <v>50.810850713532957</v>
      </c>
      <c r="GJ30" s="36">
        <f t="shared" ca="1" si="61"/>
        <v>50.858954445727996</v>
      </c>
      <c r="GK30" s="36">
        <f t="shared" ca="1" si="61"/>
        <v>50.54823241272971</v>
      </c>
      <c r="GL30" s="36">
        <f t="shared" ca="1" si="61"/>
        <v>50.710739655931953</v>
      </c>
      <c r="GM30" s="36">
        <f t="shared" ca="1" si="61"/>
        <v>49.359206846875367</v>
      </c>
      <c r="GN30" s="36">
        <f t="shared" ca="1" si="61"/>
        <v>49.696879913093611</v>
      </c>
      <c r="GO30" s="36">
        <f t="shared" ca="1" si="61"/>
        <v>48.892244608970245</v>
      </c>
      <c r="GP30" s="36">
        <f t="shared" ca="1" si="61"/>
        <v>49.453037029609519</v>
      </c>
      <c r="GQ30" s="36">
        <f t="shared" ca="1" si="61"/>
        <v>49.610424170741929</v>
      </c>
      <c r="GR30" s="36">
        <f t="shared" ca="1" si="61"/>
        <v>49.544771457027984</v>
      </c>
      <c r="GS30" s="36">
        <f t="shared" ca="1" si="61"/>
        <v>49.669430324037158</v>
      </c>
      <c r="GT30" s="36">
        <f t="shared" ca="1" si="61"/>
        <v>49.948289118469468</v>
      </c>
      <c r="GU30" s="36">
        <f t="shared" ca="1" si="61"/>
        <v>49.376127332735919</v>
      </c>
      <c r="GV30" s="36">
        <f t="shared" ca="1" si="61"/>
        <v>49.299823331980974</v>
      </c>
      <c r="GW30" s="36">
        <f t="shared" ca="1" si="59"/>
        <v>49.386936564470325</v>
      </c>
      <c r="GX30" s="36">
        <f t="shared" ca="1" si="59"/>
        <v>48.68783757610705</v>
      </c>
      <c r="GY30" s="36">
        <f t="shared" ca="1" si="59"/>
        <v>49.170014860878254</v>
      </c>
      <c r="GZ30" s="36">
        <f t="shared" ca="1" si="59"/>
        <v>49.315137173375625</v>
      </c>
      <c r="HA30" s="36">
        <f t="shared" ca="1" si="59"/>
        <v>50.749651694783552</v>
      </c>
      <c r="HB30" s="36">
        <f t="shared" ca="1" si="59"/>
        <v>49.124119244149355</v>
      </c>
      <c r="HC30" s="36">
        <f t="shared" ca="1" si="59"/>
        <v>48.341973993178854</v>
      </c>
      <c r="HD30" s="36">
        <f t="shared" ca="1" si="59"/>
        <v>48.506988037626911</v>
      </c>
      <c r="HE30" s="36">
        <f t="shared" ca="1" si="59"/>
        <v>48.060732796671509</v>
      </c>
      <c r="HF30" s="36">
        <f t="shared" ca="1" si="59"/>
        <v>46.222578317516074</v>
      </c>
      <c r="HG30" s="36">
        <f t="shared" ca="1" si="59"/>
        <v>45.785195486846696</v>
      </c>
      <c r="HH30" s="36">
        <f t="shared" ca="1" si="59"/>
        <v>45.890005918843308</v>
      </c>
      <c r="HI30" s="36">
        <f t="shared" ca="1" si="59"/>
        <v>46.072954246703802</v>
      </c>
      <c r="HJ30" s="36">
        <f t="shared" ca="1" si="59"/>
        <v>46.387149673802917</v>
      </c>
      <c r="HK30" s="36">
        <f t="shared" ca="1" si="59"/>
        <v>46.701504495086311</v>
      </c>
      <c r="HL30" s="36">
        <f t="shared" ref="HL30:HT30" ca="1" si="69">HK30*EXP(($B$3-$B$4^2/2)*1+$B$4*_xlfn.NORM.S.INV(RAND()))</f>
        <v>46.609936869074673</v>
      </c>
      <c r="HM30" s="36">
        <f t="shared" ca="1" si="69"/>
        <v>47.332621930675579</v>
      </c>
      <c r="HN30" s="36">
        <f t="shared" ca="1" si="69"/>
        <v>47.74513024898441</v>
      </c>
      <c r="HO30" s="36">
        <f t="shared" ca="1" si="69"/>
        <v>49.233352169374342</v>
      </c>
      <c r="HP30" s="36">
        <f t="shared" ca="1" si="69"/>
        <v>48.755488536553003</v>
      </c>
      <c r="HQ30" s="36">
        <f t="shared" ca="1" si="69"/>
        <v>48.83271238858385</v>
      </c>
      <c r="HR30" s="36">
        <f t="shared" ca="1" si="69"/>
        <v>48.952272738733335</v>
      </c>
      <c r="HS30" s="36">
        <f t="shared" ca="1" si="69"/>
        <v>48.453837439787677</v>
      </c>
      <c r="HT30" s="36">
        <f t="shared" ca="1" si="69"/>
        <v>48.714332980170767</v>
      </c>
      <c r="HU30" s="36">
        <f t="shared" ca="1" si="52"/>
        <v>47.995464584884857</v>
      </c>
      <c r="HV30" s="36">
        <f t="shared" ca="1" si="52"/>
        <v>48.856959714060999</v>
      </c>
      <c r="HW30" s="36">
        <f t="shared" ca="1" si="52"/>
        <v>47.701354909755423</v>
      </c>
      <c r="HX30" s="36">
        <f t="shared" ca="1" si="52"/>
        <v>47.669268139821561</v>
      </c>
      <c r="HY30" s="36">
        <f t="shared" ca="1" si="52"/>
        <v>47.77594027542348</v>
      </c>
      <c r="HZ30" s="36">
        <f t="shared" ca="1" si="52"/>
        <v>47.689567714010799</v>
      </c>
      <c r="IA30" s="36">
        <f t="shared" ca="1" si="52"/>
        <v>48.10808163945493</v>
      </c>
      <c r="IB30" s="36">
        <f t="shared" ca="1" si="52"/>
        <v>47.322580428475099</v>
      </c>
      <c r="IC30" s="36">
        <f t="shared" ca="1" si="52"/>
        <v>47.805951508928445</v>
      </c>
      <c r="ID30" s="36">
        <f t="shared" ca="1" si="52"/>
        <v>47.386758296141394</v>
      </c>
      <c r="IE30" s="36">
        <f t="shared" ca="1" si="52"/>
        <v>47.256574614083412</v>
      </c>
      <c r="IF30" s="36">
        <f t="shared" ca="1" si="52"/>
        <v>47.22370553028064</v>
      </c>
      <c r="IG30" s="36">
        <f t="shared" ca="1" si="52"/>
        <v>47.17904275925936</v>
      </c>
      <c r="IH30" s="36">
        <f t="shared" ca="1" si="52"/>
        <v>48.024966825471097</v>
      </c>
      <c r="II30" s="36">
        <f t="shared" ca="1" si="52"/>
        <v>47.35395681973641</v>
      </c>
      <c r="IJ30" s="36">
        <f t="shared" ca="1" si="52"/>
        <v>48.145377691649891</v>
      </c>
      <c r="IK30" s="36">
        <f t="shared" ca="1" si="52"/>
        <v>48.549844738009902</v>
      </c>
      <c r="IL30" s="36">
        <f t="shared" ca="1" si="52"/>
        <v>48.392860055261842</v>
      </c>
      <c r="IM30" s="36">
        <f t="shared" ca="1" si="52"/>
        <v>48.022933359424044</v>
      </c>
      <c r="IN30" s="36">
        <f t="shared" ca="1" si="52"/>
        <v>47.065488861978238</v>
      </c>
      <c r="IO30" s="36">
        <f t="shared" ca="1" si="52"/>
        <v>48.223921687331867</v>
      </c>
      <c r="IP30" s="36">
        <f t="shared" ca="1" si="52"/>
        <v>48.353828154840286</v>
      </c>
      <c r="IQ30" s="36">
        <f t="shared" ca="1" si="52"/>
        <v>48.064167668238802</v>
      </c>
      <c r="IR30" s="36">
        <f t="shared" ca="1" si="52"/>
        <v>48.293134222260598</v>
      </c>
      <c r="IS30" s="36">
        <f t="shared" ca="1" si="52"/>
        <v>48.808577822210253</v>
      </c>
      <c r="IT30" s="36">
        <f t="shared" ca="1" si="52"/>
        <v>47.69212817526671</v>
      </c>
      <c r="IU30" s="36">
        <f t="shared" ca="1" si="52"/>
        <v>47.497470619497385</v>
      </c>
    </row>
    <row r="31" spans="1:255" x14ac:dyDescent="0.2">
      <c r="A31" s="36"/>
      <c r="B31">
        <v>21</v>
      </c>
      <c r="C31" s="36">
        <v>50</v>
      </c>
      <c r="D31" s="36">
        <f t="shared" ca="1" si="14"/>
        <v>49.949244023770511</v>
      </c>
      <c r="E31" s="36">
        <f t="shared" ca="1" si="14"/>
        <v>49.64293002813109</v>
      </c>
      <c r="F31" s="36">
        <f t="shared" ca="1" si="67"/>
        <v>49.572202525307091</v>
      </c>
      <c r="G31" s="36">
        <f t="shared" ca="1" si="67"/>
        <v>49.410660729371934</v>
      </c>
      <c r="H31" s="36">
        <f t="shared" ca="1" si="67"/>
        <v>50.459175100672574</v>
      </c>
      <c r="I31" s="36">
        <f t="shared" ca="1" si="67"/>
        <v>49.83430338119318</v>
      </c>
      <c r="J31" s="36">
        <f t="shared" ca="1" si="67"/>
        <v>50.310926532939014</v>
      </c>
      <c r="K31" s="36">
        <f t="shared" ca="1" si="67"/>
        <v>51.179198502105052</v>
      </c>
      <c r="L31" s="36">
        <f t="shared" ca="1" si="67"/>
        <v>51.888519308712141</v>
      </c>
      <c r="M31" s="36">
        <f t="shared" ca="1" si="67"/>
        <v>51.567232074633388</v>
      </c>
      <c r="N31" s="36">
        <f t="shared" ca="1" si="67"/>
        <v>52.257091479943909</v>
      </c>
      <c r="O31" s="36">
        <f t="shared" ca="1" si="67"/>
        <v>52.825003050625803</v>
      </c>
      <c r="P31" s="36">
        <f t="shared" ca="1" si="67"/>
        <v>52.703337056018945</v>
      </c>
      <c r="Q31" s="36">
        <f t="shared" ca="1" si="67"/>
        <v>52.300714479697774</v>
      </c>
      <c r="R31" s="36">
        <f t="shared" ca="1" si="67"/>
        <v>52.4445153779047</v>
      </c>
      <c r="S31" s="36">
        <f t="shared" ca="1" si="67"/>
        <v>52.833679632899269</v>
      </c>
      <c r="T31" s="36">
        <f t="shared" ca="1" si="67"/>
        <v>52.83273750457613</v>
      </c>
      <c r="U31" s="36">
        <f t="shared" ca="1" si="67"/>
        <v>52.100276548955897</v>
      </c>
      <c r="V31" s="36">
        <f t="shared" ca="1" si="67"/>
        <v>52.517671126222815</v>
      </c>
      <c r="W31" s="36">
        <f t="shared" ca="1" si="67"/>
        <v>52.284178303396409</v>
      </c>
      <c r="X31" s="36">
        <f t="shared" ca="1" si="67"/>
        <v>52.251225014100015</v>
      </c>
      <c r="Y31" s="36">
        <f t="shared" ca="1" si="67"/>
        <v>52.542215800553976</v>
      </c>
      <c r="Z31" s="36">
        <f t="shared" ca="1" si="67"/>
        <v>52.020086927737445</v>
      </c>
      <c r="AA31" s="36">
        <f t="shared" ca="1" si="67"/>
        <v>52.479990373760337</v>
      </c>
      <c r="AB31" s="36">
        <f t="shared" ca="1" si="67"/>
        <v>52.189833616593525</v>
      </c>
      <c r="AC31" s="36">
        <f t="shared" ca="1" si="67"/>
        <v>51.582179815430337</v>
      </c>
      <c r="AD31" s="36">
        <f t="shared" ca="1" si="67"/>
        <v>50.652662951879108</v>
      </c>
      <c r="AE31" s="36">
        <f t="shared" ca="1" si="67"/>
        <v>50.491479072450311</v>
      </c>
      <c r="AF31" s="36">
        <f t="shared" ca="1" si="67"/>
        <v>49.417154544063358</v>
      </c>
      <c r="AG31" s="36">
        <f t="shared" ca="1" si="67"/>
        <v>49.801364502963906</v>
      </c>
      <c r="AH31" s="36">
        <f t="shared" ca="1" si="67"/>
        <v>48.854199926134761</v>
      </c>
      <c r="AI31" s="36">
        <f t="shared" ca="1" si="67"/>
        <v>48.993617927758059</v>
      </c>
      <c r="AJ31" s="36">
        <f t="shared" ca="1" si="67"/>
        <v>48.722855342160365</v>
      </c>
      <c r="AK31" s="36">
        <f t="shared" ca="1" si="67"/>
        <v>48.40332282441512</v>
      </c>
      <c r="AL31" s="36">
        <f t="shared" ca="1" si="67"/>
        <v>48.304785356361847</v>
      </c>
      <c r="AM31" s="36">
        <f t="shared" ca="1" si="67"/>
        <v>48.030844892204279</v>
      </c>
      <c r="AN31" s="36">
        <f t="shared" ca="1" si="67"/>
        <v>47.819842480000069</v>
      </c>
      <c r="AO31" s="36">
        <f t="shared" ca="1" si="67"/>
        <v>47.189882505195435</v>
      </c>
      <c r="AP31" s="36">
        <f t="shared" ca="1" si="67"/>
        <v>46.607782358771075</v>
      </c>
      <c r="AQ31" s="36">
        <f t="shared" ca="1" si="67"/>
        <v>46.20993090342418</v>
      </c>
      <c r="AR31" s="36">
        <f t="shared" ca="1" si="67"/>
        <v>44.910115609165807</v>
      </c>
      <c r="AS31" s="36">
        <f t="shared" ca="1" si="67"/>
        <v>44.202304602864714</v>
      </c>
      <c r="AT31" s="36">
        <f t="shared" ca="1" si="67"/>
        <v>44.02601814525238</v>
      </c>
      <c r="AU31" s="36">
        <f t="shared" ca="1" si="67"/>
        <v>43.861560574007932</v>
      </c>
      <c r="AV31" s="36">
        <f t="shared" ca="1" si="67"/>
        <v>44.275866290136413</v>
      </c>
      <c r="AW31" s="36">
        <f t="shared" ca="1" si="67"/>
        <v>44.066234822905514</v>
      </c>
      <c r="AX31" s="36">
        <f t="shared" ca="1" si="67"/>
        <v>42.447433269754598</v>
      </c>
      <c r="AY31" s="36">
        <f t="shared" ca="1" si="67"/>
        <v>42.429378124277974</v>
      </c>
      <c r="AZ31" s="36">
        <f t="shared" ca="1" si="67"/>
        <v>43.158407085842704</v>
      </c>
      <c r="BA31" s="36">
        <f t="shared" ca="1" si="67"/>
        <v>43.78576353937607</v>
      </c>
      <c r="BB31" s="36">
        <f t="shared" ca="1" si="67"/>
        <v>43.432268283161392</v>
      </c>
      <c r="BC31" s="36">
        <f t="shared" ca="1" si="67"/>
        <v>41.873663052337569</v>
      </c>
      <c r="BD31" s="36">
        <f t="shared" ca="1" si="67"/>
        <v>42.007883199502324</v>
      </c>
      <c r="BE31" s="36">
        <f t="shared" ca="1" si="67"/>
        <v>42.055689783595312</v>
      </c>
      <c r="BF31" s="36">
        <f t="shared" ca="1" si="67"/>
        <v>42.167166656977969</v>
      </c>
      <c r="BG31" s="36">
        <f t="shared" ca="1" si="67"/>
        <v>41.655721836845863</v>
      </c>
      <c r="BH31" s="36">
        <f t="shared" ca="1" si="67"/>
        <v>41.96563505330387</v>
      </c>
      <c r="BI31" s="36">
        <f t="shared" ca="1" si="67"/>
        <v>41.106224873352346</v>
      </c>
      <c r="BJ31" s="36">
        <f t="shared" ca="1" si="67"/>
        <v>41.60462521485168</v>
      </c>
      <c r="BK31" s="36">
        <f t="shared" ca="1" si="67"/>
        <v>42.390494892724284</v>
      </c>
      <c r="BL31" s="36">
        <f t="shared" ca="1" si="67"/>
        <v>42.746512608905817</v>
      </c>
      <c r="BM31" s="36">
        <f t="shared" ca="1" si="67"/>
        <v>43.276345334215385</v>
      </c>
      <c r="BN31" s="36">
        <f t="shared" ca="1" si="67"/>
        <v>44.292126820259362</v>
      </c>
      <c r="BO31" s="36">
        <f t="shared" ca="1" si="67"/>
        <v>43.44164378950984</v>
      </c>
      <c r="BP31" s="36">
        <f t="shared" ca="1" si="67"/>
        <v>43.540184294869782</v>
      </c>
      <c r="BQ31" s="36">
        <f t="shared" ca="1" si="67"/>
        <v>43.418106332631837</v>
      </c>
      <c r="BR31" s="36">
        <f t="shared" ca="1" si="63"/>
        <v>43.733863396323734</v>
      </c>
      <c r="BS31" s="36">
        <f t="shared" ca="1" si="63"/>
        <v>43.380345944345351</v>
      </c>
      <c r="BT31" s="36">
        <f t="shared" ca="1" si="63"/>
        <v>43.19894033423688</v>
      </c>
      <c r="BU31" s="36">
        <f t="shared" ca="1" si="63"/>
        <v>44.199782208034598</v>
      </c>
      <c r="BV31" s="36">
        <f t="shared" ca="1" si="63"/>
        <v>43.912845421313193</v>
      </c>
      <c r="BW31" s="36">
        <f t="shared" ca="1" si="63"/>
        <v>43.704281465623382</v>
      </c>
      <c r="BX31" s="36">
        <f t="shared" ca="1" si="63"/>
        <v>44.585293088237748</v>
      </c>
      <c r="BY31" s="36">
        <f t="shared" ca="1" si="63"/>
        <v>44.476568659579534</v>
      </c>
      <c r="BZ31" s="36">
        <f t="shared" ca="1" si="63"/>
        <v>44.262278639520389</v>
      </c>
      <c r="CA31" s="36">
        <f t="shared" ca="1" si="63"/>
        <v>43.438537239568781</v>
      </c>
      <c r="CB31" s="36">
        <f t="shared" ca="1" si="63"/>
        <v>43.514211444954682</v>
      </c>
      <c r="CC31" s="36">
        <f t="shared" ca="1" si="63"/>
        <v>44.005603564445934</v>
      </c>
      <c r="CD31" s="36">
        <f t="shared" ca="1" si="63"/>
        <v>43.56789077045736</v>
      </c>
      <c r="CE31" s="36">
        <f t="shared" ca="1" si="63"/>
        <v>42.857062596745067</v>
      </c>
      <c r="CF31" s="36">
        <f t="shared" ca="1" si="63"/>
        <v>41.782310198843611</v>
      </c>
      <c r="CG31" s="36">
        <f t="shared" ca="1" si="63"/>
        <v>41.299801438864485</v>
      </c>
      <c r="CH31" s="36">
        <f t="shared" ca="1" si="63"/>
        <v>41.563762640596373</v>
      </c>
      <c r="CI31" s="36">
        <f t="shared" ca="1" si="63"/>
        <v>41.18705985015167</v>
      </c>
      <c r="CJ31" s="36">
        <f t="shared" ca="1" si="63"/>
        <v>41.410393194270583</v>
      </c>
      <c r="CK31" s="36">
        <f t="shared" ca="1" si="63"/>
        <v>42.051415641088489</v>
      </c>
      <c r="CL31" s="36">
        <f t="shared" ca="1" si="63"/>
        <v>42.11850112477849</v>
      </c>
      <c r="CM31" s="36">
        <f t="shared" ca="1" si="63"/>
        <v>41.775594101427899</v>
      </c>
      <c r="CN31" s="36">
        <f t="shared" ca="1" si="63"/>
        <v>42.113316206613497</v>
      </c>
      <c r="CO31" s="36">
        <f t="shared" ca="1" si="63"/>
        <v>42.203845532812345</v>
      </c>
      <c r="CP31" s="36">
        <f t="shared" ca="1" si="63"/>
        <v>42.35093975712401</v>
      </c>
      <c r="CQ31" s="36">
        <f t="shared" ca="1" si="63"/>
        <v>42.294184087403963</v>
      </c>
      <c r="CR31" s="36">
        <f t="shared" ca="1" si="63"/>
        <v>42.313766693800289</v>
      </c>
      <c r="CS31" s="36">
        <f t="shared" ca="1" si="63"/>
        <v>42.689902946570591</v>
      </c>
      <c r="CT31" s="36">
        <f t="shared" ca="1" si="63"/>
        <v>43.778472100087662</v>
      </c>
      <c r="CU31" s="36">
        <f t="shared" ca="1" si="63"/>
        <v>44.606212273440498</v>
      </c>
      <c r="CV31" s="36">
        <f t="shared" ca="1" si="63"/>
        <v>44.786731964106224</v>
      </c>
      <c r="CW31" s="36">
        <f t="shared" ca="1" si="63"/>
        <v>44.622808807348491</v>
      </c>
      <c r="CX31" s="36">
        <f t="shared" ca="1" si="63"/>
        <v>44.04949112466204</v>
      </c>
      <c r="CY31" s="36">
        <f t="shared" ca="1" si="63"/>
        <v>44.767976079434227</v>
      </c>
      <c r="CZ31" s="36">
        <f t="shared" ca="1" si="63"/>
        <v>44.840184722228834</v>
      </c>
      <c r="DA31" s="36">
        <f t="shared" ca="1" si="63"/>
        <v>44.409042171564771</v>
      </c>
      <c r="DB31" s="36">
        <f t="shared" ca="1" si="63"/>
        <v>43.803174315910432</v>
      </c>
      <c r="DC31" s="36">
        <f t="shared" ca="1" si="63"/>
        <v>43.551581909918326</v>
      </c>
      <c r="DD31" s="36">
        <f t="shared" ca="1" si="63"/>
        <v>43.768893013113811</v>
      </c>
      <c r="DE31" s="36">
        <f t="shared" ca="1" si="63"/>
        <v>43.90167028980342</v>
      </c>
      <c r="DF31" s="36">
        <f t="shared" ca="1" si="63"/>
        <v>43.165379997909731</v>
      </c>
      <c r="DG31" s="36">
        <f t="shared" ca="1" si="63"/>
        <v>43.526077564808311</v>
      </c>
      <c r="DH31" s="36">
        <f t="shared" ca="1" si="63"/>
        <v>43.541850795305393</v>
      </c>
      <c r="DI31" s="36">
        <f t="shared" ca="1" si="63"/>
        <v>44.281085351867794</v>
      </c>
      <c r="DJ31" s="36">
        <f t="shared" ca="1" si="63"/>
        <v>45.318802166470434</v>
      </c>
      <c r="DK31" s="36">
        <f t="shared" ca="1" si="63"/>
        <v>45.903202340973799</v>
      </c>
      <c r="DL31" s="36">
        <f t="shared" ca="1" si="63"/>
        <v>46.312234290555118</v>
      </c>
      <c r="DM31" s="36">
        <f t="shared" ca="1" si="63"/>
        <v>45.540129974726</v>
      </c>
      <c r="DN31" s="36">
        <f t="shared" ca="1" si="63"/>
        <v>46.228301113221974</v>
      </c>
      <c r="DO31" s="36">
        <f t="shared" ca="1" si="63"/>
        <v>47.216892618213436</v>
      </c>
      <c r="DP31" s="36">
        <f t="shared" ca="1" si="63"/>
        <v>46.971442551583237</v>
      </c>
      <c r="DQ31" s="36">
        <f t="shared" ca="1" si="63"/>
        <v>47.875887725642237</v>
      </c>
      <c r="DR31" s="36">
        <f t="shared" ca="1" si="63"/>
        <v>48.299586355470652</v>
      </c>
      <c r="DS31" s="36">
        <f t="shared" ca="1" si="63"/>
        <v>48.852358462363334</v>
      </c>
      <c r="DT31" s="36">
        <f t="shared" ca="1" si="63"/>
        <v>48.62537583044044</v>
      </c>
      <c r="DU31" s="36">
        <f t="shared" ca="1" si="63"/>
        <v>48.243072094897954</v>
      </c>
      <c r="DV31" s="36">
        <f t="shared" ca="1" si="63"/>
        <v>47.503764782912562</v>
      </c>
      <c r="DW31" s="36">
        <f t="shared" ca="1" si="63"/>
        <v>46.18118489052663</v>
      </c>
      <c r="DX31" s="36">
        <f t="shared" ca="1" si="63"/>
        <v>45.014585768207006</v>
      </c>
      <c r="DY31" s="36">
        <f t="shared" ca="1" si="63"/>
        <v>45.351614503072966</v>
      </c>
      <c r="DZ31" s="36">
        <f t="shared" ca="1" si="63"/>
        <v>45.008278791957657</v>
      </c>
      <c r="EA31" s="36">
        <f t="shared" ca="1" si="63"/>
        <v>43.595155232912582</v>
      </c>
      <c r="EB31" s="36">
        <f t="shared" ca="1" si="63"/>
        <v>43.591909419356178</v>
      </c>
      <c r="EC31" s="36">
        <f t="shared" ca="1" si="28"/>
        <v>42.603503744588899</v>
      </c>
      <c r="ED31" s="36">
        <f t="shared" ca="1" si="64"/>
        <v>42.188339516110247</v>
      </c>
      <c r="EE31" s="36">
        <f t="shared" ca="1" si="64"/>
        <v>41.51470070771407</v>
      </c>
      <c r="EF31" s="36">
        <f t="shared" ca="1" si="64"/>
        <v>42.160729452744782</v>
      </c>
      <c r="EG31" s="36">
        <f t="shared" ca="1" si="64"/>
        <v>41.680949241099121</v>
      </c>
      <c r="EH31" s="36">
        <f t="shared" ca="1" si="64"/>
        <v>41.196047744040818</v>
      </c>
      <c r="EI31" s="36">
        <f t="shared" ca="1" si="64"/>
        <v>40.554707204633814</v>
      </c>
      <c r="EJ31" s="36">
        <f t="shared" ca="1" si="64"/>
        <v>40.645724047579854</v>
      </c>
      <c r="EK31" s="36">
        <f t="shared" ca="1" si="64"/>
        <v>39.997416969899078</v>
      </c>
      <c r="EL31" s="36">
        <f t="shared" ca="1" si="64"/>
        <v>39.380593941925852</v>
      </c>
      <c r="EM31" s="36">
        <f t="shared" ca="1" si="64"/>
        <v>39.434706726262796</v>
      </c>
      <c r="EN31" s="36">
        <f t="shared" ca="1" si="64"/>
        <v>39.10892047084436</v>
      </c>
      <c r="EO31" s="36">
        <f t="shared" ca="1" si="64"/>
        <v>39.650758760038826</v>
      </c>
      <c r="EP31" s="36">
        <f t="shared" ca="1" si="64"/>
        <v>39.838012227685361</v>
      </c>
      <c r="EQ31" s="36">
        <f t="shared" ca="1" si="64"/>
        <v>39.145353644871129</v>
      </c>
      <c r="ER31" s="36">
        <f t="shared" ca="1" si="64"/>
        <v>39.838012598151018</v>
      </c>
      <c r="ES31" s="36">
        <f t="shared" ca="1" si="64"/>
        <v>39.385405746886669</v>
      </c>
      <c r="ET31" s="36">
        <f t="shared" ca="1" si="64"/>
        <v>39.969271229563766</v>
      </c>
      <c r="EU31" s="36">
        <f t="shared" ca="1" si="64"/>
        <v>40.392874670982422</v>
      </c>
      <c r="EV31" s="36">
        <f t="shared" ca="1" si="64"/>
        <v>40.979151170552946</v>
      </c>
      <c r="EW31" s="36">
        <f t="shared" ref="EW31" ca="1" si="70">EV31*EXP(($B$3-$B$4^2/2)*1+$B$4*_xlfn.NORM.S.INV(RAND()))</f>
        <v>41.513971105601243</v>
      </c>
      <c r="EX31" s="36">
        <f t="shared" ca="1" si="61"/>
        <v>41.161496901467764</v>
      </c>
      <c r="EY31" s="36">
        <f t="shared" ca="1" si="61"/>
        <v>40.997787927915752</v>
      </c>
      <c r="EZ31" s="36">
        <f t="shared" ca="1" si="61"/>
        <v>41.295500722098481</v>
      </c>
      <c r="FA31" s="36">
        <f t="shared" ca="1" si="61"/>
        <v>41.311378018220267</v>
      </c>
      <c r="FB31" s="36">
        <f t="shared" ca="1" si="61"/>
        <v>41.78219086633608</v>
      </c>
      <c r="FC31" s="36">
        <f t="shared" ca="1" si="61"/>
        <v>42.358812933115317</v>
      </c>
      <c r="FD31" s="36">
        <f t="shared" ca="1" si="61"/>
        <v>42.748232465492613</v>
      </c>
      <c r="FE31" s="36">
        <f t="shared" ca="1" si="61"/>
        <v>42.593090909913457</v>
      </c>
      <c r="FF31" s="36">
        <f t="shared" ca="1" si="61"/>
        <v>42.865344063171889</v>
      </c>
      <c r="FG31" s="36">
        <f t="shared" ca="1" si="61"/>
        <v>43.080407890254222</v>
      </c>
      <c r="FH31" s="36">
        <f t="shared" ca="1" si="61"/>
        <v>41.972622799641918</v>
      </c>
      <c r="FI31" s="36">
        <f t="shared" ca="1" si="61"/>
        <v>42.209376711906373</v>
      </c>
      <c r="FJ31" s="36">
        <f t="shared" ca="1" si="61"/>
        <v>41.264408061498202</v>
      </c>
      <c r="FK31" s="36">
        <f t="shared" ca="1" si="61"/>
        <v>40.992328403674698</v>
      </c>
      <c r="FL31" s="36">
        <f t="shared" ca="1" si="61"/>
        <v>41.742596509287978</v>
      </c>
      <c r="FM31" s="36">
        <f t="shared" ca="1" si="61"/>
        <v>42.228830315880963</v>
      </c>
      <c r="FN31" s="36">
        <f t="shared" ca="1" si="61"/>
        <v>42.091641998495007</v>
      </c>
      <c r="FO31" s="36">
        <f t="shared" ca="1" si="61"/>
        <v>41.380338843114259</v>
      </c>
      <c r="FP31" s="36">
        <f t="shared" ca="1" si="61"/>
        <v>41.412137969279414</v>
      </c>
      <c r="FQ31" s="36">
        <f t="shared" ca="1" si="61"/>
        <v>41.487849397468665</v>
      </c>
      <c r="FR31" s="36">
        <f t="shared" ca="1" si="61"/>
        <v>42.394915299206495</v>
      </c>
      <c r="FS31" s="36">
        <f t="shared" ca="1" si="61"/>
        <v>42.139200177485634</v>
      </c>
      <c r="FT31" s="36">
        <f t="shared" ca="1" si="61"/>
        <v>42.257031724244214</v>
      </c>
      <c r="FU31" s="36">
        <f t="shared" ca="1" si="61"/>
        <v>42.503006567935778</v>
      </c>
      <c r="FV31" s="36">
        <f t="shared" ca="1" si="61"/>
        <v>42.697766360761477</v>
      </c>
      <c r="FW31" s="36">
        <f t="shared" ca="1" si="61"/>
        <v>42.651088627791204</v>
      </c>
      <c r="FX31" s="36">
        <f t="shared" ca="1" si="61"/>
        <v>41.638848742574226</v>
      </c>
      <c r="FY31" s="36">
        <f t="shared" ca="1" si="61"/>
        <v>41.375035870256148</v>
      </c>
      <c r="FZ31" s="36">
        <f t="shared" ca="1" si="61"/>
        <v>41.620763577800702</v>
      </c>
      <c r="GA31" s="36">
        <f t="shared" ca="1" si="61"/>
        <v>42.03197780430488</v>
      </c>
      <c r="GB31" s="36">
        <f t="shared" ca="1" si="61"/>
        <v>41.877880016297645</v>
      </c>
      <c r="GC31" s="36">
        <f t="shared" ca="1" si="61"/>
        <v>42.195765783893613</v>
      </c>
      <c r="GD31" s="36">
        <f t="shared" ca="1" si="61"/>
        <v>42.093806394165611</v>
      </c>
      <c r="GE31" s="36">
        <f t="shared" ca="1" si="61"/>
        <v>41.776572747644366</v>
      </c>
      <c r="GF31" s="36">
        <f t="shared" ca="1" si="61"/>
        <v>41.762360305453299</v>
      </c>
      <c r="GG31" s="36">
        <f t="shared" ca="1" si="61"/>
        <v>41.820494632982637</v>
      </c>
      <c r="GH31" s="36">
        <f t="shared" ca="1" si="61"/>
        <v>41.514905392922223</v>
      </c>
      <c r="GI31" s="36">
        <f t="shared" ca="1" si="61"/>
        <v>41.196382231265424</v>
      </c>
      <c r="GJ31" s="36">
        <f t="shared" ca="1" si="61"/>
        <v>41.812439565719146</v>
      </c>
      <c r="GK31" s="36">
        <f t="shared" ca="1" si="61"/>
        <v>42.00788039456495</v>
      </c>
      <c r="GL31" s="36">
        <f t="shared" ca="1" si="61"/>
        <v>41.828133674213653</v>
      </c>
      <c r="GM31" s="36">
        <f t="shared" ca="1" si="61"/>
        <v>41.714537980073224</v>
      </c>
      <c r="GN31" s="36">
        <f t="shared" ca="1" si="61"/>
        <v>41.629718287854971</v>
      </c>
      <c r="GO31" s="36">
        <f t="shared" ca="1" si="61"/>
        <v>41.551807235872317</v>
      </c>
      <c r="GP31" s="36">
        <f t="shared" ca="1" si="61"/>
        <v>42.591714894715579</v>
      </c>
      <c r="GQ31" s="36">
        <f t="shared" ca="1" si="61"/>
        <v>41.798059943502729</v>
      </c>
      <c r="GR31" s="36">
        <f t="shared" ca="1" si="61"/>
        <v>42.052207185667633</v>
      </c>
      <c r="GS31" s="36">
        <f t="shared" ca="1" si="61"/>
        <v>42.658673013013022</v>
      </c>
      <c r="GT31" s="36">
        <f t="shared" ca="1" si="61"/>
        <v>43.35404356911188</v>
      </c>
      <c r="GU31" s="36">
        <f t="shared" ca="1" si="61"/>
        <v>41.918523506351946</v>
      </c>
      <c r="GV31" s="36">
        <f t="shared" ca="1" si="61"/>
        <v>42.329410053201151</v>
      </c>
      <c r="GW31" s="36">
        <f t="shared" ca="1" si="59"/>
        <v>42.435593844347878</v>
      </c>
      <c r="GX31" s="36">
        <f t="shared" ca="1" si="59"/>
        <v>42.241699835603647</v>
      </c>
      <c r="GY31" s="36">
        <f t="shared" ca="1" si="59"/>
        <v>41.969580986805681</v>
      </c>
      <c r="GZ31" s="36">
        <f t="shared" ca="1" si="59"/>
        <v>41.967883076274674</v>
      </c>
      <c r="HA31" s="36">
        <f t="shared" ca="1" si="59"/>
        <v>42.726061324957676</v>
      </c>
      <c r="HB31" s="36">
        <f t="shared" ca="1" si="59"/>
        <v>42.772404686852326</v>
      </c>
      <c r="HC31" s="36">
        <f t="shared" ca="1" si="59"/>
        <v>43.581244574417873</v>
      </c>
      <c r="HD31" s="36">
        <f t="shared" ca="1" si="59"/>
        <v>43.543129206518664</v>
      </c>
      <c r="HE31" s="36">
        <f t="shared" ca="1" si="59"/>
        <v>44.171363830320587</v>
      </c>
      <c r="HF31" s="36">
        <f t="shared" ca="1" si="59"/>
        <v>44.314028648374972</v>
      </c>
      <c r="HG31" s="36">
        <f t="shared" ca="1" si="59"/>
        <v>44.566245895011413</v>
      </c>
      <c r="HH31" s="36">
        <f t="shared" ca="1" si="59"/>
        <v>44.650020921505401</v>
      </c>
      <c r="HI31" s="36">
        <f t="shared" ca="1" si="59"/>
        <v>44.129169012514701</v>
      </c>
      <c r="HJ31" s="36">
        <f t="shared" ca="1" si="59"/>
        <v>43.162306448765641</v>
      </c>
      <c r="HK31" s="36">
        <f t="shared" ca="1" si="59"/>
        <v>42.3067706041519</v>
      </c>
      <c r="HL31" s="36">
        <f t="shared" ref="HL31:HT31" ca="1" si="71">HK31*EXP(($B$3-$B$4^2/2)*1+$B$4*_xlfn.NORM.S.INV(RAND()))</f>
        <v>41.77169234555911</v>
      </c>
      <c r="HM31" s="36">
        <f t="shared" ca="1" si="71"/>
        <v>40.77318925986323</v>
      </c>
      <c r="HN31" s="36">
        <f t="shared" ca="1" si="71"/>
        <v>40.523592312720794</v>
      </c>
      <c r="HO31" s="36">
        <f t="shared" ca="1" si="71"/>
        <v>40.553404468616826</v>
      </c>
      <c r="HP31" s="36">
        <f t="shared" ca="1" si="71"/>
        <v>41.053009771141781</v>
      </c>
      <c r="HQ31" s="36">
        <f t="shared" ca="1" si="71"/>
        <v>41.379377190656456</v>
      </c>
      <c r="HR31" s="36">
        <f t="shared" ca="1" si="71"/>
        <v>41.347478145287972</v>
      </c>
      <c r="HS31" s="36">
        <f t="shared" ca="1" si="71"/>
        <v>41.71327436004313</v>
      </c>
      <c r="HT31" s="36">
        <f t="shared" ca="1" si="71"/>
        <v>41.976817303124015</v>
      </c>
      <c r="HU31" s="36">
        <f t="shared" ca="1" si="52"/>
        <v>41.865745281428239</v>
      </c>
      <c r="HV31" s="36">
        <f t="shared" ca="1" si="52"/>
        <v>42.366536735090115</v>
      </c>
      <c r="HW31" s="36">
        <f t="shared" ca="1" si="52"/>
        <v>42.642435913922093</v>
      </c>
      <c r="HX31" s="36">
        <f t="shared" ca="1" si="52"/>
        <v>43.248202841214479</v>
      </c>
      <c r="HY31" s="36">
        <f t="shared" ca="1" si="52"/>
        <v>43.706410259464029</v>
      </c>
      <c r="HZ31" s="36">
        <f t="shared" ca="1" si="52"/>
        <v>43.715252878280097</v>
      </c>
      <c r="IA31" s="36">
        <f t="shared" ca="1" si="52"/>
        <v>43.63325090077096</v>
      </c>
      <c r="IB31" s="36">
        <f t="shared" ca="1" si="52"/>
        <v>44.333772192044037</v>
      </c>
      <c r="IC31" s="36">
        <f t="shared" ca="1" si="52"/>
        <v>44.45802453464033</v>
      </c>
      <c r="ID31" s="36">
        <f t="shared" ca="1" si="52"/>
        <v>44.637852735970682</v>
      </c>
      <c r="IE31" s="36">
        <f t="shared" ca="1" si="52"/>
        <v>44.623768319642181</v>
      </c>
      <c r="IF31" s="36">
        <f t="shared" ca="1" si="52"/>
        <v>44.845220952096895</v>
      </c>
      <c r="IG31" s="36">
        <f t="shared" ca="1" si="52"/>
        <v>44.557743617747967</v>
      </c>
      <c r="IH31" s="36">
        <f t="shared" ca="1" si="52"/>
        <v>44.636163008797958</v>
      </c>
      <c r="II31" s="36">
        <f t="shared" ca="1" si="52"/>
        <v>43.856352586240064</v>
      </c>
      <c r="IJ31" s="36">
        <f t="shared" ca="1" si="52"/>
        <v>43.933803826827514</v>
      </c>
      <c r="IK31" s="36">
        <f t="shared" ca="1" si="52"/>
        <v>44.635868032557767</v>
      </c>
      <c r="IL31" s="36">
        <f t="shared" ca="1" si="52"/>
        <v>43.876933416813863</v>
      </c>
      <c r="IM31" s="36">
        <f t="shared" ca="1" si="52"/>
        <v>43.953629425499372</v>
      </c>
      <c r="IN31" s="36">
        <f t="shared" ca="1" si="52"/>
        <v>43.43726873482489</v>
      </c>
      <c r="IO31" s="36">
        <f t="shared" ca="1" si="52"/>
        <v>44.74397517105163</v>
      </c>
      <c r="IP31" s="36">
        <f t="shared" ca="1" si="52"/>
        <v>44.874068082895676</v>
      </c>
      <c r="IQ31" s="36">
        <f t="shared" ca="1" si="52"/>
        <v>45.571975331244765</v>
      </c>
      <c r="IR31" s="36">
        <f t="shared" ca="1" si="52"/>
        <v>46.009973076859836</v>
      </c>
      <c r="IS31" s="36">
        <f t="shared" ca="1" si="52"/>
        <v>46.280292712737719</v>
      </c>
      <c r="IT31" s="36">
        <f t="shared" ca="1" si="52"/>
        <v>46.576434772233284</v>
      </c>
      <c r="IU31" s="36">
        <f t="shared" ca="1" si="52"/>
        <v>45.862384235088911</v>
      </c>
    </row>
    <row r="32" spans="1:255" x14ac:dyDescent="0.2">
      <c r="A32" s="36"/>
      <c r="B32">
        <v>22</v>
      </c>
      <c r="C32" s="36">
        <v>50</v>
      </c>
      <c r="D32" s="36">
        <f t="shared" ca="1" si="14"/>
        <v>49.584746108523944</v>
      </c>
      <c r="E32" s="36">
        <f t="shared" ca="1" si="14"/>
        <v>49.222856763423103</v>
      </c>
      <c r="F32" s="36">
        <f t="shared" ca="1" si="67"/>
        <v>48.124823448477528</v>
      </c>
      <c r="G32" s="36">
        <f t="shared" ca="1" si="67"/>
        <v>48.628965859762239</v>
      </c>
      <c r="H32" s="36">
        <f t="shared" ca="1" si="67"/>
        <v>48.41908573518819</v>
      </c>
      <c r="I32" s="36">
        <f t="shared" ca="1" si="67"/>
        <v>47.212232954756743</v>
      </c>
      <c r="J32" s="36">
        <f t="shared" ca="1" si="67"/>
        <v>46.79034194368699</v>
      </c>
      <c r="K32" s="36">
        <f t="shared" ca="1" si="67"/>
        <v>46.449490598997286</v>
      </c>
      <c r="L32" s="36">
        <f t="shared" ca="1" si="67"/>
        <v>46.181161033593142</v>
      </c>
      <c r="M32" s="36">
        <f t="shared" ca="1" si="67"/>
        <v>45.853415928339047</v>
      </c>
      <c r="N32" s="36">
        <f t="shared" ca="1" si="67"/>
        <v>46.291143246076899</v>
      </c>
      <c r="O32" s="36">
        <f t="shared" ca="1" si="67"/>
        <v>45.208310131970265</v>
      </c>
      <c r="P32" s="36">
        <f t="shared" ca="1" si="67"/>
        <v>45.550506206247363</v>
      </c>
      <c r="Q32" s="36">
        <f t="shared" ca="1" si="67"/>
        <v>45.638943827038062</v>
      </c>
      <c r="R32" s="36">
        <f t="shared" ca="1" si="67"/>
        <v>46.151421273761194</v>
      </c>
      <c r="S32" s="36">
        <f t="shared" ca="1" si="67"/>
        <v>46.574425716010815</v>
      </c>
      <c r="T32" s="36">
        <f t="shared" ca="1" si="67"/>
        <v>45.515287530465713</v>
      </c>
      <c r="U32" s="36">
        <f t="shared" ca="1" si="67"/>
        <v>45.702946123106926</v>
      </c>
      <c r="V32" s="36">
        <f t="shared" ca="1" si="67"/>
        <v>45.213613600484948</v>
      </c>
      <c r="W32" s="36">
        <f t="shared" ca="1" si="67"/>
        <v>45.034436974731868</v>
      </c>
      <c r="X32" s="36">
        <f t="shared" ca="1" si="67"/>
        <v>44.38128788273179</v>
      </c>
      <c r="Y32" s="36">
        <f t="shared" ca="1" si="67"/>
        <v>44.046957265242789</v>
      </c>
      <c r="Z32" s="36">
        <f t="shared" ca="1" si="67"/>
        <v>44.051071427617821</v>
      </c>
      <c r="AA32" s="36">
        <f t="shared" ca="1" si="67"/>
        <v>43.869417439644387</v>
      </c>
      <c r="AB32" s="36">
        <f t="shared" ca="1" si="67"/>
        <v>44.074190907191664</v>
      </c>
      <c r="AC32" s="36">
        <f t="shared" ca="1" si="67"/>
        <v>43.681766552920045</v>
      </c>
      <c r="AD32" s="36">
        <f t="shared" ca="1" si="67"/>
        <v>43.772664569557897</v>
      </c>
      <c r="AE32" s="36">
        <f t="shared" ca="1" si="67"/>
        <v>44.04003861249376</v>
      </c>
      <c r="AF32" s="36">
        <f t="shared" ca="1" si="67"/>
        <v>43.761776426594793</v>
      </c>
      <c r="AG32" s="36">
        <f t="shared" ca="1" si="67"/>
        <v>43.226916854393657</v>
      </c>
      <c r="AH32" s="36">
        <f t="shared" ca="1" si="67"/>
        <v>43.503778893822997</v>
      </c>
      <c r="AI32" s="36">
        <f t="shared" ca="1" si="67"/>
        <v>43.625612007844659</v>
      </c>
      <c r="AJ32" s="36">
        <f t="shared" ca="1" si="67"/>
        <v>44.383159427884152</v>
      </c>
      <c r="AK32" s="36">
        <f t="shared" ca="1" si="67"/>
        <v>44.139699260109516</v>
      </c>
      <c r="AL32" s="36">
        <f t="shared" ca="1" si="67"/>
        <v>44.548742573138846</v>
      </c>
      <c r="AM32" s="36">
        <f t="shared" ca="1" si="67"/>
        <v>44.382142578350049</v>
      </c>
      <c r="AN32" s="36">
        <f t="shared" ca="1" si="67"/>
        <v>44.597681059143419</v>
      </c>
      <c r="AO32" s="36">
        <f t="shared" ca="1" si="67"/>
        <v>44.987243973084631</v>
      </c>
      <c r="AP32" s="36">
        <f t="shared" ca="1" si="67"/>
        <v>44.877174644126477</v>
      </c>
      <c r="AQ32" s="36">
        <f t="shared" ca="1" si="67"/>
        <v>45.664673370659045</v>
      </c>
      <c r="AR32" s="36">
        <f t="shared" ca="1" si="67"/>
        <v>45.18812201545591</v>
      </c>
      <c r="AS32" s="36">
        <f t="shared" ca="1" si="67"/>
        <v>45.773221299301312</v>
      </c>
      <c r="AT32" s="36">
        <f t="shared" ca="1" si="67"/>
        <v>45.552987906064153</v>
      </c>
      <c r="AU32" s="36">
        <f t="shared" ca="1" si="67"/>
        <v>45.28312844101341</v>
      </c>
      <c r="AV32" s="36">
        <f t="shared" ca="1" si="67"/>
        <v>45.732366375878094</v>
      </c>
      <c r="AW32" s="36">
        <f t="shared" ca="1" si="67"/>
        <v>44.719726294896283</v>
      </c>
      <c r="AX32" s="36">
        <f t="shared" ca="1" si="67"/>
        <v>44.647950783776224</v>
      </c>
      <c r="AY32" s="36">
        <f t="shared" ca="1" si="67"/>
        <v>44.817921272061575</v>
      </c>
      <c r="AZ32" s="36">
        <f t="shared" ca="1" si="67"/>
        <v>44.382338859537732</v>
      </c>
      <c r="BA32" s="36">
        <f t="shared" ca="1" si="67"/>
        <v>44.829353860411587</v>
      </c>
      <c r="BB32" s="36">
        <f t="shared" ca="1" si="67"/>
        <v>44.421047031379018</v>
      </c>
      <c r="BC32" s="36">
        <f t="shared" ca="1" si="67"/>
        <v>44.503943251296747</v>
      </c>
      <c r="BD32" s="36">
        <f t="shared" ca="1" si="67"/>
        <v>44.89657536168297</v>
      </c>
      <c r="BE32" s="36">
        <f t="shared" ca="1" si="67"/>
        <v>44.413641917518227</v>
      </c>
      <c r="BF32" s="36">
        <f t="shared" ca="1" si="67"/>
        <v>43.664916977823978</v>
      </c>
      <c r="BG32" s="36">
        <f t="shared" ca="1" si="67"/>
        <v>44.122265349502989</v>
      </c>
      <c r="BH32" s="36">
        <f t="shared" ca="1" si="67"/>
        <v>44.442913478623083</v>
      </c>
      <c r="BI32" s="36">
        <f t="shared" ca="1" si="67"/>
        <v>44.306057343612473</v>
      </c>
      <c r="BJ32" s="36">
        <f t="shared" ca="1" si="67"/>
        <v>44.749785586544697</v>
      </c>
      <c r="BK32" s="36">
        <f t="shared" ca="1" si="67"/>
        <v>44.170287718314476</v>
      </c>
      <c r="BL32" s="36">
        <f t="shared" ca="1" si="67"/>
        <v>44.512447714576638</v>
      </c>
      <c r="BM32" s="36">
        <f t="shared" ca="1" si="67"/>
        <v>44.395223573186513</v>
      </c>
      <c r="BN32" s="36">
        <f t="shared" ca="1" si="67"/>
        <v>43.926540446493313</v>
      </c>
      <c r="BO32" s="36">
        <f t="shared" ca="1" si="67"/>
        <v>43.0133274627402</v>
      </c>
      <c r="BP32" s="36">
        <f t="shared" ca="1" si="67"/>
        <v>42.959237967496094</v>
      </c>
      <c r="BQ32" s="36">
        <f t="shared" ca="1" si="67"/>
        <v>43.670404588007919</v>
      </c>
      <c r="BR32" s="36">
        <f t="shared" ca="1" si="63"/>
        <v>43.755350509940008</v>
      </c>
      <c r="BS32" s="36">
        <f t="shared" ca="1" si="63"/>
        <v>44.315164280648105</v>
      </c>
      <c r="BT32" s="36">
        <f t="shared" ca="1" si="63"/>
        <v>44.228798765766022</v>
      </c>
      <c r="BU32" s="36">
        <f t="shared" ca="1" si="63"/>
        <v>43.786160099632092</v>
      </c>
      <c r="BV32" s="36">
        <f t="shared" ca="1" si="63"/>
        <v>43.357601868264418</v>
      </c>
      <c r="BW32" s="36">
        <f t="shared" ca="1" si="63"/>
        <v>43.156723617192164</v>
      </c>
      <c r="BX32" s="36">
        <f t="shared" ca="1" si="63"/>
        <v>42.700087620313489</v>
      </c>
      <c r="BY32" s="36">
        <f t="shared" ca="1" si="63"/>
        <v>42.849759544073613</v>
      </c>
      <c r="BZ32" s="36">
        <f t="shared" ca="1" si="63"/>
        <v>42.68917820002477</v>
      </c>
      <c r="CA32" s="36">
        <f t="shared" ca="1" si="63"/>
        <v>41.716651967936684</v>
      </c>
      <c r="CB32" s="36">
        <f t="shared" ca="1" si="63"/>
        <v>42.184612831145003</v>
      </c>
      <c r="CC32" s="36">
        <f t="shared" ca="1" si="63"/>
        <v>41.949293398349326</v>
      </c>
      <c r="CD32" s="36">
        <f t="shared" ca="1" si="63"/>
        <v>40.712623225866146</v>
      </c>
      <c r="CE32" s="36">
        <f t="shared" ca="1" si="63"/>
        <v>40.403011062768869</v>
      </c>
      <c r="CF32" s="36">
        <f t="shared" ca="1" si="63"/>
        <v>40.284894591531774</v>
      </c>
      <c r="CG32" s="36">
        <f t="shared" ca="1" si="63"/>
        <v>40.509972819256035</v>
      </c>
      <c r="CH32" s="36">
        <f t="shared" ca="1" si="63"/>
        <v>39.977649958496656</v>
      </c>
      <c r="CI32" s="36">
        <f t="shared" ca="1" si="63"/>
        <v>40.41141734956684</v>
      </c>
      <c r="CJ32" s="36">
        <f t="shared" ca="1" si="63"/>
        <v>41.615404751804547</v>
      </c>
      <c r="CK32" s="36">
        <f t="shared" ca="1" si="63"/>
        <v>41.094080963071271</v>
      </c>
      <c r="CL32" s="36">
        <f t="shared" ca="1" si="63"/>
        <v>40.864943487368365</v>
      </c>
      <c r="CM32" s="36">
        <f t="shared" ca="1" si="63"/>
        <v>41.466280796215848</v>
      </c>
      <c r="CN32" s="36">
        <f t="shared" ca="1" si="63"/>
        <v>41.611842124130845</v>
      </c>
      <c r="CO32" s="36">
        <f t="shared" ca="1" si="63"/>
        <v>41.469173325408306</v>
      </c>
      <c r="CP32" s="36">
        <f t="shared" ca="1" si="63"/>
        <v>40.61606523771966</v>
      </c>
      <c r="CQ32" s="36">
        <f t="shared" ca="1" si="63"/>
        <v>39.595117519268229</v>
      </c>
      <c r="CR32" s="36">
        <f t="shared" ca="1" si="63"/>
        <v>39.254357813688891</v>
      </c>
      <c r="CS32" s="36">
        <f t="shared" ca="1" si="63"/>
        <v>39.157720315662992</v>
      </c>
      <c r="CT32" s="36">
        <f t="shared" ca="1" si="63"/>
        <v>39.052541683009835</v>
      </c>
      <c r="CU32" s="36">
        <f t="shared" ca="1" si="63"/>
        <v>39.699389529673887</v>
      </c>
      <c r="CV32" s="36">
        <f t="shared" ca="1" si="63"/>
        <v>38.863355450930783</v>
      </c>
      <c r="CW32" s="36">
        <f t="shared" ca="1" si="63"/>
        <v>39.425723854238363</v>
      </c>
      <c r="CX32" s="36">
        <f t="shared" ca="1" si="63"/>
        <v>39.618919561928678</v>
      </c>
      <c r="CY32" s="36">
        <f t="shared" ca="1" si="63"/>
        <v>39.421468845470713</v>
      </c>
      <c r="CZ32" s="36">
        <f t="shared" ca="1" si="63"/>
        <v>39.479178330769855</v>
      </c>
      <c r="DA32" s="36">
        <f t="shared" ca="1" si="63"/>
        <v>40.383498121298217</v>
      </c>
      <c r="DB32" s="36">
        <f t="shared" ca="1" si="63"/>
        <v>40.969480677726338</v>
      </c>
      <c r="DC32" s="36">
        <f t="shared" ca="1" si="63"/>
        <v>40.28986354255192</v>
      </c>
      <c r="DD32" s="36">
        <f t="shared" ca="1" si="63"/>
        <v>40.083691841514074</v>
      </c>
      <c r="DE32" s="36">
        <f t="shared" ca="1" si="63"/>
        <v>40.03919049950688</v>
      </c>
      <c r="DF32" s="36">
        <f t="shared" ca="1" si="63"/>
        <v>40.225547720462806</v>
      </c>
      <c r="DG32" s="36">
        <f t="shared" ca="1" si="63"/>
        <v>39.849871257688697</v>
      </c>
      <c r="DH32" s="36">
        <f t="shared" ca="1" si="63"/>
        <v>39.300001276901796</v>
      </c>
      <c r="DI32" s="36">
        <f t="shared" ca="1" si="63"/>
        <v>38.343678200736122</v>
      </c>
      <c r="DJ32" s="36">
        <f t="shared" ca="1" si="63"/>
        <v>38.831988513241285</v>
      </c>
      <c r="DK32" s="36">
        <f t="shared" ca="1" si="63"/>
        <v>38.512994128942665</v>
      </c>
      <c r="DL32" s="36">
        <f t="shared" ca="1" si="63"/>
        <v>38.328072805667702</v>
      </c>
      <c r="DM32" s="36">
        <f t="shared" ca="1" si="63"/>
        <v>38.292644689794557</v>
      </c>
      <c r="DN32" s="36">
        <f t="shared" ca="1" si="63"/>
        <v>37.583593828767775</v>
      </c>
      <c r="DO32" s="36">
        <f t="shared" ca="1" si="63"/>
        <v>37.718112606473632</v>
      </c>
      <c r="DP32" s="36">
        <f t="shared" ca="1" si="63"/>
        <v>37.361767644224926</v>
      </c>
      <c r="DQ32" s="36">
        <f t="shared" ca="1" si="63"/>
        <v>37.064825389554443</v>
      </c>
      <c r="DR32" s="36">
        <f t="shared" ca="1" si="63"/>
        <v>36.759704116412493</v>
      </c>
      <c r="DS32" s="36">
        <f t="shared" ca="1" si="63"/>
        <v>36.695435427819852</v>
      </c>
      <c r="DT32" s="36">
        <f t="shared" ca="1" si="63"/>
        <v>36.644761387118827</v>
      </c>
      <c r="DU32" s="36">
        <f t="shared" ca="1" si="63"/>
        <v>36.130533613396722</v>
      </c>
      <c r="DV32" s="36">
        <f t="shared" ca="1" si="63"/>
        <v>36.604416244539223</v>
      </c>
      <c r="DW32" s="36">
        <f t="shared" ca="1" si="63"/>
        <v>35.816952514901629</v>
      </c>
      <c r="DX32" s="36">
        <f t="shared" ca="1" si="63"/>
        <v>35.723618160516146</v>
      </c>
      <c r="DY32" s="36">
        <f t="shared" ca="1" si="63"/>
        <v>35.542309858655734</v>
      </c>
      <c r="DZ32" s="36">
        <f t="shared" ca="1" si="63"/>
        <v>35.116444205495227</v>
      </c>
      <c r="EA32" s="36">
        <f t="shared" ca="1" si="63"/>
        <v>35.627653333368379</v>
      </c>
      <c r="EB32" s="36">
        <f t="shared" ca="1" si="63"/>
        <v>35.196276450160227</v>
      </c>
      <c r="EC32" s="36">
        <f t="shared" ref="EC32:EV44" ca="1" si="72">EB32*EXP(($B$3-$B$4^2/2)*1+$B$4*_xlfn.NORM.S.INV(RAND()))</f>
        <v>35.067187591158309</v>
      </c>
      <c r="ED32" s="36">
        <f t="shared" ca="1" si="72"/>
        <v>35.332960751271457</v>
      </c>
      <c r="EE32" s="36">
        <f t="shared" ca="1" si="72"/>
        <v>35.703774334610891</v>
      </c>
      <c r="EF32" s="36">
        <f t="shared" ca="1" si="72"/>
        <v>35.623779849158971</v>
      </c>
      <c r="EG32" s="36">
        <f t="shared" ca="1" si="72"/>
        <v>36.24797295714248</v>
      </c>
      <c r="EH32" s="36">
        <f t="shared" ca="1" si="72"/>
        <v>36.970247290427864</v>
      </c>
      <c r="EI32" s="36">
        <f t="shared" ca="1" si="72"/>
        <v>37.139905763787915</v>
      </c>
      <c r="EJ32" s="36">
        <f t="shared" ca="1" si="72"/>
        <v>36.997894379212568</v>
      </c>
      <c r="EK32" s="36">
        <f t="shared" ca="1" si="72"/>
        <v>36.11660529605291</v>
      </c>
      <c r="EL32" s="36">
        <f t="shared" ca="1" si="72"/>
        <v>36.748977207596468</v>
      </c>
      <c r="EM32" s="36">
        <f t="shared" ca="1" si="72"/>
        <v>37.174179081887985</v>
      </c>
      <c r="EN32" s="36">
        <f t="shared" ca="1" si="72"/>
        <v>36.712653811396635</v>
      </c>
      <c r="EO32" s="36">
        <f t="shared" ca="1" si="72"/>
        <v>36.206951597274468</v>
      </c>
      <c r="EP32" s="36">
        <f t="shared" ca="1" si="72"/>
        <v>36.019390456295085</v>
      </c>
      <c r="EQ32" s="36">
        <f t="shared" ca="1" si="72"/>
        <v>35.641854247583034</v>
      </c>
      <c r="ER32" s="36">
        <f t="shared" ca="1" si="72"/>
        <v>34.973916655279723</v>
      </c>
      <c r="ES32" s="36">
        <f t="shared" ca="1" si="72"/>
        <v>35.059607111868566</v>
      </c>
      <c r="ET32" s="36">
        <f t="shared" ca="1" si="72"/>
        <v>35.505014700799805</v>
      </c>
      <c r="EU32" s="36">
        <f t="shared" ca="1" si="72"/>
        <v>35.95178938988866</v>
      </c>
      <c r="EV32" s="36">
        <f t="shared" ca="1" si="72"/>
        <v>35.616465582443297</v>
      </c>
      <c r="EW32" s="36">
        <f t="shared" ref="EW32" ca="1" si="73">EV32*EXP(($B$3-$B$4^2/2)*1+$B$4*_xlfn.NORM.S.INV(RAND()))</f>
        <v>35.235734026978378</v>
      </c>
      <c r="EX32" s="36">
        <f t="shared" ca="1" si="61"/>
        <v>35.389583248103811</v>
      </c>
      <c r="EY32" s="36">
        <f t="shared" ca="1" si="61"/>
        <v>35.893767006224046</v>
      </c>
      <c r="EZ32" s="36">
        <f t="shared" ca="1" si="61"/>
        <v>36.387562113700916</v>
      </c>
      <c r="FA32" s="36">
        <f t="shared" ca="1" si="61"/>
        <v>36.394181342641303</v>
      </c>
      <c r="FB32" s="36">
        <f t="shared" ca="1" si="61"/>
        <v>36.103188214530284</v>
      </c>
      <c r="FC32" s="36">
        <f t="shared" ca="1" si="61"/>
        <v>36.750973750887304</v>
      </c>
      <c r="FD32" s="36">
        <f t="shared" ca="1" si="61"/>
        <v>36.548895926766043</v>
      </c>
      <c r="FE32" s="36">
        <f t="shared" ca="1" si="61"/>
        <v>36.769712355117591</v>
      </c>
      <c r="FF32" s="36">
        <f t="shared" ca="1" si="61"/>
        <v>36.873884756118748</v>
      </c>
      <c r="FG32" s="36">
        <f t="shared" ca="1" si="61"/>
        <v>36.389460857475505</v>
      </c>
      <c r="FH32" s="36">
        <f t="shared" ca="1" si="61"/>
        <v>36.728888078825825</v>
      </c>
      <c r="FI32" s="36">
        <f t="shared" ca="1" si="61"/>
        <v>36.045979209057684</v>
      </c>
      <c r="FJ32" s="36">
        <f t="shared" ca="1" si="61"/>
        <v>36.388530737979394</v>
      </c>
      <c r="FK32" s="36">
        <f t="shared" ca="1" si="61"/>
        <v>36.729250234239814</v>
      </c>
      <c r="FL32" s="36">
        <f t="shared" ca="1" si="61"/>
        <v>36.420431404742189</v>
      </c>
      <c r="FM32" s="36">
        <f t="shared" ca="1" si="61"/>
        <v>36.096474911982938</v>
      </c>
      <c r="FN32" s="36">
        <f t="shared" ca="1" si="61"/>
        <v>36.432217667800302</v>
      </c>
      <c r="FO32" s="36">
        <f t="shared" ca="1" si="61"/>
        <v>36.840173691173</v>
      </c>
      <c r="FP32" s="36">
        <f t="shared" ca="1" si="61"/>
        <v>36.767661574259144</v>
      </c>
      <c r="FQ32" s="36">
        <f t="shared" ca="1" si="61"/>
        <v>36.190643984331388</v>
      </c>
      <c r="FR32" s="36">
        <f t="shared" ca="1" si="61"/>
        <v>36.201678176509745</v>
      </c>
      <c r="FS32" s="36">
        <f t="shared" ca="1" si="61"/>
        <v>36.253304796062324</v>
      </c>
      <c r="FT32" s="36">
        <f t="shared" ca="1" si="61"/>
        <v>36.601572098848536</v>
      </c>
      <c r="FU32" s="36">
        <f t="shared" ca="1" si="61"/>
        <v>36.122294894978644</v>
      </c>
      <c r="FV32" s="36">
        <f t="shared" ca="1" si="61"/>
        <v>36.22257319438355</v>
      </c>
      <c r="FW32" s="36">
        <f t="shared" ca="1" si="61"/>
        <v>36.045101665144387</v>
      </c>
      <c r="FX32" s="36">
        <f t="shared" ca="1" si="61"/>
        <v>35.815096570931892</v>
      </c>
      <c r="FY32" s="36">
        <f t="shared" ca="1" si="61"/>
        <v>35.49550526384418</v>
      </c>
      <c r="FZ32" s="36">
        <f t="shared" ca="1" si="61"/>
        <v>35.474931755324924</v>
      </c>
      <c r="GA32" s="36">
        <f t="shared" ca="1" si="61"/>
        <v>34.927988146858702</v>
      </c>
      <c r="GB32" s="36">
        <f t="shared" ca="1" si="61"/>
        <v>35.420157668240606</v>
      </c>
      <c r="GC32" s="36">
        <f t="shared" ca="1" si="61"/>
        <v>35.078533197995505</v>
      </c>
      <c r="GD32" s="36">
        <f t="shared" ca="1" si="61"/>
        <v>35.362775280643262</v>
      </c>
      <c r="GE32" s="36">
        <f t="shared" ca="1" si="61"/>
        <v>34.919777600581334</v>
      </c>
      <c r="GF32" s="36">
        <f t="shared" ca="1" si="61"/>
        <v>34.808901762024938</v>
      </c>
      <c r="GG32" s="36">
        <f t="shared" ca="1" si="61"/>
        <v>35.214139678270421</v>
      </c>
      <c r="GH32" s="36">
        <f t="shared" ca="1" si="61"/>
        <v>34.931633436410976</v>
      </c>
      <c r="GI32" s="36">
        <f t="shared" ca="1" si="61"/>
        <v>34.719685553815395</v>
      </c>
      <c r="GJ32" s="36">
        <f t="shared" ref="GJ32:HT32" ca="1" si="74">GI32*EXP(($B$3-$B$4^2/2)*1+$B$4*_xlfn.NORM.S.INV(RAND()))</f>
        <v>34.251931781508802</v>
      </c>
      <c r="GK32" s="36">
        <f t="shared" ca="1" si="74"/>
        <v>34.021009287967431</v>
      </c>
      <c r="GL32" s="36">
        <f t="shared" ca="1" si="74"/>
        <v>34.036887979591583</v>
      </c>
      <c r="GM32" s="36">
        <f t="shared" ca="1" si="74"/>
        <v>33.761772238662587</v>
      </c>
      <c r="GN32" s="36">
        <f t="shared" ca="1" si="74"/>
        <v>34.071718048695146</v>
      </c>
      <c r="GO32" s="36">
        <f t="shared" ca="1" si="74"/>
        <v>34.188690423676256</v>
      </c>
      <c r="GP32" s="36">
        <f t="shared" ca="1" si="74"/>
        <v>34.012180704036339</v>
      </c>
      <c r="GQ32" s="36">
        <f t="shared" ca="1" si="74"/>
        <v>33.944415960890645</v>
      </c>
      <c r="GR32" s="36">
        <f t="shared" ca="1" si="74"/>
        <v>34.262033235057196</v>
      </c>
      <c r="GS32" s="36">
        <f t="shared" ca="1" si="74"/>
        <v>34.440628803391682</v>
      </c>
      <c r="GT32" s="36">
        <f t="shared" ca="1" si="74"/>
        <v>33.73302585990421</v>
      </c>
      <c r="GU32" s="36">
        <f t="shared" ca="1" si="74"/>
        <v>33.855233931761838</v>
      </c>
      <c r="GV32" s="36">
        <f t="shared" ca="1" si="74"/>
        <v>33.76678283655972</v>
      </c>
      <c r="GW32" s="36">
        <f t="shared" ca="1" si="74"/>
        <v>33.203124462409768</v>
      </c>
      <c r="GX32" s="36">
        <f t="shared" ca="1" si="74"/>
        <v>33.470488836047217</v>
      </c>
      <c r="GY32" s="36">
        <f t="shared" ca="1" si="74"/>
        <v>33.757449397245644</v>
      </c>
      <c r="GZ32" s="36">
        <f t="shared" ca="1" si="74"/>
        <v>34.065676878789574</v>
      </c>
      <c r="HA32" s="36">
        <f t="shared" ca="1" si="74"/>
        <v>34.115518920994269</v>
      </c>
      <c r="HB32" s="36">
        <f t="shared" ca="1" si="74"/>
        <v>33.391657459987307</v>
      </c>
      <c r="HC32" s="36">
        <f t="shared" ca="1" si="74"/>
        <v>33.7791062157496</v>
      </c>
      <c r="HD32" s="36">
        <f t="shared" ca="1" si="74"/>
        <v>34.286643325377177</v>
      </c>
      <c r="HE32" s="36">
        <f t="shared" ca="1" si="74"/>
        <v>34.112408501450311</v>
      </c>
      <c r="HF32" s="36">
        <f t="shared" ca="1" si="74"/>
        <v>33.861043401394824</v>
      </c>
      <c r="HG32" s="36">
        <f t="shared" ca="1" si="74"/>
        <v>33.86459478553725</v>
      </c>
      <c r="HH32" s="36">
        <f t="shared" ca="1" si="74"/>
        <v>33.693239986361931</v>
      </c>
      <c r="HI32" s="36">
        <f t="shared" ca="1" si="74"/>
        <v>33.465704773136181</v>
      </c>
      <c r="HJ32" s="36">
        <f t="shared" ca="1" si="74"/>
        <v>33.6979083524567</v>
      </c>
      <c r="HK32" s="36">
        <f t="shared" ca="1" si="74"/>
        <v>33.92199084226656</v>
      </c>
      <c r="HL32" s="36">
        <f t="shared" ca="1" si="74"/>
        <v>33.606263734062594</v>
      </c>
      <c r="HM32" s="36">
        <f t="shared" ca="1" si="74"/>
        <v>33.249158807197794</v>
      </c>
      <c r="HN32" s="36">
        <f t="shared" ca="1" si="74"/>
        <v>33.574414297774602</v>
      </c>
      <c r="HO32" s="36">
        <f t="shared" ca="1" si="74"/>
        <v>33.370489684317505</v>
      </c>
      <c r="HP32" s="36">
        <f t="shared" ca="1" si="74"/>
        <v>33.780900708697892</v>
      </c>
      <c r="HQ32" s="36">
        <f t="shared" ca="1" si="74"/>
        <v>33.044517363497825</v>
      </c>
      <c r="HR32" s="36">
        <f t="shared" ca="1" si="74"/>
        <v>33.038797147244019</v>
      </c>
      <c r="HS32" s="36">
        <f t="shared" ca="1" si="74"/>
        <v>33.456189530960366</v>
      </c>
      <c r="HT32" s="36">
        <f t="shared" ca="1" si="74"/>
        <v>32.898478676679616</v>
      </c>
      <c r="HU32" s="36">
        <f t="shared" ca="1" si="52"/>
        <v>33.731976569018087</v>
      </c>
      <c r="HV32" s="36">
        <f t="shared" ca="1" si="52"/>
        <v>33.493967209712899</v>
      </c>
      <c r="HW32" s="36">
        <f t="shared" ca="1" si="52"/>
        <v>33.600822396540117</v>
      </c>
      <c r="HX32" s="36">
        <f t="shared" ca="1" si="52"/>
        <v>33.389372487351842</v>
      </c>
      <c r="HY32" s="36">
        <f t="shared" ca="1" si="52"/>
        <v>33.310118350603837</v>
      </c>
      <c r="HZ32" s="36">
        <f t="shared" ca="1" si="52"/>
        <v>34.154432482833606</v>
      </c>
      <c r="IA32" s="36">
        <f t="shared" ca="1" si="52"/>
        <v>33.848711339967736</v>
      </c>
      <c r="IB32" s="36">
        <f t="shared" ca="1" si="52"/>
        <v>33.522156636378199</v>
      </c>
      <c r="IC32" s="36">
        <f t="shared" ca="1" si="52"/>
        <v>33.776015875072012</v>
      </c>
      <c r="ID32" s="36">
        <f t="shared" ca="1" si="52"/>
        <v>33.742898696887686</v>
      </c>
      <c r="IE32" s="36">
        <f t="shared" ca="1" si="52"/>
        <v>33.192135222911901</v>
      </c>
      <c r="IF32" s="36">
        <f t="shared" ca="1" si="52"/>
        <v>34.037477281531018</v>
      </c>
      <c r="IG32" s="36">
        <f t="shared" ca="1" si="52"/>
        <v>33.876991099146281</v>
      </c>
      <c r="IH32" s="36">
        <f t="shared" ca="1" si="52"/>
        <v>32.958138396657596</v>
      </c>
      <c r="II32" s="36">
        <f t="shared" ca="1" si="52"/>
        <v>32.907845462542348</v>
      </c>
      <c r="IJ32" s="36">
        <f t="shared" ca="1" si="52"/>
        <v>33.284690746972721</v>
      </c>
      <c r="IK32" s="36">
        <f t="shared" ca="1" si="52"/>
        <v>33.392748431605973</v>
      </c>
      <c r="IL32" s="36">
        <f t="shared" ca="1" si="52"/>
        <v>34.077821607792721</v>
      </c>
      <c r="IM32" s="36">
        <f t="shared" ca="1" si="52"/>
        <v>34.691743290095431</v>
      </c>
      <c r="IN32" s="36">
        <f t="shared" ca="1" si="52"/>
        <v>34.462196529971635</v>
      </c>
      <c r="IO32" s="36">
        <f t="shared" ca="1" si="52"/>
        <v>33.76356762321133</v>
      </c>
      <c r="IP32" s="36">
        <f t="shared" ca="1" si="52"/>
        <v>33.731474270507434</v>
      </c>
      <c r="IQ32" s="36">
        <f t="shared" ca="1" si="52"/>
        <v>33.401550565196025</v>
      </c>
      <c r="IR32" s="36">
        <f t="shared" ca="1" si="52"/>
        <v>33.695985958431635</v>
      </c>
      <c r="IS32" s="36">
        <f t="shared" ca="1" si="52"/>
        <v>33.876668407618375</v>
      </c>
      <c r="IT32" s="36">
        <f t="shared" ca="1" si="52"/>
        <v>33.962472815948438</v>
      </c>
      <c r="IU32" s="36">
        <f t="shared" ca="1" si="52"/>
        <v>33.834241972887263</v>
      </c>
    </row>
    <row r="33" spans="1:255" x14ac:dyDescent="0.2">
      <c r="A33" s="36"/>
      <c r="B33">
        <v>23</v>
      </c>
      <c r="C33" s="36">
        <v>50</v>
      </c>
      <c r="D33" s="36">
        <f t="shared" ca="1" si="14"/>
        <v>49.181916871892554</v>
      </c>
      <c r="E33" s="36">
        <f t="shared" ca="1" si="14"/>
        <v>49.004569780394739</v>
      </c>
      <c r="F33" s="36">
        <f t="shared" ca="1" si="67"/>
        <v>49.517800044396211</v>
      </c>
      <c r="G33" s="36">
        <f t="shared" ca="1" si="67"/>
        <v>49.22437995667326</v>
      </c>
      <c r="H33" s="36">
        <f t="shared" ca="1" si="67"/>
        <v>48.977713120585094</v>
      </c>
      <c r="I33" s="36">
        <f t="shared" ca="1" si="67"/>
        <v>49.371072926850246</v>
      </c>
      <c r="J33" s="36">
        <f t="shared" ca="1" si="67"/>
        <v>50.127687615511221</v>
      </c>
      <c r="K33" s="36">
        <f t="shared" ca="1" si="67"/>
        <v>49.357597457066618</v>
      </c>
      <c r="L33" s="36">
        <f t="shared" ca="1" si="67"/>
        <v>49.566355277534782</v>
      </c>
      <c r="M33" s="36">
        <f t="shared" ca="1" si="67"/>
        <v>49.163537945784647</v>
      </c>
      <c r="N33" s="36">
        <f t="shared" ca="1" si="67"/>
        <v>48.388478734886917</v>
      </c>
      <c r="O33" s="36">
        <f t="shared" ca="1" si="67"/>
        <v>47.808868454424427</v>
      </c>
      <c r="P33" s="36">
        <f t="shared" ca="1" si="67"/>
        <v>48.116696943646396</v>
      </c>
      <c r="Q33" s="36">
        <f t="shared" ca="1" si="67"/>
        <v>48.750909091945054</v>
      </c>
      <c r="R33" s="36">
        <f t="shared" ca="1" si="67"/>
        <v>49.500314313744902</v>
      </c>
      <c r="S33" s="36">
        <f t="shared" ca="1" si="67"/>
        <v>47.52544189022084</v>
      </c>
      <c r="T33" s="36">
        <f t="shared" ca="1" si="67"/>
        <v>46.727586961862066</v>
      </c>
      <c r="U33" s="36">
        <f t="shared" ca="1" si="67"/>
        <v>47.187032743022066</v>
      </c>
      <c r="V33" s="36">
        <f t="shared" ca="1" si="67"/>
        <v>46.980023677465375</v>
      </c>
      <c r="W33" s="36">
        <f t="shared" ca="1" si="67"/>
        <v>47.268277752311107</v>
      </c>
      <c r="X33" s="36">
        <f t="shared" ca="1" si="67"/>
        <v>46.729129938018346</v>
      </c>
      <c r="Y33" s="36">
        <f t="shared" ca="1" si="67"/>
        <v>45.082558489231936</v>
      </c>
      <c r="Z33" s="36">
        <f t="shared" ca="1" si="67"/>
        <v>45.691383125607928</v>
      </c>
      <c r="AA33" s="36">
        <f t="shared" ca="1" si="67"/>
        <v>45.652795328462616</v>
      </c>
      <c r="AB33" s="36">
        <f t="shared" ca="1" si="67"/>
        <v>44.839528613930732</v>
      </c>
      <c r="AC33" s="36">
        <f t="shared" ca="1" si="67"/>
        <v>44.926849919643352</v>
      </c>
      <c r="AD33" s="36">
        <f t="shared" ca="1" si="67"/>
        <v>44.827742710567087</v>
      </c>
      <c r="AE33" s="36">
        <f t="shared" ca="1" si="67"/>
        <v>44.410799045563614</v>
      </c>
      <c r="AF33" s="36">
        <f t="shared" ca="1" si="67"/>
        <v>44.335658576277034</v>
      </c>
      <c r="AG33" s="36">
        <f t="shared" ca="1" si="67"/>
        <v>44.775227080458571</v>
      </c>
      <c r="AH33" s="36">
        <f t="shared" ca="1" si="67"/>
        <v>45.852273453913028</v>
      </c>
      <c r="AI33" s="36">
        <f t="shared" ca="1" si="67"/>
        <v>45.868673252384951</v>
      </c>
      <c r="AJ33" s="36">
        <f t="shared" ca="1" si="67"/>
        <v>45.756356581465916</v>
      </c>
      <c r="AK33" s="36">
        <f t="shared" ca="1" si="67"/>
        <v>45.428188157051885</v>
      </c>
      <c r="AL33" s="36">
        <f t="shared" ca="1" si="67"/>
        <v>45.786270998246792</v>
      </c>
      <c r="AM33" s="36">
        <f t="shared" ca="1" si="67"/>
        <v>44.952431793417574</v>
      </c>
      <c r="AN33" s="36">
        <f t="shared" ca="1" si="67"/>
        <v>44.289382087241947</v>
      </c>
      <c r="AO33" s="36">
        <f t="shared" ca="1" si="67"/>
        <v>43.60402298916464</v>
      </c>
      <c r="AP33" s="36">
        <f t="shared" ca="1" si="67"/>
        <v>42.778982697229857</v>
      </c>
      <c r="AQ33" s="36">
        <f t="shared" ca="1" si="67"/>
        <v>43.882412680564528</v>
      </c>
      <c r="AR33" s="36">
        <f t="shared" ca="1" si="67"/>
        <v>44.268968511610588</v>
      </c>
      <c r="AS33" s="36">
        <f t="shared" ca="1" si="67"/>
        <v>44.002222618651118</v>
      </c>
      <c r="AT33" s="36">
        <f t="shared" ca="1" si="67"/>
        <v>43.322436324915053</v>
      </c>
      <c r="AU33" s="36">
        <f t="shared" ca="1" si="67"/>
        <v>42.975931015748714</v>
      </c>
      <c r="AV33" s="36">
        <f t="shared" ca="1" si="67"/>
        <v>43.962666998987402</v>
      </c>
      <c r="AW33" s="36">
        <f t="shared" ca="1" si="67"/>
        <v>43.834631733298593</v>
      </c>
      <c r="AX33" s="36">
        <f t="shared" ca="1" si="67"/>
        <v>43.439878298641069</v>
      </c>
      <c r="AY33" s="36">
        <f t="shared" ca="1" si="67"/>
        <v>43.755417753890868</v>
      </c>
      <c r="AZ33" s="36">
        <f t="shared" ca="1" si="67"/>
        <v>44.32103729419461</v>
      </c>
      <c r="BA33" s="36">
        <f t="shared" ca="1" si="67"/>
        <v>43.57457992586999</v>
      </c>
      <c r="BB33" s="36">
        <f t="shared" ca="1" si="67"/>
        <v>44.595194210667657</v>
      </c>
      <c r="BC33" s="36">
        <f t="shared" ca="1" si="67"/>
        <v>45.035206973648549</v>
      </c>
      <c r="BD33" s="36">
        <f t="shared" ca="1" si="67"/>
        <v>45.206762263341446</v>
      </c>
      <c r="BE33" s="36">
        <f t="shared" ca="1" si="67"/>
        <v>44.431230389384972</v>
      </c>
      <c r="BF33" s="36">
        <f t="shared" ca="1" si="67"/>
        <v>44.33516886711584</v>
      </c>
      <c r="BG33" s="36">
        <f t="shared" ca="1" si="67"/>
        <v>43.492427977335012</v>
      </c>
      <c r="BH33" s="36">
        <f t="shared" ca="1" si="67"/>
        <v>42.903477348307113</v>
      </c>
      <c r="BI33" s="36">
        <f t="shared" ca="1" si="67"/>
        <v>43.183179930795418</v>
      </c>
      <c r="BJ33" s="36">
        <f t="shared" ca="1" si="67"/>
        <v>43.243330276520275</v>
      </c>
      <c r="BK33" s="36">
        <f t="shared" ca="1" si="67"/>
        <v>43.066103667586333</v>
      </c>
      <c r="BL33" s="36">
        <f t="shared" ca="1" si="67"/>
        <v>43.376181805484272</v>
      </c>
      <c r="BM33" s="36">
        <f t="shared" ca="1" si="67"/>
        <v>43.152877892594262</v>
      </c>
      <c r="BN33" s="36">
        <f t="shared" ca="1" si="67"/>
        <v>43.649940839321232</v>
      </c>
      <c r="BO33" s="36">
        <f t="shared" ca="1" si="67"/>
        <v>43.402540020099075</v>
      </c>
      <c r="BP33" s="36">
        <f t="shared" ca="1" si="67"/>
        <v>43.34908716757046</v>
      </c>
      <c r="BQ33" s="36">
        <f t="shared" ref="BQ33:EB36" ca="1" si="75">BP33*EXP(($B$3-$B$4^2/2)*1+$B$4*_xlfn.NORM.S.INV(RAND()))</f>
        <v>42.970254174139136</v>
      </c>
      <c r="BR33" s="36">
        <f t="shared" ca="1" si="75"/>
        <v>42.472423395564199</v>
      </c>
      <c r="BS33" s="36">
        <f t="shared" ca="1" si="75"/>
        <v>42.311011058041402</v>
      </c>
      <c r="BT33" s="36">
        <f t="shared" ca="1" si="75"/>
        <v>42.939918459733093</v>
      </c>
      <c r="BU33" s="36">
        <f t="shared" ca="1" si="75"/>
        <v>43.594078912069484</v>
      </c>
      <c r="BV33" s="36">
        <f t="shared" ca="1" si="75"/>
        <v>43.858124342988859</v>
      </c>
      <c r="BW33" s="36">
        <f t="shared" ca="1" si="75"/>
        <v>44.71004977484516</v>
      </c>
      <c r="BX33" s="36">
        <f t="shared" ca="1" si="75"/>
        <v>44.345524992357134</v>
      </c>
      <c r="BY33" s="36">
        <f t="shared" ca="1" si="75"/>
        <v>44.376840404385668</v>
      </c>
      <c r="BZ33" s="36">
        <f t="shared" ca="1" si="75"/>
        <v>43.368982319417157</v>
      </c>
      <c r="CA33" s="36">
        <f t="shared" ca="1" si="75"/>
        <v>43.259359008090648</v>
      </c>
      <c r="CB33" s="36">
        <f t="shared" ca="1" si="75"/>
        <v>42.420611739985773</v>
      </c>
      <c r="CC33" s="36">
        <f t="shared" ca="1" si="75"/>
        <v>42.077690324381081</v>
      </c>
      <c r="CD33" s="36">
        <f t="shared" ca="1" si="75"/>
        <v>42.223625100922803</v>
      </c>
      <c r="CE33" s="36">
        <f t="shared" ca="1" si="75"/>
        <v>42.733009077670303</v>
      </c>
      <c r="CF33" s="36">
        <f t="shared" ca="1" si="75"/>
        <v>41.662868029677384</v>
      </c>
      <c r="CG33" s="36">
        <f t="shared" ca="1" si="75"/>
        <v>40.727303770225248</v>
      </c>
      <c r="CH33" s="36">
        <f t="shared" ca="1" si="75"/>
        <v>40.606254980981653</v>
      </c>
      <c r="CI33" s="36">
        <f t="shared" ca="1" si="75"/>
        <v>40.67238781589532</v>
      </c>
      <c r="CJ33" s="36">
        <f t="shared" ca="1" si="75"/>
        <v>40.503483802651786</v>
      </c>
      <c r="CK33" s="36">
        <f t="shared" ca="1" si="75"/>
        <v>41.215295883045876</v>
      </c>
      <c r="CL33" s="36">
        <f t="shared" ca="1" si="75"/>
        <v>41.393742149736511</v>
      </c>
      <c r="CM33" s="36">
        <f t="shared" ca="1" si="75"/>
        <v>40.88324483855645</v>
      </c>
      <c r="CN33" s="36">
        <f t="shared" ca="1" si="75"/>
        <v>40.707790860249666</v>
      </c>
      <c r="CO33" s="36">
        <f t="shared" ca="1" si="75"/>
        <v>39.943186255198583</v>
      </c>
      <c r="CP33" s="36">
        <f t="shared" ca="1" si="75"/>
        <v>39.436257455210097</v>
      </c>
      <c r="CQ33" s="36">
        <f t="shared" ca="1" si="75"/>
        <v>39.905323899469458</v>
      </c>
      <c r="CR33" s="36">
        <f t="shared" ca="1" si="75"/>
        <v>39.497827367531038</v>
      </c>
      <c r="CS33" s="36">
        <f t="shared" ca="1" si="75"/>
        <v>40.206048575643187</v>
      </c>
      <c r="CT33" s="36">
        <f t="shared" ca="1" si="75"/>
        <v>40.504895907946818</v>
      </c>
      <c r="CU33" s="36">
        <f t="shared" ca="1" si="75"/>
        <v>39.902651289475969</v>
      </c>
      <c r="CV33" s="36">
        <f t="shared" ca="1" si="75"/>
        <v>39.973585151700334</v>
      </c>
      <c r="CW33" s="36">
        <f t="shared" ca="1" si="75"/>
        <v>40.274629147267788</v>
      </c>
      <c r="CX33" s="36">
        <f t="shared" ca="1" si="75"/>
        <v>40.301092607201724</v>
      </c>
      <c r="CY33" s="36">
        <f t="shared" ca="1" si="75"/>
        <v>40.78075921462613</v>
      </c>
      <c r="CZ33" s="36">
        <f t="shared" ca="1" si="75"/>
        <v>40.674395301602871</v>
      </c>
      <c r="DA33" s="36">
        <f t="shared" ca="1" si="75"/>
        <v>40.481125566735621</v>
      </c>
      <c r="DB33" s="36">
        <f t="shared" ca="1" si="75"/>
        <v>40.136329393237027</v>
      </c>
      <c r="DC33" s="36">
        <f t="shared" ca="1" si="75"/>
        <v>40.413888942759833</v>
      </c>
      <c r="DD33" s="36">
        <f t="shared" ca="1" si="75"/>
        <v>40.169935223336985</v>
      </c>
      <c r="DE33" s="36">
        <f t="shared" ca="1" si="75"/>
        <v>39.876416822690487</v>
      </c>
      <c r="DF33" s="36">
        <f t="shared" ca="1" si="75"/>
        <v>40.185654825459892</v>
      </c>
      <c r="DG33" s="36">
        <f t="shared" ca="1" si="75"/>
        <v>40.055404197757838</v>
      </c>
      <c r="DH33" s="36">
        <f t="shared" ca="1" si="75"/>
        <v>40.150659989647842</v>
      </c>
      <c r="DI33" s="36">
        <f t="shared" ca="1" si="75"/>
        <v>40.379025836633069</v>
      </c>
      <c r="DJ33" s="36">
        <f t="shared" ca="1" si="75"/>
        <v>39.990014276795158</v>
      </c>
      <c r="DK33" s="36">
        <f t="shared" ca="1" si="75"/>
        <v>39.31722674465481</v>
      </c>
      <c r="DL33" s="36">
        <f t="shared" ca="1" si="75"/>
        <v>39.356770922350222</v>
      </c>
      <c r="DM33" s="36">
        <f t="shared" ca="1" si="75"/>
        <v>39.409190523610697</v>
      </c>
      <c r="DN33" s="36">
        <f t="shared" ca="1" si="75"/>
        <v>38.707999127442896</v>
      </c>
      <c r="DO33" s="36">
        <f t="shared" ca="1" si="75"/>
        <v>38.648360076308897</v>
      </c>
      <c r="DP33" s="36">
        <f t="shared" ca="1" si="75"/>
        <v>38.90129935451813</v>
      </c>
      <c r="DQ33" s="36">
        <f t="shared" ca="1" si="75"/>
        <v>40.260280771727111</v>
      </c>
      <c r="DR33" s="36">
        <f t="shared" ca="1" si="75"/>
        <v>40.429292196310463</v>
      </c>
      <c r="DS33" s="36">
        <f t="shared" ca="1" si="75"/>
        <v>40.164882131656071</v>
      </c>
      <c r="DT33" s="36">
        <f t="shared" ca="1" si="75"/>
        <v>40.512660971772696</v>
      </c>
      <c r="DU33" s="36">
        <f t="shared" ca="1" si="75"/>
        <v>40.099839832235212</v>
      </c>
      <c r="DV33" s="36">
        <f t="shared" ca="1" si="75"/>
        <v>39.822367672447875</v>
      </c>
      <c r="DW33" s="36">
        <f t="shared" ca="1" si="75"/>
        <v>40.139771648808349</v>
      </c>
      <c r="DX33" s="36">
        <f t="shared" ca="1" si="75"/>
        <v>40.420663508796999</v>
      </c>
      <c r="DY33" s="36">
        <f t="shared" ca="1" si="75"/>
        <v>40.705333920762598</v>
      </c>
      <c r="DZ33" s="36">
        <f t="shared" ca="1" si="75"/>
        <v>41.449403455675942</v>
      </c>
      <c r="EA33" s="36">
        <f t="shared" ca="1" si="75"/>
        <v>40.861954239970743</v>
      </c>
      <c r="EB33" s="36">
        <f t="shared" ca="1" si="75"/>
        <v>41.259417227512408</v>
      </c>
      <c r="EC33" s="36">
        <f t="shared" ca="1" si="72"/>
        <v>41.04894036632296</v>
      </c>
      <c r="ED33" s="36">
        <f t="shared" ca="1" si="72"/>
        <v>41.521524666212301</v>
      </c>
      <c r="EE33" s="36">
        <f t="shared" ca="1" si="72"/>
        <v>41.868775482013959</v>
      </c>
      <c r="EF33" s="36">
        <f t="shared" ca="1" si="72"/>
        <v>41.527765147802747</v>
      </c>
      <c r="EG33" s="36">
        <f t="shared" ca="1" si="72"/>
        <v>40.62710846469502</v>
      </c>
      <c r="EH33" s="36">
        <f t="shared" ca="1" si="72"/>
        <v>40.966300889488927</v>
      </c>
      <c r="EI33" s="36">
        <f t="shared" ca="1" si="72"/>
        <v>41.466829065664079</v>
      </c>
      <c r="EJ33" s="36">
        <f t="shared" ca="1" si="72"/>
        <v>41.414286848052029</v>
      </c>
      <c r="EK33" s="36">
        <f t="shared" ca="1" si="72"/>
        <v>41.782767876922634</v>
      </c>
      <c r="EL33" s="36">
        <f t="shared" ca="1" si="72"/>
        <v>42.861899650816838</v>
      </c>
      <c r="EM33" s="36">
        <f t="shared" ca="1" si="72"/>
        <v>42.85443555337902</v>
      </c>
      <c r="EN33" s="36">
        <f t="shared" ca="1" si="72"/>
        <v>42.650229957940503</v>
      </c>
      <c r="EO33" s="36">
        <f t="shared" ca="1" si="72"/>
        <v>41.751541032749095</v>
      </c>
      <c r="EP33" s="36">
        <f t="shared" ca="1" si="72"/>
        <v>40.973564699391495</v>
      </c>
      <c r="EQ33" s="36">
        <f t="shared" ca="1" si="72"/>
        <v>39.801232073066515</v>
      </c>
      <c r="ER33" s="36">
        <f t="shared" ca="1" si="72"/>
        <v>39.146531745422259</v>
      </c>
      <c r="ES33" s="36">
        <f t="shared" ca="1" si="72"/>
        <v>39.555975047578222</v>
      </c>
      <c r="ET33" s="36">
        <f t="shared" ca="1" si="72"/>
        <v>40.023711326204349</v>
      </c>
      <c r="EU33" s="36">
        <f t="shared" ca="1" si="72"/>
        <v>40.416346921460615</v>
      </c>
      <c r="EV33" s="36">
        <f t="shared" ca="1" si="72"/>
        <v>40.267568468127649</v>
      </c>
      <c r="EW33" s="36">
        <f t="shared" ref="EW33:HH37" ca="1" si="76">EV33*EXP(($B$3-$B$4^2/2)*1+$B$4*_xlfn.NORM.S.INV(RAND()))</f>
        <v>40.801050625226516</v>
      </c>
      <c r="EX33" s="36">
        <f t="shared" ca="1" si="76"/>
        <v>40.778466011944587</v>
      </c>
      <c r="EY33" s="36">
        <f t="shared" ca="1" si="76"/>
        <v>40.51266833210699</v>
      </c>
      <c r="EZ33" s="36">
        <f t="shared" ca="1" si="76"/>
        <v>40.375543695041408</v>
      </c>
      <c r="FA33" s="36">
        <f t="shared" ca="1" si="76"/>
        <v>39.685317120266987</v>
      </c>
      <c r="FB33" s="36">
        <f t="shared" ca="1" si="76"/>
        <v>39.860657861087866</v>
      </c>
      <c r="FC33" s="36">
        <f t="shared" ca="1" si="76"/>
        <v>40.243286524217694</v>
      </c>
      <c r="FD33" s="36">
        <f t="shared" ca="1" si="76"/>
        <v>41.046290245414959</v>
      </c>
      <c r="FE33" s="36">
        <f t="shared" ca="1" si="76"/>
        <v>40.650673370087091</v>
      </c>
      <c r="FF33" s="36">
        <f t="shared" ca="1" si="76"/>
        <v>40.018199959628589</v>
      </c>
      <c r="FG33" s="36">
        <f t="shared" ca="1" si="76"/>
        <v>39.440719184625678</v>
      </c>
      <c r="FH33" s="36">
        <f t="shared" ca="1" si="76"/>
        <v>40.247729104387858</v>
      </c>
      <c r="FI33" s="36">
        <f t="shared" ca="1" si="76"/>
        <v>39.352182788827903</v>
      </c>
      <c r="FJ33" s="36">
        <f t="shared" ca="1" si="76"/>
        <v>38.901286361601905</v>
      </c>
      <c r="FK33" s="36">
        <f t="shared" ca="1" si="76"/>
        <v>38.402233639468882</v>
      </c>
      <c r="FL33" s="36">
        <f t="shared" ca="1" si="76"/>
        <v>38.070158080687825</v>
      </c>
      <c r="FM33" s="36">
        <f t="shared" ca="1" si="76"/>
        <v>37.994956678755472</v>
      </c>
      <c r="FN33" s="36">
        <f t="shared" ca="1" si="76"/>
        <v>38.540080833034793</v>
      </c>
      <c r="FO33" s="36">
        <f t="shared" ca="1" si="76"/>
        <v>38.287488666322155</v>
      </c>
      <c r="FP33" s="36">
        <f t="shared" ca="1" si="76"/>
        <v>38.020904225766763</v>
      </c>
      <c r="FQ33" s="36">
        <f t="shared" ca="1" si="76"/>
        <v>38.289574165706711</v>
      </c>
      <c r="FR33" s="36">
        <f t="shared" ca="1" si="76"/>
        <v>38.613514923743857</v>
      </c>
      <c r="FS33" s="36">
        <f t="shared" ca="1" si="76"/>
        <v>38.948158168145788</v>
      </c>
      <c r="FT33" s="36">
        <f t="shared" ca="1" si="76"/>
        <v>39.044360455068542</v>
      </c>
      <c r="FU33" s="36">
        <f t="shared" ca="1" si="76"/>
        <v>40.039923954402269</v>
      </c>
      <c r="FV33" s="36">
        <f t="shared" ca="1" si="76"/>
        <v>40.086188370325004</v>
      </c>
      <c r="FW33" s="36">
        <f t="shared" ca="1" si="76"/>
        <v>40.057438609287409</v>
      </c>
      <c r="FX33" s="36">
        <f t="shared" ca="1" si="76"/>
        <v>40.95233497541183</v>
      </c>
      <c r="FY33" s="36">
        <f t="shared" ca="1" si="76"/>
        <v>41.027194925117577</v>
      </c>
      <c r="FZ33" s="36">
        <f t="shared" ca="1" si="76"/>
        <v>42.060603991559255</v>
      </c>
      <c r="GA33" s="36">
        <f t="shared" ca="1" si="76"/>
        <v>42.768569735976044</v>
      </c>
      <c r="GB33" s="36">
        <f t="shared" ca="1" si="76"/>
        <v>42.358554106057021</v>
      </c>
      <c r="GC33" s="36">
        <f t="shared" ca="1" si="76"/>
        <v>42.828213810075958</v>
      </c>
      <c r="GD33" s="36">
        <f t="shared" ca="1" si="76"/>
        <v>41.850088093517591</v>
      </c>
      <c r="GE33" s="36">
        <f t="shared" ca="1" si="76"/>
        <v>41.444404380189674</v>
      </c>
      <c r="GF33" s="36">
        <f t="shared" ca="1" si="76"/>
        <v>41.052795885916744</v>
      </c>
      <c r="GG33" s="36">
        <f t="shared" ca="1" si="76"/>
        <v>41.88866643618077</v>
      </c>
      <c r="GH33" s="36">
        <f t="shared" ca="1" si="76"/>
        <v>41.583153331042681</v>
      </c>
      <c r="GI33" s="36">
        <f t="shared" ca="1" si="76"/>
        <v>40.665901232810398</v>
      </c>
      <c r="GJ33" s="36">
        <f t="shared" ca="1" si="76"/>
        <v>40.22550893743459</v>
      </c>
      <c r="GK33" s="36">
        <f t="shared" ca="1" si="76"/>
        <v>40.569542276791587</v>
      </c>
      <c r="GL33" s="36">
        <f t="shared" ca="1" si="76"/>
        <v>39.721256508616015</v>
      </c>
      <c r="GM33" s="36">
        <f t="shared" ca="1" si="76"/>
        <v>39.313574593734756</v>
      </c>
      <c r="GN33" s="36">
        <f t="shared" ca="1" si="76"/>
        <v>39.563866645243188</v>
      </c>
      <c r="GO33" s="36">
        <f t="shared" ca="1" si="76"/>
        <v>40.294314263070589</v>
      </c>
      <c r="GP33" s="36">
        <f t="shared" ca="1" si="76"/>
        <v>40.175333886361969</v>
      </c>
      <c r="GQ33" s="36">
        <f t="shared" ca="1" si="76"/>
        <v>39.906454115930316</v>
      </c>
      <c r="GR33" s="36">
        <f t="shared" ca="1" si="76"/>
        <v>40.258630303265697</v>
      </c>
      <c r="GS33" s="36">
        <f t="shared" ca="1" si="76"/>
        <v>40.716710552553955</v>
      </c>
      <c r="GT33" s="36">
        <f t="shared" ca="1" si="76"/>
        <v>40.74783991600372</v>
      </c>
      <c r="GU33" s="36">
        <f t="shared" ca="1" si="76"/>
        <v>40.748259485838801</v>
      </c>
      <c r="GV33" s="36">
        <f t="shared" ca="1" si="76"/>
        <v>41.217683322335496</v>
      </c>
      <c r="GW33" s="36">
        <f t="shared" ca="1" si="76"/>
        <v>41.346861201402831</v>
      </c>
      <c r="GX33" s="36">
        <f t="shared" ca="1" si="76"/>
        <v>40.753217134846572</v>
      </c>
      <c r="GY33" s="36">
        <f t="shared" ca="1" si="76"/>
        <v>39.573554885744571</v>
      </c>
      <c r="GZ33" s="36">
        <f t="shared" ca="1" si="76"/>
        <v>39.549204073919178</v>
      </c>
      <c r="HA33" s="36">
        <f t="shared" ca="1" si="76"/>
        <v>40.752680229673715</v>
      </c>
      <c r="HB33" s="36">
        <f t="shared" ca="1" si="76"/>
        <v>40.947355117784916</v>
      </c>
      <c r="HC33" s="36">
        <f t="shared" ca="1" si="76"/>
        <v>40.33323147308073</v>
      </c>
      <c r="HD33" s="36">
        <f t="shared" ca="1" si="76"/>
        <v>40.15392056249398</v>
      </c>
      <c r="HE33" s="36">
        <f t="shared" ca="1" si="76"/>
        <v>40.346539018874083</v>
      </c>
      <c r="HF33" s="36">
        <f t="shared" ca="1" si="76"/>
        <v>39.794981854770398</v>
      </c>
      <c r="HG33" s="36">
        <f t="shared" ca="1" si="76"/>
        <v>39.717294552392431</v>
      </c>
      <c r="HH33" s="36">
        <f t="shared" ca="1" si="76"/>
        <v>39.879451890374526</v>
      </c>
      <c r="HI33" s="36">
        <f t="shared" ref="HI33:HT36" ca="1" si="77">HH33*EXP(($B$3-$B$4^2/2)*1+$B$4*_xlfn.NORM.S.INV(RAND()))</f>
        <v>40.394276183684447</v>
      </c>
      <c r="HJ33" s="36">
        <f t="shared" ca="1" si="77"/>
        <v>39.77087270227328</v>
      </c>
      <c r="HK33" s="36">
        <f t="shared" ca="1" si="77"/>
        <v>39.464108136461846</v>
      </c>
      <c r="HL33" s="36">
        <f t="shared" ca="1" si="77"/>
        <v>38.427946610339269</v>
      </c>
      <c r="HM33" s="36">
        <f t="shared" ca="1" si="77"/>
        <v>38.741147281040718</v>
      </c>
      <c r="HN33" s="36">
        <f t="shared" ca="1" si="77"/>
        <v>38.836320442434285</v>
      </c>
      <c r="HO33" s="36">
        <f t="shared" ca="1" si="77"/>
        <v>39.278603529155383</v>
      </c>
      <c r="HP33" s="36">
        <f t="shared" ca="1" si="77"/>
        <v>40.242400274359113</v>
      </c>
      <c r="HQ33" s="36">
        <f t="shared" ca="1" si="77"/>
        <v>39.638679259577664</v>
      </c>
      <c r="HR33" s="36">
        <f t="shared" ca="1" si="77"/>
        <v>39.721501773693134</v>
      </c>
      <c r="HS33" s="36">
        <f t="shared" ca="1" si="77"/>
        <v>39.90192320788961</v>
      </c>
      <c r="HT33" s="36">
        <f t="shared" ca="1" si="77"/>
        <v>40.70024077131648</v>
      </c>
      <c r="HU33" s="36">
        <f t="shared" ca="1" si="52"/>
        <v>40.168348320295166</v>
      </c>
      <c r="HV33" s="36">
        <f t="shared" ca="1" si="52"/>
        <v>40.12217230813966</v>
      </c>
      <c r="HW33" s="36">
        <f t="shared" ca="1" si="52"/>
        <v>40.845958701313819</v>
      </c>
      <c r="HX33" s="36">
        <f t="shared" ca="1" si="52"/>
        <v>40.553591699723114</v>
      </c>
      <c r="HY33" s="36">
        <f t="shared" ca="1" si="52"/>
        <v>40.499356035579446</v>
      </c>
      <c r="HZ33" s="36">
        <f t="shared" ca="1" si="52"/>
        <v>40.478181874572407</v>
      </c>
      <c r="IA33" s="36">
        <f t="shared" ca="1" si="52"/>
        <v>40.778665651671105</v>
      </c>
      <c r="IB33" s="36">
        <f t="shared" ca="1" si="52"/>
        <v>40.949420093580031</v>
      </c>
      <c r="IC33" s="36">
        <f t="shared" ca="1" si="52"/>
        <v>41.333362082392405</v>
      </c>
      <c r="ID33" s="36">
        <f t="shared" ca="1" si="52"/>
        <v>40.418881891355369</v>
      </c>
      <c r="IE33" s="36">
        <f t="shared" ca="1" si="52"/>
        <v>40.523375508539345</v>
      </c>
      <c r="IF33" s="36">
        <f t="shared" ca="1" si="52"/>
        <v>41.106864154493735</v>
      </c>
      <c r="IG33" s="36">
        <f t="shared" ca="1" si="52"/>
        <v>41.367085806538327</v>
      </c>
      <c r="IH33" s="36">
        <f t="shared" ca="1" si="52"/>
        <v>41.447643002041374</v>
      </c>
      <c r="II33" s="36">
        <f t="shared" ca="1" si="52"/>
        <v>41.18425592145509</v>
      </c>
      <c r="IJ33" s="36">
        <f t="shared" ca="1" si="52"/>
        <v>41.055280846171271</v>
      </c>
      <c r="IK33" s="36">
        <f t="shared" ca="1" si="52"/>
        <v>41.44780130028925</v>
      </c>
      <c r="IL33" s="36">
        <f t="shared" ca="1" si="52"/>
        <v>41.916975979512685</v>
      </c>
      <c r="IM33" s="36">
        <f t="shared" ca="1" si="52"/>
        <v>41.643184928034927</v>
      </c>
      <c r="IN33" s="36">
        <f t="shared" ca="1" si="52"/>
        <v>40.878150480393231</v>
      </c>
      <c r="IO33" s="36">
        <f t="shared" ca="1" si="52"/>
        <v>41.79898339293576</v>
      </c>
      <c r="IP33" s="36">
        <f t="shared" ca="1" si="52"/>
        <v>41.446254972254401</v>
      </c>
      <c r="IQ33" s="36">
        <f t="shared" ca="1" si="52"/>
        <v>41.230642315546042</v>
      </c>
      <c r="IR33" s="36">
        <f t="shared" ca="1" si="52"/>
        <v>40.821338230776789</v>
      </c>
      <c r="IS33" s="36">
        <f t="shared" ca="1" si="52"/>
        <v>40.543680050173023</v>
      </c>
      <c r="IT33" s="36">
        <f t="shared" ca="1" si="52"/>
        <v>39.601984827694267</v>
      </c>
      <c r="IU33" s="36">
        <f t="shared" ca="1" si="52"/>
        <v>39.10974905819166</v>
      </c>
    </row>
    <row r="34" spans="1:255" x14ac:dyDescent="0.2">
      <c r="A34" s="36"/>
      <c r="B34">
        <v>24</v>
      </c>
      <c r="C34" s="36">
        <v>50</v>
      </c>
      <c r="D34" s="36">
        <f t="shared" ca="1" si="14"/>
        <v>50.718478058735059</v>
      </c>
      <c r="E34" s="36">
        <f t="shared" ca="1" si="14"/>
        <v>52.82812674120386</v>
      </c>
      <c r="F34" s="36">
        <f t="shared" ref="F34:BQ37" ca="1" si="78">E34*EXP(($B$3-$B$4^2/2)*1+$B$4*_xlfn.NORM.S.INV(RAND()))</f>
        <v>53.576855309772625</v>
      </c>
      <c r="G34" s="36">
        <f t="shared" ca="1" si="78"/>
        <v>52.165483961859842</v>
      </c>
      <c r="H34" s="36">
        <f t="shared" ca="1" si="78"/>
        <v>52.092946788964802</v>
      </c>
      <c r="I34" s="36">
        <f t="shared" ca="1" si="78"/>
        <v>51.931492864428478</v>
      </c>
      <c r="J34" s="36">
        <f t="shared" ca="1" si="78"/>
        <v>53.084825635692198</v>
      </c>
      <c r="K34" s="36">
        <f t="shared" ca="1" si="78"/>
        <v>53.045306991123496</v>
      </c>
      <c r="L34" s="36">
        <f t="shared" ca="1" si="78"/>
        <v>53.215272544173018</v>
      </c>
      <c r="M34" s="36">
        <f t="shared" ca="1" si="78"/>
        <v>53.37403496777943</v>
      </c>
      <c r="N34" s="36">
        <f t="shared" ca="1" si="78"/>
        <v>53.082410067146206</v>
      </c>
      <c r="O34" s="36">
        <f t="shared" ca="1" si="78"/>
        <v>52.539745524430195</v>
      </c>
      <c r="P34" s="36">
        <f t="shared" ca="1" si="78"/>
        <v>53.601299146033178</v>
      </c>
      <c r="Q34" s="36">
        <f t="shared" ca="1" si="78"/>
        <v>55.268379680702303</v>
      </c>
      <c r="R34" s="36">
        <f t="shared" ca="1" si="78"/>
        <v>54.300415291680764</v>
      </c>
      <c r="S34" s="36">
        <f t="shared" ca="1" si="78"/>
        <v>55.624328174734309</v>
      </c>
      <c r="T34" s="36">
        <f t="shared" ca="1" si="78"/>
        <v>53.623406189231254</v>
      </c>
      <c r="U34" s="36">
        <f t="shared" ca="1" si="78"/>
        <v>53.64447429253805</v>
      </c>
      <c r="V34" s="36">
        <f t="shared" ca="1" si="78"/>
        <v>53.579686923624841</v>
      </c>
      <c r="W34" s="36">
        <f t="shared" ca="1" si="78"/>
        <v>54.628136218960634</v>
      </c>
      <c r="X34" s="36">
        <f t="shared" ca="1" si="78"/>
        <v>55.283144467493457</v>
      </c>
      <c r="Y34" s="36">
        <f t="shared" ca="1" si="78"/>
        <v>56.069001290265362</v>
      </c>
      <c r="Z34" s="36">
        <f t="shared" ca="1" si="78"/>
        <v>56.463102785575501</v>
      </c>
      <c r="AA34" s="36">
        <f t="shared" ca="1" si="78"/>
        <v>57.169527032221183</v>
      </c>
      <c r="AB34" s="36">
        <f t="shared" ca="1" si="78"/>
        <v>55.623063570780779</v>
      </c>
      <c r="AC34" s="36">
        <f t="shared" ca="1" si="78"/>
        <v>56.440627763835217</v>
      </c>
      <c r="AD34" s="36">
        <f t="shared" ca="1" si="78"/>
        <v>58.055267867783655</v>
      </c>
      <c r="AE34" s="36">
        <f t="shared" ca="1" si="78"/>
        <v>58.18627455235923</v>
      </c>
      <c r="AF34" s="36">
        <f t="shared" ca="1" si="78"/>
        <v>57.158180274980147</v>
      </c>
      <c r="AG34" s="36">
        <f t="shared" ca="1" si="78"/>
        <v>58.043843868210352</v>
      </c>
      <c r="AH34" s="36">
        <f t="shared" ca="1" si="78"/>
        <v>57.158395973512569</v>
      </c>
      <c r="AI34" s="36">
        <f t="shared" ca="1" si="78"/>
        <v>57.420210088452521</v>
      </c>
      <c r="AJ34" s="36">
        <f t="shared" ca="1" si="78"/>
        <v>56.622293848164652</v>
      </c>
      <c r="AK34" s="36">
        <f t="shared" ca="1" si="78"/>
        <v>56.398136776044801</v>
      </c>
      <c r="AL34" s="36">
        <f t="shared" ca="1" si="78"/>
        <v>55.99483426730756</v>
      </c>
      <c r="AM34" s="36">
        <f t="shared" ca="1" si="78"/>
        <v>57.44889501706902</v>
      </c>
      <c r="AN34" s="36">
        <f t="shared" ca="1" si="78"/>
        <v>57.853701657328145</v>
      </c>
      <c r="AO34" s="36">
        <f t="shared" ca="1" si="78"/>
        <v>58.261966667793516</v>
      </c>
      <c r="AP34" s="36">
        <f t="shared" ca="1" si="78"/>
        <v>58.946077472624637</v>
      </c>
      <c r="AQ34" s="36">
        <f t="shared" ca="1" si="78"/>
        <v>58.220749791174114</v>
      </c>
      <c r="AR34" s="36">
        <f t="shared" ca="1" si="78"/>
        <v>57.323462873301452</v>
      </c>
      <c r="AS34" s="36">
        <f t="shared" ca="1" si="78"/>
        <v>55.131126588792284</v>
      </c>
      <c r="AT34" s="36">
        <f t="shared" ca="1" si="78"/>
        <v>55.785241034936917</v>
      </c>
      <c r="AU34" s="36">
        <f t="shared" ca="1" si="78"/>
        <v>56.14382346068458</v>
      </c>
      <c r="AV34" s="36">
        <f t="shared" ca="1" si="78"/>
        <v>56.987507899243063</v>
      </c>
      <c r="AW34" s="36">
        <f t="shared" ca="1" si="78"/>
        <v>56.501215854174838</v>
      </c>
      <c r="AX34" s="36">
        <f t="shared" ca="1" si="78"/>
        <v>56.678912290754681</v>
      </c>
      <c r="AY34" s="36">
        <f t="shared" ca="1" si="78"/>
        <v>55.970774740033612</v>
      </c>
      <c r="AZ34" s="36">
        <f t="shared" ca="1" si="78"/>
        <v>55.55490216644354</v>
      </c>
      <c r="BA34" s="36">
        <f t="shared" ca="1" si="78"/>
        <v>56.975379218849099</v>
      </c>
      <c r="BB34" s="36">
        <f t="shared" ca="1" si="78"/>
        <v>57.50748856333437</v>
      </c>
      <c r="BC34" s="36">
        <f t="shared" ca="1" si="78"/>
        <v>57.2453352517947</v>
      </c>
      <c r="BD34" s="36">
        <f t="shared" ca="1" si="78"/>
        <v>56.462011490744381</v>
      </c>
      <c r="BE34" s="36">
        <f t="shared" ca="1" si="78"/>
        <v>55.530068754383535</v>
      </c>
      <c r="BF34" s="36">
        <f t="shared" ca="1" si="78"/>
        <v>54.728504890152308</v>
      </c>
      <c r="BG34" s="36">
        <f t="shared" ca="1" si="78"/>
        <v>54.889958818354835</v>
      </c>
      <c r="BH34" s="36">
        <f t="shared" ca="1" si="78"/>
        <v>53.464029393279901</v>
      </c>
      <c r="BI34" s="36">
        <f t="shared" ca="1" si="78"/>
        <v>53.549091216859559</v>
      </c>
      <c r="BJ34" s="36">
        <f t="shared" ca="1" si="78"/>
        <v>53.618432059997296</v>
      </c>
      <c r="BK34" s="36">
        <f t="shared" ca="1" si="78"/>
        <v>53.163328922883032</v>
      </c>
      <c r="BL34" s="36">
        <f t="shared" ca="1" si="78"/>
        <v>52.553561372706135</v>
      </c>
      <c r="BM34" s="36">
        <f t="shared" ca="1" si="78"/>
        <v>52.482497173931641</v>
      </c>
      <c r="BN34" s="36">
        <f t="shared" ca="1" si="78"/>
        <v>52.262664142996421</v>
      </c>
      <c r="BO34" s="36">
        <f t="shared" ca="1" si="78"/>
        <v>52.484688960058847</v>
      </c>
      <c r="BP34" s="36">
        <f t="shared" ca="1" si="78"/>
        <v>52.172869814558062</v>
      </c>
      <c r="BQ34" s="36">
        <f t="shared" ca="1" si="78"/>
        <v>52.920852476681468</v>
      </c>
      <c r="BR34" s="36">
        <f t="shared" ca="1" si="75"/>
        <v>52.52741045628899</v>
      </c>
      <c r="BS34" s="36">
        <f t="shared" ca="1" si="75"/>
        <v>51.267804992173794</v>
      </c>
      <c r="BT34" s="36">
        <f t="shared" ca="1" si="75"/>
        <v>50.999698826613951</v>
      </c>
      <c r="BU34" s="36">
        <f t="shared" ca="1" si="75"/>
        <v>51.947675798504825</v>
      </c>
      <c r="BV34" s="36">
        <f t="shared" ca="1" si="75"/>
        <v>51.91814281868681</v>
      </c>
      <c r="BW34" s="36">
        <f t="shared" ca="1" si="75"/>
        <v>51.051597951496916</v>
      </c>
      <c r="BX34" s="36">
        <f t="shared" ca="1" si="75"/>
        <v>51.490830676607928</v>
      </c>
      <c r="BY34" s="36">
        <f t="shared" ca="1" si="75"/>
        <v>51.738840398131821</v>
      </c>
      <c r="BZ34" s="36">
        <f t="shared" ca="1" si="75"/>
        <v>52.672530113501224</v>
      </c>
      <c r="CA34" s="36">
        <f t="shared" ca="1" si="75"/>
        <v>53.991816670070527</v>
      </c>
      <c r="CB34" s="36">
        <f t="shared" ca="1" si="75"/>
        <v>53.098318889601522</v>
      </c>
      <c r="CC34" s="36">
        <f t="shared" ca="1" si="75"/>
        <v>51.307625942312647</v>
      </c>
      <c r="CD34" s="36">
        <f t="shared" ca="1" si="75"/>
        <v>50.024469782402633</v>
      </c>
      <c r="CE34" s="36">
        <f t="shared" ca="1" si="75"/>
        <v>49.247459581417289</v>
      </c>
      <c r="CF34" s="36">
        <f t="shared" ca="1" si="75"/>
        <v>49.101995836596366</v>
      </c>
      <c r="CG34" s="36">
        <f t="shared" ca="1" si="75"/>
        <v>48.168232575182692</v>
      </c>
      <c r="CH34" s="36">
        <f t="shared" ca="1" si="75"/>
        <v>48.572809202238197</v>
      </c>
      <c r="CI34" s="36">
        <f t="shared" ca="1" si="75"/>
        <v>48.781165137440389</v>
      </c>
      <c r="CJ34" s="36">
        <f t="shared" ca="1" si="75"/>
        <v>49.324757682931967</v>
      </c>
      <c r="CK34" s="36">
        <f t="shared" ca="1" si="75"/>
        <v>49.299051029512782</v>
      </c>
      <c r="CL34" s="36">
        <f t="shared" ca="1" si="75"/>
        <v>49.29279668612174</v>
      </c>
      <c r="CM34" s="36">
        <f t="shared" ca="1" si="75"/>
        <v>49.1417349838636</v>
      </c>
      <c r="CN34" s="36">
        <f t="shared" ca="1" si="75"/>
        <v>48.594898391617207</v>
      </c>
      <c r="CO34" s="36">
        <f t="shared" ca="1" si="75"/>
        <v>48.631418461576999</v>
      </c>
      <c r="CP34" s="36">
        <f t="shared" ca="1" si="75"/>
        <v>48.174329412005633</v>
      </c>
      <c r="CQ34" s="36">
        <f t="shared" ca="1" si="75"/>
        <v>47.784424805446847</v>
      </c>
      <c r="CR34" s="36">
        <f t="shared" ca="1" si="75"/>
        <v>48.07215709885282</v>
      </c>
      <c r="CS34" s="36">
        <f t="shared" ca="1" si="75"/>
        <v>49.029778256017032</v>
      </c>
      <c r="CT34" s="36">
        <f t="shared" ca="1" si="75"/>
        <v>48.209958438477237</v>
      </c>
      <c r="CU34" s="36">
        <f t="shared" ca="1" si="75"/>
        <v>47.708872779619092</v>
      </c>
      <c r="CV34" s="36">
        <f t="shared" ca="1" si="75"/>
        <v>47.475898882789387</v>
      </c>
      <c r="CW34" s="36">
        <f t="shared" ca="1" si="75"/>
        <v>48.298143945393981</v>
      </c>
      <c r="CX34" s="36">
        <f t="shared" ca="1" si="75"/>
        <v>47.605204926558976</v>
      </c>
      <c r="CY34" s="36">
        <f t="shared" ca="1" si="75"/>
        <v>46.626476683658026</v>
      </c>
      <c r="CZ34" s="36">
        <f t="shared" ca="1" si="75"/>
        <v>46.307378064572305</v>
      </c>
      <c r="DA34" s="36">
        <f t="shared" ca="1" si="75"/>
        <v>47.091604165914752</v>
      </c>
      <c r="DB34" s="36">
        <f t="shared" ca="1" si="75"/>
        <v>45.831530489055986</v>
      </c>
      <c r="DC34" s="36">
        <f t="shared" ca="1" si="75"/>
        <v>45.793216549231374</v>
      </c>
      <c r="DD34" s="36">
        <f t="shared" ca="1" si="75"/>
        <v>46.039599991079164</v>
      </c>
      <c r="DE34" s="36">
        <f t="shared" ca="1" si="75"/>
        <v>46.465963681204869</v>
      </c>
      <c r="DF34" s="36">
        <f t="shared" ca="1" si="75"/>
        <v>46.076847577617528</v>
      </c>
      <c r="DG34" s="36">
        <f t="shared" ca="1" si="75"/>
        <v>45.483652805115376</v>
      </c>
      <c r="DH34" s="36">
        <f t="shared" ca="1" si="75"/>
        <v>45.275323799789248</v>
      </c>
      <c r="DI34" s="36">
        <f t="shared" ca="1" si="75"/>
        <v>45.745123928803778</v>
      </c>
      <c r="DJ34" s="36">
        <f t="shared" ca="1" si="75"/>
        <v>46.543433453310115</v>
      </c>
      <c r="DK34" s="36">
        <f t="shared" ca="1" si="75"/>
        <v>46.808298844827299</v>
      </c>
      <c r="DL34" s="36">
        <f t="shared" ca="1" si="75"/>
        <v>48.511003102515062</v>
      </c>
      <c r="DM34" s="36">
        <f t="shared" ca="1" si="75"/>
        <v>48.658567789848306</v>
      </c>
      <c r="DN34" s="36">
        <f t="shared" ca="1" si="75"/>
        <v>49.15713784349785</v>
      </c>
      <c r="DO34" s="36">
        <f t="shared" ca="1" si="75"/>
        <v>49.312543982285639</v>
      </c>
      <c r="DP34" s="36">
        <f t="shared" ca="1" si="75"/>
        <v>50.220262468977865</v>
      </c>
      <c r="DQ34" s="36">
        <f t="shared" ca="1" si="75"/>
        <v>50.794820681440719</v>
      </c>
      <c r="DR34" s="36">
        <f t="shared" ca="1" si="75"/>
        <v>51.024446975555499</v>
      </c>
      <c r="DS34" s="36">
        <f t="shared" ca="1" si="75"/>
        <v>51.282361795971156</v>
      </c>
      <c r="DT34" s="36">
        <f t="shared" ca="1" si="75"/>
        <v>51.695971176377377</v>
      </c>
      <c r="DU34" s="36">
        <f t="shared" ca="1" si="75"/>
        <v>51.430031071191436</v>
      </c>
      <c r="DV34" s="36">
        <f t="shared" ca="1" si="75"/>
        <v>51.236325746579837</v>
      </c>
      <c r="DW34" s="36">
        <f t="shared" ca="1" si="75"/>
        <v>51.287445897925323</v>
      </c>
      <c r="DX34" s="36">
        <f t="shared" ca="1" si="75"/>
        <v>51.473559230940836</v>
      </c>
      <c r="DY34" s="36">
        <f t="shared" ca="1" si="75"/>
        <v>51.239762702571817</v>
      </c>
      <c r="DZ34" s="36">
        <f t="shared" ca="1" si="75"/>
        <v>51.829718081841243</v>
      </c>
      <c r="EA34" s="36">
        <f t="shared" ca="1" si="75"/>
        <v>51.91665244453808</v>
      </c>
      <c r="EB34" s="36">
        <f t="shared" ca="1" si="75"/>
        <v>51.672829666512698</v>
      </c>
      <c r="EC34" s="36">
        <f t="shared" ca="1" si="72"/>
        <v>51.541953490292698</v>
      </c>
      <c r="ED34" s="36">
        <f t="shared" ca="1" si="72"/>
        <v>52.175762841367238</v>
      </c>
      <c r="EE34" s="36">
        <f t="shared" ca="1" si="72"/>
        <v>51.810573739039548</v>
      </c>
      <c r="EF34" s="36">
        <f t="shared" ca="1" si="72"/>
        <v>52.79468873945018</v>
      </c>
      <c r="EG34" s="36">
        <f t="shared" ca="1" si="72"/>
        <v>52.313274589320628</v>
      </c>
      <c r="EH34" s="36">
        <f t="shared" ca="1" si="72"/>
        <v>53.047451240974503</v>
      </c>
      <c r="EI34" s="36">
        <f t="shared" ca="1" si="72"/>
        <v>52.381909156772288</v>
      </c>
      <c r="EJ34" s="36">
        <f t="shared" ca="1" si="72"/>
        <v>52.532770726561893</v>
      </c>
      <c r="EK34" s="36">
        <f t="shared" ca="1" si="72"/>
        <v>53.060591971062642</v>
      </c>
      <c r="EL34" s="36">
        <f t="shared" ca="1" si="72"/>
        <v>53.184128840471246</v>
      </c>
      <c r="EM34" s="36">
        <f t="shared" ca="1" si="72"/>
        <v>52.989834247577356</v>
      </c>
      <c r="EN34" s="36">
        <f t="shared" ca="1" si="72"/>
        <v>51.765573822755336</v>
      </c>
      <c r="EO34" s="36">
        <f t="shared" ca="1" si="72"/>
        <v>50.815637836536595</v>
      </c>
      <c r="EP34" s="36">
        <f t="shared" ca="1" si="72"/>
        <v>50.264608654728505</v>
      </c>
      <c r="EQ34" s="36">
        <f t="shared" ca="1" si="72"/>
        <v>51.11728653212262</v>
      </c>
      <c r="ER34" s="36">
        <f t="shared" ca="1" si="72"/>
        <v>50.762511811322753</v>
      </c>
      <c r="ES34" s="36">
        <f t="shared" ca="1" si="72"/>
        <v>50.639648741984288</v>
      </c>
      <c r="ET34" s="36">
        <f t="shared" ca="1" si="72"/>
        <v>51.107351284270877</v>
      </c>
      <c r="EU34" s="36">
        <f t="shared" ca="1" si="72"/>
        <v>52.216173806127934</v>
      </c>
      <c r="EV34" s="36">
        <f t="shared" ca="1" si="72"/>
        <v>52.601086609722927</v>
      </c>
      <c r="EW34" s="36">
        <f t="shared" ref="EW34" ca="1" si="79">EV34*EXP(($B$3-$B$4^2/2)*1+$B$4*_xlfn.NORM.S.INV(RAND()))</f>
        <v>52.751764358415357</v>
      </c>
      <c r="EX34" s="36">
        <f t="shared" ca="1" si="76"/>
        <v>51.081506986906653</v>
      </c>
      <c r="EY34" s="36">
        <f t="shared" ca="1" si="76"/>
        <v>51.562670382210641</v>
      </c>
      <c r="EZ34" s="36">
        <f t="shared" ca="1" si="76"/>
        <v>51.475674745037985</v>
      </c>
      <c r="FA34" s="36">
        <f t="shared" ca="1" si="76"/>
        <v>50.920994513812076</v>
      </c>
      <c r="FB34" s="36">
        <f t="shared" ca="1" si="76"/>
        <v>50.620612679433499</v>
      </c>
      <c r="FC34" s="36">
        <f t="shared" ca="1" si="76"/>
        <v>49.884004318657347</v>
      </c>
      <c r="FD34" s="36">
        <f t="shared" ca="1" si="76"/>
        <v>50.07281693608175</v>
      </c>
      <c r="FE34" s="36">
        <f t="shared" ca="1" si="76"/>
        <v>49.945790741395683</v>
      </c>
      <c r="FF34" s="36">
        <f t="shared" ca="1" si="76"/>
        <v>49.717190256878347</v>
      </c>
      <c r="FG34" s="36">
        <f t="shared" ca="1" si="76"/>
        <v>50.35983344743633</v>
      </c>
      <c r="FH34" s="36">
        <f t="shared" ca="1" si="76"/>
        <v>49.995701033561076</v>
      </c>
      <c r="FI34" s="36">
        <f t="shared" ca="1" si="76"/>
        <v>49.671210263292373</v>
      </c>
      <c r="FJ34" s="36">
        <f t="shared" ca="1" si="76"/>
        <v>49.542521841851027</v>
      </c>
      <c r="FK34" s="36">
        <f t="shared" ca="1" si="76"/>
        <v>50.225409007892218</v>
      </c>
      <c r="FL34" s="36">
        <f t="shared" ca="1" si="76"/>
        <v>51.520891825724249</v>
      </c>
      <c r="FM34" s="36">
        <f t="shared" ca="1" si="76"/>
        <v>51.723413225841504</v>
      </c>
      <c r="FN34" s="36">
        <f t="shared" ca="1" si="76"/>
        <v>51.790490172665486</v>
      </c>
      <c r="FO34" s="36">
        <f t="shared" ca="1" si="76"/>
        <v>51.393255419199342</v>
      </c>
      <c r="FP34" s="36">
        <f t="shared" ca="1" si="76"/>
        <v>51.65968823035756</v>
      </c>
      <c r="FQ34" s="36">
        <f t="shared" ca="1" si="76"/>
        <v>51.187168688281133</v>
      </c>
      <c r="FR34" s="36">
        <f t="shared" ca="1" si="76"/>
        <v>51.430951635657124</v>
      </c>
      <c r="FS34" s="36">
        <f t="shared" ca="1" si="76"/>
        <v>51.277024359905674</v>
      </c>
      <c r="FT34" s="36">
        <f t="shared" ca="1" si="76"/>
        <v>51.165156381915217</v>
      </c>
      <c r="FU34" s="36">
        <f t="shared" ca="1" si="76"/>
        <v>50.713344435786368</v>
      </c>
      <c r="FV34" s="36">
        <f t="shared" ca="1" si="76"/>
        <v>50.583342057847609</v>
      </c>
      <c r="FW34" s="36">
        <f t="shared" ca="1" si="76"/>
        <v>51.18388710585026</v>
      </c>
      <c r="FX34" s="36">
        <f t="shared" ca="1" si="76"/>
        <v>51.54092043908345</v>
      </c>
      <c r="FY34" s="36">
        <f t="shared" ca="1" si="76"/>
        <v>51.242294527490991</v>
      </c>
      <c r="FZ34" s="36">
        <f t="shared" ca="1" si="76"/>
        <v>51.868144915081487</v>
      </c>
      <c r="GA34" s="36">
        <f t="shared" ca="1" si="76"/>
        <v>50.720200505051622</v>
      </c>
      <c r="GB34" s="36">
        <f t="shared" ca="1" si="76"/>
        <v>51.376236653570338</v>
      </c>
      <c r="GC34" s="36">
        <f t="shared" ca="1" si="76"/>
        <v>51.463621602553062</v>
      </c>
      <c r="GD34" s="36">
        <f t="shared" ca="1" si="76"/>
        <v>52.740179834963001</v>
      </c>
      <c r="GE34" s="36">
        <f t="shared" ca="1" si="76"/>
        <v>53.298401027208598</v>
      </c>
      <c r="GF34" s="36">
        <f t="shared" ca="1" si="76"/>
        <v>53.887859670235656</v>
      </c>
      <c r="GG34" s="36">
        <f t="shared" ca="1" si="76"/>
        <v>53.606595898030271</v>
      </c>
      <c r="GH34" s="36">
        <f t="shared" ca="1" si="76"/>
        <v>52.9204369694205</v>
      </c>
      <c r="GI34" s="36">
        <f t="shared" ca="1" si="76"/>
        <v>52.509198054461265</v>
      </c>
      <c r="GJ34" s="36">
        <f t="shared" ca="1" si="76"/>
        <v>52.420669171614932</v>
      </c>
      <c r="GK34" s="36">
        <f t="shared" ca="1" si="76"/>
        <v>51.840690069796622</v>
      </c>
      <c r="GL34" s="36">
        <f t="shared" ca="1" si="76"/>
        <v>51.77549412147809</v>
      </c>
      <c r="GM34" s="36">
        <f t="shared" ca="1" si="76"/>
        <v>51.59769703966618</v>
      </c>
      <c r="GN34" s="36">
        <f t="shared" ca="1" si="76"/>
        <v>50.870824372787069</v>
      </c>
      <c r="GO34" s="36">
        <f t="shared" ca="1" si="76"/>
        <v>51.16698608784634</v>
      </c>
      <c r="GP34" s="36">
        <f t="shared" ca="1" si="76"/>
        <v>51.25213471426737</v>
      </c>
      <c r="GQ34" s="36">
        <f t="shared" ca="1" si="76"/>
        <v>50.870976595669624</v>
      </c>
      <c r="GR34" s="36">
        <f t="shared" ca="1" si="76"/>
        <v>50.3558914857324</v>
      </c>
      <c r="GS34" s="36">
        <f t="shared" ca="1" si="76"/>
        <v>50.636506574050145</v>
      </c>
      <c r="GT34" s="36">
        <f t="shared" ca="1" si="76"/>
        <v>50.458512335470722</v>
      </c>
      <c r="GU34" s="36">
        <f t="shared" ca="1" si="76"/>
        <v>50.420915572717419</v>
      </c>
      <c r="GV34" s="36">
        <f t="shared" ca="1" si="76"/>
        <v>49.954624486228887</v>
      </c>
      <c r="GW34" s="36">
        <f t="shared" ca="1" si="76"/>
        <v>49.615020647307375</v>
      </c>
      <c r="GX34" s="36">
        <f t="shared" ca="1" si="76"/>
        <v>49.224428047131049</v>
      </c>
      <c r="GY34" s="36">
        <f t="shared" ca="1" si="76"/>
        <v>49.488535153986973</v>
      </c>
      <c r="GZ34" s="36">
        <f t="shared" ca="1" si="76"/>
        <v>49.796074796191341</v>
      </c>
      <c r="HA34" s="36">
        <f t="shared" ca="1" si="76"/>
        <v>50.080006838022193</v>
      </c>
      <c r="HB34" s="36">
        <f t="shared" ca="1" si="76"/>
        <v>49.823371866132675</v>
      </c>
      <c r="HC34" s="36">
        <f t="shared" ca="1" si="76"/>
        <v>50.429114617954923</v>
      </c>
      <c r="HD34" s="36">
        <f t="shared" ca="1" si="76"/>
        <v>50.850554166977382</v>
      </c>
      <c r="HE34" s="36">
        <f t="shared" ca="1" si="76"/>
        <v>50.80919605577359</v>
      </c>
      <c r="HF34" s="36">
        <f t="shared" ca="1" si="76"/>
        <v>51.460141349792465</v>
      </c>
      <c r="HG34" s="36">
        <f t="shared" ca="1" si="76"/>
        <v>52.131748708182641</v>
      </c>
      <c r="HH34" s="36">
        <f t="shared" ca="1" si="76"/>
        <v>51.596332501326607</v>
      </c>
      <c r="HI34" s="36">
        <f t="shared" ca="1" si="77"/>
        <v>51.005225412241479</v>
      </c>
      <c r="HJ34" s="36">
        <f t="shared" ca="1" si="77"/>
        <v>50.790642714783239</v>
      </c>
      <c r="HK34" s="36">
        <f t="shared" ca="1" si="77"/>
        <v>50.021410411007892</v>
      </c>
      <c r="HL34" s="36">
        <f t="shared" ca="1" si="77"/>
        <v>50.233346830121413</v>
      </c>
      <c r="HM34" s="36">
        <f t="shared" ca="1" si="77"/>
        <v>50.055544285637076</v>
      </c>
      <c r="HN34" s="36">
        <f t="shared" ca="1" si="77"/>
        <v>49.404601180835627</v>
      </c>
      <c r="HO34" s="36">
        <f t="shared" ca="1" si="77"/>
        <v>50.508703343192124</v>
      </c>
      <c r="HP34" s="36">
        <f t="shared" ca="1" si="77"/>
        <v>49.201745058267967</v>
      </c>
      <c r="HQ34" s="36">
        <f t="shared" ca="1" si="77"/>
        <v>48.435171818458699</v>
      </c>
      <c r="HR34" s="36">
        <f t="shared" ca="1" si="77"/>
        <v>48.801157294449787</v>
      </c>
      <c r="HS34" s="36">
        <f t="shared" ca="1" si="77"/>
        <v>48.635341730127685</v>
      </c>
      <c r="HT34" s="36">
        <f t="shared" ca="1" si="77"/>
        <v>48.120532972477029</v>
      </c>
      <c r="HU34" s="36">
        <f t="shared" ca="1" si="52"/>
        <v>47.400730254781166</v>
      </c>
      <c r="HV34" s="36">
        <f t="shared" ca="1" si="52"/>
        <v>47.437690027110619</v>
      </c>
      <c r="HW34" s="36">
        <f t="shared" ca="1" si="52"/>
        <v>47.325287972019986</v>
      </c>
      <c r="HX34" s="36">
        <f t="shared" ref="HU34:IU43" ca="1" si="80">HW34*EXP(($B$3-$B$4^2/2)*1+$B$4*_xlfn.NORM.S.INV(RAND()))</f>
        <v>46.217171341927944</v>
      </c>
      <c r="HY34" s="36">
        <f t="shared" ca="1" si="80"/>
        <v>46.597744123322791</v>
      </c>
      <c r="HZ34" s="36">
        <f t="shared" ca="1" si="80"/>
        <v>46.890615335322614</v>
      </c>
      <c r="IA34" s="36">
        <f t="shared" ca="1" si="80"/>
        <v>47.384814330260589</v>
      </c>
      <c r="IB34" s="36">
        <f t="shared" ca="1" si="80"/>
        <v>46.655303237223649</v>
      </c>
      <c r="IC34" s="36">
        <f t="shared" ca="1" si="80"/>
        <v>46.204871020009804</v>
      </c>
      <c r="ID34" s="36">
        <f t="shared" ca="1" si="80"/>
        <v>45.384307635610327</v>
      </c>
      <c r="IE34" s="36">
        <f t="shared" ca="1" si="80"/>
        <v>45.307975097207525</v>
      </c>
      <c r="IF34" s="36">
        <f t="shared" ca="1" si="80"/>
        <v>45.440360981708814</v>
      </c>
      <c r="IG34" s="36">
        <f t="shared" ca="1" si="80"/>
        <v>44.866741754958568</v>
      </c>
      <c r="IH34" s="36">
        <f t="shared" ca="1" si="80"/>
        <v>45.030835015270199</v>
      </c>
      <c r="II34" s="36">
        <f t="shared" ca="1" si="80"/>
        <v>45.391893480872838</v>
      </c>
      <c r="IJ34" s="36">
        <f t="shared" ca="1" si="80"/>
        <v>46.303383310022753</v>
      </c>
      <c r="IK34" s="36">
        <f t="shared" ca="1" si="80"/>
        <v>45.969092632966642</v>
      </c>
      <c r="IL34" s="36">
        <f t="shared" ca="1" si="80"/>
        <v>45.048778402583416</v>
      </c>
      <c r="IM34" s="36">
        <f t="shared" ca="1" si="80"/>
        <v>45.283616763004964</v>
      </c>
      <c r="IN34" s="36">
        <f t="shared" ca="1" si="80"/>
        <v>45.84281100754572</v>
      </c>
      <c r="IO34" s="36">
        <f t="shared" ca="1" si="80"/>
        <v>45.132493483988483</v>
      </c>
      <c r="IP34" s="36">
        <f t="shared" ca="1" si="80"/>
        <v>45.131551456005354</v>
      </c>
      <c r="IQ34" s="36">
        <f t="shared" ca="1" si="80"/>
        <v>44.561206248503233</v>
      </c>
      <c r="IR34" s="36">
        <f t="shared" ca="1" si="80"/>
        <v>44.823869295373001</v>
      </c>
      <c r="IS34" s="36">
        <f t="shared" ca="1" si="80"/>
        <v>44.745914866366192</v>
      </c>
      <c r="IT34" s="36">
        <f t="shared" ca="1" si="80"/>
        <v>45.389296634350337</v>
      </c>
      <c r="IU34" s="36">
        <f t="shared" ca="1" si="80"/>
        <v>44.589498141986731</v>
      </c>
    </row>
    <row r="35" spans="1:255" x14ac:dyDescent="0.2">
      <c r="A35" s="36"/>
      <c r="B35">
        <v>25</v>
      </c>
      <c r="C35" s="36">
        <v>50</v>
      </c>
      <c r="D35" s="36">
        <f t="shared" ca="1" si="14"/>
        <v>50.424387075984903</v>
      </c>
      <c r="E35" s="36">
        <f t="shared" ca="1" si="14"/>
        <v>50.221765239621476</v>
      </c>
      <c r="F35" s="36">
        <f t="shared" ca="1" si="78"/>
        <v>51.207616448309089</v>
      </c>
      <c r="G35" s="36">
        <f t="shared" ca="1" si="78"/>
        <v>51.579230300005733</v>
      </c>
      <c r="H35" s="36">
        <f t="shared" ca="1" si="78"/>
        <v>51.567830899009302</v>
      </c>
      <c r="I35" s="36">
        <f t="shared" ca="1" si="78"/>
        <v>52.422902326901976</v>
      </c>
      <c r="J35" s="36">
        <f t="shared" ca="1" si="78"/>
        <v>51.703008643270309</v>
      </c>
      <c r="K35" s="36">
        <f t="shared" ca="1" si="78"/>
        <v>52.306561784432347</v>
      </c>
      <c r="L35" s="36">
        <f t="shared" ca="1" si="78"/>
        <v>52.24901364286454</v>
      </c>
      <c r="M35" s="36">
        <f t="shared" ca="1" si="78"/>
        <v>52.419979742481814</v>
      </c>
      <c r="N35" s="36">
        <f t="shared" ca="1" si="78"/>
        <v>52.362063997516351</v>
      </c>
      <c r="O35" s="36">
        <f t="shared" ca="1" si="78"/>
        <v>51.966467137304591</v>
      </c>
      <c r="P35" s="36">
        <f t="shared" ca="1" si="78"/>
        <v>52.048131793729183</v>
      </c>
      <c r="Q35" s="36">
        <f t="shared" ca="1" si="78"/>
        <v>52.696481800933071</v>
      </c>
      <c r="R35" s="36">
        <f t="shared" ca="1" si="78"/>
        <v>52.464884969953054</v>
      </c>
      <c r="S35" s="36">
        <f t="shared" ca="1" si="78"/>
        <v>53.474726285016118</v>
      </c>
      <c r="T35" s="36">
        <f t="shared" ca="1" si="78"/>
        <v>52.59075516045597</v>
      </c>
      <c r="U35" s="36">
        <f t="shared" ca="1" si="78"/>
        <v>52.14297765893847</v>
      </c>
      <c r="V35" s="36">
        <f t="shared" ca="1" si="78"/>
        <v>52.106020676721101</v>
      </c>
      <c r="W35" s="36">
        <f t="shared" ca="1" si="78"/>
        <v>53.567163421023395</v>
      </c>
      <c r="X35" s="36">
        <f t="shared" ca="1" si="78"/>
        <v>53.567801796850539</v>
      </c>
      <c r="Y35" s="36">
        <f t="shared" ca="1" si="78"/>
        <v>52.681406509368308</v>
      </c>
      <c r="Z35" s="36">
        <f t="shared" ca="1" si="78"/>
        <v>53.513268399693544</v>
      </c>
      <c r="AA35" s="36">
        <f t="shared" ca="1" si="78"/>
        <v>53.474775342888549</v>
      </c>
      <c r="AB35" s="36">
        <f t="shared" ca="1" si="78"/>
        <v>53.290033326800561</v>
      </c>
      <c r="AC35" s="36">
        <f t="shared" ca="1" si="78"/>
        <v>54.076201760049891</v>
      </c>
      <c r="AD35" s="36">
        <f t="shared" ca="1" si="78"/>
        <v>54.778170000018548</v>
      </c>
      <c r="AE35" s="36">
        <f t="shared" ca="1" si="78"/>
        <v>54.231460245930244</v>
      </c>
      <c r="AF35" s="36">
        <f t="shared" ca="1" si="78"/>
        <v>54.95131466899862</v>
      </c>
      <c r="AG35" s="36">
        <f t="shared" ca="1" si="78"/>
        <v>54.313580457440189</v>
      </c>
      <c r="AH35" s="36">
        <f t="shared" ca="1" si="78"/>
        <v>54.755743237526005</v>
      </c>
      <c r="AI35" s="36">
        <f t="shared" ca="1" si="78"/>
        <v>55.024043068733647</v>
      </c>
      <c r="AJ35" s="36">
        <f t="shared" ca="1" si="78"/>
        <v>55.0827788896353</v>
      </c>
      <c r="AK35" s="36">
        <f t="shared" ca="1" si="78"/>
        <v>55.252273428462857</v>
      </c>
      <c r="AL35" s="36">
        <f t="shared" ca="1" si="78"/>
        <v>55.40883331684195</v>
      </c>
      <c r="AM35" s="36">
        <f t="shared" ca="1" si="78"/>
        <v>55.271014089865879</v>
      </c>
      <c r="AN35" s="36">
        <f t="shared" ca="1" si="78"/>
        <v>54.87925134791984</v>
      </c>
      <c r="AO35" s="36">
        <f t="shared" ca="1" si="78"/>
        <v>54.881182007047286</v>
      </c>
      <c r="AP35" s="36">
        <f t="shared" ca="1" si="78"/>
        <v>54.345746481183532</v>
      </c>
      <c r="AQ35" s="36">
        <f t="shared" ca="1" si="78"/>
        <v>55.690195638824356</v>
      </c>
      <c r="AR35" s="36">
        <f t="shared" ca="1" si="78"/>
        <v>54.887735024241771</v>
      </c>
      <c r="AS35" s="36">
        <f t="shared" ca="1" si="78"/>
        <v>54.105861502048505</v>
      </c>
      <c r="AT35" s="36">
        <f t="shared" ca="1" si="78"/>
        <v>53.172531246373225</v>
      </c>
      <c r="AU35" s="36">
        <f t="shared" ca="1" si="78"/>
        <v>53.524169051122236</v>
      </c>
      <c r="AV35" s="36">
        <f t="shared" ca="1" si="78"/>
        <v>54.878166334823057</v>
      </c>
      <c r="AW35" s="36">
        <f t="shared" ca="1" si="78"/>
        <v>55.762630421155244</v>
      </c>
      <c r="AX35" s="36">
        <f t="shared" ca="1" si="78"/>
        <v>55.827021717601731</v>
      </c>
      <c r="AY35" s="36">
        <f t="shared" ca="1" si="78"/>
        <v>54.967094852733076</v>
      </c>
      <c r="AZ35" s="36">
        <f t="shared" ca="1" si="78"/>
        <v>55.376073304739769</v>
      </c>
      <c r="BA35" s="36">
        <f t="shared" ca="1" si="78"/>
        <v>55.657588307468558</v>
      </c>
      <c r="BB35" s="36">
        <f t="shared" ca="1" si="78"/>
        <v>55.908791795961108</v>
      </c>
      <c r="BC35" s="36">
        <f t="shared" ca="1" si="78"/>
        <v>56.475306091726885</v>
      </c>
      <c r="BD35" s="36">
        <f t="shared" ca="1" si="78"/>
        <v>56.086206872878201</v>
      </c>
      <c r="BE35" s="36">
        <f t="shared" ca="1" si="78"/>
        <v>54.772724905336659</v>
      </c>
      <c r="BF35" s="36">
        <f t="shared" ca="1" si="78"/>
        <v>55.300406304424278</v>
      </c>
      <c r="BG35" s="36">
        <f t="shared" ca="1" si="78"/>
        <v>56.85657204409894</v>
      </c>
      <c r="BH35" s="36">
        <f t="shared" ca="1" si="78"/>
        <v>56.940049717846421</v>
      </c>
      <c r="BI35" s="36">
        <f t="shared" ca="1" si="78"/>
        <v>57.009925244677859</v>
      </c>
      <c r="BJ35" s="36">
        <f t="shared" ca="1" si="78"/>
        <v>56.947772263159941</v>
      </c>
      <c r="BK35" s="36">
        <f t="shared" ca="1" si="78"/>
        <v>57.557631135650659</v>
      </c>
      <c r="BL35" s="36">
        <f t="shared" ca="1" si="78"/>
        <v>57.358980821628663</v>
      </c>
      <c r="BM35" s="36">
        <f t="shared" ca="1" si="78"/>
        <v>56.169883977402073</v>
      </c>
      <c r="BN35" s="36">
        <f t="shared" ca="1" si="78"/>
        <v>57.453873922855593</v>
      </c>
      <c r="BO35" s="36">
        <f t="shared" ca="1" si="78"/>
        <v>57.1764638926185</v>
      </c>
      <c r="BP35" s="36">
        <f t="shared" ca="1" si="78"/>
        <v>57.0674833179147</v>
      </c>
      <c r="BQ35" s="36">
        <f t="shared" ca="1" si="78"/>
        <v>56.221987867077139</v>
      </c>
      <c r="BR35" s="36">
        <f t="shared" ca="1" si="75"/>
        <v>57.075146182724168</v>
      </c>
      <c r="BS35" s="36">
        <f t="shared" ca="1" si="75"/>
        <v>56.280092823799187</v>
      </c>
      <c r="BT35" s="36">
        <f t="shared" ca="1" si="75"/>
        <v>56.630833009542755</v>
      </c>
      <c r="BU35" s="36">
        <f t="shared" ca="1" si="75"/>
        <v>55.799621512968699</v>
      </c>
      <c r="BV35" s="36">
        <f t="shared" ca="1" si="75"/>
        <v>55.916675106583718</v>
      </c>
      <c r="BW35" s="36">
        <f t="shared" ca="1" si="75"/>
        <v>55.483292949895876</v>
      </c>
      <c r="BX35" s="36">
        <f t="shared" ca="1" si="75"/>
        <v>56.57639606403184</v>
      </c>
      <c r="BY35" s="36">
        <f t="shared" ca="1" si="75"/>
        <v>56.361141283966113</v>
      </c>
      <c r="BZ35" s="36">
        <f t="shared" ca="1" si="75"/>
        <v>57.680252036796233</v>
      </c>
      <c r="CA35" s="36">
        <f t="shared" ca="1" si="75"/>
        <v>57.574142851314456</v>
      </c>
      <c r="CB35" s="36">
        <f t="shared" ca="1" si="75"/>
        <v>56.608156376922118</v>
      </c>
      <c r="CC35" s="36">
        <f t="shared" ca="1" si="75"/>
        <v>57.640589294908217</v>
      </c>
      <c r="CD35" s="36">
        <f t="shared" ca="1" si="75"/>
        <v>57.276422464198028</v>
      </c>
      <c r="CE35" s="36">
        <f t="shared" ca="1" si="75"/>
        <v>58.366172556256522</v>
      </c>
      <c r="CF35" s="36">
        <f t="shared" ca="1" si="75"/>
        <v>58.945368076888137</v>
      </c>
      <c r="CG35" s="36">
        <f t="shared" ca="1" si="75"/>
        <v>59.476453632569118</v>
      </c>
      <c r="CH35" s="36">
        <f t="shared" ca="1" si="75"/>
        <v>59.132384302446269</v>
      </c>
      <c r="CI35" s="36">
        <f t="shared" ca="1" si="75"/>
        <v>59.321737767083711</v>
      </c>
      <c r="CJ35" s="36">
        <f t="shared" ca="1" si="75"/>
        <v>59.189069244314034</v>
      </c>
      <c r="CK35" s="36">
        <f t="shared" ca="1" si="75"/>
        <v>58.981583577802652</v>
      </c>
      <c r="CL35" s="36">
        <f t="shared" ca="1" si="75"/>
        <v>58.482329249637743</v>
      </c>
      <c r="CM35" s="36">
        <f t="shared" ca="1" si="75"/>
        <v>57.862321755889717</v>
      </c>
      <c r="CN35" s="36">
        <f t="shared" ca="1" si="75"/>
        <v>57.786800985723346</v>
      </c>
      <c r="CO35" s="36">
        <f t="shared" ca="1" si="75"/>
        <v>58.596905329137165</v>
      </c>
      <c r="CP35" s="36">
        <f t="shared" ca="1" si="75"/>
        <v>58.398892049358189</v>
      </c>
      <c r="CQ35" s="36">
        <f t="shared" ca="1" si="75"/>
        <v>59.303507871262291</v>
      </c>
      <c r="CR35" s="36">
        <f t="shared" ca="1" si="75"/>
        <v>59.854864820911558</v>
      </c>
      <c r="CS35" s="36">
        <f t="shared" ca="1" si="75"/>
        <v>59.484563471354768</v>
      </c>
      <c r="CT35" s="36">
        <f t="shared" ca="1" si="75"/>
        <v>59.122048472152727</v>
      </c>
      <c r="CU35" s="36">
        <f t="shared" ca="1" si="75"/>
        <v>60.338092446698795</v>
      </c>
      <c r="CV35" s="36">
        <f t="shared" ca="1" si="75"/>
        <v>60.064934143391412</v>
      </c>
      <c r="CW35" s="36">
        <f t="shared" ca="1" si="75"/>
        <v>60.408550946349237</v>
      </c>
      <c r="CX35" s="36">
        <f t="shared" ca="1" si="75"/>
        <v>60.810243970345603</v>
      </c>
      <c r="CY35" s="36">
        <f t="shared" ca="1" si="75"/>
        <v>59.85319090062216</v>
      </c>
      <c r="CZ35" s="36">
        <f t="shared" ca="1" si="75"/>
        <v>59.812548915099022</v>
      </c>
      <c r="DA35" s="36">
        <f t="shared" ca="1" si="75"/>
        <v>60.452069681169377</v>
      </c>
      <c r="DB35" s="36">
        <f t="shared" ca="1" si="75"/>
        <v>60.565702975173124</v>
      </c>
      <c r="DC35" s="36">
        <f t="shared" ca="1" si="75"/>
        <v>60.34625896498811</v>
      </c>
      <c r="DD35" s="36">
        <f t="shared" ca="1" si="75"/>
        <v>59.45167357283146</v>
      </c>
      <c r="DE35" s="36">
        <f t="shared" ca="1" si="75"/>
        <v>58.978601581449865</v>
      </c>
      <c r="DF35" s="36">
        <f t="shared" ca="1" si="75"/>
        <v>57.797600167293879</v>
      </c>
      <c r="DG35" s="36">
        <f t="shared" ca="1" si="75"/>
        <v>59.069128063827186</v>
      </c>
      <c r="DH35" s="36">
        <f t="shared" ca="1" si="75"/>
        <v>58.99694392646164</v>
      </c>
      <c r="DI35" s="36">
        <f t="shared" ca="1" si="75"/>
        <v>58.769549116310699</v>
      </c>
      <c r="DJ35" s="36">
        <f t="shared" ca="1" si="75"/>
        <v>59.37581657543457</v>
      </c>
      <c r="DK35" s="36">
        <f t="shared" ca="1" si="75"/>
        <v>60.332196413791536</v>
      </c>
      <c r="DL35" s="36">
        <f t="shared" ca="1" si="75"/>
        <v>58.93253483582064</v>
      </c>
      <c r="DM35" s="36">
        <f t="shared" ca="1" si="75"/>
        <v>58.441454763505661</v>
      </c>
      <c r="DN35" s="36">
        <f t="shared" ca="1" si="75"/>
        <v>57.762018008430097</v>
      </c>
      <c r="DO35" s="36">
        <f t="shared" ca="1" si="75"/>
        <v>59.186544814697939</v>
      </c>
      <c r="DP35" s="36">
        <f t="shared" ca="1" si="75"/>
        <v>59.035765383891793</v>
      </c>
      <c r="DQ35" s="36">
        <f t="shared" ca="1" si="75"/>
        <v>57.885719296822927</v>
      </c>
      <c r="DR35" s="36">
        <f t="shared" ca="1" si="75"/>
        <v>57.562792124311635</v>
      </c>
      <c r="DS35" s="36">
        <f t="shared" ca="1" si="75"/>
        <v>57.376959275358637</v>
      </c>
      <c r="DT35" s="36">
        <f t="shared" ca="1" si="75"/>
        <v>57.345113977386148</v>
      </c>
      <c r="DU35" s="36">
        <f t="shared" ca="1" si="75"/>
        <v>56.624647622713084</v>
      </c>
      <c r="DV35" s="36">
        <f t="shared" ca="1" si="75"/>
        <v>55.877977288028823</v>
      </c>
      <c r="DW35" s="36">
        <f t="shared" ca="1" si="75"/>
        <v>55.887563623807743</v>
      </c>
      <c r="DX35" s="36">
        <f t="shared" ca="1" si="75"/>
        <v>56.647196436623702</v>
      </c>
      <c r="DY35" s="36">
        <f t="shared" ca="1" si="75"/>
        <v>56.713942150187314</v>
      </c>
      <c r="DZ35" s="36">
        <f t="shared" ca="1" si="75"/>
        <v>56.997996317500103</v>
      </c>
      <c r="EA35" s="36">
        <f t="shared" ca="1" si="75"/>
        <v>56.45272866983192</v>
      </c>
      <c r="EB35" s="36">
        <f t="shared" ca="1" si="75"/>
        <v>55.81186471044353</v>
      </c>
      <c r="EC35" s="36">
        <f t="shared" ca="1" si="72"/>
        <v>55.203463227066592</v>
      </c>
      <c r="ED35" s="36">
        <f t="shared" ca="1" si="72"/>
        <v>54.817224999461608</v>
      </c>
      <c r="EE35" s="36">
        <f t="shared" ca="1" si="72"/>
        <v>54.265044590280098</v>
      </c>
      <c r="EF35" s="36">
        <f t="shared" ca="1" si="72"/>
        <v>54.399615185446933</v>
      </c>
      <c r="EG35" s="36">
        <f t="shared" ca="1" si="72"/>
        <v>53.576022679026707</v>
      </c>
      <c r="EH35" s="36">
        <f t="shared" ca="1" si="72"/>
        <v>52.656846655621685</v>
      </c>
      <c r="EI35" s="36">
        <f t="shared" ca="1" si="72"/>
        <v>52.935727941689606</v>
      </c>
      <c r="EJ35" s="36">
        <f t="shared" ca="1" si="72"/>
        <v>54.173446470717622</v>
      </c>
      <c r="EK35" s="36">
        <f t="shared" ca="1" si="72"/>
        <v>54.620301335774791</v>
      </c>
      <c r="EL35" s="36">
        <f t="shared" ca="1" si="72"/>
        <v>54.984234778408755</v>
      </c>
      <c r="EM35" s="36">
        <f t="shared" ca="1" si="72"/>
        <v>54.59319153527602</v>
      </c>
      <c r="EN35" s="36">
        <f t="shared" ca="1" si="72"/>
        <v>53.768581472356416</v>
      </c>
      <c r="EO35" s="36">
        <f t="shared" ca="1" si="72"/>
        <v>54.044035386226753</v>
      </c>
      <c r="EP35" s="36">
        <f t="shared" ca="1" si="72"/>
        <v>53.320968174990391</v>
      </c>
      <c r="EQ35" s="36">
        <f t="shared" ca="1" si="72"/>
        <v>54.619786765436501</v>
      </c>
      <c r="ER35" s="36">
        <f t="shared" ca="1" si="72"/>
        <v>55.400627045115236</v>
      </c>
      <c r="ES35" s="36">
        <f t="shared" ca="1" si="72"/>
        <v>55.88311739571968</v>
      </c>
      <c r="ET35" s="36">
        <f t="shared" ca="1" si="72"/>
        <v>56.446852128533877</v>
      </c>
      <c r="EU35" s="36">
        <f t="shared" ca="1" si="72"/>
        <v>57.598184245768891</v>
      </c>
      <c r="EV35" s="36">
        <f t="shared" ca="1" si="72"/>
        <v>57.666439845471864</v>
      </c>
      <c r="EW35" s="36">
        <f t="shared" ref="EW35" ca="1" si="81">EV35*EXP(($B$3-$B$4^2/2)*1+$B$4*_xlfn.NORM.S.INV(RAND()))</f>
        <v>58.583622374466323</v>
      </c>
      <c r="EX35" s="36">
        <f t="shared" ca="1" si="76"/>
        <v>58.648267005710295</v>
      </c>
      <c r="EY35" s="36">
        <f t="shared" ca="1" si="76"/>
        <v>58.445268062043063</v>
      </c>
      <c r="EZ35" s="36">
        <f t="shared" ca="1" si="76"/>
        <v>58.217699737620364</v>
      </c>
      <c r="FA35" s="36">
        <f t="shared" ca="1" si="76"/>
        <v>57.584677767728103</v>
      </c>
      <c r="FB35" s="36">
        <f t="shared" ca="1" si="76"/>
        <v>58.797844534843577</v>
      </c>
      <c r="FC35" s="36">
        <f t="shared" ca="1" si="76"/>
        <v>57.851959667400365</v>
      </c>
      <c r="FD35" s="36">
        <f t="shared" ca="1" si="76"/>
        <v>59.320669023174908</v>
      </c>
      <c r="FE35" s="36">
        <f t="shared" ca="1" si="76"/>
        <v>58.760284805908427</v>
      </c>
      <c r="FF35" s="36">
        <f t="shared" ca="1" si="76"/>
        <v>60.3629528889415</v>
      </c>
      <c r="FG35" s="36">
        <f t="shared" ca="1" si="76"/>
        <v>60.082106310223459</v>
      </c>
      <c r="FH35" s="36">
        <f t="shared" ca="1" si="76"/>
        <v>58.637650578464743</v>
      </c>
      <c r="FI35" s="36">
        <f t="shared" ca="1" si="76"/>
        <v>59.135760165832885</v>
      </c>
      <c r="FJ35" s="36">
        <f t="shared" ca="1" si="76"/>
        <v>58.487848472320131</v>
      </c>
      <c r="FK35" s="36">
        <f t="shared" ca="1" si="76"/>
        <v>58.80882567296112</v>
      </c>
      <c r="FL35" s="36">
        <f t="shared" ca="1" si="76"/>
        <v>59.385941537389655</v>
      </c>
      <c r="FM35" s="36">
        <f t="shared" ca="1" si="76"/>
        <v>60.230307998988494</v>
      </c>
      <c r="FN35" s="36">
        <f t="shared" ca="1" si="76"/>
        <v>60.106934763088546</v>
      </c>
      <c r="FO35" s="36">
        <f t="shared" ca="1" si="76"/>
        <v>60.351907269784427</v>
      </c>
      <c r="FP35" s="36">
        <f t="shared" ca="1" si="76"/>
        <v>61.500276854328405</v>
      </c>
      <c r="FQ35" s="36">
        <f t="shared" ca="1" si="76"/>
        <v>61.560168796760188</v>
      </c>
      <c r="FR35" s="36">
        <f t="shared" ca="1" si="76"/>
        <v>63.414894938290757</v>
      </c>
      <c r="FS35" s="36">
        <f t="shared" ca="1" si="76"/>
        <v>62.686169370875177</v>
      </c>
      <c r="FT35" s="36">
        <f t="shared" ca="1" si="76"/>
        <v>62.564494465490768</v>
      </c>
      <c r="FU35" s="36">
        <f t="shared" ca="1" si="76"/>
        <v>63.018447583260148</v>
      </c>
      <c r="FV35" s="36">
        <f t="shared" ca="1" si="76"/>
        <v>62.102235349590742</v>
      </c>
      <c r="FW35" s="36">
        <f t="shared" ca="1" si="76"/>
        <v>61.294926170323244</v>
      </c>
      <c r="FX35" s="36">
        <f t="shared" ca="1" si="76"/>
        <v>61.424823112459727</v>
      </c>
      <c r="FY35" s="36">
        <f t="shared" ca="1" si="76"/>
        <v>60.321640939934227</v>
      </c>
      <c r="FZ35" s="36">
        <f t="shared" ca="1" si="76"/>
        <v>60.138412812518297</v>
      </c>
      <c r="GA35" s="36">
        <f t="shared" ca="1" si="76"/>
        <v>59.106348675154237</v>
      </c>
      <c r="GB35" s="36">
        <f t="shared" ca="1" si="76"/>
        <v>58.636831172932219</v>
      </c>
      <c r="GC35" s="36">
        <f t="shared" ca="1" si="76"/>
        <v>58.477556216020204</v>
      </c>
      <c r="GD35" s="36">
        <f t="shared" ca="1" si="76"/>
        <v>58.722509174805673</v>
      </c>
      <c r="GE35" s="36">
        <f t="shared" ca="1" si="76"/>
        <v>58.949294303097844</v>
      </c>
      <c r="GF35" s="36">
        <f t="shared" ca="1" si="76"/>
        <v>59.484737323223186</v>
      </c>
      <c r="GG35" s="36">
        <f t="shared" ca="1" si="76"/>
        <v>58.573456578376273</v>
      </c>
      <c r="GH35" s="36">
        <f t="shared" ca="1" si="76"/>
        <v>59.921438450542915</v>
      </c>
      <c r="GI35" s="36">
        <f t="shared" ca="1" si="76"/>
        <v>59.621336932616678</v>
      </c>
      <c r="GJ35" s="36">
        <f t="shared" ca="1" si="76"/>
        <v>59.48355202869709</v>
      </c>
      <c r="GK35" s="36">
        <f t="shared" ca="1" si="76"/>
        <v>59.422288279327958</v>
      </c>
      <c r="GL35" s="36">
        <f t="shared" ca="1" si="76"/>
        <v>60.225485495259605</v>
      </c>
      <c r="GM35" s="36">
        <f t="shared" ca="1" si="76"/>
        <v>60.56240023410836</v>
      </c>
      <c r="GN35" s="36">
        <f t="shared" ca="1" si="76"/>
        <v>60.430415138564285</v>
      </c>
      <c r="GO35" s="36">
        <f t="shared" ca="1" si="76"/>
        <v>61.315049242267307</v>
      </c>
      <c r="GP35" s="36">
        <f t="shared" ca="1" si="76"/>
        <v>60.531750851017144</v>
      </c>
      <c r="GQ35" s="36">
        <f t="shared" ca="1" si="76"/>
        <v>60.149607483108888</v>
      </c>
      <c r="GR35" s="36">
        <f t="shared" ca="1" si="76"/>
        <v>60.529356967086244</v>
      </c>
      <c r="GS35" s="36">
        <f t="shared" ca="1" si="76"/>
        <v>60.528248876536061</v>
      </c>
      <c r="GT35" s="36">
        <f t="shared" ca="1" si="76"/>
        <v>60.794060225676326</v>
      </c>
      <c r="GU35" s="36">
        <f t="shared" ca="1" si="76"/>
        <v>61.43209975108082</v>
      </c>
      <c r="GV35" s="36">
        <f t="shared" ca="1" si="76"/>
        <v>61.637266061561363</v>
      </c>
      <c r="GW35" s="36">
        <f t="shared" ca="1" si="76"/>
        <v>62.081965829947158</v>
      </c>
      <c r="GX35" s="36">
        <f t="shared" ca="1" si="76"/>
        <v>63.13146171244864</v>
      </c>
      <c r="GY35" s="36">
        <f t="shared" ca="1" si="76"/>
        <v>64.235290392393537</v>
      </c>
      <c r="GZ35" s="36">
        <f t="shared" ca="1" si="76"/>
        <v>65.169471410730438</v>
      </c>
      <c r="HA35" s="36">
        <f t="shared" ca="1" si="76"/>
        <v>63.561062198722354</v>
      </c>
      <c r="HB35" s="36">
        <f t="shared" ca="1" si="76"/>
        <v>62.640721613318497</v>
      </c>
      <c r="HC35" s="36">
        <f t="shared" ca="1" si="76"/>
        <v>62.600869008488345</v>
      </c>
      <c r="HD35" s="36">
        <f t="shared" ca="1" si="76"/>
        <v>62.984998042578383</v>
      </c>
      <c r="HE35" s="36">
        <f t="shared" ca="1" si="76"/>
        <v>62.286758224902137</v>
      </c>
      <c r="HF35" s="36">
        <f t="shared" ca="1" si="76"/>
        <v>62.454745542281309</v>
      </c>
      <c r="HG35" s="36">
        <f t="shared" ca="1" si="76"/>
        <v>62.730468473638552</v>
      </c>
      <c r="HH35" s="36">
        <f t="shared" ca="1" si="76"/>
        <v>63.700079671196441</v>
      </c>
      <c r="HI35" s="36">
        <f t="shared" ca="1" si="77"/>
        <v>63.522296931143366</v>
      </c>
      <c r="HJ35" s="36">
        <f t="shared" ca="1" si="77"/>
        <v>64.363066102676896</v>
      </c>
      <c r="HK35" s="36">
        <f t="shared" ca="1" si="77"/>
        <v>64.525651294297433</v>
      </c>
      <c r="HL35" s="36">
        <f t="shared" ca="1" si="77"/>
        <v>65.45613459290243</v>
      </c>
      <c r="HM35" s="36">
        <f t="shared" ca="1" si="77"/>
        <v>64.750106269712319</v>
      </c>
      <c r="HN35" s="36">
        <f t="shared" ca="1" si="77"/>
        <v>63.982430969073036</v>
      </c>
      <c r="HO35" s="36">
        <f t="shared" ca="1" si="77"/>
        <v>64.01472247068277</v>
      </c>
      <c r="HP35" s="36">
        <f t="shared" ca="1" si="77"/>
        <v>61.89372563688395</v>
      </c>
      <c r="HQ35" s="36">
        <f t="shared" ca="1" si="77"/>
        <v>62.747441517283924</v>
      </c>
      <c r="HR35" s="36">
        <f t="shared" ca="1" si="77"/>
        <v>62.611605346467698</v>
      </c>
      <c r="HS35" s="36">
        <f t="shared" ca="1" si="77"/>
        <v>62.824625301092148</v>
      </c>
      <c r="HT35" s="36">
        <f t="shared" ca="1" si="77"/>
        <v>62.540083456772074</v>
      </c>
      <c r="HU35" s="36">
        <f t="shared" ca="1" si="80"/>
        <v>62.135647375899829</v>
      </c>
      <c r="HV35" s="36">
        <f t="shared" ca="1" si="80"/>
        <v>62.234405269385768</v>
      </c>
      <c r="HW35" s="36">
        <f t="shared" ca="1" si="80"/>
        <v>62.134677470297873</v>
      </c>
      <c r="HX35" s="36">
        <f t="shared" ca="1" si="80"/>
        <v>62.603079155401431</v>
      </c>
      <c r="HY35" s="36">
        <f t="shared" ca="1" si="80"/>
        <v>63.276061550928155</v>
      </c>
      <c r="HZ35" s="36">
        <f t="shared" ca="1" si="80"/>
        <v>61.321818463313377</v>
      </c>
      <c r="IA35" s="36">
        <f t="shared" ca="1" si="80"/>
        <v>61.107302037032895</v>
      </c>
      <c r="IB35" s="36">
        <f t="shared" ca="1" si="80"/>
        <v>62.375123932214294</v>
      </c>
      <c r="IC35" s="36">
        <f t="shared" ca="1" si="80"/>
        <v>61.664037223932326</v>
      </c>
      <c r="ID35" s="36">
        <f t="shared" ca="1" si="80"/>
        <v>61.630465435785538</v>
      </c>
      <c r="IE35" s="36">
        <f t="shared" ca="1" si="80"/>
        <v>60.945170060404301</v>
      </c>
      <c r="IF35" s="36">
        <f t="shared" ca="1" si="80"/>
        <v>60.500742378967281</v>
      </c>
      <c r="IG35" s="36">
        <f t="shared" ca="1" si="80"/>
        <v>60.55294326221339</v>
      </c>
      <c r="IH35" s="36">
        <f t="shared" ca="1" si="80"/>
        <v>60.459379027548373</v>
      </c>
      <c r="II35" s="36">
        <f t="shared" ca="1" si="80"/>
        <v>61.524450658245968</v>
      </c>
      <c r="IJ35" s="36">
        <f t="shared" ca="1" si="80"/>
        <v>60.380199688077944</v>
      </c>
      <c r="IK35" s="36">
        <f t="shared" ca="1" si="80"/>
        <v>61.786333340127598</v>
      </c>
      <c r="IL35" s="36">
        <f t="shared" ca="1" si="80"/>
        <v>62.897118538098304</v>
      </c>
      <c r="IM35" s="36">
        <f t="shared" ca="1" si="80"/>
        <v>63.015590741470504</v>
      </c>
      <c r="IN35" s="36">
        <f t="shared" ca="1" si="80"/>
        <v>62.735616880519743</v>
      </c>
      <c r="IO35" s="36">
        <f t="shared" ca="1" si="80"/>
        <v>62.477101743101706</v>
      </c>
      <c r="IP35" s="36">
        <f t="shared" ca="1" si="80"/>
        <v>61.98019833811108</v>
      </c>
      <c r="IQ35" s="36">
        <f t="shared" ca="1" si="80"/>
        <v>62.127892385381429</v>
      </c>
      <c r="IR35" s="36">
        <f t="shared" ca="1" si="80"/>
        <v>62.035103044962149</v>
      </c>
      <c r="IS35" s="36">
        <f t="shared" ca="1" si="80"/>
        <v>62.115317626661927</v>
      </c>
      <c r="IT35" s="36">
        <f t="shared" ca="1" si="80"/>
        <v>62.166447439884109</v>
      </c>
      <c r="IU35" s="36">
        <f t="shared" ca="1" si="80"/>
        <v>62.15289046960234</v>
      </c>
    </row>
    <row r="36" spans="1:255" x14ac:dyDescent="0.2">
      <c r="A36" s="36"/>
      <c r="B36">
        <v>26</v>
      </c>
      <c r="C36" s="36">
        <v>50</v>
      </c>
      <c r="D36" s="36">
        <f t="shared" ca="1" si="14"/>
        <v>49.802287486082804</v>
      </c>
      <c r="E36" s="36">
        <f t="shared" ca="1" si="14"/>
        <v>49.094728686283617</v>
      </c>
      <c r="F36" s="36">
        <f t="shared" ca="1" si="78"/>
        <v>49.113115440756665</v>
      </c>
      <c r="G36" s="36">
        <f t="shared" ca="1" si="78"/>
        <v>50.225322264880504</v>
      </c>
      <c r="H36" s="36">
        <f t="shared" ca="1" si="78"/>
        <v>50.012926200635754</v>
      </c>
      <c r="I36" s="36">
        <f t="shared" ca="1" si="78"/>
        <v>50.211833775214558</v>
      </c>
      <c r="J36" s="36">
        <f t="shared" ca="1" si="78"/>
        <v>50.197360110047718</v>
      </c>
      <c r="K36" s="36">
        <f t="shared" ca="1" si="78"/>
        <v>50.089277732260875</v>
      </c>
      <c r="L36" s="36">
        <f t="shared" ca="1" si="78"/>
        <v>50.250106760913454</v>
      </c>
      <c r="M36" s="36">
        <f t="shared" ca="1" si="78"/>
        <v>49.576335033605083</v>
      </c>
      <c r="N36" s="36">
        <f t="shared" ca="1" si="78"/>
        <v>48.664183300235528</v>
      </c>
      <c r="O36" s="36">
        <f t="shared" ca="1" si="78"/>
        <v>49.0503130129105</v>
      </c>
      <c r="P36" s="36">
        <f t="shared" ca="1" si="78"/>
        <v>48.843734648255086</v>
      </c>
      <c r="Q36" s="36">
        <f t="shared" ca="1" si="78"/>
        <v>48.561874612483379</v>
      </c>
      <c r="R36" s="36">
        <f t="shared" ca="1" si="78"/>
        <v>49.08789736300124</v>
      </c>
      <c r="S36" s="36">
        <f t="shared" ca="1" si="78"/>
        <v>48.428302592426867</v>
      </c>
      <c r="T36" s="36">
        <f t="shared" ca="1" si="78"/>
        <v>48.094041954747183</v>
      </c>
      <c r="U36" s="36">
        <f t="shared" ca="1" si="78"/>
        <v>47.77646622276324</v>
      </c>
      <c r="V36" s="36">
        <f t="shared" ca="1" si="78"/>
        <v>47.812378349978161</v>
      </c>
      <c r="W36" s="36">
        <f t="shared" ca="1" si="78"/>
        <v>48.628400869777813</v>
      </c>
      <c r="X36" s="36">
        <f t="shared" ca="1" si="78"/>
        <v>48.389101775400476</v>
      </c>
      <c r="Y36" s="36">
        <f t="shared" ca="1" si="78"/>
        <v>48.186095108024325</v>
      </c>
      <c r="Z36" s="36">
        <f t="shared" ca="1" si="78"/>
        <v>47.883944658043148</v>
      </c>
      <c r="AA36" s="36">
        <f t="shared" ca="1" si="78"/>
        <v>47.78076570399196</v>
      </c>
      <c r="AB36" s="36">
        <f t="shared" ca="1" si="78"/>
        <v>48.210600787643358</v>
      </c>
      <c r="AC36" s="36">
        <f t="shared" ca="1" si="78"/>
        <v>48.326564130994313</v>
      </c>
      <c r="AD36" s="36">
        <f t="shared" ca="1" si="78"/>
        <v>48.07588944166708</v>
      </c>
      <c r="AE36" s="36">
        <f t="shared" ca="1" si="78"/>
        <v>48.274523172398993</v>
      </c>
      <c r="AF36" s="36">
        <f t="shared" ca="1" si="78"/>
        <v>48.526567480127227</v>
      </c>
      <c r="AG36" s="36">
        <f t="shared" ca="1" si="78"/>
        <v>48.457416725005992</v>
      </c>
      <c r="AH36" s="36">
        <f t="shared" ca="1" si="78"/>
        <v>48.148879975060986</v>
      </c>
      <c r="AI36" s="36">
        <f t="shared" ca="1" si="78"/>
        <v>48.371774911550766</v>
      </c>
      <c r="AJ36" s="36">
        <f t="shared" ca="1" si="78"/>
        <v>49.163853625369129</v>
      </c>
      <c r="AK36" s="36">
        <f t="shared" ca="1" si="78"/>
        <v>49.231962969576507</v>
      </c>
      <c r="AL36" s="36">
        <f t="shared" ca="1" si="78"/>
        <v>48.900089359892156</v>
      </c>
      <c r="AM36" s="36">
        <f t="shared" ca="1" si="78"/>
        <v>47.526078619018371</v>
      </c>
      <c r="AN36" s="36">
        <f t="shared" ca="1" si="78"/>
        <v>47.133534951501261</v>
      </c>
      <c r="AO36" s="36">
        <f t="shared" ca="1" si="78"/>
        <v>47.223603065275647</v>
      </c>
      <c r="AP36" s="36">
        <f t="shared" ca="1" si="78"/>
        <v>47.087798680761317</v>
      </c>
      <c r="AQ36" s="36">
        <f t="shared" ca="1" si="78"/>
        <v>46.27447595717603</v>
      </c>
      <c r="AR36" s="36">
        <f t="shared" ca="1" si="78"/>
        <v>44.938190349806511</v>
      </c>
      <c r="AS36" s="36">
        <f t="shared" ca="1" si="78"/>
        <v>44.754879894643921</v>
      </c>
      <c r="AT36" s="36">
        <f t="shared" ca="1" si="78"/>
        <v>45.171914759989789</v>
      </c>
      <c r="AU36" s="36">
        <f t="shared" ca="1" si="78"/>
        <v>45.24456643648076</v>
      </c>
      <c r="AV36" s="36">
        <f t="shared" ca="1" si="78"/>
        <v>45.609810001393797</v>
      </c>
      <c r="AW36" s="36">
        <f t="shared" ca="1" si="78"/>
        <v>45.328875978566636</v>
      </c>
      <c r="AX36" s="36">
        <f t="shared" ca="1" si="78"/>
        <v>45.010845306136062</v>
      </c>
      <c r="AY36" s="36">
        <f t="shared" ca="1" si="78"/>
        <v>45.22305210906611</v>
      </c>
      <c r="AZ36" s="36">
        <f t="shared" ca="1" si="78"/>
        <v>44.678934845461342</v>
      </c>
      <c r="BA36" s="36">
        <f t="shared" ca="1" si="78"/>
        <v>44.712382776946605</v>
      </c>
      <c r="BB36" s="36">
        <f t="shared" ca="1" si="78"/>
        <v>43.970246142953087</v>
      </c>
      <c r="BC36" s="36">
        <f t="shared" ca="1" si="78"/>
        <v>43.534760193979302</v>
      </c>
      <c r="BD36" s="36">
        <f t="shared" ca="1" si="78"/>
        <v>43.434858142527361</v>
      </c>
      <c r="BE36" s="36">
        <f t="shared" ca="1" si="78"/>
        <v>43.814068601704726</v>
      </c>
      <c r="BF36" s="36">
        <f t="shared" ca="1" si="78"/>
        <v>43.689156873801323</v>
      </c>
      <c r="BG36" s="36">
        <f t="shared" ca="1" si="78"/>
        <v>43.186130968069989</v>
      </c>
      <c r="BH36" s="36">
        <f t="shared" ca="1" si="78"/>
        <v>43.316067985649894</v>
      </c>
      <c r="BI36" s="36">
        <f t="shared" ca="1" si="78"/>
        <v>42.89769283413942</v>
      </c>
      <c r="BJ36" s="36">
        <f t="shared" ca="1" si="78"/>
        <v>42.801374448853245</v>
      </c>
      <c r="BK36" s="36">
        <f t="shared" ca="1" si="78"/>
        <v>43.40860353149219</v>
      </c>
      <c r="BL36" s="36">
        <f t="shared" ca="1" si="78"/>
        <v>42.844159342451846</v>
      </c>
      <c r="BM36" s="36">
        <f t="shared" ca="1" si="78"/>
        <v>43.451913605248691</v>
      </c>
      <c r="BN36" s="36">
        <f t="shared" ca="1" si="78"/>
        <v>42.724128709747845</v>
      </c>
      <c r="BO36" s="36">
        <f t="shared" ca="1" si="78"/>
        <v>42.771814093599971</v>
      </c>
      <c r="BP36" s="36">
        <f t="shared" ca="1" si="78"/>
        <v>43.234328762940002</v>
      </c>
      <c r="BQ36" s="36">
        <f t="shared" ca="1" si="78"/>
        <v>42.352698431995258</v>
      </c>
      <c r="BR36" s="36">
        <f t="shared" ca="1" si="75"/>
        <v>42.022052389579528</v>
      </c>
      <c r="BS36" s="36">
        <f t="shared" ca="1" si="75"/>
        <v>42.028837729547163</v>
      </c>
      <c r="BT36" s="36">
        <f t="shared" ca="1" si="75"/>
        <v>41.478242461454663</v>
      </c>
      <c r="BU36" s="36">
        <f t="shared" ca="1" si="75"/>
        <v>43.006658106900652</v>
      </c>
      <c r="BV36" s="36">
        <f t="shared" ca="1" si="75"/>
        <v>43.428205633139264</v>
      </c>
      <c r="BW36" s="36">
        <f t="shared" ca="1" si="75"/>
        <v>43.348212994176592</v>
      </c>
      <c r="BX36" s="36">
        <f t="shared" ca="1" si="75"/>
        <v>43.370728271011082</v>
      </c>
      <c r="BY36" s="36">
        <f t="shared" ca="1" si="75"/>
        <v>43.742560680378048</v>
      </c>
      <c r="BZ36" s="36">
        <f t="shared" ca="1" si="75"/>
        <v>43.910594163743092</v>
      </c>
      <c r="CA36" s="36">
        <f t="shared" ca="1" si="75"/>
        <v>42.633152353159481</v>
      </c>
      <c r="CB36" s="36">
        <f t="shared" ca="1" si="75"/>
        <v>42.445845564603232</v>
      </c>
      <c r="CC36" s="36">
        <f t="shared" ca="1" si="75"/>
        <v>43.446919692203984</v>
      </c>
      <c r="CD36" s="36">
        <f t="shared" ca="1" si="75"/>
        <v>43.237145791668546</v>
      </c>
      <c r="CE36" s="36">
        <f t="shared" ca="1" si="75"/>
        <v>42.590448077503254</v>
      </c>
      <c r="CF36" s="36">
        <f t="shared" ca="1" si="75"/>
        <v>41.843026545083212</v>
      </c>
      <c r="CG36" s="36">
        <f t="shared" ca="1" si="75"/>
        <v>42.342916878316522</v>
      </c>
      <c r="CH36" s="36">
        <f t="shared" ca="1" si="75"/>
        <v>41.918707844436902</v>
      </c>
      <c r="CI36" s="36">
        <f t="shared" ca="1" si="75"/>
        <v>42.402533883389147</v>
      </c>
      <c r="CJ36" s="36">
        <f t="shared" ca="1" si="75"/>
        <v>41.883385938098833</v>
      </c>
      <c r="CK36" s="36">
        <f t="shared" ca="1" si="75"/>
        <v>41.01741989279666</v>
      </c>
      <c r="CL36" s="36">
        <f t="shared" ca="1" si="75"/>
        <v>40.55698753185856</v>
      </c>
      <c r="CM36" s="36">
        <f t="shared" ca="1" si="75"/>
        <v>40.419013986670542</v>
      </c>
      <c r="CN36" s="36">
        <f t="shared" ca="1" si="75"/>
        <v>40.049556241059719</v>
      </c>
      <c r="CO36" s="36">
        <f t="shared" ca="1" si="75"/>
        <v>39.284957657837957</v>
      </c>
      <c r="CP36" s="36">
        <f t="shared" ca="1" si="75"/>
        <v>39.813109586680724</v>
      </c>
      <c r="CQ36" s="36">
        <f t="shared" ca="1" si="75"/>
        <v>39.076672215410099</v>
      </c>
      <c r="CR36" s="36">
        <f t="shared" ca="1" si="75"/>
        <v>39.323954711283697</v>
      </c>
      <c r="CS36" s="36">
        <f t="shared" ca="1" si="75"/>
        <v>39.332112732236745</v>
      </c>
      <c r="CT36" s="36">
        <f t="shared" ca="1" si="75"/>
        <v>39.492946670053179</v>
      </c>
      <c r="CU36" s="36">
        <f t="shared" ca="1" si="75"/>
        <v>39.724836206403445</v>
      </c>
      <c r="CV36" s="36">
        <f t="shared" ca="1" si="75"/>
        <v>40.078046685019892</v>
      </c>
      <c r="CW36" s="36">
        <f t="shared" ca="1" si="75"/>
        <v>40.088662229068291</v>
      </c>
      <c r="CX36" s="36">
        <f t="shared" ca="1" si="75"/>
        <v>40.215687702107068</v>
      </c>
      <c r="CY36" s="36">
        <f t="shared" ca="1" si="75"/>
        <v>39.814395011114492</v>
      </c>
      <c r="CZ36" s="36">
        <f t="shared" ca="1" si="75"/>
        <v>39.605545474783241</v>
      </c>
      <c r="DA36" s="36">
        <f t="shared" ca="1" si="75"/>
        <v>40.04896465922306</v>
      </c>
      <c r="DB36" s="36">
        <f t="shared" ca="1" si="75"/>
        <v>40.647926179939923</v>
      </c>
      <c r="DC36" s="36">
        <f t="shared" ca="1" si="75"/>
        <v>39.879870101030988</v>
      </c>
      <c r="DD36" s="36">
        <f t="shared" ca="1" si="75"/>
        <v>39.301751433535856</v>
      </c>
      <c r="DE36" s="36">
        <f t="shared" ca="1" si="75"/>
        <v>39.640946876620397</v>
      </c>
      <c r="DF36" s="36">
        <f t="shared" ca="1" si="75"/>
        <v>39.906453875660247</v>
      </c>
      <c r="DG36" s="36">
        <f t="shared" ca="1" si="75"/>
        <v>39.653836082334301</v>
      </c>
      <c r="DH36" s="36">
        <f t="shared" ca="1" si="75"/>
        <v>40.204311151139422</v>
      </c>
      <c r="DI36" s="36">
        <f t="shared" ca="1" si="75"/>
        <v>40.053466806939412</v>
      </c>
      <c r="DJ36" s="36">
        <f t="shared" ca="1" si="75"/>
        <v>39.9274436829268</v>
      </c>
      <c r="DK36" s="36">
        <f t="shared" ca="1" si="75"/>
        <v>39.718139306538269</v>
      </c>
      <c r="DL36" s="36">
        <f t="shared" ca="1" si="75"/>
        <v>39.984490526244059</v>
      </c>
      <c r="DM36" s="36">
        <f t="shared" ca="1" si="75"/>
        <v>40.009935192617533</v>
      </c>
      <c r="DN36" s="36">
        <f t="shared" ca="1" si="75"/>
        <v>40.337424164552885</v>
      </c>
      <c r="DO36" s="36">
        <f t="shared" ca="1" si="75"/>
        <v>39.969376056368112</v>
      </c>
      <c r="DP36" s="36">
        <f t="shared" ca="1" si="75"/>
        <v>39.737842956749624</v>
      </c>
      <c r="DQ36" s="36">
        <f t="shared" ca="1" si="75"/>
        <v>39.541648307561275</v>
      </c>
      <c r="DR36" s="36">
        <f t="shared" ca="1" si="75"/>
        <v>40.094134742068341</v>
      </c>
      <c r="DS36" s="36">
        <f t="shared" ca="1" si="75"/>
        <v>39.19753777544522</v>
      </c>
      <c r="DT36" s="36">
        <f t="shared" ca="1" si="75"/>
        <v>39.349780545290969</v>
      </c>
      <c r="DU36" s="36">
        <f t="shared" ca="1" si="75"/>
        <v>40.055654212212637</v>
      </c>
      <c r="DV36" s="36">
        <f t="shared" ca="1" si="75"/>
        <v>40.34783088924285</v>
      </c>
      <c r="DW36" s="36">
        <f t="shared" ca="1" si="75"/>
        <v>40.457329828544616</v>
      </c>
      <c r="DX36" s="36">
        <f t="shared" ca="1" si="75"/>
        <v>40.38385677833228</v>
      </c>
      <c r="DY36" s="36">
        <f t="shared" ca="1" si="75"/>
        <v>41.376889575452573</v>
      </c>
      <c r="DZ36" s="36">
        <f t="shared" ca="1" si="75"/>
        <v>41.897160399894972</v>
      </c>
      <c r="EA36" s="36">
        <f t="shared" ca="1" si="75"/>
        <v>41.988080045690197</v>
      </c>
      <c r="EB36" s="36">
        <f t="shared" ca="1" si="75"/>
        <v>42.293863160351357</v>
      </c>
      <c r="EC36" s="36">
        <f t="shared" ca="1" si="72"/>
        <v>42.698546930596116</v>
      </c>
      <c r="ED36" s="36">
        <f t="shared" ca="1" si="72"/>
        <v>42.853518434156378</v>
      </c>
      <c r="EE36" s="36">
        <f t="shared" ca="1" si="72"/>
        <v>42.583344016749336</v>
      </c>
      <c r="EF36" s="36">
        <f t="shared" ca="1" si="72"/>
        <v>42.235105763256527</v>
      </c>
      <c r="EG36" s="36">
        <f t="shared" ca="1" si="72"/>
        <v>41.465064559314783</v>
      </c>
      <c r="EH36" s="36">
        <f t="shared" ca="1" si="72"/>
        <v>40.265122523717352</v>
      </c>
      <c r="EI36" s="36">
        <f t="shared" ca="1" si="72"/>
        <v>39.478552518557066</v>
      </c>
      <c r="EJ36" s="36">
        <f t="shared" ca="1" si="72"/>
        <v>39.03724004348738</v>
      </c>
      <c r="EK36" s="36">
        <f t="shared" ca="1" si="72"/>
        <v>38.46228622074257</v>
      </c>
      <c r="EL36" s="36">
        <f t="shared" ca="1" si="72"/>
        <v>38.213103191821617</v>
      </c>
      <c r="EM36" s="36">
        <f t="shared" ca="1" si="72"/>
        <v>38.441693067246732</v>
      </c>
      <c r="EN36" s="36">
        <f t="shared" ca="1" si="72"/>
        <v>38.593851721254296</v>
      </c>
      <c r="EO36" s="36">
        <f t="shared" ca="1" si="72"/>
        <v>38.143688995203554</v>
      </c>
      <c r="EP36" s="36">
        <f t="shared" ca="1" si="72"/>
        <v>37.991290130368796</v>
      </c>
      <c r="EQ36" s="36">
        <f t="shared" ca="1" si="72"/>
        <v>38.509150849254503</v>
      </c>
      <c r="ER36" s="36">
        <f t="shared" ca="1" si="72"/>
        <v>38.5351164731347</v>
      </c>
      <c r="ES36" s="36">
        <f t="shared" ca="1" si="72"/>
        <v>39.345989028833102</v>
      </c>
      <c r="ET36" s="36">
        <f t="shared" ca="1" si="72"/>
        <v>38.94645654642266</v>
      </c>
      <c r="EU36" s="36">
        <f t="shared" ca="1" si="72"/>
        <v>39.372442846286297</v>
      </c>
      <c r="EV36" s="36">
        <f t="shared" ca="1" si="72"/>
        <v>39.298798698368252</v>
      </c>
      <c r="EW36" s="36">
        <f t="shared" ref="EW36" ca="1" si="82">EV36*EXP(($B$3-$B$4^2/2)*1+$B$4*_xlfn.NORM.S.INV(RAND()))</f>
        <v>39.720679092417342</v>
      </c>
      <c r="EX36" s="36">
        <f t="shared" ca="1" si="76"/>
        <v>40.705182513010179</v>
      </c>
      <c r="EY36" s="36">
        <f t="shared" ca="1" si="76"/>
        <v>40.24627817814752</v>
      </c>
      <c r="EZ36" s="36">
        <f t="shared" ca="1" si="76"/>
        <v>39.950545834046892</v>
      </c>
      <c r="FA36" s="36">
        <f t="shared" ca="1" si="76"/>
        <v>39.858689326180844</v>
      </c>
      <c r="FB36" s="36">
        <f t="shared" ca="1" si="76"/>
        <v>40.043100007831505</v>
      </c>
      <c r="FC36" s="36">
        <f t="shared" ca="1" si="76"/>
        <v>39.703061971736673</v>
      </c>
      <c r="FD36" s="36">
        <f t="shared" ca="1" si="76"/>
        <v>39.222522978531622</v>
      </c>
      <c r="FE36" s="36">
        <f t="shared" ca="1" si="76"/>
        <v>38.899811135790735</v>
      </c>
      <c r="FF36" s="36">
        <f t="shared" ca="1" si="76"/>
        <v>38.172409642145212</v>
      </c>
      <c r="FG36" s="36">
        <f t="shared" ca="1" si="76"/>
        <v>38.145389551623317</v>
      </c>
      <c r="FH36" s="36">
        <f t="shared" ca="1" si="76"/>
        <v>38.095492726465203</v>
      </c>
      <c r="FI36" s="36">
        <f t="shared" ca="1" si="76"/>
        <v>39.121457992368903</v>
      </c>
      <c r="FJ36" s="36">
        <f t="shared" ca="1" si="76"/>
        <v>39.448160782413204</v>
      </c>
      <c r="FK36" s="36">
        <f t="shared" ca="1" si="76"/>
        <v>38.680521014627608</v>
      </c>
      <c r="FL36" s="36">
        <f t="shared" ca="1" si="76"/>
        <v>39.262281945210638</v>
      </c>
      <c r="FM36" s="36">
        <f t="shared" ca="1" si="76"/>
        <v>39.77185851149639</v>
      </c>
      <c r="FN36" s="36">
        <f t="shared" ca="1" si="76"/>
        <v>40.202564258219702</v>
      </c>
      <c r="FO36" s="36">
        <f t="shared" ca="1" si="76"/>
        <v>40.395469213177698</v>
      </c>
      <c r="FP36" s="36">
        <f t="shared" ca="1" si="76"/>
        <v>39.70852334437236</v>
      </c>
      <c r="FQ36" s="36">
        <f t="shared" ca="1" si="76"/>
        <v>39.855283153525562</v>
      </c>
      <c r="FR36" s="36">
        <f t="shared" ca="1" si="76"/>
        <v>39.967320338735334</v>
      </c>
      <c r="FS36" s="36">
        <f t="shared" ca="1" si="76"/>
        <v>40.200539246616408</v>
      </c>
      <c r="FT36" s="36">
        <f t="shared" ca="1" si="76"/>
        <v>40.449029842378671</v>
      </c>
      <c r="FU36" s="36">
        <f t="shared" ca="1" si="76"/>
        <v>40.195875934570537</v>
      </c>
      <c r="FV36" s="36">
        <f t="shared" ca="1" si="76"/>
        <v>40.371189968397985</v>
      </c>
      <c r="FW36" s="36">
        <f t="shared" ca="1" si="76"/>
        <v>39.370497672888739</v>
      </c>
      <c r="FX36" s="36">
        <f t="shared" ca="1" si="76"/>
        <v>38.724558987513852</v>
      </c>
      <c r="FY36" s="36">
        <f t="shared" ca="1" si="76"/>
        <v>39.798529705892726</v>
      </c>
      <c r="FZ36" s="36">
        <f t="shared" ca="1" si="76"/>
        <v>39.525324382014958</v>
      </c>
      <c r="GA36" s="36">
        <f t="shared" ca="1" si="76"/>
        <v>40.087690994208209</v>
      </c>
      <c r="GB36" s="36">
        <f t="shared" ca="1" si="76"/>
        <v>39.673682152446489</v>
      </c>
      <c r="GC36" s="36">
        <f t="shared" ca="1" si="76"/>
        <v>39.700536346908713</v>
      </c>
      <c r="GD36" s="36">
        <f t="shared" ca="1" si="76"/>
        <v>39.513255020690522</v>
      </c>
      <c r="GE36" s="36">
        <f t="shared" ca="1" si="76"/>
        <v>39.215018895426368</v>
      </c>
      <c r="GF36" s="36">
        <f t="shared" ca="1" si="76"/>
        <v>39.580340602902353</v>
      </c>
      <c r="GG36" s="36">
        <f t="shared" ca="1" si="76"/>
        <v>39.407652302211616</v>
      </c>
      <c r="GH36" s="36">
        <f t="shared" ca="1" si="76"/>
        <v>39.747879931443876</v>
      </c>
      <c r="GI36" s="36">
        <f t="shared" ca="1" si="76"/>
        <v>39.932444469662116</v>
      </c>
      <c r="GJ36" s="36">
        <f t="shared" ca="1" si="76"/>
        <v>40.064385828005015</v>
      </c>
      <c r="GK36" s="36">
        <f t="shared" ca="1" si="76"/>
        <v>40.519353672526321</v>
      </c>
      <c r="GL36" s="36">
        <f t="shared" ca="1" si="76"/>
        <v>40.613479105347125</v>
      </c>
      <c r="GM36" s="36">
        <f t="shared" ca="1" si="76"/>
        <v>40.599995536699254</v>
      </c>
      <c r="GN36" s="36">
        <f t="shared" ca="1" si="76"/>
        <v>40.875345034656405</v>
      </c>
      <c r="GO36" s="36">
        <f t="shared" ca="1" si="76"/>
        <v>41.582984229549254</v>
      </c>
      <c r="GP36" s="36">
        <f t="shared" ca="1" si="76"/>
        <v>41.019826329141807</v>
      </c>
      <c r="GQ36" s="36">
        <f t="shared" ca="1" si="76"/>
        <v>40.323442668033557</v>
      </c>
      <c r="GR36" s="36">
        <f t="shared" ca="1" si="76"/>
        <v>39.752882826018222</v>
      </c>
      <c r="GS36" s="36">
        <f t="shared" ca="1" si="76"/>
        <v>39.5260227933463</v>
      </c>
      <c r="GT36" s="36">
        <f t="shared" ca="1" si="76"/>
        <v>39.810552148698136</v>
      </c>
      <c r="GU36" s="36">
        <f t="shared" ca="1" si="76"/>
        <v>40.204767840265447</v>
      </c>
      <c r="GV36" s="36">
        <f t="shared" ca="1" si="76"/>
        <v>40.259646999283667</v>
      </c>
      <c r="GW36" s="36">
        <f t="shared" ca="1" si="76"/>
        <v>40.545879936240311</v>
      </c>
      <c r="GX36" s="36">
        <f t="shared" ca="1" si="76"/>
        <v>40.581648060977827</v>
      </c>
      <c r="GY36" s="36">
        <f t="shared" ca="1" si="76"/>
        <v>41.893588830160851</v>
      </c>
      <c r="GZ36" s="36">
        <f t="shared" ca="1" si="76"/>
        <v>41.723072224187668</v>
      </c>
      <c r="HA36" s="36">
        <f t="shared" ca="1" si="76"/>
        <v>41.60364053326424</v>
      </c>
      <c r="HB36" s="36">
        <f t="shared" ca="1" si="76"/>
        <v>41.025699938269383</v>
      </c>
      <c r="HC36" s="36">
        <f t="shared" ca="1" si="76"/>
        <v>41.549043156122849</v>
      </c>
      <c r="HD36" s="36">
        <f t="shared" ca="1" si="76"/>
        <v>41.364697712589887</v>
      </c>
      <c r="HE36" s="36">
        <f t="shared" ca="1" si="76"/>
        <v>41.246802663685202</v>
      </c>
      <c r="HF36" s="36">
        <f t="shared" ca="1" si="76"/>
        <v>40.794692132623823</v>
      </c>
      <c r="HG36" s="36">
        <f t="shared" ca="1" si="76"/>
        <v>41.731904693830138</v>
      </c>
      <c r="HH36" s="36">
        <f t="shared" ca="1" si="76"/>
        <v>42.107142404109283</v>
      </c>
      <c r="HI36" s="36">
        <f t="shared" ca="1" si="77"/>
        <v>42.160833939750461</v>
      </c>
      <c r="HJ36" s="36">
        <f t="shared" ca="1" si="77"/>
        <v>42.48627126440104</v>
      </c>
      <c r="HK36" s="36">
        <f t="shared" ca="1" si="77"/>
        <v>41.495583425195214</v>
      </c>
      <c r="HL36" s="36">
        <f t="shared" ca="1" si="77"/>
        <v>41.189320346740161</v>
      </c>
      <c r="HM36" s="36">
        <f t="shared" ca="1" si="77"/>
        <v>41.589445028529745</v>
      </c>
      <c r="HN36" s="36">
        <f t="shared" ca="1" si="77"/>
        <v>42.305844418497756</v>
      </c>
      <c r="HO36" s="36">
        <f t="shared" ca="1" si="77"/>
        <v>42.417103977208953</v>
      </c>
      <c r="HP36" s="36">
        <f t="shared" ca="1" si="77"/>
        <v>42.563269599777236</v>
      </c>
      <c r="HQ36" s="36">
        <f t="shared" ca="1" si="77"/>
        <v>43.046613655806162</v>
      </c>
      <c r="HR36" s="36">
        <f t="shared" ca="1" si="77"/>
        <v>42.992737430479679</v>
      </c>
      <c r="HS36" s="36">
        <f t="shared" ca="1" si="77"/>
        <v>42.929293694249907</v>
      </c>
      <c r="HT36" s="36">
        <f t="shared" ca="1" si="77"/>
        <v>42.838956072736302</v>
      </c>
      <c r="HU36" s="36">
        <f t="shared" ca="1" si="80"/>
        <v>42.73619681199839</v>
      </c>
      <c r="HV36" s="36">
        <f t="shared" ca="1" si="80"/>
        <v>42.678232823550367</v>
      </c>
      <c r="HW36" s="36">
        <f t="shared" ca="1" si="80"/>
        <v>42.053120316526964</v>
      </c>
      <c r="HX36" s="36">
        <f t="shared" ca="1" si="80"/>
        <v>41.732625651001143</v>
      </c>
      <c r="HY36" s="36">
        <f t="shared" ca="1" si="80"/>
        <v>41.89546903820721</v>
      </c>
      <c r="HZ36" s="36">
        <f t="shared" ca="1" si="80"/>
        <v>41.959990748208689</v>
      </c>
      <c r="IA36" s="36">
        <f t="shared" ca="1" si="80"/>
        <v>43.111629581654178</v>
      </c>
      <c r="IB36" s="36">
        <f t="shared" ca="1" si="80"/>
        <v>43.358602775825744</v>
      </c>
      <c r="IC36" s="36">
        <f t="shared" ca="1" si="80"/>
        <v>42.94928145636176</v>
      </c>
      <c r="ID36" s="36">
        <f t="shared" ca="1" si="80"/>
        <v>43.363019154753765</v>
      </c>
      <c r="IE36" s="36">
        <f t="shared" ca="1" si="80"/>
        <v>43.344669894275221</v>
      </c>
      <c r="IF36" s="36">
        <f t="shared" ca="1" si="80"/>
        <v>43.498010221258411</v>
      </c>
      <c r="IG36" s="36">
        <f t="shared" ca="1" si="80"/>
        <v>42.469822565077507</v>
      </c>
      <c r="IH36" s="36">
        <f t="shared" ca="1" si="80"/>
        <v>41.892531482354194</v>
      </c>
      <c r="II36" s="36">
        <f t="shared" ca="1" si="80"/>
        <v>41.650091311638803</v>
      </c>
      <c r="IJ36" s="36">
        <f t="shared" ca="1" si="80"/>
        <v>42.51779400661691</v>
      </c>
      <c r="IK36" s="36">
        <f t="shared" ca="1" si="80"/>
        <v>42.551046454804073</v>
      </c>
      <c r="IL36" s="36">
        <f t="shared" ca="1" si="80"/>
        <v>42.373498518315586</v>
      </c>
      <c r="IM36" s="36">
        <f t="shared" ca="1" si="80"/>
        <v>42.46350895923694</v>
      </c>
      <c r="IN36" s="36">
        <f t="shared" ca="1" si="80"/>
        <v>41.570818707247824</v>
      </c>
      <c r="IO36" s="36">
        <f t="shared" ca="1" si="80"/>
        <v>41.139597863894004</v>
      </c>
      <c r="IP36" s="36">
        <f t="shared" ca="1" si="80"/>
        <v>40.645452252484567</v>
      </c>
      <c r="IQ36" s="36">
        <f t="shared" ca="1" si="80"/>
        <v>40.698414196052774</v>
      </c>
      <c r="IR36" s="36">
        <f t="shared" ca="1" si="80"/>
        <v>41.069248431133261</v>
      </c>
      <c r="IS36" s="36">
        <f t="shared" ca="1" si="80"/>
        <v>41.217014756655075</v>
      </c>
      <c r="IT36" s="36">
        <f t="shared" ca="1" si="80"/>
        <v>42.27987021382976</v>
      </c>
      <c r="IU36" s="36">
        <f t="shared" ca="1" si="80"/>
        <v>42.70412368464558</v>
      </c>
    </row>
    <row r="37" spans="1:255" x14ac:dyDescent="0.2">
      <c r="A37" s="36"/>
      <c r="B37">
        <v>27</v>
      </c>
      <c r="C37" s="36">
        <v>50</v>
      </c>
      <c r="D37" s="36">
        <f t="shared" ca="1" si="14"/>
        <v>50.07280796680751</v>
      </c>
      <c r="E37" s="36">
        <f t="shared" ca="1" si="14"/>
        <v>49.276756391203953</v>
      </c>
      <c r="F37" s="36">
        <f t="shared" ca="1" si="78"/>
        <v>48.899126858342896</v>
      </c>
      <c r="G37" s="36">
        <f t="shared" ca="1" si="78"/>
        <v>49.367407600637243</v>
      </c>
      <c r="H37" s="36">
        <f t="shared" ca="1" si="78"/>
        <v>49.423238812417047</v>
      </c>
      <c r="I37" s="36">
        <f t="shared" ca="1" si="78"/>
        <v>49.006427879461391</v>
      </c>
      <c r="J37" s="36">
        <f t="shared" ca="1" si="78"/>
        <v>49.467104632674577</v>
      </c>
      <c r="K37" s="36">
        <f t="shared" ca="1" si="78"/>
        <v>47.795962025384249</v>
      </c>
      <c r="L37" s="36">
        <f t="shared" ca="1" si="78"/>
        <v>47.390009328392452</v>
      </c>
      <c r="M37" s="36">
        <f t="shared" ca="1" si="78"/>
        <v>48.018973517835818</v>
      </c>
      <c r="N37" s="36">
        <f t="shared" ca="1" si="78"/>
        <v>48.734564732355608</v>
      </c>
      <c r="O37" s="36">
        <f t="shared" ca="1" si="78"/>
        <v>48.808365605588918</v>
      </c>
      <c r="P37" s="36">
        <f t="shared" ca="1" si="78"/>
        <v>49.828160890698264</v>
      </c>
      <c r="Q37" s="36">
        <f t="shared" ca="1" si="78"/>
        <v>49.938872949079311</v>
      </c>
      <c r="R37" s="36">
        <f t="shared" ca="1" si="78"/>
        <v>49.971239826642226</v>
      </c>
      <c r="S37" s="36">
        <f t="shared" ca="1" si="78"/>
        <v>50.202822576654249</v>
      </c>
      <c r="T37" s="36">
        <f t="shared" ca="1" si="78"/>
        <v>50.008317796785903</v>
      </c>
      <c r="U37" s="36">
        <f t="shared" ca="1" si="78"/>
        <v>50.483774524198694</v>
      </c>
      <c r="V37" s="36">
        <f t="shared" ca="1" si="78"/>
        <v>49.43223578218938</v>
      </c>
      <c r="W37" s="36">
        <f t="shared" ca="1" si="78"/>
        <v>49.989499628052528</v>
      </c>
      <c r="X37" s="36">
        <f t="shared" ca="1" si="78"/>
        <v>49.818284354190212</v>
      </c>
      <c r="Y37" s="36">
        <f t="shared" ca="1" si="78"/>
        <v>51.396910005087669</v>
      </c>
      <c r="Z37" s="36">
        <f t="shared" ca="1" si="78"/>
        <v>51.293158606397263</v>
      </c>
      <c r="AA37" s="36">
        <f t="shared" ca="1" si="78"/>
        <v>51.464031888648215</v>
      </c>
      <c r="AB37" s="36">
        <f t="shared" ca="1" si="78"/>
        <v>50.75794776221386</v>
      </c>
      <c r="AC37" s="36">
        <f t="shared" ca="1" si="78"/>
        <v>51.039515804166264</v>
      </c>
      <c r="AD37" s="36">
        <f t="shared" ca="1" si="78"/>
        <v>51.167885876776843</v>
      </c>
      <c r="AE37" s="36">
        <f t="shared" ca="1" si="78"/>
        <v>51.567517007031896</v>
      </c>
      <c r="AF37" s="36">
        <f t="shared" ca="1" si="78"/>
        <v>51.603476936625412</v>
      </c>
      <c r="AG37" s="36">
        <f t="shared" ca="1" si="78"/>
        <v>50.800434155214873</v>
      </c>
      <c r="AH37" s="36">
        <f t="shared" ca="1" si="78"/>
        <v>51.137324195547635</v>
      </c>
      <c r="AI37" s="36">
        <f t="shared" ca="1" si="78"/>
        <v>50.079397470576446</v>
      </c>
      <c r="AJ37" s="36">
        <f t="shared" ca="1" si="78"/>
        <v>49.734788572017081</v>
      </c>
      <c r="AK37" s="36">
        <f t="shared" ca="1" si="78"/>
        <v>49.931202676775627</v>
      </c>
      <c r="AL37" s="36">
        <f t="shared" ca="1" si="78"/>
        <v>50.38588827325777</v>
      </c>
      <c r="AM37" s="36">
        <f t="shared" ca="1" si="78"/>
        <v>50.113050023407901</v>
      </c>
      <c r="AN37" s="36">
        <f t="shared" ca="1" si="78"/>
        <v>50.125078106648594</v>
      </c>
      <c r="AO37" s="36">
        <f t="shared" ca="1" si="78"/>
        <v>51.592062370581516</v>
      </c>
      <c r="AP37" s="36">
        <f t="shared" ca="1" si="78"/>
        <v>52.427719839771918</v>
      </c>
      <c r="AQ37" s="36">
        <f t="shared" ca="1" si="78"/>
        <v>52.598468790960993</v>
      </c>
      <c r="AR37" s="36">
        <f t="shared" ca="1" si="78"/>
        <v>52.697533961553425</v>
      </c>
      <c r="AS37" s="36">
        <f t="shared" ca="1" si="78"/>
        <v>51.245793478225565</v>
      </c>
      <c r="AT37" s="36">
        <f t="shared" ca="1" si="78"/>
        <v>50.534702823259245</v>
      </c>
      <c r="AU37" s="36">
        <f t="shared" ca="1" si="78"/>
        <v>50.964067698188693</v>
      </c>
      <c r="AV37" s="36">
        <f t="shared" ca="1" si="78"/>
        <v>50.948590289520453</v>
      </c>
      <c r="AW37" s="36">
        <f t="shared" ca="1" si="78"/>
        <v>51.173158975052459</v>
      </c>
      <c r="AX37" s="36">
        <f t="shared" ca="1" si="78"/>
        <v>51.562600240764823</v>
      </c>
      <c r="AY37" s="36">
        <f t="shared" ca="1" si="78"/>
        <v>51.603357759043561</v>
      </c>
      <c r="AZ37" s="36">
        <f t="shared" ca="1" si="78"/>
        <v>50.9487873515545</v>
      </c>
      <c r="BA37" s="36">
        <f t="shared" ca="1" si="78"/>
        <v>51.314741582315655</v>
      </c>
      <c r="BB37" s="36">
        <f t="shared" ca="1" si="78"/>
        <v>51.940658817812512</v>
      </c>
      <c r="BC37" s="36">
        <f t="shared" ca="1" si="78"/>
        <v>52.290014105548963</v>
      </c>
      <c r="BD37" s="36">
        <f t="shared" ca="1" si="78"/>
        <v>53.735873606222569</v>
      </c>
      <c r="BE37" s="36">
        <f t="shared" ca="1" si="78"/>
        <v>52.595381937087218</v>
      </c>
      <c r="BF37" s="36">
        <f t="shared" ca="1" si="78"/>
        <v>53.415725030128989</v>
      </c>
      <c r="BG37" s="36">
        <f t="shared" ca="1" si="78"/>
        <v>53.349327877293085</v>
      </c>
      <c r="BH37" s="36">
        <f t="shared" ca="1" si="78"/>
        <v>53.353865178955921</v>
      </c>
      <c r="BI37" s="36">
        <f t="shared" ca="1" si="78"/>
        <v>53.741131531859551</v>
      </c>
      <c r="BJ37" s="36">
        <f t="shared" ca="1" si="78"/>
        <v>54.018835382716766</v>
      </c>
      <c r="BK37" s="36">
        <f t="shared" ca="1" si="78"/>
        <v>54.900721901846765</v>
      </c>
      <c r="BL37" s="36">
        <f t="shared" ca="1" si="78"/>
        <v>54.167187216082588</v>
      </c>
      <c r="BM37" s="36">
        <f t="shared" ca="1" si="78"/>
        <v>54.035570875393077</v>
      </c>
      <c r="BN37" s="36">
        <f t="shared" ca="1" si="78"/>
        <v>53.146925042273793</v>
      </c>
      <c r="BO37" s="36">
        <f t="shared" ca="1" si="78"/>
        <v>53.177589607588509</v>
      </c>
      <c r="BP37" s="36">
        <f t="shared" ca="1" si="78"/>
        <v>53.298299379833466</v>
      </c>
      <c r="BQ37" s="36">
        <f t="shared" ref="BQ37:EB40" ca="1" si="83">BP37*EXP(($B$3-$B$4^2/2)*1+$B$4*_xlfn.NORM.S.INV(RAND()))</f>
        <v>53.868098594235342</v>
      </c>
      <c r="BR37" s="36">
        <f t="shared" ca="1" si="83"/>
        <v>53.595085409850384</v>
      </c>
      <c r="BS37" s="36">
        <f t="shared" ca="1" si="83"/>
        <v>53.435188396842605</v>
      </c>
      <c r="BT37" s="36">
        <f t="shared" ca="1" si="83"/>
        <v>53.884239016122081</v>
      </c>
      <c r="BU37" s="36">
        <f t="shared" ca="1" si="83"/>
        <v>55.161917876349776</v>
      </c>
      <c r="BV37" s="36">
        <f t="shared" ca="1" si="83"/>
        <v>55.006197780406424</v>
      </c>
      <c r="BW37" s="36">
        <f t="shared" ca="1" si="83"/>
        <v>54.565260471569303</v>
      </c>
      <c r="BX37" s="36">
        <f t="shared" ca="1" si="83"/>
        <v>54.735767862312727</v>
      </c>
      <c r="BY37" s="36">
        <f t="shared" ca="1" si="83"/>
        <v>54.528719782611674</v>
      </c>
      <c r="BZ37" s="36">
        <f t="shared" ca="1" si="83"/>
        <v>55.153132330662963</v>
      </c>
      <c r="CA37" s="36">
        <f t="shared" ca="1" si="83"/>
        <v>54.844784530635579</v>
      </c>
      <c r="CB37" s="36">
        <f t="shared" ca="1" si="83"/>
        <v>55.730315953103521</v>
      </c>
      <c r="CC37" s="36">
        <f t="shared" ca="1" si="83"/>
        <v>54.571839164531752</v>
      </c>
      <c r="CD37" s="36">
        <f t="shared" ca="1" si="83"/>
        <v>53.574535685819257</v>
      </c>
      <c r="CE37" s="36">
        <f t="shared" ca="1" si="83"/>
        <v>53.080485551214821</v>
      </c>
      <c r="CF37" s="36">
        <f t="shared" ca="1" si="83"/>
        <v>52.645375943179346</v>
      </c>
      <c r="CG37" s="36">
        <f t="shared" ca="1" si="83"/>
        <v>52.420207286017053</v>
      </c>
      <c r="CH37" s="36">
        <f t="shared" ca="1" si="83"/>
        <v>52.655865151515954</v>
      </c>
      <c r="CI37" s="36">
        <f t="shared" ca="1" si="83"/>
        <v>53.336370039026384</v>
      </c>
      <c r="CJ37" s="36">
        <f t="shared" ca="1" si="83"/>
        <v>54.196516960284988</v>
      </c>
      <c r="CK37" s="36">
        <f t="shared" ca="1" si="83"/>
        <v>52.790511761952075</v>
      </c>
      <c r="CL37" s="36">
        <f t="shared" ca="1" si="83"/>
        <v>54.52921891164177</v>
      </c>
      <c r="CM37" s="36">
        <f t="shared" ca="1" si="83"/>
        <v>55.19328782554949</v>
      </c>
      <c r="CN37" s="36">
        <f t="shared" ca="1" si="83"/>
        <v>54.730180693052723</v>
      </c>
      <c r="CO37" s="36">
        <f t="shared" ca="1" si="83"/>
        <v>55.354464616410638</v>
      </c>
      <c r="CP37" s="36">
        <f t="shared" ca="1" si="83"/>
        <v>55.450342851408493</v>
      </c>
      <c r="CQ37" s="36">
        <f t="shared" ca="1" si="83"/>
        <v>55.65681063402112</v>
      </c>
      <c r="CR37" s="36">
        <f t="shared" ca="1" si="83"/>
        <v>54.495747046066469</v>
      </c>
      <c r="CS37" s="36">
        <f t="shared" ca="1" si="83"/>
        <v>53.721306339938884</v>
      </c>
      <c r="CT37" s="36">
        <f t="shared" ca="1" si="83"/>
        <v>52.537553374721021</v>
      </c>
      <c r="CU37" s="36">
        <f t="shared" ca="1" si="83"/>
        <v>51.535510296939172</v>
      </c>
      <c r="CV37" s="36">
        <f t="shared" ca="1" si="83"/>
        <v>52.381721040033938</v>
      </c>
      <c r="CW37" s="36">
        <f t="shared" ca="1" si="83"/>
        <v>51.469194250502646</v>
      </c>
      <c r="CX37" s="36">
        <f t="shared" ca="1" si="83"/>
        <v>51.592576876039679</v>
      </c>
      <c r="CY37" s="36">
        <f t="shared" ca="1" si="83"/>
        <v>51.482293056705892</v>
      </c>
      <c r="CZ37" s="36">
        <f t="shared" ca="1" si="83"/>
        <v>51.692440425382344</v>
      </c>
      <c r="DA37" s="36">
        <f t="shared" ca="1" si="83"/>
        <v>52.346170463391005</v>
      </c>
      <c r="DB37" s="36">
        <f t="shared" ca="1" si="83"/>
        <v>53.408975718489486</v>
      </c>
      <c r="DC37" s="36">
        <f t="shared" ca="1" si="83"/>
        <v>52.795187597486617</v>
      </c>
      <c r="DD37" s="36">
        <f t="shared" ca="1" si="83"/>
        <v>51.962604545132031</v>
      </c>
      <c r="DE37" s="36">
        <f t="shared" ca="1" si="83"/>
        <v>52.379116423544822</v>
      </c>
      <c r="DF37" s="36">
        <f t="shared" ca="1" si="83"/>
        <v>52.177257383089838</v>
      </c>
      <c r="DG37" s="36">
        <f t="shared" ca="1" si="83"/>
        <v>51.999151795912468</v>
      </c>
      <c r="DH37" s="36">
        <f t="shared" ca="1" si="83"/>
        <v>52.178392555869827</v>
      </c>
      <c r="DI37" s="36">
        <f t="shared" ca="1" si="83"/>
        <v>51.860350204984037</v>
      </c>
      <c r="DJ37" s="36">
        <f t="shared" ca="1" si="83"/>
        <v>52.336818173078214</v>
      </c>
      <c r="DK37" s="36">
        <f t="shared" ca="1" si="83"/>
        <v>51.034834952704557</v>
      </c>
      <c r="DL37" s="36">
        <f t="shared" ca="1" si="83"/>
        <v>52.793193458560957</v>
      </c>
      <c r="DM37" s="36">
        <f t="shared" ca="1" si="83"/>
        <v>52.155275679766902</v>
      </c>
      <c r="DN37" s="36">
        <f t="shared" ca="1" si="83"/>
        <v>53.768083867027329</v>
      </c>
      <c r="DO37" s="36">
        <f t="shared" ca="1" si="83"/>
        <v>54.729763197020617</v>
      </c>
      <c r="DP37" s="36">
        <f t="shared" ca="1" si="83"/>
        <v>55.963518810634739</v>
      </c>
      <c r="DQ37" s="36">
        <f t="shared" ca="1" si="83"/>
        <v>55.990270201689796</v>
      </c>
      <c r="DR37" s="36">
        <f t="shared" ca="1" si="83"/>
        <v>56.599439451780093</v>
      </c>
      <c r="DS37" s="36">
        <f t="shared" ca="1" si="83"/>
        <v>55.526755375836011</v>
      </c>
      <c r="DT37" s="36">
        <f t="shared" ca="1" si="83"/>
        <v>55.115078741531505</v>
      </c>
      <c r="DU37" s="36">
        <f t="shared" ca="1" si="83"/>
        <v>55.668242159206706</v>
      </c>
      <c r="DV37" s="36">
        <f t="shared" ca="1" si="83"/>
        <v>55.38868939790143</v>
      </c>
      <c r="DW37" s="36">
        <f t="shared" ca="1" si="83"/>
        <v>54.923207950927655</v>
      </c>
      <c r="DX37" s="36">
        <f t="shared" ca="1" si="83"/>
        <v>54.632181559328231</v>
      </c>
      <c r="DY37" s="36">
        <f t="shared" ca="1" si="83"/>
        <v>55.08406365880532</v>
      </c>
      <c r="DZ37" s="36">
        <f t="shared" ca="1" si="83"/>
        <v>55.354591640582001</v>
      </c>
      <c r="EA37" s="36">
        <f t="shared" ca="1" si="83"/>
        <v>55.281689181817633</v>
      </c>
      <c r="EB37" s="36">
        <f t="shared" ca="1" si="83"/>
        <v>55.016414213403742</v>
      </c>
      <c r="EC37" s="36">
        <f t="shared" ca="1" si="72"/>
        <v>55.224149226456149</v>
      </c>
      <c r="ED37" s="36">
        <f t="shared" ca="1" si="72"/>
        <v>55.901218018111869</v>
      </c>
      <c r="EE37" s="36">
        <f t="shared" ca="1" si="72"/>
        <v>55.721266391252271</v>
      </c>
      <c r="EF37" s="36">
        <f t="shared" ca="1" si="72"/>
        <v>55.47819335389692</v>
      </c>
      <c r="EG37" s="36">
        <f t="shared" ca="1" si="72"/>
        <v>54.995094401606586</v>
      </c>
      <c r="EH37" s="36">
        <f t="shared" ca="1" si="72"/>
        <v>55.085220267598281</v>
      </c>
      <c r="EI37" s="36">
        <f t="shared" ca="1" si="72"/>
        <v>55.379322456880601</v>
      </c>
      <c r="EJ37" s="36">
        <f t="shared" ca="1" si="72"/>
        <v>55.403475301456936</v>
      </c>
      <c r="EK37" s="36">
        <f t="shared" ca="1" si="72"/>
        <v>55.780017453872546</v>
      </c>
      <c r="EL37" s="36">
        <f t="shared" ca="1" si="72"/>
        <v>55.019332179808977</v>
      </c>
      <c r="EM37" s="36">
        <f t="shared" ca="1" si="72"/>
        <v>55.732868220401343</v>
      </c>
      <c r="EN37" s="36">
        <f t="shared" ca="1" si="72"/>
        <v>55.014845481483533</v>
      </c>
      <c r="EO37" s="36">
        <f t="shared" ca="1" si="72"/>
        <v>56.694213829287314</v>
      </c>
      <c r="EP37" s="36">
        <f t="shared" ca="1" si="72"/>
        <v>56.131795186755419</v>
      </c>
      <c r="EQ37" s="36">
        <f t="shared" ca="1" si="72"/>
        <v>56.495436173515884</v>
      </c>
      <c r="ER37" s="36">
        <f t="shared" ca="1" si="72"/>
        <v>56.59943537222793</v>
      </c>
      <c r="ES37" s="36">
        <f t="shared" ca="1" si="72"/>
        <v>55.58937922383609</v>
      </c>
      <c r="ET37" s="36">
        <f t="shared" ca="1" si="72"/>
        <v>54.239010896202629</v>
      </c>
      <c r="EU37" s="36">
        <f t="shared" ca="1" si="72"/>
        <v>55.016496990686861</v>
      </c>
      <c r="EV37" s="36">
        <f t="shared" ca="1" si="72"/>
        <v>56.201960110876115</v>
      </c>
      <c r="EW37" s="36">
        <f t="shared" ref="EW37" ca="1" si="84">EV37*EXP(($B$3-$B$4^2/2)*1+$B$4*_xlfn.NORM.S.INV(RAND()))</f>
        <v>55.790215282235835</v>
      </c>
      <c r="EX37" s="36">
        <f t="shared" ca="1" si="76"/>
        <v>55.549899876177591</v>
      </c>
      <c r="EY37" s="36">
        <f t="shared" ca="1" si="76"/>
        <v>54.126230554710446</v>
      </c>
      <c r="EZ37" s="36">
        <f t="shared" ref="EZ37:HK40" ca="1" si="85">EY37*EXP(($B$3-$B$4^2/2)*1+$B$4*_xlfn.NORM.S.INV(RAND()))</f>
        <v>53.423087114758118</v>
      </c>
      <c r="FA37" s="36">
        <f t="shared" ca="1" si="85"/>
        <v>53.265636667264573</v>
      </c>
      <c r="FB37" s="36">
        <f t="shared" ca="1" si="85"/>
        <v>53.10536376622354</v>
      </c>
      <c r="FC37" s="36">
        <f t="shared" ca="1" si="85"/>
        <v>53.245669450637308</v>
      </c>
      <c r="FD37" s="36">
        <f t="shared" ca="1" si="85"/>
        <v>52.324827287341876</v>
      </c>
      <c r="FE37" s="36">
        <f t="shared" ca="1" si="85"/>
        <v>52.21533015569478</v>
      </c>
      <c r="FF37" s="36">
        <f t="shared" ca="1" si="85"/>
        <v>52.779503355752603</v>
      </c>
      <c r="FG37" s="36">
        <f t="shared" ca="1" si="85"/>
        <v>54.041241094384453</v>
      </c>
      <c r="FH37" s="36">
        <f t="shared" ca="1" si="85"/>
        <v>54.131572043986104</v>
      </c>
      <c r="FI37" s="36">
        <f t="shared" ca="1" si="85"/>
        <v>53.894063327484986</v>
      </c>
      <c r="FJ37" s="36">
        <f t="shared" ca="1" si="85"/>
        <v>54.163430010772174</v>
      </c>
      <c r="FK37" s="36">
        <f t="shared" ca="1" si="85"/>
        <v>55.220710771826113</v>
      </c>
      <c r="FL37" s="36">
        <f t="shared" ca="1" si="85"/>
        <v>55.407782099478155</v>
      </c>
      <c r="FM37" s="36">
        <f t="shared" ca="1" si="85"/>
        <v>54.535453640793385</v>
      </c>
      <c r="FN37" s="36">
        <f t="shared" ca="1" si="85"/>
        <v>55.422704016507979</v>
      </c>
      <c r="FO37" s="36">
        <f t="shared" ca="1" si="85"/>
        <v>55.217603354732198</v>
      </c>
      <c r="FP37" s="36">
        <f t="shared" ca="1" si="85"/>
        <v>54.963963876277596</v>
      </c>
      <c r="FQ37" s="36">
        <f t="shared" ca="1" si="85"/>
        <v>54.310897465478703</v>
      </c>
      <c r="FR37" s="36">
        <f t="shared" ca="1" si="85"/>
        <v>54.649676413071504</v>
      </c>
      <c r="FS37" s="36">
        <f t="shared" ca="1" si="85"/>
        <v>54.192280799325417</v>
      </c>
      <c r="FT37" s="36">
        <f t="shared" ca="1" si="85"/>
        <v>53.774129272689123</v>
      </c>
      <c r="FU37" s="36">
        <f t="shared" ca="1" si="85"/>
        <v>54.777511287998294</v>
      </c>
      <c r="FV37" s="36">
        <f t="shared" ca="1" si="85"/>
        <v>54.356116225466522</v>
      </c>
      <c r="FW37" s="36">
        <f t="shared" ca="1" si="85"/>
        <v>53.467613313174049</v>
      </c>
      <c r="FX37" s="36">
        <f t="shared" ca="1" si="85"/>
        <v>53.010420488836992</v>
      </c>
      <c r="FY37" s="36">
        <f t="shared" ca="1" si="85"/>
        <v>52.752695018324019</v>
      </c>
      <c r="FZ37" s="36">
        <f t="shared" ca="1" si="85"/>
        <v>53.157292724513752</v>
      </c>
      <c r="GA37" s="36">
        <f t="shared" ca="1" si="85"/>
        <v>53.13871548062145</v>
      </c>
      <c r="GB37" s="36">
        <f t="shared" ca="1" si="85"/>
        <v>53.515648862619841</v>
      </c>
      <c r="GC37" s="36">
        <f t="shared" ca="1" si="85"/>
        <v>53.782392106059945</v>
      </c>
      <c r="GD37" s="36">
        <f t="shared" ca="1" si="85"/>
        <v>54.022439923896989</v>
      </c>
      <c r="GE37" s="36">
        <f t="shared" ca="1" si="85"/>
        <v>54.495523073817168</v>
      </c>
      <c r="GF37" s="36">
        <f t="shared" ca="1" si="85"/>
        <v>55.510580475070384</v>
      </c>
      <c r="GG37" s="36">
        <f t="shared" ca="1" si="85"/>
        <v>55.687624970049868</v>
      </c>
      <c r="GH37" s="36">
        <f t="shared" ca="1" si="85"/>
        <v>55.738504430651133</v>
      </c>
      <c r="GI37" s="36">
        <f t="shared" ca="1" si="85"/>
        <v>54.730587144859598</v>
      </c>
      <c r="GJ37" s="36">
        <f t="shared" ca="1" si="85"/>
        <v>55.783494585474863</v>
      </c>
      <c r="GK37" s="36">
        <f t="shared" ca="1" si="85"/>
        <v>56.544875583167276</v>
      </c>
      <c r="GL37" s="36">
        <f t="shared" ca="1" si="85"/>
        <v>56.627767021476835</v>
      </c>
      <c r="GM37" s="36">
        <f t="shared" ca="1" si="85"/>
        <v>56.687098177775084</v>
      </c>
      <c r="GN37" s="36">
        <f t="shared" ca="1" si="85"/>
        <v>57.218501316355557</v>
      </c>
      <c r="GO37" s="36">
        <f t="shared" ca="1" si="85"/>
        <v>57.114071224396952</v>
      </c>
      <c r="GP37" s="36">
        <f t="shared" ca="1" si="85"/>
        <v>57.199368735248754</v>
      </c>
      <c r="GQ37" s="36">
        <f t="shared" ca="1" si="85"/>
        <v>56.173197325418258</v>
      </c>
      <c r="GR37" s="36">
        <f t="shared" ca="1" si="85"/>
        <v>56.810842286691624</v>
      </c>
      <c r="GS37" s="36">
        <f t="shared" ca="1" si="85"/>
        <v>55.414501797184222</v>
      </c>
      <c r="GT37" s="36">
        <f t="shared" ca="1" si="85"/>
        <v>55.547482079897385</v>
      </c>
      <c r="GU37" s="36">
        <f t="shared" ca="1" si="85"/>
        <v>56.029339831015363</v>
      </c>
      <c r="GV37" s="36">
        <f t="shared" ca="1" si="85"/>
        <v>56.915310146381088</v>
      </c>
      <c r="GW37" s="36">
        <f t="shared" ca="1" si="85"/>
        <v>57.749104278374006</v>
      </c>
      <c r="GX37" s="36">
        <f t="shared" ca="1" si="85"/>
        <v>57.515819419208533</v>
      </c>
      <c r="GY37" s="36">
        <f t="shared" ca="1" si="85"/>
        <v>56.785950672565619</v>
      </c>
      <c r="GZ37" s="36">
        <f t="shared" ca="1" si="85"/>
        <v>56.569989900126608</v>
      </c>
      <c r="HA37" s="36">
        <f t="shared" ca="1" si="85"/>
        <v>56.085306621618479</v>
      </c>
      <c r="HB37" s="36">
        <f t="shared" ca="1" si="85"/>
        <v>54.620249153670301</v>
      </c>
      <c r="HC37" s="36">
        <f t="shared" ca="1" si="85"/>
        <v>54.246746684727718</v>
      </c>
      <c r="HD37" s="36">
        <f t="shared" ca="1" si="85"/>
        <v>53.623393037075388</v>
      </c>
      <c r="HE37" s="36">
        <f t="shared" ca="1" si="85"/>
        <v>54.211394597526507</v>
      </c>
      <c r="HF37" s="36">
        <f t="shared" ca="1" si="85"/>
        <v>53.255676959656533</v>
      </c>
      <c r="HG37" s="36">
        <f t="shared" ca="1" si="85"/>
        <v>52.629954577597239</v>
      </c>
      <c r="HH37" s="36">
        <f t="shared" ca="1" si="85"/>
        <v>53.709499273614746</v>
      </c>
      <c r="HI37" s="36">
        <f t="shared" ca="1" si="85"/>
        <v>53.205370208679618</v>
      </c>
      <c r="HJ37" s="36">
        <f t="shared" ca="1" si="85"/>
        <v>52.648484846755231</v>
      </c>
      <c r="HK37" s="36">
        <f t="shared" ca="1" si="85"/>
        <v>53.168073908844548</v>
      </c>
      <c r="HL37" s="36">
        <f t="shared" ref="HL37:HT37" ca="1" si="86">HK37*EXP(($B$3-$B$4^2/2)*1+$B$4*_xlfn.NORM.S.INV(RAND()))</f>
        <v>53.50934006345156</v>
      </c>
      <c r="HM37" s="36">
        <f t="shared" ca="1" si="86"/>
        <v>53.703160488236016</v>
      </c>
      <c r="HN37" s="36">
        <f t="shared" ca="1" si="86"/>
        <v>53.431773861682537</v>
      </c>
      <c r="HO37" s="36">
        <f t="shared" ca="1" si="86"/>
        <v>53.432315823116809</v>
      </c>
      <c r="HP37" s="36">
        <f t="shared" ca="1" si="86"/>
        <v>53.714130114692601</v>
      </c>
      <c r="HQ37" s="36">
        <f t="shared" ca="1" si="86"/>
        <v>52.028678481429068</v>
      </c>
      <c r="HR37" s="36">
        <f t="shared" ca="1" si="86"/>
        <v>51.939632418831209</v>
      </c>
      <c r="HS37" s="36">
        <f t="shared" ca="1" si="86"/>
        <v>50.958026852890363</v>
      </c>
      <c r="HT37" s="36">
        <f t="shared" ca="1" si="86"/>
        <v>49.490090839098087</v>
      </c>
      <c r="HU37" s="36">
        <f t="shared" ca="1" si="80"/>
        <v>49.827301813482229</v>
      </c>
      <c r="HV37" s="36">
        <f t="shared" ca="1" si="80"/>
        <v>49.491542320030732</v>
      </c>
      <c r="HW37" s="36">
        <f t="shared" ca="1" si="80"/>
        <v>50.344880076117931</v>
      </c>
      <c r="HX37" s="36">
        <f t="shared" ca="1" si="80"/>
        <v>50.806391822846052</v>
      </c>
      <c r="HY37" s="36">
        <f t="shared" ca="1" si="80"/>
        <v>51.369365355459045</v>
      </c>
      <c r="HZ37" s="36">
        <f t="shared" ca="1" si="80"/>
        <v>51.740943560722968</v>
      </c>
      <c r="IA37" s="36">
        <f t="shared" ca="1" si="80"/>
        <v>51.845538431537442</v>
      </c>
      <c r="IB37" s="36">
        <f t="shared" ca="1" si="80"/>
        <v>51.346554246629822</v>
      </c>
      <c r="IC37" s="36">
        <f t="shared" ca="1" si="80"/>
        <v>51.728109681831008</v>
      </c>
      <c r="ID37" s="36">
        <f t="shared" ca="1" si="80"/>
        <v>52.179840220179948</v>
      </c>
      <c r="IE37" s="36">
        <f t="shared" ca="1" si="80"/>
        <v>51.781407860790004</v>
      </c>
      <c r="IF37" s="36">
        <f t="shared" ca="1" si="80"/>
        <v>52.007436090527356</v>
      </c>
      <c r="IG37" s="36">
        <f t="shared" ca="1" si="80"/>
        <v>52.640814743434419</v>
      </c>
      <c r="IH37" s="36">
        <f t="shared" ca="1" si="80"/>
        <v>52.74401599765887</v>
      </c>
      <c r="II37" s="36">
        <f t="shared" ca="1" si="80"/>
        <v>53.221539330013378</v>
      </c>
      <c r="IJ37" s="36">
        <f t="shared" ca="1" si="80"/>
        <v>52.362088005657867</v>
      </c>
      <c r="IK37" s="36">
        <f t="shared" ca="1" si="80"/>
        <v>51.15679199600519</v>
      </c>
      <c r="IL37" s="36">
        <f t="shared" ca="1" si="80"/>
        <v>50.883150345798967</v>
      </c>
      <c r="IM37" s="36">
        <f t="shared" ca="1" si="80"/>
        <v>50.935196753155907</v>
      </c>
      <c r="IN37" s="36">
        <f t="shared" ca="1" si="80"/>
        <v>51.615476095883331</v>
      </c>
      <c r="IO37" s="36">
        <f t="shared" ca="1" si="80"/>
        <v>51.644170940174298</v>
      </c>
      <c r="IP37" s="36">
        <f t="shared" ca="1" si="80"/>
        <v>52.193135431087711</v>
      </c>
      <c r="IQ37" s="36">
        <f t="shared" ca="1" si="80"/>
        <v>52.208925028294708</v>
      </c>
      <c r="IR37" s="36">
        <f t="shared" ca="1" si="80"/>
        <v>52.495454534402278</v>
      </c>
      <c r="IS37" s="36">
        <f t="shared" ca="1" si="80"/>
        <v>52.765492706704364</v>
      </c>
      <c r="IT37" s="36">
        <f t="shared" ca="1" si="80"/>
        <v>52.917138677752149</v>
      </c>
      <c r="IU37" s="36">
        <f t="shared" ca="1" si="80"/>
        <v>52.644196769951371</v>
      </c>
    </row>
    <row r="38" spans="1:255" x14ac:dyDescent="0.2">
      <c r="A38" s="36"/>
      <c r="B38">
        <v>28</v>
      </c>
      <c r="C38" s="36">
        <v>50</v>
      </c>
      <c r="D38" s="36">
        <f t="shared" ca="1" si="14"/>
        <v>49.789144730877325</v>
      </c>
      <c r="E38" s="36">
        <f t="shared" ca="1" si="14"/>
        <v>51.12837639459034</v>
      </c>
      <c r="F38" s="36">
        <f t="shared" ref="F38:BQ41" ca="1" si="87">E38*EXP(($B$3-$B$4^2/2)*1+$B$4*_xlfn.NORM.S.INV(RAND()))</f>
        <v>50.638904939069924</v>
      </c>
      <c r="G38" s="36">
        <f t="shared" ca="1" si="87"/>
        <v>51.10761651300124</v>
      </c>
      <c r="H38" s="36">
        <f t="shared" ca="1" si="87"/>
        <v>49.880091943811401</v>
      </c>
      <c r="I38" s="36">
        <f t="shared" ca="1" si="87"/>
        <v>50.553576198436815</v>
      </c>
      <c r="J38" s="36">
        <f t="shared" ca="1" si="87"/>
        <v>51.40180561469721</v>
      </c>
      <c r="K38" s="36">
        <f t="shared" ca="1" si="87"/>
        <v>51.139421570951797</v>
      </c>
      <c r="L38" s="36">
        <f t="shared" ca="1" si="87"/>
        <v>51.138036802356538</v>
      </c>
      <c r="M38" s="36">
        <f t="shared" ca="1" si="87"/>
        <v>51.166274661453187</v>
      </c>
      <c r="N38" s="36">
        <f t="shared" ca="1" si="87"/>
        <v>51.716770363790815</v>
      </c>
      <c r="O38" s="36">
        <f t="shared" ca="1" si="87"/>
        <v>52.290627660179069</v>
      </c>
      <c r="P38" s="36">
        <f t="shared" ca="1" si="87"/>
        <v>52.623231939521212</v>
      </c>
      <c r="Q38" s="36">
        <f t="shared" ca="1" si="87"/>
        <v>52.36804735498351</v>
      </c>
      <c r="R38" s="36">
        <f t="shared" ca="1" si="87"/>
        <v>52.495855976219957</v>
      </c>
      <c r="S38" s="36">
        <f t="shared" ca="1" si="87"/>
        <v>51.038229049570397</v>
      </c>
      <c r="T38" s="36">
        <f t="shared" ca="1" si="87"/>
        <v>50.467301744816083</v>
      </c>
      <c r="U38" s="36">
        <f t="shared" ca="1" si="87"/>
        <v>50.603186419536598</v>
      </c>
      <c r="V38" s="36">
        <f t="shared" ca="1" si="87"/>
        <v>50.264045196294902</v>
      </c>
      <c r="W38" s="36">
        <f t="shared" ca="1" si="87"/>
        <v>49.924341589276196</v>
      </c>
      <c r="X38" s="36">
        <f t="shared" ca="1" si="87"/>
        <v>49.778955374753664</v>
      </c>
      <c r="Y38" s="36">
        <f t="shared" ca="1" si="87"/>
        <v>50.862279023605701</v>
      </c>
      <c r="Z38" s="36">
        <f t="shared" ca="1" si="87"/>
        <v>50.789640221325989</v>
      </c>
      <c r="AA38" s="36">
        <f t="shared" ca="1" si="87"/>
        <v>50.759026176662992</v>
      </c>
      <c r="AB38" s="36">
        <f t="shared" ca="1" si="87"/>
        <v>50.310682466565112</v>
      </c>
      <c r="AC38" s="36">
        <f t="shared" ca="1" si="87"/>
        <v>50.545126457782864</v>
      </c>
      <c r="AD38" s="36">
        <f t="shared" ca="1" si="87"/>
        <v>50.260961458907332</v>
      </c>
      <c r="AE38" s="36">
        <f t="shared" ca="1" si="87"/>
        <v>49.863519300901508</v>
      </c>
      <c r="AF38" s="36">
        <f t="shared" ca="1" si="87"/>
        <v>49.891048500800025</v>
      </c>
      <c r="AG38" s="36">
        <f t="shared" ca="1" si="87"/>
        <v>50.124477905566181</v>
      </c>
      <c r="AH38" s="36">
        <f t="shared" ca="1" si="87"/>
        <v>50.472406952865711</v>
      </c>
      <c r="AI38" s="36">
        <f t="shared" ca="1" si="87"/>
        <v>50.091256954548022</v>
      </c>
      <c r="AJ38" s="36">
        <f t="shared" ca="1" si="87"/>
        <v>50.72551998002568</v>
      </c>
      <c r="AK38" s="36">
        <f t="shared" ca="1" si="87"/>
        <v>51.236451357402821</v>
      </c>
      <c r="AL38" s="36">
        <f t="shared" ca="1" si="87"/>
        <v>51.265666942391064</v>
      </c>
      <c r="AM38" s="36">
        <f t="shared" ca="1" si="87"/>
        <v>50.527696131777233</v>
      </c>
      <c r="AN38" s="36">
        <f t="shared" ca="1" si="87"/>
        <v>50.80745572191254</v>
      </c>
      <c r="AO38" s="36">
        <f t="shared" ca="1" si="87"/>
        <v>51.067711450860401</v>
      </c>
      <c r="AP38" s="36">
        <f t="shared" ca="1" si="87"/>
        <v>51.263069455132211</v>
      </c>
      <c r="AQ38" s="36">
        <f t="shared" ca="1" si="87"/>
        <v>51.520996853037573</v>
      </c>
      <c r="AR38" s="36">
        <f t="shared" ca="1" si="87"/>
        <v>52.395565737683995</v>
      </c>
      <c r="AS38" s="36">
        <f t="shared" ca="1" si="87"/>
        <v>53.45275761270554</v>
      </c>
      <c r="AT38" s="36">
        <f t="shared" ca="1" si="87"/>
        <v>54.272360542036367</v>
      </c>
      <c r="AU38" s="36">
        <f t="shared" ca="1" si="87"/>
        <v>53.945310918522431</v>
      </c>
      <c r="AV38" s="36">
        <f t="shared" ca="1" si="87"/>
        <v>54.561098718561297</v>
      </c>
      <c r="AW38" s="36">
        <f t="shared" ca="1" si="87"/>
        <v>54.776642265059323</v>
      </c>
      <c r="AX38" s="36">
        <f t="shared" ca="1" si="87"/>
        <v>55.335827225193789</v>
      </c>
      <c r="AY38" s="36">
        <f t="shared" ca="1" si="87"/>
        <v>56.460016855867465</v>
      </c>
      <c r="AZ38" s="36">
        <f t="shared" ca="1" si="87"/>
        <v>56.873704140108003</v>
      </c>
      <c r="BA38" s="36">
        <f t="shared" ca="1" si="87"/>
        <v>56.375385318258559</v>
      </c>
      <c r="BB38" s="36">
        <f t="shared" ca="1" si="87"/>
        <v>57.053322424760502</v>
      </c>
      <c r="BC38" s="36">
        <f t="shared" ca="1" si="87"/>
        <v>56.227641020533973</v>
      </c>
      <c r="BD38" s="36">
        <f t="shared" ca="1" si="87"/>
        <v>56.684551072671958</v>
      </c>
      <c r="BE38" s="36">
        <f t="shared" ca="1" si="87"/>
        <v>57.228044962269976</v>
      </c>
      <c r="BF38" s="36">
        <f t="shared" ca="1" si="87"/>
        <v>57.770343311647608</v>
      </c>
      <c r="BG38" s="36">
        <f t="shared" ca="1" si="87"/>
        <v>58.144041561869841</v>
      </c>
      <c r="BH38" s="36">
        <f t="shared" ca="1" si="87"/>
        <v>57.54984721051413</v>
      </c>
      <c r="BI38" s="36">
        <f t="shared" ca="1" si="87"/>
        <v>56.610137070540802</v>
      </c>
      <c r="BJ38" s="36">
        <f t="shared" ca="1" si="87"/>
        <v>56.828869293197819</v>
      </c>
      <c r="BK38" s="36">
        <f t="shared" ca="1" si="87"/>
        <v>56.365790509493074</v>
      </c>
      <c r="BL38" s="36">
        <f t="shared" ca="1" si="87"/>
        <v>56.225777886558248</v>
      </c>
      <c r="BM38" s="36">
        <f t="shared" ca="1" si="87"/>
        <v>56.499847985323782</v>
      </c>
      <c r="BN38" s="36">
        <f t="shared" ca="1" si="87"/>
        <v>55.580553260976124</v>
      </c>
      <c r="BO38" s="36">
        <f t="shared" ca="1" si="87"/>
        <v>56.110845605043671</v>
      </c>
      <c r="BP38" s="36">
        <f t="shared" ca="1" si="87"/>
        <v>56.763953150115157</v>
      </c>
      <c r="BQ38" s="36">
        <f t="shared" ca="1" si="87"/>
        <v>57.33831543013315</v>
      </c>
      <c r="BR38" s="36">
        <f t="shared" ca="1" si="83"/>
        <v>57.453922821866904</v>
      </c>
      <c r="BS38" s="36">
        <f t="shared" ca="1" si="83"/>
        <v>57.808356980896214</v>
      </c>
      <c r="BT38" s="36">
        <f t="shared" ca="1" si="83"/>
        <v>57.230049129416948</v>
      </c>
      <c r="BU38" s="36">
        <f t="shared" ca="1" si="83"/>
        <v>57.987750505940177</v>
      </c>
      <c r="BV38" s="36">
        <f t="shared" ca="1" si="83"/>
        <v>58.151289590687874</v>
      </c>
      <c r="BW38" s="36">
        <f t="shared" ca="1" si="83"/>
        <v>58.806480971732185</v>
      </c>
      <c r="BX38" s="36">
        <f t="shared" ca="1" si="83"/>
        <v>59.315608288593666</v>
      </c>
      <c r="BY38" s="36">
        <f t="shared" ca="1" si="83"/>
        <v>59.602047534639496</v>
      </c>
      <c r="BZ38" s="36">
        <f t="shared" ca="1" si="83"/>
        <v>60.345517799598518</v>
      </c>
      <c r="CA38" s="36">
        <f t="shared" ca="1" si="83"/>
        <v>59.614476628226782</v>
      </c>
      <c r="CB38" s="36">
        <f t="shared" ca="1" si="83"/>
        <v>59.037866609599533</v>
      </c>
      <c r="CC38" s="36">
        <f t="shared" ca="1" si="83"/>
        <v>59.581132688377579</v>
      </c>
      <c r="CD38" s="36">
        <f t="shared" ca="1" si="83"/>
        <v>60.185248162223566</v>
      </c>
      <c r="CE38" s="36">
        <f t="shared" ca="1" si="83"/>
        <v>59.517925942855626</v>
      </c>
      <c r="CF38" s="36">
        <f t="shared" ca="1" si="83"/>
        <v>60.713719987241966</v>
      </c>
      <c r="CG38" s="36">
        <f t="shared" ca="1" si="83"/>
        <v>60.846615732220116</v>
      </c>
      <c r="CH38" s="36">
        <f t="shared" ca="1" si="83"/>
        <v>60.125433314269294</v>
      </c>
      <c r="CI38" s="36">
        <f t="shared" ca="1" si="83"/>
        <v>59.593531426415765</v>
      </c>
      <c r="CJ38" s="36">
        <f t="shared" ca="1" si="83"/>
        <v>59.67094658751801</v>
      </c>
      <c r="CK38" s="36">
        <f t="shared" ca="1" si="83"/>
        <v>60.628059949933608</v>
      </c>
      <c r="CL38" s="36">
        <f t="shared" ca="1" si="83"/>
        <v>61.661097323012449</v>
      </c>
      <c r="CM38" s="36">
        <f t="shared" ca="1" si="83"/>
        <v>61.207589278335639</v>
      </c>
      <c r="CN38" s="36">
        <f t="shared" ca="1" si="83"/>
        <v>60.596087288862478</v>
      </c>
      <c r="CO38" s="36">
        <f t="shared" ca="1" si="83"/>
        <v>60.722036826491063</v>
      </c>
      <c r="CP38" s="36">
        <f t="shared" ca="1" si="83"/>
        <v>61.293825976878004</v>
      </c>
      <c r="CQ38" s="36">
        <f t="shared" ca="1" si="83"/>
        <v>60.508162120846251</v>
      </c>
      <c r="CR38" s="36">
        <f t="shared" ca="1" si="83"/>
        <v>60.461904467958902</v>
      </c>
      <c r="CS38" s="36">
        <f t="shared" ca="1" si="83"/>
        <v>61.156752297891003</v>
      </c>
      <c r="CT38" s="36">
        <f t="shared" ca="1" si="83"/>
        <v>60.887197699029898</v>
      </c>
      <c r="CU38" s="36">
        <f t="shared" ca="1" si="83"/>
        <v>61.686462431077615</v>
      </c>
      <c r="CV38" s="36">
        <f t="shared" ca="1" si="83"/>
        <v>62.386459565561111</v>
      </c>
      <c r="CW38" s="36">
        <f t="shared" ca="1" si="83"/>
        <v>62.114139175561384</v>
      </c>
      <c r="CX38" s="36">
        <f t="shared" ca="1" si="83"/>
        <v>60.532045401576056</v>
      </c>
      <c r="CY38" s="36">
        <f t="shared" ca="1" si="83"/>
        <v>60.820787713586995</v>
      </c>
      <c r="CZ38" s="36">
        <f t="shared" ca="1" si="83"/>
        <v>61.20130543056527</v>
      </c>
      <c r="DA38" s="36">
        <f t="shared" ca="1" si="83"/>
        <v>60.412352394115153</v>
      </c>
      <c r="DB38" s="36">
        <f t="shared" ca="1" si="83"/>
        <v>61.599287995506209</v>
      </c>
      <c r="DC38" s="36">
        <f t="shared" ca="1" si="83"/>
        <v>61.310394761409704</v>
      </c>
      <c r="DD38" s="36">
        <f t="shared" ca="1" si="83"/>
        <v>62.69375233904956</v>
      </c>
      <c r="DE38" s="36">
        <f t="shared" ca="1" si="83"/>
        <v>62.21035711842535</v>
      </c>
      <c r="DF38" s="36">
        <f t="shared" ca="1" si="83"/>
        <v>61.921239910600896</v>
      </c>
      <c r="DG38" s="36">
        <f t="shared" ca="1" si="83"/>
        <v>61.478640472572096</v>
      </c>
      <c r="DH38" s="36">
        <f t="shared" ca="1" si="83"/>
        <v>61.041897044521221</v>
      </c>
      <c r="DI38" s="36">
        <f t="shared" ca="1" si="83"/>
        <v>59.524748346904452</v>
      </c>
      <c r="DJ38" s="36">
        <f t="shared" ca="1" si="83"/>
        <v>60.056503378652138</v>
      </c>
      <c r="DK38" s="36">
        <f t="shared" ca="1" si="83"/>
        <v>59.456931321991256</v>
      </c>
      <c r="DL38" s="36">
        <f t="shared" ca="1" si="83"/>
        <v>60.241868020053872</v>
      </c>
      <c r="DM38" s="36">
        <f t="shared" ca="1" si="83"/>
        <v>59.795292281819847</v>
      </c>
      <c r="DN38" s="36">
        <f t="shared" ca="1" si="83"/>
        <v>60.505961170704452</v>
      </c>
      <c r="DO38" s="36">
        <f t="shared" ca="1" si="83"/>
        <v>60.259176717660331</v>
      </c>
      <c r="DP38" s="36">
        <f t="shared" ca="1" si="83"/>
        <v>59.904994280902336</v>
      </c>
      <c r="DQ38" s="36">
        <f t="shared" ca="1" si="83"/>
        <v>60.540770871145135</v>
      </c>
      <c r="DR38" s="36">
        <f t="shared" ca="1" si="83"/>
        <v>60.770152075180526</v>
      </c>
      <c r="DS38" s="36">
        <f t="shared" ca="1" si="83"/>
        <v>61.150181030496412</v>
      </c>
      <c r="DT38" s="36">
        <f t="shared" ca="1" si="83"/>
        <v>61.378884901438127</v>
      </c>
      <c r="DU38" s="36">
        <f t="shared" ca="1" si="83"/>
        <v>60.119958538032954</v>
      </c>
      <c r="DV38" s="36">
        <f t="shared" ca="1" si="83"/>
        <v>61.486293922919266</v>
      </c>
      <c r="DW38" s="36">
        <f t="shared" ca="1" si="83"/>
        <v>62.001051137840598</v>
      </c>
      <c r="DX38" s="36">
        <f t="shared" ca="1" si="83"/>
        <v>61.515343428953322</v>
      </c>
      <c r="DY38" s="36">
        <f t="shared" ca="1" si="83"/>
        <v>62.19885890375383</v>
      </c>
      <c r="DZ38" s="36">
        <f t="shared" ca="1" si="83"/>
        <v>61.90165721764464</v>
      </c>
      <c r="EA38" s="36">
        <f t="shared" ca="1" si="83"/>
        <v>61.916396460125107</v>
      </c>
      <c r="EB38" s="36">
        <f t="shared" ca="1" si="83"/>
        <v>62.486833924233608</v>
      </c>
      <c r="EC38" s="36">
        <f t="shared" ca="1" si="72"/>
        <v>62.788726816773242</v>
      </c>
      <c r="ED38" s="36">
        <f t="shared" ca="1" si="72"/>
        <v>62.08852855456864</v>
      </c>
      <c r="EE38" s="36">
        <f t="shared" ca="1" si="72"/>
        <v>62.540604706658762</v>
      </c>
      <c r="EF38" s="36">
        <f t="shared" ca="1" si="72"/>
        <v>62.265604884934994</v>
      </c>
      <c r="EG38" s="36">
        <f t="shared" ca="1" si="72"/>
        <v>62.134980934850425</v>
      </c>
      <c r="EH38" s="36">
        <f t="shared" ca="1" si="72"/>
        <v>63.36046701484706</v>
      </c>
      <c r="EI38" s="36">
        <f t="shared" ca="1" si="72"/>
        <v>63.355050792273239</v>
      </c>
      <c r="EJ38" s="36">
        <f t="shared" ca="1" si="72"/>
        <v>63.72266761182577</v>
      </c>
      <c r="EK38" s="36">
        <f t="shared" ca="1" si="72"/>
        <v>63.597201513547539</v>
      </c>
      <c r="EL38" s="36">
        <f t="shared" ca="1" si="72"/>
        <v>62.115870517762247</v>
      </c>
      <c r="EM38" s="36">
        <f t="shared" ca="1" si="72"/>
        <v>62.116485074932712</v>
      </c>
      <c r="EN38" s="36">
        <f t="shared" ca="1" si="72"/>
        <v>61.69871049735724</v>
      </c>
      <c r="EO38" s="36">
        <f t="shared" ca="1" si="72"/>
        <v>62.998132661022311</v>
      </c>
      <c r="EP38" s="36">
        <f t="shared" ca="1" si="72"/>
        <v>62.427032565507034</v>
      </c>
      <c r="EQ38" s="36">
        <f t="shared" ca="1" si="72"/>
        <v>63.741427697705319</v>
      </c>
      <c r="ER38" s="36">
        <f t="shared" ca="1" si="72"/>
        <v>63.182602690357648</v>
      </c>
      <c r="ES38" s="36">
        <f t="shared" ca="1" si="72"/>
        <v>63.395580667158669</v>
      </c>
      <c r="ET38" s="36">
        <f t="shared" ca="1" si="72"/>
        <v>62.536471019292549</v>
      </c>
      <c r="EU38" s="36">
        <f t="shared" ca="1" si="72"/>
        <v>62.255931293178179</v>
      </c>
      <c r="EV38" s="36">
        <f t="shared" ca="1" si="72"/>
        <v>61.253507038177865</v>
      </c>
      <c r="EW38" s="36">
        <f t="shared" ref="EW38:HH42" ca="1" si="88">EV38*EXP(($B$3-$B$4^2/2)*1+$B$4*_xlfn.NORM.S.INV(RAND()))</f>
        <v>62.539170148605706</v>
      </c>
      <c r="EX38" s="36">
        <f t="shared" ca="1" si="88"/>
        <v>62.848159868424098</v>
      </c>
      <c r="EY38" s="36">
        <f t="shared" ca="1" si="88"/>
        <v>63.060702809728994</v>
      </c>
      <c r="EZ38" s="36">
        <f t="shared" ca="1" si="88"/>
        <v>62.38802570508745</v>
      </c>
      <c r="FA38" s="36">
        <f t="shared" ca="1" si="88"/>
        <v>63.242615348668181</v>
      </c>
      <c r="FB38" s="36">
        <f t="shared" ca="1" si="88"/>
        <v>63.005008798856593</v>
      </c>
      <c r="FC38" s="36">
        <f t="shared" ca="1" si="88"/>
        <v>63.743249584420234</v>
      </c>
      <c r="FD38" s="36">
        <f t="shared" ca="1" si="88"/>
        <v>64.151754226089636</v>
      </c>
      <c r="FE38" s="36">
        <f t="shared" ca="1" si="88"/>
        <v>64.709802271343534</v>
      </c>
      <c r="FF38" s="36">
        <f t="shared" ca="1" si="88"/>
        <v>65.224262386842184</v>
      </c>
      <c r="FG38" s="36">
        <f t="shared" ca="1" si="88"/>
        <v>63.757506380011705</v>
      </c>
      <c r="FH38" s="36">
        <f t="shared" ca="1" si="88"/>
        <v>63.158567005034584</v>
      </c>
      <c r="FI38" s="36">
        <f t="shared" ca="1" si="88"/>
        <v>64.116466666113993</v>
      </c>
      <c r="FJ38" s="36">
        <f t="shared" ca="1" si="88"/>
        <v>63.072912901134053</v>
      </c>
      <c r="FK38" s="36">
        <f t="shared" ca="1" si="88"/>
        <v>63.80472747926737</v>
      </c>
      <c r="FL38" s="36">
        <f t="shared" ca="1" si="88"/>
        <v>65.16812907342748</v>
      </c>
      <c r="FM38" s="36">
        <f t="shared" ca="1" si="88"/>
        <v>63.553333647827323</v>
      </c>
      <c r="FN38" s="36">
        <f t="shared" ca="1" si="88"/>
        <v>62.629702529311807</v>
      </c>
      <c r="FO38" s="36">
        <f t="shared" ca="1" si="88"/>
        <v>64.345311169057112</v>
      </c>
      <c r="FP38" s="36">
        <f t="shared" ca="1" si="88"/>
        <v>64.138746957035224</v>
      </c>
      <c r="FQ38" s="36">
        <f t="shared" ca="1" si="88"/>
        <v>63.435106093081245</v>
      </c>
      <c r="FR38" s="36">
        <f t="shared" ca="1" si="88"/>
        <v>63.094431496612451</v>
      </c>
      <c r="FS38" s="36">
        <f t="shared" ca="1" si="88"/>
        <v>62.586007311636649</v>
      </c>
      <c r="FT38" s="36">
        <f t="shared" ca="1" si="88"/>
        <v>62.256459532858322</v>
      </c>
      <c r="FU38" s="36">
        <f t="shared" ca="1" si="88"/>
        <v>61.627216277102903</v>
      </c>
      <c r="FV38" s="36">
        <f t="shared" ca="1" si="88"/>
        <v>61.76050401613761</v>
      </c>
      <c r="FW38" s="36">
        <f t="shared" ca="1" si="88"/>
        <v>60.981397128716466</v>
      </c>
      <c r="FX38" s="36">
        <f t="shared" ca="1" si="88"/>
        <v>62.630529786580027</v>
      </c>
      <c r="FY38" s="36">
        <f t="shared" ca="1" si="88"/>
        <v>63.236023242421268</v>
      </c>
      <c r="FZ38" s="36">
        <f t="shared" ca="1" si="88"/>
        <v>64.691276037477351</v>
      </c>
      <c r="GA38" s="36">
        <f t="shared" ca="1" si="88"/>
        <v>64.869637006777467</v>
      </c>
      <c r="GB38" s="36">
        <f t="shared" ca="1" si="88"/>
        <v>64.466307770044821</v>
      </c>
      <c r="GC38" s="36">
        <f t="shared" ca="1" si="88"/>
        <v>63.528892866599705</v>
      </c>
      <c r="GD38" s="36">
        <f t="shared" ca="1" si="88"/>
        <v>64.041280241495457</v>
      </c>
      <c r="GE38" s="36">
        <f t="shared" ca="1" si="88"/>
        <v>64.958338438364123</v>
      </c>
      <c r="GF38" s="36">
        <f t="shared" ca="1" si="88"/>
        <v>64.492528843677192</v>
      </c>
      <c r="GG38" s="36">
        <f t="shared" ca="1" si="88"/>
        <v>64.488897816788068</v>
      </c>
      <c r="GH38" s="36">
        <f t="shared" ca="1" si="88"/>
        <v>64.688006366800792</v>
      </c>
      <c r="GI38" s="36">
        <f t="shared" ca="1" si="88"/>
        <v>63.428498676720181</v>
      </c>
      <c r="GJ38" s="36">
        <f t="shared" ca="1" si="88"/>
        <v>62.154981062752412</v>
      </c>
      <c r="GK38" s="36">
        <f t="shared" ca="1" si="88"/>
        <v>61.865007660733532</v>
      </c>
      <c r="GL38" s="36">
        <f t="shared" ca="1" si="88"/>
        <v>62.480643159475008</v>
      </c>
      <c r="GM38" s="36">
        <f t="shared" ca="1" si="88"/>
        <v>61.597928957417636</v>
      </c>
      <c r="GN38" s="36">
        <f t="shared" ca="1" si="88"/>
        <v>62.613443894903725</v>
      </c>
      <c r="GO38" s="36">
        <f t="shared" ca="1" si="88"/>
        <v>62.732540216525969</v>
      </c>
      <c r="GP38" s="36">
        <f t="shared" ca="1" si="88"/>
        <v>63.491927684734414</v>
      </c>
      <c r="GQ38" s="36">
        <f t="shared" ca="1" si="88"/>
        <v>64.252319078478692</v>
      </c>
      <c r="GR38" s="36">
        <f t="shared" ca="1" si="88"/>
        <v>66.713860570094795</v>
      </c>
      <c r="GS38" s="36">
        <f t="shared" ca="1" si="88"/>
        <v>66.179319092326722</v>
      </c>
      <c r="GT38" s="36">
        <f t="shared" ca="1" si="88"/>
        <v>65.275674566255645</v>
      </c>
      <c r="GU38" s="36">
        <f t="shared" ca="1" si="88"/>
        <v>66.349568666492686</v>
      </c>
      <c r="GV38" s="36">
        <f t="shared" ca="1" si="88"/>
        <v>68.069800240912087</v>
      </c>
      <c r="GW38" s="36">
        <f t="shared" ca="1" si="88"/>
        <v>65.859725700921373</v>
      </c>
      <c r="GX38" s="36">
        <f t="shared" ca="1" si="88"/>
        <v>67.24380314108528</v>
      </c>
      <c r="GY38" s="36">
        <f t="shared" ca="1" si="88"/>
        <v>66.103667362124</v>
      </c>
      <c r="GZ38" s="36">
        <f t="shared" ca="1" si="88"/>
        <v>66.504740835700687</v>
      </c>
      <c r="HA38" s="36">
        <f t="shared" ca="1" si="88"/>
        <v>66.885637865058314</v>
      </c>
      <c r="HB38" s="36">
        <f t="shared" ca="1" si="88"/>
        <v>67.520834202052527</v>
      </c>
      <c r="HC38" s="36">
        <f t="shared" ca="1" si="88"/>
        <v>67.687397839433046</v>
      </c>
      <c r="HD38" s="36">
        <f t="shared" ca="1" si="88"/>
        <v>66.415729051999932</v>
      </c>
      <c r="HE38" s="36">
        <f t="shared" ca="1" si="88"/>
        <v>65.388587749926444</v>
      </c>
      <c r="HF38" s="36">
        <f t="shared" ca="1" si="88"/>
        <v>66.161413139579736</v>
      </c>
      <c r="HG38" s="36">
        <f t="shared" ca="1" si="88"/>
        <v>66.905340024232913</v>
      </c>
      <c r="HH38" s="36">
        <f t="shared" ca="1" si="88"/>
        <v>66.623424650284193</v>
      </c>
      <c r="HI38" s="36">
        <f t="shared" ca="1" si="85"/>
        <v>68.553213159582768</v>
      </c>
      <c r="HJ38" s="36">
        <f t="shared" ca="1" si="85"/>
        <v>67.9687781916262</v>
      </c>
      <c r="HK38" s="36">
        <f t="shared" ca="1" si="85"/>
        <v>67.913891350935572</v>
      </c>
      <c r="HL38" s="36">
        <f t="shared" ref="HL38:HT38" ca="1" si="89">HK38*EXP(($B$3-$B$4^2/2)*1+$B$4*_xlfn.NORM.S.INV(RAND()))</f>
        <v>69.123576404990729</v>
      </c>
      <c r="HM38" s="36">
        <f t="shared" ca="1" si="89"/>
        <v>69.34917281332622</v>
      </c>
      <c r="HN38" s="36">
        <f t="shared" ca="1" si="89"/>
        <v>68.55741406355277</v>
      </c>
      <c r="HO38" s="36">
        <f t="shared" ca="1" si="89"/>
        <v>68.352201446604553</v>
      </c>
      <c r="HP38" s="36">
        <f t="shared" ca="1" si="89"/>
        <v>69.639622085504456</v>
      </c>
      <c r="HQ38" s="36">
        <f t="shared" ca="1" si="89"/>
        <v>70.684728374090696</v>
      </c>
      <c r="HR38" s="36">
        <f t="shared" ca="1" si="89"/>
        <v>72.687931838985008</v>
      </c>
      <c r="HS38" s="36">
        <f t="shared" ca="1" si="89"/>
        <v>71.969127594202419</v>
      </c>
      <c r="HT38" s="36">
        <f t="shared" ca="1" si="89"/>
        <v>72.845956990490265</v>
      </c>
      <c r="HU38" s="36">
        <f t="shared" ca="1" si="80"/>
        <v>72.42477515981372</v>
      </c>
      <c r="HV38" s="36">
        <f t="shared" ca="1" si="80"/>
        <v>72.730609933610722</v>
      </c>
      <c r="HW38" s="36">
        <f t="shared" ca="1" si="80"/>
        <v>73.745842296915313</v>
      </c>
      <c r="HX38" s="36">
        <f t="shared" ca="1" si="80"/>
        <v>72.922275954577088</v>
      </c>
      <c r="HY38" s="36">
        <f t="shared" ca="1" si="80"/>
        <v>72.379963021644272</v>
      </c>
      <c r="HZ38" s="36">
        <f t="shared" ca="1" si="80"/>
        <v>72.31955367963819</v>
      </c>
      <c r="IA38" s="36">
        <f t="shared" ca="1" si="80"/>
        <v>71.016141780242151</v>
      </c>
      <c r="IB38" s="36">
        <f t="shared" ca="1" si="80"/>
        <v>70.724237281635496</v>
      </c>
      <c r="IC38" s="36">
        <f t="shared" ca="1" si="80"/>
        <v>70.612557519629107</v>
      </c>
      <c r="ID38" s="36">
        <f t="shared" ca="1" si="80"/>
        <v>70.755662358218814</v>
      </c>
      <c r="IE38" s="36">
        <f t="shared" ca="1" si="80"/>
        <v>70.055161235494396</v>
      </c>
      <c r="IF38" s="36">
        <f t="shared" ca="1" si="80"/>
        <v>69.542590673891553</v>
      </c>
      <c r="IG38" s="36">
        <f t="shared" ca="1" si="80"/>
        <v>71.348063967941002</v>
      </c>
      <c r="IH38" s="36">
        <f t="shared" ca="1" si="80"/>
        <v>71.56824657542542</v>
      </c>
      <c r="II38" s="36">
        <f t="shared" ca="1" si="80"/>
        <v>71.788887506428296</v>
      </c>
      <c r="IJ38" s="36">
        <f t="shared" ca="1" si="80"/>
        <v>71.298263882157897</v>
      </c>
      <c r="IK38" s="36">
        <f t="shared" ca="1" si="80"/>
        <v>71.636837550209847</v>
      </c>
      <c r="IL38" s="36">
        <f t="shared" ca="1" si="80"/>
        <v>72.569552694960507</v>
      </c>
      <c r="IM38" s="36">
        <f t="shared" ca="1" si="80"/>
        <v>73.537757934228651</v>
      </c>
      <c r="IN38" s="36">
        <f t="shared" ca="1" si="80"/>
        <v>73.395272936179964</v>
      </c>
      <c r="IO38" s="36">
        <f t="shared" ca="1" si="80"/>
        <v>73.373182887328937</v>
      </c>
      <c r="IP38" s="36">
        <f t="shared" ca="1" si="80"/>
        <v>74.402154037125825</v>
      </c>
      <c r="IQ38" s="36">
        <f t="shared" ca="1" si="80"/>
        <v>73.85085276814435</v>
      </c>
      <c r="IR38" s="36">
        <f t="shared" ca="1" si="80"/>
        <v>74.391220132250382</v>
      </c>
      <c r="IS38" s="36">
        <f t="shared" ca="1" si="80"/>
        <v>74.725246838638583</v>
      </c>
      <c r="IT38" s="36">
        <f t="shared" ca="1" si="80"/>
        <v>75.800276218656805</v>
      </c>
      <c r="IU38" s="36">
        <f t="shared" ca="1" si="80"/>
        <v>76.440853188662715</v>
      </c>
    </row>
    <row r="39" spans="1:255" x14ac:dyDescent="0.2">
      <c r="A39" s="36"/>
      <c r="B39">
        <v>29</v>
      </c>
      <c r="C39" s="36">
        <v>50</v>
      </c>
      <c r="D39" s="36">
        <f t="shared" ca="1" si="14"/>
        <v>50.88818323958256</v>
      </c>
      <c r="E39" s="36">
        <f t="shared" ca="1" si="14"/>
        <v>51.192451279192639</v>
      </c>
      <c r="F39" s="36">
        <f t="shared" ca="1" si="87"/>
        <v>50.846212802183004</v>
      </c>
      <c r="G39" s="36">
        <f t="shared" ca="1" si="87"/>
        <v>52.129426835593911</v>
      </c>
      <c r="H39" s="36">
        <f t="shared" ca="1" si="87"/>
        <v>52.686215513523678</v>
      </c>
      <c r="I39" s="36">
        <f t="shared" ca="1" si="87"/>
        <v>52.932331096112861</v>
      </c>
      <c r="J39" s="36">
        <f t="shared" ca="1" si="87"/>
        <v>54.122246651493448</v>
      </c>
      <c r="K39" s="36">
        <f t="shared" ca="1" si="87"/>
        <v>55.904206073984078</v>
      </c>
      <c r="L39" s="36">
        <f t="shared" ca="1" si="87"/>
        <v>56.416533828364315</v>
      </c>
      <c r="M39" s="36">
        <f t="shared" ca="1" si="87"/>
        <v>56.088114144586861</v>
      </c>
      <c r="N39" s="36">
        <f t="shared" ca="1" si="87"/>
        <v>56.563518067059952</v>
      </c>
      <c r="O39" s="36">
        <f t="shared" ca="1" si="87"/>
        <v>56.621617905543729</v>
      </c>
      <c r="P39" s="36">
        <f t="shared" ca="1" si="87"/>
        <v>56.923079217541563</v>
      </c>
      <c r="Q39" s="36">
        <f t="shared" ca="1" si="87"/>
        <v>56.974371338244204</v>
      </c>
      <c r="R39" s="36">
        <f t="shared" ca="1" si="87"/>
        <v>56.779390721976696</v>
      </c>
      <c r="S39" s="36">
        <f t="shared" ca="1" si="87"/>
        <v>56.879418760092378</v>
      </c>
      <c r="T39" s="36">
        <f t="shared" ca="1" si="87"/>
        <v>56.290354720109391</v>
      </c>
      <c r="U39" s="36">
        <f t="shared" ca="1" si="87"/>
        <v>55.157318119629473</v>
      </c>
      <c r="V39" s="36">
        <f t="shared" ca="1" si="87"/>
        <v>54.697833539766577</v>
      </c>
      <c r="W39" s="36">
        <f t="shared" ca="1" si="87"/>
        <v>54.689879351088898</v>
      </c>
      <c r="X39" s="36">
        <f t="shared" ca="1" si="87"/>
        <v>54.149229345395064</v>
      </c>
      <c r="Y39" s="36">
        <f t="shared" ca="1" si="87"/>
        <v>53.45411032286399</v>
      </c>
      <c r="Z39" s="36">
        <f t="shared" ca="1" si="87"/>
        <v>53.021096181934752</v>
      </c>
      <c r="AA39" s="36">
        <f t="shared" ca="1" si="87"/>
        <v>52.357174146298426</v>
      </c>
      <c r="AB39" s="36">
        <f t="shared" ca="1" si="87"/>
        <v>51.950136776640264</v>
      </c>
      <c r="AC39" s="36">
        <f t="shared" ca="1" si="87"/>
        <v>50.837452205750871</v>
      </c>
      <c r="AD39" s="36">
        <f t="shared" ca="1" si="87"/>
        <v>50.255929800735551</v>
      </c>
      <c r="AE39" s="36">
        <f t="shared" ca="1" si="87"/>
        <v>50.63810021262433</v>
      </c>
      <c r="AF39" s="36">
        <f t="shared" ca="1" si="87"/>
        <v>49.956551195497816</v>
      </c>
      <c r="AG39" s="36">
        <f t="shared" ca="1" si="87"/>
        <v>49.579864538985923</v>
      </c>
      <c r="AH39" s="36">
        <f t="shared" ca="1" si="87"/>
        <v>48.403878458478673</v>
      </c>
      <c r="AI39" s="36">
        <f t="shared" ca="1" si="87"/>
        <v>48.343620070623807</v>
      </c>
      <c r="AJ39" s="36">
        <f t="shared" ca="1" si="87"/>
        <v>49.01229745613292</v>
      </c>
      <c r="AK39" s="36">
        <f t="shared" ca="1" si="87"/>
        <v>48.099823237577468</v>
      </c>
      <c r="AL39" s="36">
        <f t="shared" ca="1" si="87"/>
        <v>47.260331447297382</v>
      </c>
      <c r="AM39" s="36">
        <f t="shared" ca="1" si="87"/>
        <v>47.188393154017959</v>
      </c>
      <c r="AN39" s="36">
        <f t="shared" ca="1" si="87"/>
        <v>49.044785256276782</v>
      </c>
      <c r="AO39" s="36">
        <f t="shared" ca="1" si="87"/>
        <v>48.260189731155926</v>
      </c>
      <c r="AP39" s="36">
        <f t="shared" ca="1" si="87"/>
        <v>47.722110262786437</v>
      </c>
      <c r="AQ39" s="36">
        <f t="shared" ca="1" si="87"/>
        <v>48.565966278550597</v>
      </c>
      <c r="AR39" s="36">
        <f t="shared" ca="1" si="87"/>
        <v>49.591138635688601</v>
      </c>
      <c r="AS39" s="36">
        <f t="shared" ca="1" si="87"/>
        <v>49.324844008223245</v>
      </c>
      <c r="AT39" s="36">
        <f t="shared" ca="1" si="87"/>
        <v>49.421684658536677</v>
      </c>
      <c r="AU39" s="36">
        <f t="shared" ca="1" si="87"/>
        <v>48.774193902699345</v>
      </c>
      <c r="AV39" s="36">
        <f t="shared" ca="1" si="87"/>
        <v>47.826663702605408</v>
      </c>
      <c r="AW39" s="36">
        <f t="shared" ca="1" si="87"/>
        <v>47.371282609168716</v>
      </c>
      <c r="AX39" s="36">
        <f t="shared" ca="1" si="87"/>
        <v>47.563512354327891</v>
      </c>
      <c r="AY39" s="36">
        <f t="shared" ca="1" si="87"/>
        <v>48.017940904027782</v>
      </c>
      <c r="AZ39" s="36">
        <f t="shared" ca="1" si="87"/>
        <v>47.244794001046849</v>
      </c>
      <c r="BA39" s="36">
        <f t="shared" ca="1" si="87"/>
        <v>47.069446247107614</v>
      </c>
      <c r="BB39" s="36">
        <f t="shared" ca="1" si="87"/>
        <v>46.953173374111934</v>
      </c>
      <c r="BC39" s="36">
        <f t="shared" ca="1" si="87"/>
        <v>46.326537642718172</v>
      </c>
      <c r="BD39" s="36">
        <f t="shared" ca="1" si="87"/>
        <v>47.025571099699405</v>
      </c>
      <c r="BE39" s="36">
        <f t="shared" ca="1" si="87"/>
        <v>47.76692588171737</v>
      </c>
      <c r="BF39" s="36">
        <f t="shared" ca="1" si="87"/>
        <v>46.879806535802253</v>
      </c>
      <c r="BG39" s="36">
        <f t="shared" ca="1" si="87"/>
        <v>46.780537819894555</v>
      </c>
      <c r="BH39" s="36">
        <f t="shared" ca="1" si="87"/>
        <v>46.644803968358843</v>
      </c>
      <c r="BI39" s="36">
        <f t="shared" ca="1" si="87"/>
        <v>46.391569406604738</v>
      </c>
      <c r="BJ39" s="36">
        <f t="shared" ca="1" si="87"/>
        <v>46.582997471728021</v>
      </c>
      <c r="BK39" s="36">
        <f t="shared" ca="1" si="87"/>
        <v>46.151970613687304</v>
      </c>
      <c r="BL39" s="36">
        <f t="shared" ca="1" si="87"/>
        <v>45.573261858692199</v>
      </c>
      <c r="BM39" s="36">
        <f t="shared" ca="1" si="87"/>
        <v>45.319134947510868</v>
      </c>
      <c r="BN39" s="36">
        <f t="shared" ca="1" si="87"/>
        <v>45.926835745714897</v>
      </c>
      <c r="BO39" s="36">
        <f t="shared" ca="1" si="87"/>
        <v>47.138541095415512</v>
      </c>
      <c r="BP39" s="36">
        <f t="shared" ca="1" si="87"/>
        <v>46.522668645220222</v>
      </c>
      <c r="BQ39" s="36">
        <f t="shared" ca="1" si="87"/>
        <v>46.611409834453269</v>
      </c>
      <c r="BR39" s="36">
        <f t="shared" ca="1" si="83"/>
        <v>45.868409357455555</v>
      </c>
      <c r="BS39" s="36">
        <f t="shared" ca="1" si="83"/>
        <v>45.828712955552668</v>
      </c>
      <c r="BT39" s="36">
        <f t="shared" ca="1" si="83"/>
        <v>47.063063369891729</v>
      </c>
      <c r="BU39" s="36">
        <f t="shared" ca="1" si="83"/>
        <v>46.793158329567618</v>
      </c>
      <c r="BV39" s="36">
        <f t="shared" ca="1" si="83"/>
        <v>47.313407812619687</v>
      </c>
      <c r="BW39" s="36">
        <f t="shared" ca="1" si="83"/>
        <v>47.422805850544606</v>
      </c>
      <c r="BX39" s="36">
        <f t="shared" ca="1" si="83"/>
        <v>47.32193303699556</v>
      </c>
      <c r="BY39" s="36">
        <f t="shared" ca="1" si="83"/>
        <v>47.712177593015966</v>
      </c>
      <c r="BZ39" s="36">
        <f t="shared" ca="1" si="83"/>
        <v>47.018865555485839</v>
      </c>
      <c r="CA39" s="36">
        <f t="shared" ca="1" si="83"/>
        <v>46.416624784440906</v>
      </c>
      <c r="CB39" s="36">
        <f t="shared" ca="1" si="83"/>
        <v>46.143018127249341</v>
      </c>
      <c r="CC39" s="36">
        <f t="shared" ca="1" si="83"/>
        <v>45.903152842477567</v>
      </c>
      <c r="CD39" s="36">
        <f t="shared" ca="1" si="83"/>
        <v>46.185703924477089</v>
      </c>
      <c r="CE39" s="36">
        <f t="shared" ca="1" si="83"/>
        <v>46.766211324061409</v>
      </c>
      <c r="CF39" s="36">
        <f t="shared" ca="1" si="83"/>
        <v>46.676958331769505</v>
      </c>
      <c r="CG39" s="36">
        <f t="shared" ca="1" si="83"/>
        <v>47.232080854597335</v>
      </c>
      <c r="CH39" s="36">
        <f t="shared" ca="1" si="83"/>
        <v>48.471978188458095</v>
      </c>
      <c r="CI39" s="36">
        <f t="shared" ca="1" si="83"/>
        <v>47.752105420885918</v>
      </c>
      <c r="CJ39" s="36">
        <f t="shared" ca="1" si="83"/>
        <v>48.546750064469663</v>
      </c>
      <c r="CK39" s="36">
        <f t="shared" ca="1" si="83"/>
        <v>48.630602849652988</v>
      </c>
      <c r="CL39" s="36">
        <f t="shared" ca="1" si="83"/>
        <v>48.665263068140234</v>
      </c>
      <c r="CM39" s="36">
        <f t="shared" ca="1" si="83"/>
        <v>48.133075624350276</v>
      </c>
      <c r="CN39" s="36">
        <f t="shared" ca="1" si="83"/>
        <v>48.760478690855003</v>
      </c>
      <c r="CO39" s="36">
        <f t="shared" ca="1" si="83"/>
        <v>49.685463739292203</v>
      </c>
      <c r="CP39" s="36">
        <f t="shared" ca="1" si="83"/>
        <v>48.885641902019358</v>
      </c>
      <c r="CQ39" s="36">
        <f t="shared" ca="1" si="83"/>
        <v>49.772815549532375</v>
      </c>
      <c r="CR39" s="36">
        <f t="shared" ca="1" si="83"/>
        <v>49.576462651135294</v>
      </c>
      <c r="CS39" s="36">
        <f t="shared" ca="1" si="83"/>
        <v>49.521600907922526</v>
      </c>
      <c r="CT39" s="36">
        <f t="shared" ca="1" si="83"/>
        <v>49.115858318749346</v>
      </c>
      <c r="CU39" s="36">
        <f t="shared" ca="1" si="83"/>
        <v>49.234560294118481</v>
      </c>
      <c r="CV39" s="36">
        <f t="shared" ca="1" si="83"/>
        <v>48.231317962850078</v>
      </c>
      <c r="CW39" s="36">
        <f t="shared" ca="1" si="83"/>
        <v>48.173896411349212</v>
      </c>
      <c r="CX39" s="36">
        <f t="shared" ca="1" si="83"/>
        <v>48.05044345616394</v>
      </c>
      <c r="CY39" s="36">
        <f t="shared" ca="1" si="83"/>
        <v>47.954182292913899</v>
      </c>
      <c r="CZ39" s="36">
        <f t="shared" ca="1" si="83"/>
        <v>48.376840097393668</v>
      </c>
      <c r="DA39" s="36">
        <f t="shared" ca="1" si="83"/>
        <v>48.242421751197149</v>
      </c>
      <c r="DB39" s="36">
        <f t="shared" ca="1" si="83"/>
        <v>47.822293334213185</v>
      </c>
      <c r="DC39" s="36">
        <f t="shared" ca="1" si="83"/>
        <v>47.013861996853123</v>
      </c>
      <c r="DD39" s="36">
        <f t="shared" ca="1" si="83"/>
        <v>47.68669411629174</v>
      </c>
      <c r="DE39" s="36">
        <f t="shared" ca="1" si="83"/>
        <v>47.871775307648711</v>
      </c>
      <c r="DF39" s="36">
        <f t="shared" ca="1" si="83"/>
        <v>47.977197201833583</v>
      </c>
      <c r="DG39" s="36">
        <f t="shared" ca="1" si="83"/>
        <v>48.754630688074897</v>
      </c>
      <c r="DH39" s="36">
        <f t="shared" ca="1" si="83"/>
        <v>48.205266053723115</v>
      </c>
      <c r="DI39" s="36">
        <f t="shared" ca="1" si="83"/>
        <v>48.005265208780621</v>
      </c>
      <c r="DJ39" s="36">
        <f t="shared" ca="1" si="83"/>
        <v>49.28872330430638</v>
      </c>
      <c r="DK39" s="36">
        <f t="shared" ca="1" si="83"/>
        <v>49.861613713005219</v>
      </c>
      <c r="DL39" s="36">
        <f t="shared" ca="1" si="83"/>
        <v>51.003547967853798</v>
      </c>
      <c r="DM39" s="36">
        <f t="shared" ca="1" si="83"/>
        <v>51.363435920857199</v>
      </c>
      <c r="DN39" s="36">
        <f t="shared" ca="1" si="83"/>
        <v>51.290943943536227</v>
      </c>
      <c r="DO39" s="36">
        <f t="shared" ca="1" si="83"/>
        <v>51.995340883118516</v>
      </c>
      <c r="DP39" s="36">
        <f t="shared" ca="1" si="83"/>
        <v>51.98303990612817</v>
      </c>
      <c r="DQ39" s="36">
        <f t="shared" ca="1" si="83"/>
        <v>51.113533423902908</v>
      </c>
      <c r="DR39" s="36">
        <f t="shared" ca="1" si="83"/>
        <v>50.692771331383469</v>
      </c>
      <c r="DS39" s="36">
        <f t="shared" ca="1" si="83"/>
        <v>50.87481473138164</v>
      </c>
      <c r="DT39" s="36">
        <f t="shared" ca="1" si="83"/>
        <v>50.54862678357307</v>
      </c>
      <c r="DU39" s="36">
        <f t="shared" ca="1" si="83"/>
        <v>50.818335510816773</v>
      </c>
      <c r="DV39" s="36">
        <f t="shared" ca="1" si="83"/>
        <v>50.178450536835982</v>
      </c>
      <c r="DW39" s="36">
        <f t="shared" ca="1" si="83"/>
        <v>49.620566264441372</v>
      </c>
      <c r="DX39" s="36">
        <f t="shared" ca="1" si="83"/>
        <v>49.749920157683711</v>
      </c>
      <c r="DY39" s="36">
        <f t="shared" ca="1" si="83"/>
        <v>48.918045064194317</v>
      </c>
      <c r="DZ39" s="36">
        <f t="shared" ca="1" si="83"/>
        <v>49.551516952306301</v>
      </c>
      <c r="EA39" s="36">
        <f t="shared" ca="1" si="83"/>
        <v>50.160522377343895</v>
      </c>
      <c r="EB39" s="36">
        <f t="shared" ca="1" si="83"/>
        <v>50.822402185129228</v>
      </c>
      <c r="EC39" s="36">
        <f t="shared" ca="1" si="72"/>
        <v>50.387891391246278</v>
      </c>
      <c r="ED39" s="36">
        <f t="shared" ca="1" si="72"/>
        <v>50.688213922106044</v>
      </c>
      <c r="EE39" s="36">
        <f t="shared" ca="1" si="72"/>
        <v>51.168156301805432</v>
      </c>
      <c r="EF39" s="36">
        <f t="shared" ca="1" si="72"/>
        <v>51.387222253559955</v>
      </c>
      <c r="EG39" s="36">
        <f t="shared" ca="1" si="72"/>
        <v>51.009206127934831</v>
      </c>
      <c r="EH39" s="36">
        <f t="shared" ca="1" si="72"/>
        <v>50.487731853764728</v>
      </c>
      <c r="EI39" s="36">
        <f t="shared" ca="1" si="72"/>
        <v>49.802483670212069</v>
      </c>
      <c r="EJ39" s="36">
        <f t="shared" ca="1" si="72"/>
        <v>50.69825358526208</v>
      </c>
      <c r="EK39" s="36">
        <f t="shared" ca="1" si="72"/>
        <v>50.785491275078385</v>
      </c>
      <c r="EL39" s="36">
        <f t="shared" ca="1" si="72"/>
        <v>50.390673336053851</v>
      </c>
      <c r="EM39" s="36">
        <f t="shared" ca="1" si="72"/>
        <v>49.783246262486671</v>
      </c>
      <c r="EN39" s="36">
        <f t="shared" ca="1" si="72"/>
        <v>49.44862928034145</v>
      </c>
      <c r="EO39" s="36">
        <f t="shared" ca="1" si="72"/>
        <v>49.421106293570695</v>
      </c>
      <c r="EP39" s="36">
        <f t="shared" ca="1" si="72"/>
        <v>50.025226367271827</v>
      </c>
      <c r="EQ39" s="36">
        <f t="shared" ca="1" si="72"/>
        <v>50.853612103565808</v>
      </c>
      <c r="ER39" s="36">
        <f t="shared" ca="1" si="72"/>
        <v>49.864605020209943</v>
      </c>
      <c r="ES39" s="36">
        <f t="shared" ca="1" si="72"/>
        <v>50.339335531283474</v>
      </c>
      <c r="ET39" s="36">
        <f t="shared" ca="1" si="72"/>
        <v>50.766505293683565</v>
      </c>
      <c r="EU39" s="36">
        <f t="shared" ca="1" si="72"/>
        <v>49.981288535186671</v>
      </c>
      <c r="EV39" s="36">
        <f t="shared" ca="1" si="72"/>
        <v>50.401412892233843</v>
      </c>
      <c r="EW39" s="36">
        <f t="shared" ref="EW39" ca="1" si="90">EV39*EXP(($B$3-$B$4^2/2)*1+$B$4*_xlfn.NORM.S.INV(RAND()))</f>
        <v>49.8947825380301</v>
      </c>
      <c r="EX39" s="36">
        <f t="shared" ca="1" si="88"/>
        <v>49.398731997083551</v>
      </c>
      <c r="EY39" s="36">
        <f t="shared" ca="1" si="88"/>
        <v>49.726936426215104</v>
      </c>
      <c r="EZ39" s="36">
        <f t="shared" ca="1" si="88"/>
        <v>49.392156523526111</v>
      </c>
      <c r="FA39" s="36">
        <f t="shared" ca="1" si="88"/>
        <v>51.142129442076232</v>
      </c>
      <c r="FB39" s="36">
        <f t="shared" ca="1" si="88"/>
        <v>50.987120827410173</v>
      </c>
      <c r="FC39" s="36">
        <f t="shared" ca="1" si="88"/>
        <v>50.701718333597547</v>
      </c>
      <c r="FD39" s="36">
        <f t="shared" ca="1" si="88"/>
        <v>51.213392355076749</v>
      </c>
      <c r="FE39" s="36">
        <f t="shared" ca="1" si="88"/>
        <v>51.760204885987946</v>
      </c>
      <c r="FF39" s="36">
        <f t="shared" ca="1" si="88"/>
        <v>52.568640417684414</v>
      </c>
      <c r="FG39" s="36">
        <f t="shared" ca="1" si="88"/>
        <v>53.564615575784259</v>
      </c>
      <c r="FH39" s="36">
        <f t="shared" ca="1" si="88"/>
        <v>54.697511549168539</v>
      </c>
      <c r="FI39" s="36">
        <f t="shared" ca="1" si="88"/>
        <v>54.966058044009436</v>
      </c>
      <c r="FJ39" s="36">
        <f t="shared" ca="1" si="88"/>
        <v>55.749768689389938</v>
      </c>
      <c r="FK39" s="36">
        <f t="shared" ca="1" si="88"/>
        <v>54.858748096155182</v>
      </c>
      <c r="FL39" s="36">
        <f t="shared" ca="1" si="88"/>
        <v>54.730962225362831</v>
      </c>
      <c r="FM39" s="36">
        <f t="shared" ca="1" si="88"/>
        <v>54.869627963566714</v>
      </c>
      <c r="FN39" s="36">
        <f t="shared" ca="1" si="88"/>
        <v>53.500398423607059</v>
      </c>
      <c r="FO39" s="36">
        <f t="shared" ca="1" si="88"/>
        <v>54.356398458183932</v>
      </c>
      <c r="FP39" s="36">
        <f t="shared" ca="1" si="88"/>
        <v>54.225406366526286</v>
      </c>
      <c r="FQ39" s="36">
        <f t="shared" ca="1" si="88"/>
        <v>54.483171332510842</v>
      </c>
      <c r="FR39" s="36">
        <f t="shared" ca="1" si="88"/>
        <v>54.716136743298975</v>
      </c>
      <c r="FS39" s="36">
        <f t="shared" ca="1" si="88"/>
        <v>54.912483913520504</v>
      </c>
      <c r="FT39" s="36">
        <f t="shared" ca="1" si="88"/>
        <v>54.891485054705406</v>
      </c>
      <c r="FU39" s="36">
        <f t="shared" ca="1" si="88"/>
        <v>56.170409445440853</v>
      </c>
      <c r="FV39" s="36">
        <f t="shared" ca="1" si="88"/>
        <v>55.702723495771181</v>
      </c>
      <c r="FW39" s="36">
        <f t="shared" ca="1" si="88"/>
        <v>55.276870025119258</v>
      </c>
      <c r="FX39" s="36">
        <f t="shared" ca="1" si="88"/>
        <v>53.86416850557066</v>
      </c>
      <c r="FY39" s="36">
        <f t="shared" ca="1" si="88"/>
        <v>54.231952388754337</v>
      </c>
      <c r="FZ39" s="36">
        <f t="shared" ca="1" si="88"/>
        <v>53.409088829298803</v>
      </c>
      <c r="GA39" s="36">
        <f t="shared" ca="1" si="88"/>
        <v>52.887652289028303</v>
      </c>
      <c r="GB39" s="36">
        <f t="shared" ca="1" si="88"/>
        <v>52.981895260267869</v>
      </c>
      <c r="GC39" s="36">
        <f t="shared" ca="1" si="88"/>
        <v>53.458087307987043</v>
      </c>
      <c r="GD39" s="36">
        <f t="shared" ca="1" si="88"/>
        <v>53.645607014692949</v>
      </c>
      <c r="GE39" s="36">
        <f t="shared" ca="1" si="88"/>
        <v>52.822514176254906</v>
      </c>
      <c r="GF39" s="36">
        <f t="shared" ca="1" si="88"/>
        <v>52.566945009767515</v>
      </c>
      <c r="GG39" s="36">
        <f t="shared" ca="1" si="88"/>
        <v>52.351747149253697</v>
      </c>
      <c r="GH39" s="36">
        <f t="shared" ca="1" si="88"/>
        <v>53.33893695838325</v>
      </c>
      <c r="GI39" s="36">
        <f t="shared" ca="1" si="88"/>
        <v>53.43817699468206</v>
      </c>
      <c r="GJ39" s="36">
        <f t="shared" ca="1" si="88"/>
        <v>54.493118746425758</v>
      </c>
      <c r="GK39" s="36">
        <f t="shared" ca="1" si="88"/>
        <v>54.117180450905266</v>
      </c>
      <c r="GL39" s="36">
        <f t="shared" ca="1" si="88"/>
        <v>53.56449454368682</v>
      </c>
      <c r="GM39" s="36">
        <f t="shared" ca="1" si="88"/>
        <v>53.614147919069168</v>
      </c>
      <c r="GN39" s="36">
        <f t="shared" ca="1" si="88"/>
        <v>54.145797196561887</v>
      </c>
      <c r="GO39" s="36">
        <f t="shared" ca="1" si="88"/>
        <v>53.941414890239869</v>
      </c>
      <c r="GP39" s="36">
        <f t="shared" ca="1" si="88"/>
        <v>53.657887144093799</v>
      </c>
      <c r="GQ39" s="36">
        <f t="shared" ca="1" si="88"/>
        <v>53.604692150031745</v>
      </c>
      <c r="GR39" s="36">
        <f t="shared" ca="1" si="88"/>
        <v>53.899641943173904</v>
      </c>
      <c r="GS39" s="36">
        <f t="shared" ca="1" si="88"/>
        <v>54.083190083904221</v>
      </c>
      <c r="GT39" s="36">
        <f t="shared" ca="1" si="88"/>
        <v>54.375145110136927</v>
      </c>
      <c r="GU39" s="36">
        <f t="shared" ca="1" si="88"/>
        <v>53.927932984490312</v>
      </c>
      <c r="GV39" s="36">
        <f t="shared" ca="1" si="88"/>
        <v>52.937281341565644</v>
      </c>
      <c r="GW39" s="36">
        <f t="shared" ca="1" si="88"/>
        <v>51.570155235881195</v>
      </c>
      <c r="GX39" s="36">
        <f t="shared" ca="1" si="88"/>
        <v>52.224065379363203</v>
      </c>
      <c r="GY39" s="36">
        <f t="shared" ca="1" si="88"/>
        <v>52.185998020056765</v>
      </c>
      <c r="GZ39" s="36">
        <f t="shared" ca="1" si="88"/>
        <v>52.56125551197573</v>
      </c>
      <c r="HA39" s="36">
        <f t="shared" ca="1" si="88"/>
        <v>53.589630281155799</v>
      </c>
      <c r="HB39" s="36">
        <f t="shared" ca="1" si="88"/>
        <v>54.613435830414822</v>
      </c>
      <c r="HC39" s="36">
        <f t="shared" ca="1" si="88"/>
        <v>53.760476781684922</v>
      </c>
      <c r="HD39" s="36">
        <f t="shared" ca="1" si="88"/>
        <v>53.26313577554923</v>
      </c>
      <c r="HE39" s="36">
        <f t="shared" ca="1" si="88"/>
        <v>52.797349307110942</v>
      </c>
      <c r="HF39" s="36">
        <f t="shared" ca="1" si="88"/>
        <v>52.361144363929824</v>
      </c>
      <c r="HG39" s="36">
        <f t="shared" ca="1" si="88"/>
        <v>52.038915756247825</v>
      </c>
      <c r="HH39" s="36">
        <f t="shared" ca="1" si="88"/>
        <v>51.949605604943862</v>
      </c>
      <c r="HI39" s="36">
        <f t="shared" ca="1" si="85"/>
        <v>50.97344603356192</v>
      </c>
      <c r="HJ39" s="36">
        <f t="shared" ca="1" si="85"/>
        <v>50.415248199373288</v>
      </c>
      <c r="HK39" s="36">
        <f t="shared" ca="1" si="85"/>
        <v>50.788627279893618</v>
      </c>
      <c r="HL39" s="36">
        <f t="shared" ref="HL39:HT39" ca="1" si="91">HK39*EXP(($B$3-$B$4^2/2)*1+$B$4*_xlfn.NORM.S.INV(RAND()))</f>
        <v>50.102422675287819</v>
      </c>
      <c r="HM39" s="36">
        <f t="shared" ca="1" si="91"/>
        <v>50.478169316903433</v>
      </c>
      <c r="HN39" s="36">
        <f t="shared" ca="1" si="91"/>
        <v>49.86113897174031</v>
      </c>
      <c r="HO39" s="36">
        <f t="shared" ca="1" si="91"/>
        <v>49.574586837950143</v>
      </c>
      <c r="HP39" s="36">
        <f t="shared" ca="1" si="91"/>
        <v>48.596025035280469</v>
      </c>
      <c r="HQ39" s="36">
        <f t="shared" ca="1" si="91"/>
        <v>48.32861369803463</v>
      </c>
      <c r="HR39" s="36">
        <f t="shared" ca="1" si="91"/>
        <v>48.076940834980995</v>
      </c>
      <c r="HS39" s="36">
        <f t="shared" ca="1" si="91"/>
        <v>47.710509914608238</v>
      </c>
      <c r="HT39" s="36">
        <f t="shared" ca="1" si="91"/>
        <v>46.891472566510508</v>
      </c>
      <c r="HU39" s="36">
        <f t="shared" ca="1" si="80"/>
        <v>47.434587703747574</v>
      </c>
      <c r="HV39" s="36">
        <f t="shared" ca="1" si="80"/>
        <v>47.28029664560723</v>
      </c>
      <c r="HW39" s="36">
        <f t="shared" ca="1" si="80"/>
        <v>47.07410019721987</v>
      </c>
      <c r="HX39" s="36">
        <f t="shared" ca="1" si="80"/>
        <v>47.337487562175262</v>
      </c>
      <c r="HY39" s="36">
        <f t="shared" ca="1" si="80"/>
        <v>47.721140309592116</v>
      </c>
      <c r="HZ39" s="36">
        <f t="shared" ca="1" si="80"/>
        <v>47.356309899996155</v>
      </c>
      <c r="IA39" s="36">
        <f t="shared" ca="1" si="80"/>
        <v>47.634288355398731</v>
      </c>
      <c r="IB39" s="36">
        <f t="shared" ca="1" si="80"/>
        <v>46.6165970004662</v>
      </c>
      <c r="IC39" s="36">
        <f t="shared" ca="1" si="80"/>
        <v>46.590849723642506</v>
      </c>
      <c r="ID39" s="36">
        <f t="shared" ca="1" si="80"/>
        <v>46.732682473407309</v>
      </c>
      <c r="IE39" s="36">
        <f t="shared" ca="1" si="80"/>
        <v>47.310293065209507</v>
      </c>
      <c r="IF39" s="36">
        <f t="shared" ca="1" si="80"/>
        <v>47.215123173095684</v>
      </c>
      <c r="IG39" s="36">
        <f t="shared" ca="1" si="80"/>
        <v>47.170260206217122</v>
      </c>
      <c r="IH39" s="36">
        <f t="shared" ca="1" si="80"/>
        <v>46.942352896628705</v>
      </c>
      <c r="II39" s="36">
        <f t="shared" ca="1" si="80"/>
        <v>47.277549030898236</v>
      </c>
      <c r="IJ39" s="36">
        <f t="shared" ca="1" si="80"/>
        <v>47.445549935772107</v>
      </c>
      <c r="IK39" s="36">
        <f t="shared" ca="1" si="80"/>
        <v>46.090375491259238</v>
      </c>
      <c r="IL39" s="36">
        <f t="shared" ca="1" si="80"/>
        <v>46.278600815829925</v>
      </c>
      <c r="IM39" s="36">
        <f t="shared" ca="1" si="80"/>
        <v>46.55996616252817</v>
      </c>
      <c r="IN39" s="36">
        <f t="shared" ca="1" si="80"/>
        <v>46.820976816217282</v>
      </c>
      <c r="IO39" s="36">
        <f t="shared" ca="1" si="80"/>
        <v>47.474342298960046</v>
      </c>
      <c r="IP39" s="36">
        <f t="shared" ca="1" si="80"/>
        <v>47.809912909767711</v>
      </c>
      <c r="IQ39" s="36">
        <f t="shared" ca="1" si="80"/>
        <v>47.443493602348468</v>
      </c>
      <c r="IR39" s="36">
        <f t="shared" ca="1" si="80"/>
        <v>47.098502206742403</v>
      </c>
      <c r="IS39" s="36">
        <f t="shared" ca="1" si="80"/>
        <v>47.630708017301949</v>
      </c>
      <c r="IT39" s="36">
        <f t="shared" ca="1" si="80"/>
        <v>46.801905610109863</v>
      </c>
      <c r="IU39" s="36">
        <f t="shared" ca="1" si="80"/>
        <v>46.201005298033806</v>
      </c>
    </row>
    <row r="40" spans="1:255" x14ac:dyDescent="0.2">
      <c r="A40" s="36"/>
      <c r="B40">
        <v>30</v>
      </c>
      <c r="C40" s="36">
        <v>50</v>
      </c>
      <c r="D40" s="36">
        <f t="shared" ca="1" si="14"/>
        <v>49.569297868337131</v>
      </c>
      <c r="E40" s="36">
        <f t="shared" ca="1" si="14"/>
        <v>49.648078406894527</v>
      </c>
      <c r="F40" s="36">
        <f t="shared" ca="1" si="87"/>
        <v>49.567532456627923</v>
      </c>
      <c r="G40" s="36">
        <f t="shared" ca="1" si="87"/>
        <v>49.704374419379469</v>
      </c>
      <c r="H40" s="36">
        <f t="shared" ca="1" si="87"/>
        <v>49.39669251325077</v>
      </c>
      <c r="I40" s="36">
        <f t="shared" ca="1" si="87"/>
        <v>49.467080740239552</v>
      </c>
      <c r="J40" s="36">
        <f t="shared" ca="1" si="87"/>
        <v>49.285201756086103</v>
      </c>
      <c r="K40" s="36">
        <f t="shared" ca="1" si="87"/>
        <v>49.386442676159362</v>
      </c>
      <c r="L40" s="36">
        <f t="shared" ca="1" si="87"/>
        <v>50.181541219389914</v>
      </c>
      <c r="M40" s="36">
        <f t="shared" ca="1" si="87"/>
        <v>50.272311867943543</v>
      </c>
      <c r="N40" s="36">
        <f t="shared" ca="1" si="87"/>
        <v>50.144179603034829</v>
      </c>
      <c r="O40" s="36">
        <f t="shared" ca="1" si="87"/>
        <v>50.436466733806462</v>
      </c>
      <c r="P40" s="36">
        <f t="shared" ca="1" si="87"/>
        <v>50.693222099264787</v>
      </c>
      <c r="Q40" s="36">
        <f t="shared" ca="1" si="87"/>
        <v>50.999649239400973</v>
      </c>
      <c r="R40" s="36">
        <f t="shared" ca="1" si="87"/>
        <v>51.487473645031471</v>
      </c>
      <c r="S40" s="36">
        <f t="shared" ca="1" si="87"/>
        <v>50.441174869503961</v>
      </c>
      <c r="T40" s="36">
        <f t="shared" ca="1" si="87"/>
        <v>50.409399795173933</v>
      </c>
      <c r="U40" s="36">
        <f t="shared" ca="1" si="87"/>
        <v>50.441007205555131</v>
      </c>
      <c r="V40" s="36">
        <f t="shared" ca="1" si="87"/>
        <v>49.668956851269492</v>
      </c>
      <c r="W40" s="36">
        <f t="shared" ca="1" si="87"/>
        <v>49.852827251248215</v>
      </c>
      <c r="X40" s="36">
        <f t="shared" ca="1" si="87"/>
        <v>49.112639732352115</v>
      </c>
      <c r="Y40" s="36">
        <f t="shared" ca="1" si="87"/>
        <v>48.910007815742233</v>
      </c>
      <c r="Z40" s="36">
        <f t="shared" ca="1" si="87"/>
        <v>49.825213339271649</v>
      </c>
      <c r="AA40" s="36">
        <f t="shared" ca="1" si="87"/>
        <v>50.506602762795183</v>
      </c>
      <c r="AB40" s="36">
        <f t="shared" ca="1" si="87"/>
        <v>49.88353110019068</v>
      </c>
      <c r="AC40" s="36">
        <f t="shared" ca="1" si="87"/>
        <v>49.712399720031499</v>
      </c>
      <c r="AD40" s="36">
        <f t="shared" ca="1" si="87"/>
        <v>49.115243946236063</v>
      </c>
      <c r="AE40" s="36">
        <f t="shared" ca="1" si="87"/>
        <v>48.749398732993875</v>
      </c>
      <c r="AF40" s="36">
        <f t="shared" ca="1" si="87"/>
        <v>49.225345777918207</v>
      </c>
      <c r="AG40" s="36">
        <f t="shared" ca="1" si="87"/>
        <v>50.039857709051489</v>
      </c>
      <c r="AH40" s="36">
        <f t="shared" ca="1" si="87"/>
        <v>50.998109335902441</v>
      </c>
      <c r="AI40" s="36">
        <f t="shared" ca="1" si="87"/>
        <v>50.559602437842251</v>
      </c>
      <c r="AJ40" s="36">
        <f t="shared" ca="1" si="87"/>
        <v>49.458098975763484</v>
      </c>
      <c r="AK40" s="36">
        <f t="shared" ca="1" si="87"/>
        <v>49.068472241807598</v>
      </c>
      <c r="AL40" s="36">
        <f t="shared" ca="1" si="87"/>
        <v>48.574639852364861</v>
      </c>
      <c r="AM40" s="36">
        <f t="shared" ca="1" si="87"/>
        <v>48.294207840578579</v>
      </c>
      <c r="AN40" s="36">
        <f t="shared" ca="1" si="87"/>
        <v>48.61321933731324</v>
      </c>
      <c r="AO40" s="36">
        <f t="shared" ca="1" si="87"/>
        <v>49.04602302141268</v>
      </c>
      <c r="AP40" s="36">
        <f t="shared" ca="1" si="87"/>
        <v>50.104093036646205</v>
      </c>
      <c r="AQ40" s="36">
        <f t="shared" ca="1" si="87"/>
        <v>50.208897640523212</v>
      </c>
      <c r="AR40" s="36">
        <f t="shared" ca="1" si="87"/>
        <v>50.306556881316546</v>
      </c>
      <c r="AS40" s="36">
        <f t="shared" ca="1" si="87"/>
        <v>50.098713833415708</v>
      </c>
      <c r="AT40" s="36">
        <f t="shared" ca="1" si="87"/>
        <v>49.459069747682641</v>
      </c>
      <c r="AU40" s="36">
        <f t="shared" ca="1" si="87"/>
        <v>49.530900841621921</v>
      </c>
      <c r="AV40" s="36">
        <f t="shared" ca="1" si="87"/>
        <v>50.170505377917152</v>
      </c>
      <c r="AW40" s="36">
        <f t="shared" ca="1" si="87"/>
        <v>49.294349199749362</v>
      </c>
      <c r="AX40" s="36">
        <f t="shared" ca="1" si="87"/>
        <v>48.218888444762619</v>
      </c>
      <c r="AY40" s="36">
        <f t="shared" ca="1" si="87"/>
        <v>48.204506027690044</v>
      </c>
      <c r="AZ40" s="36">
        <f t="shared" ca="1" si="87"/>
        <v>49.008224051821209</v>
      </c>
      <c r="BA40" s="36">
        <f t="shared" ca="1" si="87"/>
        <v>49.025917178961322</v>
      </c>
      <c r="BB40" s="36">
        <f t="shared" ca="1" si="87"/>
        <v>49.836684939862572</v>
      </c>
      <c r="BC40" s="36">
        <f t="shared" ca="1" si="87"/>
        <v>49.640337377788789</v>
      </c>
      <c r="BD40" s="36">
        <f t="shared" ca="1" si="87"/>
        <v>50.494449183566488</v>
      </c>
      <c r="BE40" s="36">
        <f t="shared" ca="1" si="87"/>
        <v>50.854823065961256</v>
      </c>
      <c r="BF40" s="36">
        <f t="shared" ca="1" si="87"/>
        <v>50.687511144798485</v>
      </c>
      <c r="BG40" s="36">
        <f t="shared" ca="1" si="87"/>
        <v>50.374446563863899</v>
      </c>
      <c r="BH40" s="36">
        <f t="shared" ca="1" si="87"/>
        <v>51.178465323926403</v>
      </c>
      <c r="BI40" s="36">
        <f t="shared" ca="1" si="87"/>
        <v>50.750858984908398</v>
      </c>
      <c r="BJ40" s="36">
        <f t="shared" ca="1" si="87"/>
        <v>50.089657260531318</v>
      </c>
      <c r="BK40" s="36">
        <f t="shared" ca="1" si="87"/>
        <v>50.803330788591332</v>
      </c>
      <c r="BL40" s="36">
        <f t="shared" ca="1" si="87"/>
        <v>51.037591664149964</v>
      </c>
      <c r="BM40" s="36">
        <f t="shared" ca="1" si="87"/>
        <v>50.825481143758914</v>
      </c>
      <c r="BN40" s="36">
        <f t="shared" ca="1" si="87"/>
        <v>50.240861911141181</v>
      </c>
      <c r="BO40" s="36">
        <f t="shared" ca="1" si="87"/>
        <v>50.269129595163399</v>
      </c>
      <c r="BP40" s="36">
        <f t="shared" ca="1" si="87"/>
        <v>51.265032764917279</v>
      </c>
      <c r="BQ40" s="36">
        <f t="shared" ca="1" si="87"/>
        <v>52.213370476765832</v>
      </c>
      <c r="BR40" s="36">
        <f t="shared" ca="1" si="83"/>
        <v>52.306706066986997</v>
      </c>
      <c r="BS40" s="36">
        <f t="shared" ca="1" si="83"/>
        <v>51.512878037204011</v>
      </c>
      <c r="BT40" s="36">
        <f t="shared" ca="1" si="83"/>
        <v>51.09215979952247</v>
      </c>
      <c r="BU40" s="36">
        <f t="shared" ca="1" si="83"/>
        <v>51.716055832767623</v>
      </c>
      <c r="BV40" s="36">
        <f t="shared" ca="1" si="83"/>
        <v>50.312546282182211</v>
      </c>
      <c r="BW40" s="36">
        <f t="shared" ca="1" si="83"/>
        <v>49.847853038144663</v>
      </c>
      <c r="BX40" s="36">
        <f t="shared" ca="1" si="83"/>
        <v>49.578010505166567</v>
      </c>
      <c r="BY40" s="36">
        <f t="shared" ca="1" si="83"/>
        <v>50.425872489781192</v>
      </c>
      <c r="BZ40" s="36">
        <f t="shared" ca="1" si="83"/>
        <v>50.927075629489536</v>
      </c>
      <c r="CA40" s="36">
        <f t="shared" ca="1" si="83"/>
        <v>50.307297113040939</v>
      </c>
      <c r="CB40" s="36">
        <f t="shared" ca="1" si="83"/>
        <v>49.966164249292532</v>
      </c>
      <c r="CC40" s="36">
        <f t="shared" ca="1" si="83"/>
        <v>50.506265004586375</v>
      </c>
      <c r="CD40" s="36">
        <f t="shared" ca="1" si="83"/>
        <v>50.837592588977174</v>
      </c>
      <c r="CE40" s="36">
        <f t="shared" ca="1" si="83"/>
        <v>52.004108515181713</v>
      </c>
      <c r="CF40" s="36">
        <f t="shared" ca="1" si="83"/>
        <v>51.244266772938019</v>
      </c>
      <c r="CG40" s="36">
        <f t="shared" ca="1" si="83"/>
        <v>51.621691432651524</v>
      </c>
      <c r="CH40" s="36">
        <f t="shared" ca="1" si="83"/>
        <v>51.519813367985712</v>
      </c>
      <c r="CI40" s="36">
        <f t="shared" ca="1" si="83"/>
        <v>50.590687537820237</v>
      </c>
      <c r="CJ40" s="36">
        <f t="shared" ca="1" si="83"/>
        <v>50.16085771869394</v>
      </c>
      <c r="CK40" s="36">
        <f t="shared" ca="1" si="83"/>
        <v>50.801085442775097</v>
      </c>
      <c r="CL40" s="36">
        <f t="shared" ca="1" si="83"/>
        <v>50.894371615726016</v>
      </c>
      <c r="CM40" s="36">
        <f t="shared" ca="1" si="83"/>
        <v>51.097505083929242</v>
      </c>
      <c r="CN40" s="36">
        <f t="shared" ca="1" si="83"/>
        <v>51.61971052114896</v>
      </c>
      <c r="CO40" s="36">
        <f t="shared" ca="1" si="83"/>
        <v>51.153991123809412</v>
      </c>
      <c r="CP40" s="36">
        <f t="shared" ca="1" si="83"/>
        <v>50.54760440917071</v>
      </c>
      <c r="CQ40" s="36">
        <f t="shared" ca="1" si="83"/>
        <v>51.445562973221847</v>
      </c>
      <c r="CR40" s="36">
        <f t="shared" ca="1" si="83"/>
        <v>50.837390285045089</v>
      </c>
      <c r="CS40" s="36">
        <f t="shared" ca="1" si="83"/>
        <v>51.430599635898993</v>
      </c>
      <c r="CT40" s="36">
        <f t="shared" ca="1" si="83"/>
        <v>52.615032111908526</v>
      </c>
      <c r="CU40" s="36">
        <f t="shared" ca="1" si="83"/>
        <v>51.445882958909124</v>
      </c>
      <c r="CV40" s="36">
        <f t="shared" ca="1" si="83"/>
        <v>52.093823060853502</v>
      </c>
      <c r="CW40" s="36">
        <f t="shared" ca="1" si="83"/>
        <v>51.729158558008649</v>
      </c>
      <c r="CX40" s="36">
        <f t="shared" ca="1" si="83"/>
        <v>52.20701362456407</v>
      </c>
      <c r="CY40" s="36">
        <f t="shared" ca="1" si="83"/>
        <v>52.342106993628839</v>
      </c>
      <c r="CZ40" s="36">
        <f t="shared" ca="1" si="83"/>
        <v>52.131421437210207</v>
      </c>
      <c r="DA40" s="36">
        <f t="shared" ca="1" si="83"/>
        <v>51.898067778333839</v>
      </c>
      <c r="DB40" s="36">
        <f t="shared" ca="1" si="83"/>
        <v>50.335526002670598</v>
      </c>
      <c r="DC40" s="36">
        <f t="shared" ca="1" si="83"/>
        <v>50.350475645837804</v>
      </c>
      <c r="DD40" s="36">
        <f t="shared" ca="1" si="83"/>
        <v>51.15253028130676</v>
      </c>
      <c r="DE40" s="36">
        <f t="shared" ca="1" si="83"/>
        <v>50.354260628771634</v>
      </c>
      <c r="DF40" s="36">
        <f t="shared" ca="1" si="83"/>
        <v>49.648837034367958</v>
      </c>
      <c r="DG40" s="36">
        <f t="shared" ca="1" si="83"/>
        <v>48.711949744181553</v>
      </c>
      <c r="DH40" s="36">
        <f t="shared" ca="1" si="83"/>
        <v>48.272510182698326</v>
      </c>
      <c r="DI40" s="36">
        <f t="shared" ca="1" si="83"/>
        <v>48.51815711879518</v>
      </c>
      <c r="DJ40" s="36">
        <f t="shared" ca="1" si="83"/>
        <v>48.365214625010523</v>
      </c>
      <c r="DK40" s="36">
        <f t="shared" ca="1" si="83"/>
        <v>48.846473026816632</v>
      </c>
      <c r="DL40" s="36">
        <f t="shared" ca="1" si="83"/>
        <v>50.282962098712886</v>
      </c>
      <c r="DM40" s="36">
        <f t="shared" ca="1" si="83"/>
        <v>50.087331826982428</v>
      </c>
      <c r="DN40" s="36">
        <f t="shared" ca="1" si="83"/>
        <v>49.840134072299243</v>
      </c>
      <c r="DO40" s="36">
        <f t="shared" ca="1" si="83"/>
        <v>49.934071652305207</v>
      </c>
      <c r="DP40" s="36">
        <f t="shared" ca="1" si="83"/>
        <v>49.980028238530572</v>
      </c>
      <c r="DQ40" s="36">
        <f t="shared" ca="1" si="83"/>
        <v>48.856438468196174</v>
      </c>
      <c r="DR40" s="36">
        <f t="shared" ca="1" si="83"/>
        <v>49.624451062694568</v>
      </c>
      <c r="DS40" s="36">
        <f t="shared" ca="1" si="83"/>
        <v>49.152322137928444</v>
      </c>
      <c r="DT40" s="36">
        <f t="shared" ca="1" si="83"/>
        <v>48.698982620638347</v>
      </c>
      <c r="DU40" s="36">
        <f t="shared" ca="1" si="83"/>
        <v>48.538127711578142</v>
      </c>
      <c r="DV40" s="36">
        <f t="shared" ca="1" si="83"/>
        <v>49.295751274608115</v>
      </c>
      <c r="DW40" s="36">
        <f t="shared" ca="1" si="83"/>
        <v>48.683746996769983</v>
      </c>
      <c r="DX40" s="36">
        <f t="shared" ca="1" si="83"/>
        <v>48.216254624786103</v>
      </c>
      <c r="DY40" s="36">
        <f t="shared" ca="1" si="83"/>
        <v>48.091806646012579</v>
      </c>
      <c r="DZ40" s="36">
        <f t="shared" ca="1" si="83"/>
        <v>48.156478898785359</v>
      </c>
      <c r="EA40" s="36">
        <f t="shared" ca="1" si="83"/>
        <v>47.548646297631407</v>
      </c>
      <c r="EB40" s="36">
        <f t="shared" ca="1" si="83"/>
        <v>47.453078707160223</v>
      </c>
      <c r="EC40" s="36">
        <f t="shared" ca="1" si="72"/>
        <v>47.937336063451745</v>
      </c>
      <c r="ED40" s="36">
        <f t="shared" ca="1" si="72"/>
        <v>48.055967157931505</v>
      </c>
      <c r="EE40" s="36">
        <f t="shared" ca="1" si="72"/>
        <v>48.398814098792712</v>
      </c>
      <c r="EF40" s="36">
        <f t="shared" ca="1" si="72"/>
        <v>49.065734088397527</v>
      </c>
      <c r="EG40" s="36">
        <f t="shared" ca="1" si="72"/>
        <v>48.411830323978705</v>
      </c>
      <c r="EH40" s="36">
        <f t="shared" ca="1" si="72"/>
        <v>48.141108324106447</v>
      </c>
      <c r="EI40" s="36">
        <f t="shared" ca="1" si="72"/>
        <v>48.091750494564316</v>
      </c>
      <c r="EJ40" s="36">
        <f t="shared" ca="1" si="72"/>
        <v>46.835075600036021</v>
      </c>
      <c r="EK40" s="36">
        <f t="shared" ca="1" si="72"/>
        <v>46.801459659640926</v>
      </c>
      <c r="EL40" s="36">
        <f t="shared" ca="1" si="72"/>
        <v>46.771079046334769</v>
      </c>
      <c r="EM40" s="36">
        <f t="shared" ca="1" si="72"/>
        <v>47.047949621703815</v>
      </c>
      <c r="EN40" s="36">
        <f t="shared" ca="1" si="72"/>
        <v>46.858172264684129</v>
      </c>
      <c r="EO40" s="36">
        <f t="shared" ca="1" si="72"/>
        <v>47.338541822729937</v>
      </c>
      <c r="EP40" s="36">
        <f t="shared" ca="1" si="72"/>
        <v>47.489589618947456</v>
      </c>
      <c r="EQ40" s="36">
        <f t="shared" ca="1" si="72"/>
        <v>47.602180154557139</v>
      </c>
      <c r="ER40" s="36">
        <f t="shared" ca="1" si="72"/>
        <v>48.151907554781211</v>
      </c>
      <c r="ES40" s="36">
        <f t="shared" ca="1" si="72"/>
        <v>47.410737014272591</v>
      </c>
      <c r="ET40" s="36">
        <f t="shared" ca="1" si="72"/>
        <v>48.109665327520695</v>
      </c>
      <c r="EU40" s="36">
        <f t="shared" ca="1" si="72"/>
        <v>49.058690366663576</v>
      </c>
      <c r="EV40" s="36">
        <f t="shared" ca="1" si="72"/>
        <v>49.845021335399345</v>
      </c>
      <c r="EW40" s="36">
        <f t="shared" ref="EW40" ca="1" si="92">EV40*EXP(($B$3-$B$4^2/2)*1+$B$4*_xlfn.NORM.S.INV(RAND()))</f>
        <v>49.766453162110416</v>
      </c>
      <c r="EX40" s="36">
        <f t="shared" ca="1" si="88"/>
        <v>49.051673252373838</v>
      </c>
      <c r="EY40" s="36">
        <f t="shared" ca="1" si="88"/>
        <v>48.631500271864724</v>
      </c>
      <c r="EZ40" s="36">
        <f t="shared" ca="1" si="88"/>
        <v>47.983152888339426</v>
      </c>
      <c r="FA40" s="36">
        <f t="shared" ca="1" si="88"/>
        <v>47.944863834417674</v>
      </c>
      <c r="FB40" s="36">
        <f t="shared" ca="1" si="88"/>
        <v>47.056925926144132</v>
      </c>
      <c r="FC40" s="36">
        <f t="shared" ca="1" si="88"/>
        <v>45.697722942315536</v>
      </c>
      <c r="FD40" s="36">
        <f t="shared" ca="1" si="88"/>
        <v>45.660688976917491</v>
      </c>
      <c r="FE40" s="36">
        <f t="shared" ca="1" si="88"/>
        <v>45.755948438398242</v>
      </c>
      <c r="FF40" s="36">
        <f t="shared" ca="1" si="88"/>
        <v>46.701252312384405</v>
      </c>
      <c r="FG40" s="36">
        <f t="shared" ca="1" si="88"/>
        <v>45.766107525851375</v>
      </c>
      <c r="FH40" s="36">
        <f t="shared" ca="1" si="88"/>
        <v>46.825534555681529</v>
      </c>
      <c r="FI40" s="36">
        <f t="shared" ca="1" si="88"/>
        <v>47.872506516228142</v>
      </c>
      <c r="FJ40" s="36">
        <f t="shared" ca="1" si="88"/>
        <v>49.118800819599819</v>
      </c>
      <c r="FK40" s="36">
        <f t="shared" ca="1" si="88"/>
        <v>49.184703864968654</v>
      </c>
      <c r="FL40" s="36">
        <f t="shared" ca="1" si="88"/>
        <v>49.385747776461976</v>
      </c>
      <c r="FM40" s="36">
        <f t="shared" ca="1" si="88"/>
        <v>49.672220850974469</v>
      </c>
      <c r="FN40" s="36">
        <f t="shared" ca="1" si="88"/>
        <v>49.653715199980049</v>
      </c>
      <c r="FO40" s="36">
        <f t="shared" ca="1" si="88"/>
        <v>49.798837056452477</v>
      </c>
      <c r="FP40" s="36">
        <f t="shared" ca="1" si="88"/>
        <v>49.347345189337283</v>
      </c>
      <c r="FQ40" s="36">
        <f t="shared" ca="1" si="88"/>
        <v>48.980756615131995</v>
      </c>
      <c r="FR40" s="36">
        <f t="shared" ca="1" si="88"/>
        <v>49.082200900898236</v>
      </c>
      <c r="FS40" s="36">
        <f t="shared" ca="1" si="88"/>
        <v>49.254820214090316</v>
      </c>
      <c r="FT40" s="36">
        <f t="shared" ca="1" si="88"/>
        <v>49.779899141956079</v>
      </c>
      <c r="FU40" s="36">
        <f t="shared" ca="1" si="88"/>
        <v>48.722908382224723</v>
      </c>
      <c r="FV40" s="36">
        <f t="shared" ca="1" si="88"/>
        <v>47.758233122075076</v>
      </c>
      <c r="FW40" s="36">
        <f t="shared" ca="1" si="88"/>
        <v>47.539772675054948</v>
      </c>
      <c r="FX40" s="36">
        <f t="shared" ca="1" si="88"/>
        <v>47.231234248663334</v>
      </c>
      <c r="FY40" s="36">
        <f t="shared" ca="1" si="88"/>
        <v>47.758851986007528</v>
      </c>
      <c r="FZ40" s="36">
        <f t="shared" ca="1" si="88"/>
        <v>47.822724846078877</v>
      </c>
      <c r="GA40" s="36">
        <f t="shared" ca="1" si="88"/>
        <v>47.257355787808393</v>
      </c>
      <c r="GB40" s="36">
        <f t="shared" ca="1" si="88"/>
        <v>47.126252599047717</v>
      </c>
      <c r="GC40" s="36">
        <f t="shared" ca="1" si="88"/>
        <v>48.065135745368508</v>
      </c>
      <c r="GD40" s="36">
        <f t="shared" ca="1" si="88"/>
        <v>47.252191716461063</v>
      </c>
      <c r="GE40" s="36">
        <f t="shared" ca="1" si="88"/>
        <v>47.588003815138855</v>
      </c>
      <c r="GF40" s="36">
        <f t="shared" ca="1" si="88"/>
        <v>48.795652123589697</v>
      </c>
      <c r="GG40" s="36">
        <f t="shared" ca="1" si="88"/>
        <v>48.397321241549697</v>
      </c>
      <c r="GH40" s="36">
        <f t="shared" ca="1" si="88"/>
        <v>47.399872734277658</v>
      </c>
      <c r="GI40" s="36">
        <f t="shared" ca="1" si="88"/>
        <v>48.269010255255424</v>
      </c>
      <c r="GJ40" s="36">
        <f t="shared" ca="1" si="88"/>
        <v>48.314916868931519</v>
      </c>
      <c r="GK40" s="36">
        <f t="shared" ca="1" si="88"/>
        <v>48.194382581044515</v>
      </c>
      <c r="GL40" s="36">
        <f t="shared" ca="1" si="88"/>
        <v>47.943768733215883</v>
      </c>
      <c r="GM40" s="36">
        <f t="shared" ca="1" si="88"/>
        <v>48.764230445679047</v>
      </c>
      <c r="GN40" s="36">
        <f t="shared" ca="1" si="88"/>
        <v>49.089242012470798</v>
      </c>
      <c r="GO40" s="36">
        <f t="shared" ca="1" si="88"/>
        <v>48.518130494305204</v>
      </c>
      <c r="GP40" s="36">
        <f t="shared" ca="1" si="88"/>
        <v>47.551085611453615</v>
      </c>
      <c r="GQ40" s="36">
        <f t="shared" ca="1" si="88"/>
        <v>46.144585346086771</v>
      </c>
      <c r="GR40" s="36">
        <f t="shared" ca="1" si="88"/>
        <v>46.777493009626916</v>
      </c>
      <c r="GS40" s="36">
        <f t="shared" ca="1" si="88"/>
        <v>46.931627888123316</v>
      </c>
      <c r="GT40" s="36">
        <f t="shared" ca="1" si="88"/>
        <v>47.26264851351516</v>
      </c>
      <c r="GU40" s="36">
        <f t="shared" ca="1" si="88"/>
        <v>47.373500511420175</v>
      </c>
      <c r="GV40" s="36">
        <f t="shared" ca="1" si="88"/>
        <v>48.003913129181008</v>
      </c>
      <c r="GW40" s="36">
        <f t="shared" ca="1" si="88"/>
        <v>47.244987413442729</v>
      </c>
      <c r="GX40" s="36">
        <f t="shared" ca="1" si="88"/>
        <v>47.592167799731897</v>
      </c>
      <c r="GY40" s="36">
        <f t="shared" ca="1" si="88"/>
        <v>47.921305621317558</v>
      </c>
      <c r="GZ40" s="36">
        <f t="shared" ca="1" si="88"/>
        <v>49.286669026548303</v>
      </c>
      <c r="HA40" s="36">
        <f t="shared" ca="1" si="88"/>
        <v>49.163859601301617</v>
      </c>
      <c r="HB40" s="36">
        <f t="shared" ca="1" si="88"/>
        <v>49.683101850292978</v>
      </c>
      <c r="HC40" s="36">
        <f t="shared" ca="1" si="88"/>
        <v>50.816147056782796</v>
      </c>
      <c r="HD40" s="36">
        <f t="shared" ca="1" si="88"/>
        <v>50.901685867702902</v>
      </c>
      <c r="HE40" s="36">
        <f t="shared" ca="1" si="88"/>
        <v>50.444086111650414</v>
      </c>
      <c r="HF40" s="36">
        <f t="shared" ca="1" si="88"/>
        <v>49.223876103553046</v>
      </c>
      <c r="HG40" s="36">
        <f t="shared" ca="1" si="88"/>
        <v>49.276073630214704</v>
      </c>
      <c r="HH40" s="36">
        <f t="shared" ca="1" si="88"/>
        <v>49.057413726302045</v>
      </c>
      <c r="HI40" s="36">
        <f t="shared" ca="1" si="85"/>
        <v>49.852241821577202</v>
      </c>
      <c r="HJ40" s="36">
        <f t="shared" ca="1" si="85"/>
        <v>49.395538830505622</v>
      </c>
      <c r="HK40" s="36">
        <f t="shared" ca="1" si="85"/>
        <v>49.378361906393252</v>
      </c>
      <c r="HL40" s="36">
        <f t="shared" ref="HL40:HT40" ca="1" si="93">HK40*EXP(($B$3-$B$4^2/2)*1+$B$4*_xlfn.NORM.S.INV(RAND()))</f>
        <v>50.273486602294554</v>
      </c>
      <c r="HM40" s="36">
        <f t="shared" ca="1" si="93"/>
        <v>50.318037801175151</v>
      </c>
      <c r="HN40" s="36">
        <f t="shared" ca="1" si="93"/>
        <v>50.079380084960327</v>
      </c>
      <c r="HO40" s="36">
        <f t="shared" ca="1" si="93"/>
        <v>49.447225656344649</v>
      </c>
      <c r="HP40" s="36">
        <f t="shared" ca="1" si="93"/>
        <v>49.458929070539725</v>
      </c>
      <c r="HQ40" s="36">
        <f t="shared" ca="1" si="93"/>
        <v>48.7031929056606</v>
      </c>
      <c r="HR40" s="36">
        <f t="shared" ca="1" si="93"/>
        <v>49.314910800192159</v>
      </c>
      <c r="HS40" s="36">
        <f t="shared" ca="1" si="93"/>
        <v>48.712565702504051</v>
      </c>
      <c r="HT40" s="36">
        <f t="shared" ca="1" si="93"/>
        <v>49.388817105822397</v>
      </c>
      <c r="HU40" s="36">
        <f t="shared" ca="1" si="80"/>
        <v>49.39581170443094</v>
      </c>
      <c r="HV40" s="36">
        <f t="shared" ca="1" si="80"/>
        <v>48.937904246207822</v>
      </c>
      <c r="HW40" s="36">
        <f t="shared" ca="1" si="80"/>
        <v>48.735014235814425</v>
      </c>
      <c r="HX40" s="36">
        <f t="shared" ca="1" si="80"/>
        <v>48.247629245781191</v>
      </c>
      <c r="HY40" s="36">
        <f t="shared" ca="1" si="80"/>
        <v>47.979141362464702</v>
      </c>
      <c r="HZ40" s="36">
        <f t="shared" ca="1" si="80"/>
        <v>47.82223692087549</v>
      </c>
      <c r="IA40" s="36">
        <f t="shared" ca="1" si="80"/>
        <v>48.590611198145815</v>
      </c>
      <c r="IB40" s="36">
        <f t="shared" ca="1" si="80"/>
        <v>47.629432571758649</v>
      </c>
      <c r="IC40" s="36">
        <f t="shared" ca="1" si="80"/>
        <v>47.245067800233805</v>
      </c>
      <c r="ID40" s="36">
        <f t="shared" ca="1" si="80"/>
        <v>46.644170535034938</v>
      </c>
      <c r="IE40" s="36">
        <f t="shared" ca="1" si="80"/>
        <v>46.916738090637701</v>
      </c>
      <c r="IF40" s="36">
        <f t="shared" ca="1" si="80"/>
        <v>47.121251093269194</v>
      </c>
      <c r="IG40" s="36">
        <f t="shared" ca="1" si="80"/>
        <v>47.227495775996573</v>
      </c>
      <c r="IH40" s="36">
        <f t="shared" ca="1" si="80"/>
        <v>46.918399591305558</v>
      </c>
      <c r="II40" s="36">
        <f t="shared" ca="1" si="80"/>
        <v>47.399919226795795</v>
      </c>
      <c r="IJ40" s="36">
        <f t="shared" ca="1" si="80"/>
        <v>47.763967521500156</v>
      </c>
      <c r="IK40" s="36">
        <f t="shared" ca="1" si="80"/>
        <v>48.141686908672789</v>
      </c>
      <c r="IL40" s="36">
        <f t="shared" ca="1" si="80"/>
        <v>48.992295304152421</v>
      </c>
      <c r="IM40" s="36">
        <f t="shared" ca="1" si="80"/>
        <v>48.097994334558933</v>
      </c>
      <c r="IN40" s="36">
        <f t="shared" ca="1" si="80"/>
        <v>47.898017355950969</v>
      </c>
      <c r="IO40" s="36">
        <f t="shared" ca="1" si="80"/>
        <v>48.159518526556703</v>
      </c>
      <c r="IP40" s="36">
        <f t="shared" ca="1" si="80"/>
        <v>48.004859523635176</v>
      </c>
      <c r="IQ40" s="36">
        <f t="shared" ca="1" si="80"/>
        <v>47.639249981229682</v>
      </c>
      <c r="IR40" s="36">
        <f t="shared" ca="1" si="80"/>
        <v>47.437481988120012</v>
      </c>
      <c r="IS40" s="36">
        <f t="shared" ca="1" si="80"/>
        <v>48.16464168089761</v>
      </c>
      <c r="IT40" s="36">
        <f t="shared" ca="1" si="80"/>
        <v>48.53674724627674</v>
      </c>
      <c r="IU40" s="36">
        <f t="shared" ca="1" si="80"/>
        <v>48.92861374024195</v>
      </c>
    </row>
    <row r="41" spans="1:255" x14ac:dyDescent="0.2">
      <c r="A41" s="36"/>
      <c r="B41">
        <v>31</v>
      </c>
      <c r="C41" s="36">
        <v>50</v>
      </c>
      <c r="D41" s="36">
        <f t="shared" ca="1" si="14"/>
        <v>50.7667219344888</v>
      </c>
      <c r="E41" s="36">
        <f t="shared" ca="1" si="14"/>
        <v>50.715800756244789</v>
      </c>
      <c r="F41" s="36">
        <f t="shared" ca="1" si="87"/>
        <v>51.167903598728536</v>
      </c>
      <c r="G41" s="36">
        <f t="shared" ca="1" si="87"/>
        <v>50.731911553820638</v>
      </c>
      <c r="H41" s="36">
        <f t="shared" ca="1" si="87"/>
        <v>52.534595165790307</v>
      </c>
      <c r="I41" s="36">
        <f t="shared" ca="1" si="87"/>
        <v>51.380736712388234</v>
      </c>
      <c r="J41" s="36">
        <f t="shared" ca="1" si="87"/>
        <v>51.323558395106218</v>
      </c>
      <c r="K41" s="36">
        <f t="shared" ca="1" si="87"/>
        <v>50.262563676733471</v>
      </c>
      <c r="L41" s="36">
        <f t="shared" ca="1" si="87"/>
        <v>50.081805577372904</v>
      </c>
      <c r="M41" s="36">
        <f t="shared" ca="1" si="87"/>
        <v>51.040032985538126</v>
      </c>
      <c r="N41" s="36">
        <f t="shared" ca="1" si="87"/>
        <v>50.066000329221716</v>
      </c>
      <c r="O41" s="36">
        <f t="shared" ca="1" si="87"/>
        <v>50.642761340988443</v>
      </c>
      <c r="P41" s="36">
        <f t="shared" ca="1" si="87"/>
        <v>49.573723333748241</v>
      </c>
      <c r="Q41" s="36">
        <f t="shared" ca="1" si="87"/>
        <v>50.493157804603968</v>
      </c>
      <c r="R41" s="36">
        <f t="shared" ca="1" si="87"/>
        <v>51.300597525312348</v>
      </c>
      <c r="S41" s="36">
        <f t="shared" ca="1" si="87"/>
        <v>51.102848484006053</v>
      </c>
      <c r="T41" s="36">
        <f t="shared" ca="1" si="87"/>
        <v>50.718006426867134</v>
      </c>
      <c r="U41" s="36">
        <f t="shared" ca="1" si="87"/>
        <v>50.776734294721777</v>
      </c>
      <c r="V41" s="36">
        <f t="shared" ca="1" si="87"/>
        <v>50.717522366486158</v>
      </c>
      <c r="W41" s="36">
        <f t="shared" ca="1" si="87"/>
        <v>50.5574434281096</v>
      </c>
      <c r="X41" s="36">
        <f t="shared" ca="1" si="87"/>
        <v>49.589521740378927</v>
      </c>
      <c r="Y41" s="36">
        <f t="shared" ca="1" si="87"/>
        <v>50.833079797281862</v>
      </c>
      <c r="Z41" s="36">
        <f t="shared" ca="1" si="87"/>
        <v>50.547471125432494</v>
      </c>
      <c r="AA41" s="36">
        <f t="shared" ca="1" si="87"/>
        <v>50.241311858467164</v>
      </c>
      <c r="AB41" s="36">
        <f t="shared" ca="1" si="87"/>
        <v>49.310060092451558</v>
      </c>
      <c r="AC41" s="36">
        <f t="shared" ca="1" si="87"/>
        <v>49.081684674952015</v>
      </c>
      <c r="AD41" s="36">
        <f t="shared" ca="1" si="87"/>
        <v>48.961989097275783</v>
      </c>
      <c r="AE41" s="36">
        <f t="shared" ca="1" si="87"/>
        <v>50.639303286432124</v>
      </c>
      <c r="AF41" s="36">
        <f t="shared" ca="1" si="87"/>
        <v>50.715535883252464</v>
      </c>
      <c r="AG41" s="36">
        <f t="shared" ca="1" si="87"/>
        <v>51.037689830501648</v>
      </c>
      <c r="AH41" s="36">
        <f t="shared" ca="1" si="87"/>
        <v>51.003043851136191</v>
      </c>
      <c r="AI41" s="36">
        <f t="shared" ca="1" si="87"/>
        <v>51.498661580821192</v>
      </c>
      <c r="AJ41" s="36">
        <f t="shared" ca="1" si="87"/>
        <v>52.929859410725463</v>
      </c>
      <c r="AK41" s="36">
        <f t="shared" ca="1" si="87"/>
        <v>52.123223600969276</v>
      </c>
      <c r="AL41" s="36">
        <f t="shared" ca="1" si="87"/>
        <v>52.174356717821581</v>
      </c>
      <c r="AM41" s="36">
        <f t="shared" ca="1" si="87"/>
        <v>52.806276070612071</v>
      </c>
      <c r="AN41" s="36">
        <f t="shared" ca="1" si="87"/>
        <v>52.014535993508623</v>
      </c>
      <c r="AO41" s="36">
        <f t="shared" ca="1" si="87"/>
        <v>50.5992528141308</v>
      </c>
      <c r="AP41" s="36">
        <f t="shared" ca="1" si="87"/>
        <v>50.631572152033726</v>
      </c>
      <c r="AQ41" s="36">
        <f t="shared" ca="1" si="87"/>
        <v>50.604878072165803</v>
      </c>
      <c r="AR41" s="36">
        <f t="shared" ca="1" si="87"/>
        <v>50.204812493492668</v>
      </c>
      <c r="AS41" s="36">
        <f t="shared" ca="1" si="87"/>
        <v>49.789691472688951</v>
      </c>
      <c r="AT41" s="36">
        <f t="shared" ca="1" si="87"/>
        <v>48.872140946244393</v>
      </c>
      <c r="AU41" s="36">
        <f t="shared" ca="1" si="87"/>
        <v>48.837558304786327</v>
      </c>
      <c r="AV41" s="36">
        <f t="shared" ca="1" si="87"/>
        <v>48.1780497266111</v>
      </c>
      <c r="AW41" s="36">
        <f t="shared" ca="1" si="87"/>
        <v>47.218124833485909</v>
      </c>
      <c r="AX41" s="36">
        <f t="shared" ca="1" si="87"/>
        <v>48.329179126452537</v>
      </c>
      <c r="AY41" s="36">
        <f t="shared" ca="1" si="87"/>
        <v>48.203223521007402</v>
      </c>
      <c r="AZ41" s="36">
        <f t="shared" ca="1" si="87"/>
        <v>47.32163729150485</v>
      </c>
      <c r="BA41" s="36">
        <f t="shared" ca="1" si="87"/>
        <v>47.333309130591338</v>
      </c>
      <c r="BB41" s="36">
        <f t="shared" ca="1" si="87"/>
        <v>47.983862030227044</v>
      </c>
      <c r="BC41" s="36">
        <f t="shared" ca="1" si="87"/>
        <v>48.021247468520365</v>
      </c>
      <c r="BD41" s="36">
        <f t="shared" ca="1" si="87"/>
        <v>48.520718883670916</v>
      </c>
      <c r="BE41" s="36">
        <f t="shared" ca="1" si="87"/>
        <v>48.519206850599907</v>
      </c>
      <c r="BF41" s="36">
        <f t="shared" ca="1" si="87"/>
        <v>47.659617915087381</v>
      </c>
      <c r="BG41" s="36">
        <f t="shared" ca="1" si="87"/>
        <v>47.585019041212831</v>
      </c>
      <c r="BH41" s="36">
        <f t="shared" ca="1" si="87"/>
        <v>47.038819400024877</v>
      </c>
      <c r="BI41" s="36">
        <f t="shared" ca="1" si="87"/>
        <v>47.460442734457288</v>
      </c>
      <c r="BJ41" s="36">
        <f t="shared" ca="1" si="87"/>
        <v>47.229334563289775</v>
      </c>
      <c r="BK41" s="36">
        <f t="shared" ca="1" si="87"/>
        <v>47.615252393010159</v>
      </c>
      <c r="BL41" s="36">
        <f t="shared" ca="1" si="87"/>
        <v>47.94758730855218</v>
      </c>
      <c r="BM41" s="36">
        <f t="shared" ca="1" si="87"/>
        <v>47.371741308587957</v>
      </c>
      <c r="BN41" s="36">
        <f t="shared" ca="1" si="87"/>
        <v>48.549609290023355</v>
      </c>
      <c r="BO41" s="36">
        <f t="shared" ca="1" si="87"/>
        <v>48.547014513043109</v>
      </c>
      <c r="BP41" s="36">
        <f t="shared" ca="1" si="87"/>
        <v>48.374070779811198</v>
      </c>
      <c r="BQ41" s="36">
        <f t="shared" ref="BQ41:EB44" ca="1" si="94">BP41*EXP(($B$3-$B$4^2/2)*1+$B$4*_xlfn.NORM.S.INV(RAND()))</f>
        <v>47.216904327455197</v>
      </c>
      <c r="BR41" s="36">
        <f t="shared" ca="1" si="94"/>
        <v>46.050508297978375</v>
      </c>
      <c r="BS41" s="36">
        <f t="shared" ca="1" si="94"/>
        <v>46.124832095770685</v>
      </c>
      <c r="BT41" s="36">
        <f t="shared" ca="1" si="94"/>
        <v>45.622593969147438</v>
      </c>
      <c r="BU41" s="36">
        <f t="shared" ca="1" si="94"/>
        <v>45.839262518926205</v>
      </c>
      <c r="BV41" s="36">
        <f t="shared" ca="1" si="94"/>
        <v>46.643199585093335</v>
      </c>
      <c r="BW41" s="36">
        <f t="shared" ca="1" si="94"/>
        <v>46.110018504390453</v>
      </c>
      <c r="BX41" s="36">
        <f t="shared" ca="1" si="94"/>
        <v>46.575804109501384</v>
      </c>
      <c r="BY41" s="36">
        <f t="shared" ca="1" si="94"/>
        <v>46.445931528374018</v>
      </c>
      <c r="BZ41" s="36">
        <f t="shared" ca="1" si="94"/>
        <v>46.336358068005289</v>
      </c>
      <c r="CA41" s="36">
        <f t="shared" ca="1" si="94"/>
        <v>45.814579005453972</v>
      </c>
      <c r="CB41" s="36">
        <f t="shared" ca="1" si="94"/>
        <v>44.967658191426679</v>
      </c>
      <c r="CC41" s="36">
        <f t="shared" ca="1" si="94"/>
        <v>43.883108650399969</v>
      </c>
      <c r="CD41" s="36">
        <f t="shared" ca="1" si="94"/>
        <v>42.974450979278835</v>
      </c>
      <c r="CE41" s="36">
        <f t="shared" ca="1" si="94"/>
        <v>42.780040099663623</v>
      </c>
      <c r="CF41" s="36">
        <f t="shared" ca="1" si="94"/>
        <v>42.917817887645874</v>
      </c>
      <c r="CG41" s="36">
        <f t="shared" ca="1" si="94"/>
        <v>42.344297228074353</v>
      </c>
      <c r="CH41" s="36">
        <f t="shared" ca="1" si="94"/>
        <v>41.436528838530471</v>
      </c>
      <c r="CI41" s="36">
        <f t="shared" ca="1" si="94"/>
        <v>41.390545474644519</v>
      </c>
      <c r="CJ41" s="36">
        <f t="shared" ca="1" si="94"/>
        <v>41.270109312413624</v>
      </c>
      <c r="CK41" s="36">
        <f t="shared" ca="1" si="94"/>
        <v>40.302243767862606</v>
      </c>
      <c r="CL41" s="36">
        <f t="shared" ca="1" si="94"/>
        <v>39.714027880873225</v>
      </c>
      <c r="CM41" s="36">
        <f t="shared" ca="1" si="94"/>
        <v>39.366012622312539</v>
      </c>
      <c r="CN41" s="36">
        <f t="shared" ca="1" si="94"/>
        <v>39.025561005222684</v>
      </c>
      <c r="CO41" s="36">
        <f t="shared" ca="1" si="94"/>
        <v>37.925187697149326</v>
      </c>
      <c r="CP41" s="36">
        <f t="shared" ca="1" si="94"/>
        <v>38.376855664883507</v>
      </c>
      <c r="CQ41" s="36">
        <f t="shared" ca="1" si="94"/>
        <v>38.381181618403808</v>
      </c>
      <c r="CR41" s="36">
        <f t="shared" ca="1" si="94"/>
        <v>38.633467467005218</v>
      </c>
      <c r="CS41" s="36">
        <f t="shared" ca="1" si="94"/>
        <v>38.778916373313074</v>
      </c>
      <c r="CT41" s="36">
        <f t="shared" ca="1" si="94"/>
        <v>39.086395979686174</v>
      </c>
      <c r="CU41" s="36">
        <f t="shared" ca="1" si="94"/>
        <v>38.43868020250639</v>
      </c>
      <c r="CV41" s="36">
        <f t="shared" ca="1" si="94"/>
        <v>38.946859146015498</v>
      </c>
      <c r="CW41" s="36">
        <f t="shared" ca="1" si="94"/>
        <v>39.308454837956333</v>
      </c>
      <c r="CX41" s="36">
        <f t="shared" ca="1" si="94"/>
        <v>40.051257453782064</v>
      </c>
      <c r="CY41" s="36">
        <f t="shared" ca="1" si="94"/>
        <v>40.110770785420961</v>
      </c>
      <c r="CZ41" s="36">
        <f t="shared" ca="1" si="94"/>
        <v>39.925572176702765</v>
      </c>
      <c r="DA41" s="36">
        <f t="shared" ca="1" si="94"/>
        <v>39.349589224044358</v>
      </c>
      <c r="DB41" s="36">
        <f t="shared" ca="1" si="94"/>
        <v>39.197193569097564</v>
      </c>
      <c r="DC41" s="36">
        <f t="shared" ca="1" si="94"/>
        <v>38.932088201648135</v>
      </c>
      <c r="DD41" s="36">
        <f t="shared" ca="1" si="94"/>
        <v>38.883541042032959</v>
      </c>
      <c r="DE41" s="36">
        <f t="shared" ca="1" si="94"/>
        <v>38.738340436434633</v>
      </c>
      <c r="DF41" s="36">
        <f t="shared" ca="1" si="94"/>
        <v>38.356684257753031</v>
      </c>
      <c r="DG41" s="36">
        <f t="shared" ca="1" si="94"/>
        <v>38.852530886422123</v>
      </c>
      <c r="DH41" s="36">
        <f t="shared" ca="1" si="94"/>
        <v>39.037076137655895</v>
      </c>
      <c r="DI41" s="36">
        <f t="shared" ca="1" si="94"/>
        <v>39.144583277395284</v>
      </c>
      <c r="DJ41" s="36">
        <f t="shared" ca="1" si="94"/>
        <v>39.18093905056601</v>
      </c>
      <c r="DK41" s="36">
        <f t="shared" ca="1" si="94"/>
        <v>39.340316788849648</v>
      </c>
      <c r="DL41" s="36">
        <f t="shared" ca="1" si="94"/>
        <v>39.298818422385239</v>
      </c>
      <c r="DM41" s="36">
        <f t="shared" ca="1" si="94"/>
        <v>39.157600274988887</v>
      </c>
      <c r="DN41" s="36">
        <f t="shared" ca="1" si="94"/>
        <v>39.018970077969293</v>
      </c>
      <c r="DO41" s="36">
        <f t="shared" ca="1" si="94"/>
        <v>40.013935628149689</v>
      </c>
      <c r="DP41" s="36">
        <f t="shared" ca="1" si="94"/>
        <v>39.32752065904775</v>
      </c>
      <c r="DQ41" s="36">
        <f t="shared" ca="1" si="94"/>
        <v>39.767040909683075</v>
      </c>
      <c r="DR41" s="36">
        <f t="shared" ca="1" si="94"/>
        <v>40.271642516337103</v>
      </c>
      <c r="DS41" s="36">
        <f t="shared" ca="1" si="94"/>
        <v>40.263866424905494</v>
      </c>
      <c r="DT41" s="36">
        <f t="shared" ca="1" si="94"/>
        <v>40.577067404548764</v>
      </c>
      <c r="DU41" s="36">
        <f t="shared" ca="1" si="94"/>
        <v>40.19214076304209</v>
      </c>
      <c r="DV41" s="36">
        <f t="shared" ca="1" si="94"/>
        <v>40.650540167908581</v>
      </c>
      <c r="DW41" s="36">
        <f t="shared" ca="1" si="94"/>
        <v>40.607060580210401</v>
      </c>
      <c r="DX41" s="36">
        <f t="shared" ca="1" si="94"/>
        <v>40.774214823918783</v>
      </c>
      <c r="DY41" s="36">
        <f t="shared" ca="1" si="94"/>
        <v>41.419473316319312</v>
      </c>
      <c r="DZ41" s="36">
        <f t="shared" ca="1" si="94"/>
        <v>42.080438000506966</v>
      </c>
      <c r="EA41" s="36">
        <f t="shared" ca="1" si="94"/>
        <v>42.283618940011728</v>
      </c>
      <c r="EB41" s="36">
        <f t="shared" ca="1" si="94"/>
        <v>42.40314850151772</v>
      </c>
      <c r="EC41" s="36">
        <f t="shared" ca="1" si="72"/>
        <v>42.84078711989531</v>
      </c>
      <c r="ED41" s="36">
        <f t="shared" ca="1" si="72"/>
        <v>42.625437664394219</v>
      </c>
      <c r="EE41" s="36">
        <f t="shared" ca="1" si="72"/>
        <v>42.040775573470782</v>
      </c>
      <c r="EF41" s="36">
        <f t="shared" ca="1" si="72"/>
        <v>41.663870887889743</v>
      </c>
      <c r="EG41" s="36">
        <f t="shared" ca="1" si="72"/>
        <v>40.786929037358917</v>
      </c>
      <c r="EH41" s="36">
        <f t="shared" ca="1" si="72"/>
        <v>40.967498346590276</v>
      </c>
      <c r="EI41" s="36">
        <f t="shared" ca="1" si="72"/>
        <v>40.802615687412427</v>
      </c>
      <c r="EJ41" s="36">
        <f t="shared" ca="1" si="72"/>
        <v>41.63952266464733</v>
      </c>
      <c r="EK41" s="36">
        <f t="shared" ca="1" si="72"/>
        <v>41.3197924444992</v>
      </c>
      <c r="EL41" s="36">
        <f t="shared" ca="1" si="72"/>
        <v>42.070459294224648</v>
      </c>
      <c r="EM41" s="36">
        <f t="shared" ca="1" si="72"/>
        <v>41.47338028541585</v>
      </c>
      <c r="EN41" s="36">
        <f t="shared" ca="1" si="72"/>
        <v>41.721149312050876</v>
      </c>
      <c r="EO41" s="36">
        <f t="shared" ca="1" si="72"/>
        <v>41.318887289544243</v>
      </c>
      <c r="EP41" s="36">
        <f t="shared" ca="1" si="72"/>
        <v>40.735525290644567</v>
      </c>
      <c r="EQ41" s="36">
        <f t="shared" ca="1" si="72"/>
        <v>40.191091716472513</v>
      </c>
      <c r="ER41" s="36">
        <f t="shared" ca="1" si="72"/>
        <v>39.624066901136793</v>
      </c>
      <c r="ES41" s="36">
        <f t="shared" ca="1" si="72"/>
        <v>39.607737557356359</v>
      </c>
      <c r="ET41" s="36">
        <f t="shared" ca="1" si="72"/>
        <v>39.482363733090935</v>
      </c>
      <c r="EU41" s="36">
        <f t="shared" ca="1" si="72"/>
        <v>38.753621632545148</v>
      </c>
      <c r="EV41" s="36">
        <f t="shared" ca="1" si="72"/>
        <v>39.238654241315004</v>
      </c>
      <c r="EW41" s="36">
        <f t="shared" ref="EW41" ca="1" si="95">EV41*EXP(($B$3-$B$4^2/2)*1+$B$4*_xlfn.NORM.S.INV(RAND()))</f>
        <v>38.954021402265376</v>
      </c>
      <c r="EX41" s="36">
        <f t="shared" ca="1" si="88"/>
        <v>39.210056077369622</v>
      </c>
      <c r="EY41" s="36">
        <f t="shared" ca="1" si="88"/>
        <v>38.478787632680131</v>
      </c>
      <c r="EZ41" s="36">
        <f t="shared" ca="1" si="88"/>
        <v>39.41460736438713</v>
      </c>
      <c r="FA41" s="36">
        <f t="shared" ca="1" si="88"/>
        <v>39.704775847688381</v>
      </c>
      <c r="FB41" s="36">
        <f t="shared" ca="1" si="88"/>
        <v>40.395969477670498</v>
      </c>
      <c r="FC41" s="36">
        <f t="shared" ca="1" si="88"/>
        <v>39.874042908554621</v>
      </c>
      <c r="FD41" s="36">
        <f t="shared" ca="1" si="88"/>
        <v>39.861973847954154</v>
      </c>
      <c r="FE41" s="36">
        <f t="shared" ca="1" si="88"/>
        <v>39.44760387985945</v>
      </c>
      <c r="FF41" s="36">
        <f t="shared" ca="1" si="88"/>
        <v>39.367657433770859</v>
      </c>
      <c r="FG41" s="36">
        <f t="shared" ca="1" si="88"/>
        <v>39.191867130539407</v>
      </c>
      <c r="FH41" s="36">
        <f t="shared" ca="1" si="88"/>
        <v>40.150446710729554</v>
      </c>
      <c r="FI41" s="36">
        <f t="shared" ca="1" si="88"/>
        <v>39.789147805645875</v>
      </c>
      <c r="FJ41" s="36">
        <f t="shared" ca="1" si="88"/>
        <v>39.698988441005092</v>
      </c>
      <c r="FK41" s="36">
        <f t="shared" ca="1" si="88"/>
        <v>39.369066601516195</v>
      </c>
      <c r="FL41" s="36">
        <f t="shared" ca="1" si="88"/>
        <v>39.39154573759928</v>
      </c>
      <c r="FM41" s="36">
        <f t="shared" ca="1" si="88"/>
        <v>39.028632313425135</v>
      </c>
      <c r="FN41" s="36">
        <f t="shared" ca="1" si="88"/>
        <v>39.021379866250442</v>
      </c>
      <c r="FO41" s="36">
        <f t="shared" ca="1" si="88"/>
        <v>38.820777648640274</v>
      </c>
      <c r="FP41" s="36">
        <f t="shared" ca="1" si="88"/>
        <v>37.743419491056883</v>
      </c>
      <c r="FQ41" s="36">
        <f t="shared" ca="1" si="88"/>
        <v>37.540861454830093</v>
      </c>
      <c r="FR41" s="36">
        <f t="shared" ca="1" si="88"/>
        <v>36.907818563624559</v>
      </c>
      <c r="FS41" s="36">
        <f t="shared" ca="1" si="88"/>
        <v>36.550990466913937</v>
      </c>
      <c r="FT41" s="36">
        <f t="shared" ca="1" si="88"/>
        <v>36.23313849020397</v>
      </c>
      <c r="FU41" s="36">
        <f t="shared" ca="1" si="88"/>
        <v>35.875600249541826</v>
      </c>
      <c r="FV41" s="36">
        <f t="shared" ca="1" si="88"/>
        <v>36.828877276880682</v>
      </c>
      <c r="FW41" s="36">
        <f t="shared" ca="1" si="88"/>
        <v>36.797928817209041</v>
      </c>
      <c r="FX41" s="36">
        <f t="shared" ca="1" si="88"/>
        <v>36.103595235439549</v>
      </c>
      <c r="FY41" s="36">
        <f t="shared" ca="1" si="88"/>
        <v>36.023115556654005</v>
      </c>
      <c r="FZ41" s="36">
        <f t="shared" ca="1" si="88"/>
        <v>35.541780649599289</v>
      </c>
      <c r="GA41" s="36">
        <f t="shared" ca="1" si="88"/>
        <v>34.875375403045254</v>
      </c>
      <c r="GB41" s="36">
        <f t="shared" ca="1" si="88"/>
        <v>33.728710054280576</v>
      </c>
      <c r="GC41" s="36">
        <f t="shared" ca="1" si="88"/>
        <v>33.604180047873506</v>
      </c>
      <c r="GD41" s="36">
        <f t="shared" ca="1" si="88"/>
        <v>34.064217380723868</v>
      </c>
      <c r="GE41" s="36">
        <f t="shared" ca="1" si="88"/>
        <v>33.672344617439201</v>
      </c>
      <c r="GF41" s="36">
        <f t="shared" ca="1" si="88"/>
        <v>34.092396578033423</v>
      </c>
      <c r="GG41" s="36">
        <f t="shared" ca="1" si="88"/>
        <v>33.618079050882713</v>
      </c>
      <c r="GH41" s="36">
        <f t="shared" ca="1" si="88"/>
        <v>34.548808212260035</v>
      </c>
      <c r="GI41" s="36">
        <f t="shared" ca="1" si="88"/>
        <v>34.275879151778007</v>
      </c>
      <c r="GJ41" s="36">
        <f t="shared" ca="1" si="88"/>
        <v>33.905435891891742</v>
      </c>
      <c r="GK41" s="36">
        <f t="shared" ca="1" si="88"/>
        <v>34.18336782662908</v>
      </c>
      <c r="GL41" s="36">
        <f t="shared" ca="1" si="88"/>
        <v>34.09761271611201</v>
      </c>
      <c r="GM41" s="36">
        <f t="shared" ca="1" si="88"/>
        <v>35.108465019086921</v>
      </c>
      <c r="GN41" s="36">
        <f t="shared" ca="1" si="88"/>
        <v>35.641311979727334</v>
      </c>
      <c r="GO41" s="36">
        <f t="shared" ca="1" si="88"/>
        <v>35.000584167482437</v>
      </c>
      <c r="GP41" s="36">
        <f t="shared" ca="1" si="88"/>
        <v>35.127403185574451</v>
      </c>
      <c r="GQ41" s="36">
        <f t="shared" ca="1" si="88"/>
        <v>34.337937044038135</v>
      </c>
      <c r="GR41" s="36">
        <f t="shared" ca="1" si="88"/>
        <v>33.812307517229591</v>
      </c>
      <c r="GS41" s="36">
        <f t="shared" ca="1" si="88"/>
        <v>33.73041711703894</v>
      </c>
      <c r="GT41" s="36">
        <f t="shared" ca="1" si="88"/>
        <v>33.523003043016637</v>
      </c>
      <c r="GU41" s="36">
        <f t="shared" ca="1" si="88"/>
        <v>33.667596981629195</v>
      </c>
      <c r="GV41" s="36">
        <f t="shared" ca="1" si="88"/>
        <v>34.298073523843016</v>
      </c>
      <c r="GW41" s="36">
        <f t="shared" ca="1" si="88"/>
        <v>33.663293335350005</v>
      </c>
      <c r="GX41" s="36">
        <f t="shared" ca="1" si="88"/>
        <v>33.007558213927901</v>
      </c>
      <c r="GY41" s="36">
        <f t="shared" ca="1" si="88"/>
        <v>32.924082861850962</v>
      </c>
      <c r="GZ41" s="36">
        <f t="shared" ca="1" si="88"/>
        <v>31.743889755228558</v>
      </c>
      <c r="HA41" s="36">
        <f t="shared" ca="1" si="88"/>
        <v>31.997250208067374</v>
      </c>
      <c r="HB41" s="36">
        <f t="shared" ca="1" si="88"/>
        <v>31.964758916786725</v>
      </c>
      <c r="HC41" s="36">
        <f t="shared" ca="1" si="88"/>
        <v>32.489794784292535</v>
      </c>
      <c r="HD41" s="36">
        <f t="shared" ca="1" si="88"/>
        <v>32.041483101991787</v>
      </c>
      <c r="HE41" s="36">
        <f t="shared" ca="1" si="88"/>
        <v>32.714289976075733</v>
      </c>
      <c r="HF41" s="36">
        <f t="shared" ca="1" si="88"/>
        <v>32.971388150620328</v>
      </c>
      <c r="HG41" s="36">
        <f t="shared" ca="1" si="88"/>
        <v>32.917501897041475</v>
      </c>
      <c r="HH41" s="36">
        <f t="shared" ca="1" si="88"/>
        <v>33.380194234244932</v>
      </c>
      <c r="HI41" s="36">
        <f t="shared" ref="HI41:HT41" ca="1" si="96">HH41*EXP(($B$3-$B$4^2/2)*1+$B$4*_xlfn.NORM.S.INV(RAND()))</f>
        <v>33.418674998539466</v>
      </c>
      <c r="HJ41" s="36">
        <f t="shared" ca="1" si="96"/>
        <v>34.020846683342228</v>
      </c>
      <c r="HK41" s="36">
        <f t="shared" ca="1" si="96"/>
        <v>33.815908178611359</v>
      </c>
      <c r="HL41" s="36">
        <f t="shared" ca="1" si="96"/>
        <v>34.430664334011695</v>
      </c>
      <c r="HM41" s="36">
        <f t="shared" ca="1" si="96"/>
        <v>34.499141019487553</v>
      </c>
      <c r="HN41" s="36">
        <f t="shared" ca="1" si="96"/>
        <v>35.297241841321046</v>
      </c>
      <c r="HO41" s="36">
        <f t="shared" ca="1" si="96"/>
        <v>35.156229807894924</v>
      </c>
      <c r="HP41" s="36">
        <f t="shared" ca="1" si="96"/>
        <v>35.472909085975623</v>
      </c>
      <c r="HQ41" s="36">
        <f t="shared" ca="1" si="96"/>
        <v>35.587340718802217</v>
      </c>
      <c r="HR41" s="36">
        <f t="shared" ca="1" si="96"/>
        <v>36.126361698591019</v>
      </c>
      <c r="HS41" s="36">
        <f t="shared" ca="1" si="96"/>
        <v>36.767195807099853</v>
      </c>
      <c r="HT41" s="36">
        <f t="shared" ca="1" si="96"/>
        <v>36.278401000941756</v>
      </c>
      <c r="HU41" s="36">
        <f t="shared" ca="1" si="80"/>
        <v>36.171492378214737</v>
      </c>
      <c r="HV41" s="36">
        <f t="shared" ca="1" si="80"/>
        <v>35.182905954999249</v>
      </c>
      <c r="HW41" s="36">
        <f t="shared" ca="1" si="80"/>
        <v>35.212604137903462</v>
      </c>
      <c r="HX41" s="36">
        <f t="shared" ca="1" si="80"/>
        <v>35.039407771778066</v>
      </c>
      <c r="HY41" s="36">
        <f t="shared" ca="1" si="80"/>
        <v>34.490711427996516</v>
      </c>
      <c r="HZ41" s="36">
        <f t="shared" ca="1" si="80"/>
        <v>34.418866015893009</v>
      </c>
      <c r="IA41" s="36">
        <f t="shared" ca="1" si="80"/>
        <v>35.326287601119255</v>
      </c>
      <c r="IB41" s="36">
        <f t="shared" ca="1" si="80"/>
        <v>35.724075850270083</v>
      </c>
      <c r="IC41" s="36">
        <f t="shared" ca="1" si="80"/>
        <v>35.712489192187803</v>
      </c>
      <c r="ID41" s="36">
        <f t="shared" ca="1" si="80"/>
        <v>35.420614265751574</v>
      </c>
      <c r="IE41" s="36">
        <f t="shared" ca="1" si="80"/>
        <v>35.836325377060007</v>
      </c>
      <c r="IF41" s="36">
        <f t="shared" ca="1" si="80"/>
        <v>35.805216653687708</v>
      </c>
      <c r="IG41" s="36">
        <f t="shared" ca="1" si="80"/>
        <v>36.764622267841695</v>
      </c>
      <c r="IH41" s="36">
        <f t="shared" ca="1" si="80"/>
        <v>36.731074945877538</v>
      </c>
      <c r="II41" s="36">
        <f t="shared" ca="1" si="80"/>
        <v>36.544501394090609</v>
      </c>
      <c r="IJ41" s="36">
        <f t="shared" ca="1" si="80"/>
        <v>36.485144411089763</v>
      </c>
      <c r="IK41" s="36">
        <f t="shared" ca="1" si="80"/>
        <v>36.367497097329384</v>
      </c>
      <c r="IL41" s="36">
        <f t="shared" ca="1" si="80"/>
        <v>36.862283601766862</v>
      </c>
      <c r="IM41" s="36">
        <f t="shared" ca="1" si="80"/>
        <v>36.5777582547843</v>
      </c>
      <c r="IN41" s="36">
        <f t="shared" ca="1" si="80"/>
        <v>36.920702588109833</v>
      </c>
      <c r="IO41" s="36">
        <f t="shared" ca="1" si="80"/>
        <v>37.287917468907914</v>
      </c>
      <c r="IP41" s="36">
        <f t="shared" ca="1" si="80"/>
        <v>36.686414498536102</v>
      </c>
      <c r="IQ41" s="36">
        <f t="shared" ca="1" si="80"/>
        <v>37.27889159971982</v>
      </c>
      <c r="IR41" s="36">
        <f t="shared" ca="1" si="80"/>
        <v>36.903944222916152</v>
      </c>
      <c r="IS41" s="36">
        <f t="shared" ca="1" si="80"/>
        <v>37.052421670164151</v>
      </c>
      <c r="IT41" s="36">
        <f t="shared" ca="1" si="80"/>
        <v>36.832436879826638</v>
      </c>
      <c r="IU41" s="36">
        <f t="shared" ca="1" si="80"/>
        <v>35.835314831027389</v>
      </c>
    </row>
    <row r="42" spans="1:255" x14ac:dyDescent="0.2">
      <c r="A42" s="36"/>
      <c r="B42">
        <v>32</v>
      </c>
      <c r="C42" s="36">
        <v>50</v>
      </c>
      <c r="D42" s="36">
        <f t="shared" ca="1" si="14"/>
        <v>50.188062874325837</v>
      </c>
      <c r="E42" s="36">
        <f t="shared" ca="1" si="14"/>
        <v>51.23743186161196</v>
      </c>
      <c r="F42" s="36">
        <f t="shared" ref="F42:BQ45" ca="1" si="97">E42*EXP(($B$3-$B$4^2/2)*1+$B$4*_xlfn.NORM.S.INV(RAND()))</f>
        <v>50.337317407091824</v>
      </c>
      <c r="G42" s="36">
        <f t="shared" ca="1" si="97"/>
        <v>50.966049350578885</v>
      </c>
      <c r="H42" s="36">
        <f t="shared" ca="1" si="97"/>
        <v>50.739970643399772</v>
      </c>
      <c r="I42" s="36">
        <f t="shared" ca="1" si="97"/>
        <v>50.617152715194578</v>
      </c>
      <c r="J42" s="36">
        <f t="shared" ca="1" si="97"/>
        <v>50.054814923802368</v>
      </c>
      <c r="K42" s="36">
        <f t="shared" ca="1" si="97"/>
        <v>49.546776611951273</v>
      </c>
      <c r="L42" s="36">
        <f t="shared" ca="1" si="97"/>
        <v>48.466073611719004</v>
      </c>
      <c r="M42" s="36">
        <f t="shared" ca="1" si="97"/>
        <v>48.699361260726398</v>
      </c>
      <c r="N42" s="36">
        <f t="shared" ca="1" si="97"/>
        <v>48.714770915076357</v>
      </c>
      <c r="O42" s="36">
        <f t="shared" ca="1" si="97"/>
        <v>48.698713708401343</v>
      </c>
      <c r="P42" s="36">
        <f t="shared" ca="1" si="97"/>
        <v>47.986194416398433</v>
      </c>
      <c r="Q42" s="36">
        <f t="shared" ca="1" si="97"/>
        <v>47.352409432820863</v>
      </c>
      <c r="R42" s="36">
        <f t="shared" ca="1" si="97"/>
        <v>48.027280920449073</v>
      </c>
      <c r="S42" s="36">
        <f t="shared" ca="1" si="97"/>
        <v>48.303911071343833</v>
      </c>
      <c r="T42" s="36">
        <f t="shared" ca="1" si="97"/>
        <v>49.049587214732291</v>
      </c>
      <c r="U42" s="36">
        <f t="shared" ca="1" si="97"/>
        <v>48.826316285306632</v>
      </c>
      <c r="V42" s="36">
        <f t="shared" ca="1" si="97"/>
        <v>48.70115610555419</v>
      </c>
      <c r="W42" s="36">
        <f t="shared" ca="1" si="97"/>
        <v>48.782273401038481</v>
      </c>
      <c r="X42" s="36">
        <f t="shared" ca="1" si="97"/>
        <v>48.04396956342206</v>
      </c>
      <c r="Y42" s="36">
        <f t="shared" ca="1" si="97"/>
        <v>48.043316169487632</v>
      </c>
      <c r="Z42" s="36">
        <f t="shared" ca="1" si="97"/>
        <v>48.628022070631438</v>
      </c>
      <c r="AA42" s="36">
        <f t="shared" ca="1" si="97"/>
        <v>48.37694487239569</v>
      </c>
      <c r="AB42" s="36">
        <f t="shared" ca="1" si="97"/>
        <v>47.960848987835917</v>
      </c>
      <c r="AC42" s="36">
        <f t="shared" ca="1" si="97"/>
        <v>48.009571361078294</v>
      </c>
      <c r="AD42" s="36">
        <f t="shared" ca="1" si="97"/>
        <v>48.135214287338854</v>
      </c>
      <c r="AE42" s="36">
        <f t="shared" ca="1" si="97"/>
        <v>48.310245426489033</v>
      </c>
      <c r="AF42" s="36">
        <f t="shared" ca="1" si="97"/>
        <v>47.998419148508027</v>
      </c>
      <c r="AG42" s="36">
        <f t="shared" ca="1" si="97"/>
        <v>47.20962393346872</v>
      </c>
      <c r="AH42" s="36">
        <f t="shared" ca="1" si="97"/>
        <v>47.269150366291903</v>
      </c>
      <c r="AI42" s="36">
        <f t="shared" ca="1" si="97"/>
        <v>47.313200413956345</v>
      </c>
      <c r="AJ42" s="36">
        <f t="shared" ca="1" si="97"/>
        <v>47.882938468498239</v>
      </c>
      <c r="AK42" s="36">
        <f t="shared" ca="1" si="97"/>
        <v>47.480544292253441</v>
      </c>
      <c r="AL42" s="36">
        <f t="shared" ca="1" si="97"/>
        <v>47.813860632831094</v>
      </c>
      <c r="AM42" s="36">
        <f t="shared" ca="1" si="97"/>
        <v>47.466223076345486</v>
      </c>
      <c r="AN42" s="36">
        <f t="shared" ca="1" si="97"/>
        <v>47.762817719300898</v>
      </c>
      <c r="AO42" s="36">
        <f t="shared" ca="1" si="97"/>
        <v>46.357733156897105</v>
      </c>
      <c r="AP42" s="36">
        <f t="shared" ca="1" si="97"/>
        <v>46.320951056726678</v>
      </c>
      <c r="AQ42" s="36">
        <f t="shared" ca="1" si="97"/>
        <v>47.077808140711532</v>
      </c>
      <c r="AR42" s="36">
        <f t="shared" ca="1" si="97"/>
        <v>46.191732755423125</v>
      </c>
      <c r="AS42" s="36">
        <f t="shared" ca="1" si="97"/>
        <v>46.517706619997199</v>
      </c>
      <c r="AT42" s="36">
        <f t="shared" ca="1" si="97"/>
        <v>47.61001112138927</v>
      </c>
      <c r="AU42" s="36">
        <f t="shared" ca="1" si="97"/>
        <v>47.500377471503363</v>
      </c>
      <c r="AV42" s="36">
        <f t="shared" ca="1" si="97"/>
        <v>49.369441212031248</v>
      </c>
      <c r="AW42" s="36">
        <f t="shared" ca="1" si="97"/>
        <v>49.099657063372675</v>
      </c>
      <c r="AX42" s="36">
        <f t="shared" ca="1" si="97"/>
        <v>48.261518004012551</v>
      </c>
      <c r="AY42" s="36">
        <f t="shared" ca="1" si="97"/>
        <v>48.388772117963676</v>
      </c>
      <c r="AZ42" s="36">
        <f t="shared" ca="1" si="97"/>
        <v>48.230945991159217</v>
      </c>
      <c r="BA42" s="36">
        <f t="shared" ca="1" si="97"/>
        <v>47.768055698467805</v>
      </c>
      <c r="BB42" s="36">
        <f t="shared" ca="1" si="97"/>
        <v>47.632291220375265</v>
      </c>
      <c r="BC42" s="36">
        <f t="shared" ca="1" si="97"/>
        <v>47.396365366723664</v>
      </c>
      <c r="BD42" s="36">
        <f t="shared" ca="1" si="97"/>
        <v>47.700384593486689</v>
      </c>
      <c r="BE42" s="36">
        <f t="shared" ca="1" si="97"/>
        <v>47.615147161415081</v>
      </c>
      <c r="BF42" s="36">
        <f t="shared" ca="1" si="97"/>
        <v>46.884224677235025</v>
      </c>
      <c r="BG42" s="36">
        <f t="shared" ca="1" si="97"/>
        <v>46.687739828785752</v>
      </c>
      <c r="BH42" s="36">
        <f t="shared" ca="1" si="97"/>
        <v>46.681168124734178</v>
      </c>
      <c r="BI42" s="36">
        <f t="shared" ca="1" si="97"/>
        <v>47.193826268962098</v>
      </c>
      <c r="BJ42" s="36">
        <f t="shared" ca="1" si="97"/>
        <v>47.384287723630827</v>
      </c>
      <c r="BK42" s="36">
        <f t="shared" ca="1" si="97"/>
        <v>47.948606400737482</v>
      </c>
      <c r="BL42" s="36">
        <f t="shared" ca="1" si="97"/>
        <v>48.522185857228742</v>
      </c>
      <c r="BM42" s="36">
        <f t="shared" ca="1" si="97"/>
        <v>48.304025696222816</v>
      </c>
      <c r="BN42" s="36">
        <f t="shared" ca="1" si="97"/>
        <v>47.901860039339134</v>
      </c>
      <c r="BO42" s="36">
        <f t="shared" ca="1" si="97"/>
        <v>46.737113185734941</v>
      </c>
      <c r="BP42" s="36">
        <f t="shared" ca="1" si="97"/>
        <v>46.188840805153305</v>
      </c>
      <c r="BQ42" s="36">
        <f t="shared" ca="1" si="97"/>
        <v>46.406565591512525</v>
      </c>
      <c r="BR42" s="36">
        <f t="shared" ca="1" si="94"/>
        <v>47.106448053686833</v>
      </c>
      <c r="BS42" s="36">
        <f t="shared" ca="1" si="94"/>
        <v>47.929389855314852</v>
      </c>
      <c r="BT42" s="36">
        <f t="shared" ca="1" si="94"/>
        <v>47.357879938950333</v>
      </c>
      <c r="BU42" s="36">
        <f t="shared" ca="1" si="94"/>
        <v>47.761078216446236</v>
      </c>
      <c r="BV42" s="36">
        <f t="shared" ca="1" si="94"/>
        <v>48.152051957775953</v>
      </c>
      <c r="BW42" s="36">
        <f t="shared" ca="1" si="94"/>
        <v>47.410321248378189</v>
      </c>
      <c r="BX42" s="36">
        <f t="shared" ca="1" si="94"/>
        <v>48.501336064015767</v>
      </c>
      <c r="BY42" s="36">
        <f t="shared" ca="1" si="94"/>
        <v>48.019737899132799</v>
      </c>
      <c r="BZ42" s="36">
        <f t="shared" ca="1" si="94"/>
        <v>49.021951179100952</v>
      </c>
      <c r="CA42" s="36">
        <f t="shared" ca="1" si="94"/>
        <v>48.616833288988261</v>
      </c>
      <c r="CB42" s="36">
        <f t="shared" ca="1" si="94"/>
        <v>48.226950226608167</v>
      </c>
      <c r="CC42" s="36">
        <f t="shared" ca="1" si="94"/>
        <v>48.077516398602178</v>
      </c>
      <c r="CD42" s="36">
        <f t="shared" ca="1" si="94"/>
        <v>48.833723965475237</v>
      </c>
      <c r="CE42" s="36">
        <f t="shared" ca="1" si="94"/>
        <v>48.059094792496943</v>
      </c>
      <c r="CF42" s="36">
        <f t="shared" ca="1" si="94"/>
        <v>48.387911919583672</v>
      </c>
      <c r="CG42" s="36">
        <f t="shared" ca="1" si="94"/>
        <v>47.705328206564822</v>
      </c>
      <c r="CH42" s="36">
        <f t="shared" ca="1" si="94"/>
        <v>48.207363914067358</v>
      </c>
      <c r="CI42" s="36">
        <f t="shared" ca="1" si="94"/>
        <v>49.154774472163133</v>
      </c>
      <c r="CJ42" s="36">
        <f t="shared" ca="1" si="94"/>
        <v>49.294274901477095</v>
      </c>
      <c r="CK42" s="36">
        <f t="shared" ca="1" si="94"/>
        <v>49.539400565275841</v>
      </c>
      <c r="CL42" s="36">
        <f t="shared" ca="1" si="94"/>
        <v>48.756252809505575</v>
      </c>
      <c r="CM42" s="36">
        <f t="shared" ca="1" si="94"/>
        <v>48.128152489154857</v>
      </c>
      <c r="CN42" s="36">
        <f t="shared" ca="1" si="94"/>
        <v>48.468505489814127</v>
      </c>
      <c r="CO42" s="36">
        <f t="shared" ca="1" si="94"/>
        <v>48.962620271367115</v>
      </c>
      <c r="CP42" s="36">
        <f t="shared" ca="1" si="94"/>
        <v>48.410100575829055</v>
      </c>
      <c r="CQ42" s="36">
        <f t="shared" ca="1" si="94"/>
        <v>48.674110136021007</v>
      </c>
      <c r="CR42" s="36">
        <f t="shared" ca="1" si="94"/>
        <v>48.407114608953194</v>
      </c>
      <c r="CS42" s="36">
        <f t="shared" ca="1" si="94"/>
        <v>48.031882386597523</v>
      </c>
      <c r="CT42" s="36">
        <f t="shared" ca="1" si="94"/>
        <v>48.864629881416043</v>
      </c>
      <c r="CU42" s="36">
        <f t="shared" ca="1" si="94"/>
        <v>48.268931240388369</v>
      </c>
      <c r="CV42" s="36">
        <f t="shared" ca="1" si="94"/>
        <v>47.166148673034748</v>
      </c>
      <c r="CW42" s="36">
        <f t="shared" ca="1" si="94"/>
        <v>47.988879626699664</v>
      </c>
      <c r="CX42" s="36">
        <f t="shared" ca="1" si="94"/>
        <v>47.844062447137311</v>
      </c>
      <c r="CY42" s="36">
        <f t="shared" ca="1" si="94"/>
        <v>48.408963566376407</v>
      </c>
      <c r="CZ42" s="36">
        <f t="shared" ca="1" si="94"/>
        <v>48.935648285863394</v>
      </c>
      <c r="DA42" s="36">
        <f t="shared" ca="1" si="94"/>
        <v>48.571419488519886</v>
      </c>
      <c r="DB42" s="36">
        <f t="shared" ca="1" si="94"/>
        <v>47.70184280305461</v>
      </c>
      <c r="DC42" s="36">
        <f t="shared" ca="1" si="94"/>
        <v>47.549011443462661</v>
      </c>
      <c r="DD42" s="36">
        <f t="shared" ca="1" si="94"/>
        <v>47.803592897308135</v>
      </c>
      <c r="DE42" s="36">
        <f t="shared" ca="1" si="94"/>
        <v>48.249531380336293</v>
      </c>
      <c r="DF42" s="36">
        <f t="shared" ca="1" si="94"/>
        <v>49.050418090805678</v>
      </c>
      <c r="DG42" s="36">
        <f t="shared" ca="1" si="94"/>
        <v>49.487451796661425</v>
      </c>
      <c r="DH42" s="36">
        <f t="shared" ca="1" si="94"/>
        <v>50.486486226354657</v>
      </c>
      <c r="DI42" s="36">
        <f t="shared" ca="1" si="94"/>
        <v>49.92062352109626</v>
      </c>
      <c r="DJ42" s="36">
        <f t="shared" ca="1" si="94"/>
        <v>49.614254855617361</v>
      </c>
      <c r="DK42" s="36">
        <f t="shared" ca="1" si="94"/>
        <v>49.19742636441989</v>
      </c>
      <c r="DL42" s="36">
        <f t="shared" ca="1" si="94"/>
        <v>48.770210211804695</v>
      </c>
      <c r="DM42" s="36">
        <f t="shared" ca="1" si="94"/>
        <v>49.691853627432558</v>
      </c>
      <c r="DN42" s="36">
        <f t="shared" ca="1" si="94"/>
        <v>49.172931617919787</v>
      </c>
      <c r="DO42" s="36">
        <f t="shared" ca="1" si="94"/>
        <v>48.834991770409154</v>
      </c>
      <c r="DP42" s="36">
        <f t="shared" ca="1" si="94"/>
        <v>49.588429099590385</v>
      </c>
      <c r="DQ42" s="36">
        <f t="shared" ca="1" si="94"/>
        <v>48.572898533523819</v>
      </c>
      <c r="DR42" s="36">
        <f t="shared" ca="1" si="94"/>
        <v>47.829293553711018</v>
      </c>
      <c r="DS42" s="36">
        <f t="shared" ca="1" si="94"/>
        <v>49.165393942888961</v>
      </c>
      <c r="DT42" s="36">
        <f t="shared" ca="1" si="94"/>
        <v>48.580207961535912</v>
      </c>
      <c r="DU42" s="36">
        <f t="shared" ca="1" si="94"/>
        <v>49.079109048959076</v>
      </c>
      <c r="DV42" s="36">
        <f t="shared" ca="1" si="94"/>
        <v>48.222127805012065</v>
      </c>
      <c r="DW42" s="36">
        <f t="shared" ca="1" si="94"/>
        <v>48.391054047298269</v>
      </c>
      <c r="DX42" s="36">
        <f t="shared" ca="1" si="94"/>
        <v>48.428932703788178</v>
      </c>
      <c r="DY42" s="36">
        <f t="shared" ca="1" si="94"/>
        <v>50.155669985664424</v>
      </c>
      <c r="DZ42" s="36">
        <f t="shared" ca="1" si="94"/>
        <v>49.868623123466143</v>
      </c>
      <c r="EA42" s="36">
        <f t="shared" ca="1" si="94"/>
        <v>50.379302808808717</v>
      </c>
      <c r="EB42" s="36">
        <f t="shared" ca="1" si="94"/>
        <v>51.856750772576405</v>
      </c>
      <c r="EC42" s="36">
        <f t="shared" ca="1" si="72"/>
        <v>52.743251090038697</v>
      </c>
      <c r="ED42" s="36">
        <f t="shared" ca="1" si="72"/>
        <v>53.244403488497241</v>
      </c>
      <c r="EE42" s="36">
        <f t="shared" ca="1" si="72"/>
        <v>53.193172241971318</v>
      </c>
      <c r="EF42" s="36">
        <f t="shared" ca="1" si="72"/>
        <v>52.791854899303068</v>
      </c>
      <c r="EG42" s="36">
        <f t="shared" ca="1" si="72"/>
        <v>53.302697785258239</v>
      </c>
      <c r="EH42" s="36">
        <f t="shared" ca="1" si="72"/>
        <v>52.803730866292405</v>
      </c>
      <c r="EI42" s="36">
        <f t="shared" ca="1" si="72"/>
        <v>53.760579739706813</v>
      </c>
      <c r="EJ42" s="36">
        <f t="shared" ca="1" si="72"/>
        <v>53.538487639962547</v>
      </c>
      <c r="EK42" s="36">
        <f t="shared" ca="1" si="72"/>
        <v>53.119470724592595</v>
      </c>
      <c r="EL42" s="36">
        <f t="shared" ca="1" si="72"/>
        <v>52.297982326607944</v>
      </c>
      <c r="EM42" s="36">
        <f t="shared" ca="1" si="72"/>
        <v>52.632762181776549</v>
      </c>
      <c r="EN42" s="36">
        <f t="shared" ca="1" si="72"/>
        <v>53.471743108588221</v>
      </c>
      <c r="EO42" s="36">
        <f t="shared" ca="1" si="72"/>
        <v>52.846482103089016</v>
      </c>
      <c r="EP42" s="36">
        <f t="shared" ca="1" si="72"/>
        <v>52.749062970909115</v>
      </c>
      <c r="EQ42" s="36">
        <f t="shared" ca="1" si="72"/>
        <v>52.790533721096345</v>
      </c>
      <c r="ER42" s="36">
        <f t="shared" ca="1" si="72"/>
        <v>52.726931462234916</v>
      </c>
      <c r="ES42" s="36">
        <f t="shared" ca="1" si="72"/>
        <v>53.014490248386132</v>
      </c>
      <c r="ET42" s="36">
        <f t="shared" ca="1" si="72"/>
        <v>52.822215153211836</v>
      </c>
      <c r="EU42" s="36">
        <f t="shared" ca="1" si="72"/>
        <v>52.522214624865512</v>
      </c>
      <c r="EV42" s="36">
        <f t="shared" ca="1" si="72"/>
        <v>52.272220622143706</v>
      </c>
      <c r="EW42" s="36">
        <f t="shared" ref="EW42" ca="1" si="98">EV42*EXP(($B$3-$B$4^2/2)*1+$B$4*_xlfn.NORM.S.INV(RAND()))</f>
        <v>53.654119577809951</v>
      </c>
      <c r="EX42" s="36">
        <f t="shared" ca="1" si="88"/>
        <v>53.424285226951213</v>
      </c>
      <c r="EY42" s="36">
        <f t="shared" ca="1" si="88"/>
        <v>53.901055619995745</v>
      </c>
      <c r="EZ42" s="36">
        <f t="shared" ref="EZ42:HK44" ca="1" si="99">EY42*EXP(($B$3-$B$4^2/2)*1+$B$4*_xlfn.NORM.S.INV(RAND()))</f>
        <v>53.291695093136944</v>
      </c>
      <c r="FA42" s="36">
        <f t="shared" ca="1" si="99"/>
        <v>52.696161776681976</v>
      </c>
      <c r="FB42" s="36">
        <f t="shared" ca="1" si="99"/>
        <v>52.450838089730013</v>
      </c>
      <c r="FC42" s="36">
        <f t="shared" ca="1" si="99"/>
        <v>52.904686828111657</v>
      </c>
      <c r="FD42" s="36">
        <f t="shared" ca="1" si="99"/>
        <v>53.074111035172017</v>
      </c>
      <c r="FE42" s="36">
        <f t="shared" ca="1" si="99"/>
        <v>54.36404886015027</v>
      </c>
      <c r="FF42" s="36">
        <f t="shared" ca="1" si="99"/>
        <v>55.91701726421384</v>
      </c>
      <c r="FG42" s="36">
        <f t="shared" ca="1" si="99"/>
        <v>54.798764756313759</v>
      </c>
      <c r="FH42" s="36">
        <f t="shared" ca="1" si="99"/>
        <v>53.465724005297425</v>
      </c>
      <c r="FI42" s="36">
        <f t="shared" ca="1" si="99"/>
        <v>53.201600163992737</v>
      </c>
      <c r="FJ42" s="36">
        <f t="shared" ca="1" si="99"/>
        <v>53.378450311659414</v>
      </c>
      <c r="FK42" s="36">
        <f t="shared" ca="1" si="99"/>
        <v>52.677258814266693</v>
      </c>
      <c r="FL42" s="36">
        <f t="shared" ca="1" si="99"/>
        <v>52.137492553556513</v>
      </c>
      <c r="FM42" s="36">
        <f t="shared" ca="1" si="99"/>
        <v>51.8744309729965</v>
      </c>
      <c r="FN42" s="36">
        <f t="shared" ca="1" si="99"/>
        <v>52.551466837041914</v>
      </c>
      <c r="FO42" s="36">
        <f t="shared" ca="1" si="99"/>
        <v>52.330044428432736</v>
      </c>
      <c r="FP42" s="36">
        <f t="shared" ca="1" si="99"/>
        <v>52.20889332414778</v>
      </c>
      <c r="FQ42" s="36">
        <f t="shared" ca="1" si="99"/>
        <v>52.066466148848328</v>
      </c>
      <c r="FR42" s="36">
        <f t="shared" ca="1" si="99"/>
        <v>51.663585432301197</v>
      </c>
      <c r="FS42" s="36">
        <f t="shared" ca="1" si="99"/>
        <v>52.489121306166652</v>
      </c>
      <c r="FT42" s="36">
        <f t="shared" ca="1" si="99"/>
        <v>51.74049261752748</v>
      </c>
      <c r="FU42" s="36">
        <f t="shared" ca="1" si="99"/>
        <v>51.769458333919005</v>
      </c>
      <c r="FV42" s="36">
        <f t="shared" ca="1" si="99"/>
        <v>51.862200424147566</v>
      </c>
      <c r="FW42" s="36">
        <f t="shared" ca="1" si="99"/>
        <v>50.97034361882924</v>
      </c>
      <c r="FX42" s="36">
        <f t="shared" ca="1" si="99"/>
        <v>49.846587143137221</v>
      </c>
      <c r="FY42" s="36">
        <f t="shared" ca="1" si="99"/>
        <v>50.11494122207101</v>
      </c>
      <c r="FZ42" s="36">
        <f t="shared" ca="1" si="99"/>
        <v>50.353825017805413</v>
      </c>
      <c r="GA42" s="36">
        <f t="shared" ca="1" si="99"/>
        <v>49.250418941734445</v>
      </c>
      <c r="GB42" s="36">
        <f t="shared" ca="1" si="99"/>
        <v>47.909482220681497</v>
      </c>
      <c r="GC42" s="36">
        <f t="shared" ca="1" si="99"/>
        <v>47.404151690154109</v>
      </c>
      <c r="GD42" s="36">
        <f t="shared" ca="1" si="99"/>
        <v>47.192275791754987</v>
      </c>
      <c r="GE42" s="36">
        <f t="shared" ca="1" si="99"/>
        <v>47.304379960881775</v>
      </c>
      <c r="GF42" s="36">
        <f t="shared" ca="1" si="99"/>
        <v>47.760431032907682</v>
      </c>
      <c r="GG42" s="36">
        <f t="shared" ca="1" si="99"/>
        <v>47.314966592217615</v>
      </c>
      <c r="GH42" s="36">
        <f t="shared" ca="1" si="99"/>
        <v>47.685608840564939</v>
      </c>
      <c r="GI42" s="36">
        <f t="shared" ca="1" si="99"/>
        <v>47.570814721600165</v>
      </c>
      <c r="GJ42" s="36">
        <f t="shared" ca="1" si="99"/>
        <v>46.711074062548896</v>
      </c>
      <c r="GK42" s="36">
        <f t="shared" ca="1" si="99"/>
        <v>45.818464014868134</v>
      </c>
      <c r="GL42" s="36">
        <f t="shared" ca="1" si="99"/>
        <v>45.021602037242026</v>
      </c>
      <c r="GM42" s="36">
        <f t="shared" ca="1" si="99"/>
        <v>44.297103151117817</v>
      </c>
      <c r="GN42" s="36">
        <f t="shared" ca="1" si="99"/>
        <v>44.226560403889579</v>
      </c>
      <c r="GO42" s="36">
        <f t="shared" ca="1" si="99"/>
        <v>44.269042544288496</v>
      </c>
      <c r="GP42" s="36">
        <f t="shared" ca="1" si="99"/>
        <v>44.211343888707837</v>
      </c>
      <c r="GQ42" s="36">
        <f t="shared" ca="1" si="99"/>
        <v>45.277060165848155</v>
      </c>
      <c r="GR42" s="36">
        <f t="shared" ca="1" si="99"/>
        <v>44.735611610903888</v>
      </c>
      <c r="GS42" s="36">
        <f t="shared" ca="1" si="99"/>
        <v>44.369583678707549</v>
      </c>
      <c r="GT42" s="36">
        <f t="shared" ca="1" si="99"/>
        <v>44.177027928118861</v>
      </c>
      <c r="GU42" s="36">
        <f t="shared" ca="1" si="99"/>
        <v>44.493107865231131</v>
      </c>
      <c r="GV42" s="36">
        <f t="shared" ca="1" si="99"/>
        <v>45.101495815307025</v>
      </c>
      <c r="GW42" s="36">
        <f t="shared" ca="1" si="99"/>
        <v>45.565658073293299</v>
      </c>
      <c r="GX42" s="36">
        <f t="shared" ca="1" si="99"/>
        <v>45.763456179608525</v>
      </c>
      <c r="GY42" s="36">
        <f t="shared" ca="1" si="99"/>
        <v>46.497252706837521</v>
      </c>
      <c r="GZ42" s="36">
        <f t="shared" ca="1" si="99"/>
        <v>46.640324431982599</v>
      </c>
      <c r="HA42" s="36">
        <f t="shared" ca="1" si="99"/>
        <v>47.894050328101791</v>
      </c>
      <c r="HB42" s="36">
        <f t="shared" ca="1" si="99"/>
        <v>48.48088251053391</v>
      </c>
      <c r="HC42" s="36">
        <f t="shared" ca="1" si="99"/>
        <v>47.707156594307705</v>
      </c>
      <c r="HD42" s="36">
        <f t="shared" ca="1" si="99"/>
        <v>46.886156443059107</v>
      </c>
      <c r="HE42" s="36">
        <f t="shared" ca="1" si="99"/>
        <v>46.961901020685694</v>
      </c>
      <c r="HF42" s="36">
        <f t="shared" ca="1" si="99"/>
        <v>46.371379563282112</v>
      </c>
      <c r="HG42" s="36">
        <f t="shared" ca="1" si="99"/>
        <v>46.129880289893094</v>
      </c>
      <c r="HH42" s="36">
        <f t="shared" ca="1" si="99"/>
        <v>46.083384953006849</v>
      </c>
      <c r="HI42" s="36">
        <f t="shared" ca="1" si="99"/>
        <v>46.751041071455106</v>
      </c>
      <c r="HJ42" s="36">
        <f t="shared" ca="1" si="99"/>
        <v>47.064575590767575</v>
      </c>
      <c r="HK42" s="36">
        <f t="shared" ca="1" si="99"/>
        <v>47.314397428430013</v>
      </c>
      <c r="HL42" s="36">
        <f t="shared" ref="HL42:HT42" ca="1" si="100">HK42*EXP(($B$3-$B$4^2/2)*1+$B$4*_xlfn.NORM.S.INV(RAND()))</f>
        <v>46.798500054860284</v>
      </c>
      <c r="HM42" s="36">
        <f t="shared" ca="1" si="100"/>
        <v>45.259145635047197</v>
      </c>
      <c r="HN42" s="36">
        <f t="shared" ca="1" si="100"/>
        <v>45.703111136406804</v>
      </c>
      <c r="HO42" s="36">
        <f t="shared" ca="1" si="100"/>
        <v>46.608254903318091</v>
      </c>
      <c r="HP42" s="36">
        <f t="shared" ca="1" si="100"/>
        <v>45.994740741184152</v>
      </c>
      <c r="HQ42" s="36">
        <f t="shared" ca="1" si="100"/>
        <v>45.27637148326793</v>
      </c>
      <c r="HR42" s="36">
        <f t="shared" ca="1" si="100"/>
        <v>45.314070324277949</v>
      </c>
      <c r="HS42" s="36">
        <f t="shared" ca="1" si="100"/>
        <v>46.547832408754083</v>
      </c>
      <c r="HT42" s="36">
        <f t="shared" ca="1" si="100"/>
        <v>45.985683358902797</v>
      </c>
      <c r="HU42" s="36">
        <f t="shared" ca="1" si="80"/>
        <v>45.21765777634986</v>
      </c>
      <c r="HV42" s="36">
        <f t="shared" ca="1" si="80"/>
        <v>44.876032700638063</v>
      </c>
      <c r="HW42" s="36">
        <f t="shared" ca="1" si="80"/>
        <v>43.339790022884216</v>
      </c>
      <c r="HX42" s="36">
        <f t="shared" ca="1" si="80"/>
        <v>43.795045537595215</v>
      </c>
      <c r="HY42" s="36">
        <f t="shared" ca="1" si="80"/>
        <v>43.131143462045543</v>
      </c>
      <c r="HZ42" s="36">
        <f t="shared" ca="1" si="80"/>
        <v>42.088242925747792</v>
      </c>
      <c r="IA42" s="36">
        <f t="shared" ca="1" si="80"/>
        <v>41.786170896514172</v>
      </c>
      <c r="IB42" s="36">
        <f t="shared" ca="1" si="80"/>
        <v>41.441951169199015</v>
      </c>
      <c r="IC42" s="36">
        <f t="shared" ca="1" si="80"/>
        <v>40.736252954193802</v>
      </c>
      <c r="ID42" s="36">
        <f t="shared" ca="1" si="80"/>
        <v>41.025278887712176</v>
      </c>
      <c r="IE42" s="36">
        <f t="shared" ca="1" si="80"/>
        <v>41.826905548757821</v>
      </c>
      <c r="IF42" s="36">
        <f t="shared" ca="1" si="80"/>
        <v>41.767504811216796</v>
      </c>
      <c r="IG42" s="36">
        <f t="shared" ca="1" si="80"/>
        <v>42.244870975849793</v>
      </c>
      <c r="IH42" s="36">
        <f t="shared" ca="1" si="80"/>
        <v>42.491730582807556</v>
      </c>
      <c r="II42" s="36">
        <f t="shared" ca="1" si="80"/>
        <v>42.38624844497712</v>
      </c>
      <c r="IJ42" s="36">
        <f t="shared" ca="1" si="80"/>
        <v>42.327026998707986</v>
      </c>
      <c r="IK42" s="36">
        <f t="shared" ca="1" si="80"/>
        <v>41.821194111802477</v>
      </c>
      <c r="IL42" s="36">
        <f t="shared" ca="1" si="80"/>
        <v>41.848679876693588</v>
      </c>
      <c r="IM42" s="36">
        <f t="shared" ca="1" si="80"/>
        <v>41.793978330783375</v>
      </c>
      <c r="IN42" s="36">
        <f t="shared" ca="1" si="80"/>
        <v>42.197557712318833</v>
      </c>
      <c r="IO42" s="36">
        <f t="shared" ca="1" si="80"/>
        <v>42.467725802959777</v>
      </c>
      <c r="IP42" s="36">
        <f t="shared" ca="1" si="80"/>
        <v>42.728950792670268</v>
      </c>
      <c r="IQ42" s="36">
        <f t="shared" ca="1" si="80"/>
        <v>42.650617499313697</v>
      </c>
      <c r="IR42" s="36">
        <f t="shared" ca="1" si="80"/>
        <v>43.255082990275241</v>
      </c>
      <c r="IS42" s="36">
        <f t="shared" ca="1" si="80"/>
        <v>42.719749776756295</v>
      </c>
      <c r="IT42" s="36">
        <f t="shared" ca="1" si="80"/>
        <v>43.948118119154039</v>
      </c>
      <c r="IU42" s="36">
        <f t="shared" ca="1" si="80"/>
        <v>44.086596086582503</v>
      </c>
    </row>
    <row r="43" spans="1:255" x14ac:dyDescent="0.2">
      <c r="A43" s="36"/>
      <c r="B43">
        <v>33</v>
      </c>
      <c r="C43" s="36">
        <v>50</v>
      </c>
      <c r="D43" s="36">
        <f t="shared" ca="1" si="14"/>
        <v>50.282240445113125</v>
      </c>
      <c r="E43" s="36">
        <f t="shared" ca="1" si="14"/>
        <v>50.691590094021365</v>
      </c>
      <c r="F43" s="36">
        <f t="shared" ca="1" si="97"/>
        <v>51.44903406927186</v>
      </c>
      <c r="G43" s="36">
        <f t="shared" ca="1" si="97"/>
        <v>52.004349974879247</v>
      </c>
      <c r="H43" s="36">
        <f t="shared" ca="1" si="97"/>
        <v>52.01167744978153</v>
      </c>
      <c r="I43" s="36">
        <f t="shared" ca="1" si="97"/>
        <v>52.940167262195118</v>
      </c>
      <c r="J43" s="36">
        <f t="shared" ca="1" si="97"/>
        <v>53.959433530876261</v>
      </c>
      <c r="K43" s="36">
        <f t="shared" ca="1" si="97"/>
        <v>54.004413351153737</v>
      </c>
      <c r="L43" s="36">
        <f t="shared" ca="1" si="97"/>
        <v>54.429446961620798</v>
      </c>
      <c r="M43" s="36">
        <f t="shared" ca="1" si="97"/>
        <v>55.080792977363423</v>
      </c>
      <c r="N43" s="36">
        <f t="shared" ca="1" si="97"/>
        <v>55.492761374430359</v>
      </c>
      <c r="O43" s="36">
        <f t="shared" ca="1" si="97"/>
        <v>55.55961943063339</v>
      </c>
      <c r="P43" s="36">
        <f t="shared" ca="1" si="97"/>
        <v>55.984446688614462</v>
      </c>
      <c r="Q43" s="36">
        <f t="shared" ca="1" si="97"/>
        <v>54.247694146757141</v>
      </c>
      <c r="R43" s="36">
        <f t="shared" ca="1" si="97"/>
        <v>53.362843674976482</v>
      </c>
      <c r="S43" s="36">
        <f t="shared" ca="1" si="97"/>
        <v>53.628235470713037</v>
      </c>
      <c r="T43" s="36">
        <f t="shared" ca="1" si="97"/>
        <v>53.057745289779326</v>
      </c>
      <c r="U43" s="36">
        <f t="shared" ca="1" si="97"/>
        <v>53.864616259485075</v>
      </c>
      <c r="V43" s="36">
        <f t="shared" ca="1" si="97"/>
        <v>54.047274770595635</v>
      </c>
      <c r="W43" s="36">
        <f t="shared" ca="1" si="97"/>
        <v>53.699259437705216</v>
      </c>
      <c r="X43" s="36">
        <f t="shared" ca="1" si="97"/>
        <v>53.618708854739495</v>
      </c>
      <c r="Y43" s="36">
        <f t="shared" ca="1" si="97"/>
        <v>53.257145756181352</v>
      </c>
      <c r="Z43" s="36">
        <f t="shared" ca="1" si="97"/>
        <v>53.334670587891296</v>
      </c>
      <c r="AA43" s="36">
        <f t="shared" ca="1" si="97"/>
        <v>54.157340729020902</v>
      </c>
      <c r="AB43" s="36">
        <f t="shared" ca="1" si="97"/>
        <v>53.551684732679462</v>
      </c>
      <c r="AC43" s="36">
        <f t="shared" ca="1" si="97"/>
        <v>54.350885569938669</v>
      </c>
      <c r="AD43" s="36">
        <f t="shared" ca="1" si="97"/>
        <v>54.163578406348464</v>
      </c>
      <c r="AE43" s="36">
        <f t="shared" ca="1" si="97"/>
        <v>54.527359955302515</v>
      </c>
      <c r="AF43" s="36">
        <f t="shared" ca="1" si="97"/>
        <v>55.364613633076914</v>
      </c>
      <c r="AG43" s="36">
        <f t="shared" ca="1" si="97"/>
        <v>56.695696427116772</v>
      </c>
      <c r="AH43" s="36">
        <f t="shared" ca="1" si="97"/>
        <v>56.787857195597027</v>
      </c>
      <c r="AI43" s="36">
        <f t="shared" ca="1" si="97"/>
        <v>55.235864134815913</v>
      </c>
      <c r="AJ43" s="36">
        <f t="shared" ca="1" si="97"/>
        <v>56.142537894522235</v>
      </c>
      <c r="AK43" s="36">
        <f t="shared" ca="1" si="97"/>
        <v>56.92836984094977</v>
      </c>
      <c r="AL43" s="36">
        <f t="shared" ca="1" si="97"/>
        <v>57.15440363697229</v>
      </c>
      <c r="AM43" s="36">
        <f t="shared" ca="1" si="97"/>
        <v>57.097321591275872</v>
      </c>
      <c r="AN43" s="36">
        <f t="shared" ca="1" si="97"/>
        <v>57.24757022323854</v>
      </c>
      <c r="AO43" s="36">
        <f t="shared" ca="1" si="97"/>
        <v>56.176383897210371</v>
      </c>
      <c r="AP43" s="36">
        <f t="shared" ca="1" si="97"/>
        <v>55.589813164450852</v>
      </c>
      <c r="AQ43" s="36">
        <f t="shared" ca="1" si="97"/>
        <v>55.914130061112388</v>
      </c>
      <c r="AR43" s="36">
        <f t="shared" ca="1" si="97"/>
        <v>55.906037577607727</v>
      </c>
      <c r="AS43" s="36">
        <f t="shared" ca="1" si="97"/>
        <v>56.146629356758872</v>
      </c>
      <c r="AT43" s="36">
        <f t="shared" ca="1" si="97"/>
        <v>55.933630427557667</v>
      </c>
      <c r="AU43" s="36">
        <f t="shared" ca="1" si="97"/>
        <v>55.556057993814136</v>
      </c>
      <c r="AV43" s="36">
        <f t="shared" ca="1" si="97"/>
        <v>53.670818704570088</v>
      </c>
      <c r="AW43" s="36">
        <f t="shared" ca="1" si="97"/>
        <v>53.68900180105399</v>
      </c>
      <c r="AX43" s="36">
        <f t="shared" ca="1" si="97"/>
        <v>53.893812800687115</v>
      </c>
      <c r="AY43" s="36">
        <f t="shared" ca="1" si="97"/>
        <v>53.638959178669054</v>
      </c>
      <c r="AZ43" s="36">
        <f t="shared" ca="1" si="97"/>
        <v>54.691599199939937</v>
      </c>
      <c r="BA43" s="36">
        <f t="shared" ca="1" si="97"/>
        <v>54.946259962694363</v>
      </c>
      <c r="BB43" s="36">
        <f t="shared" ca="1" si="97"/>
        <v>54.876501370046881</v>
      </c>
      <c r="BC43" s="36">
        <f t="shared" ca="1" si="97"/>
        <v>54.787098574537531</v>
      </c>
      <c r="BD43" s="36">
        <f t="shared" ca="1" si="97"/>
        <v>54.432709402358263</v>
      </c>
      <c r="BE43" s="36">
        <f t="shared" ca="1" si="97"/>
        <v>54.19684919714728</v>
      </c>
      <c r="BF43" s="36">
        <f t="shared" ca="1" si="97"/>
        <v>54.167216439921646</v>
      </c>
      <c r="BG43" s="36">
        <f t="shared" ca="1" si="97"/>
        <v>54.48934903243223</v>
      </c>
      <c r="BH43" s="36">
        <f t="shared" ca="1" si="97"/>
        <v>54.041925880429936</v>
      </c>
      <c r="BI43" s="36">
        <f t="shared" ca="1" si="97"/>
        <v>54.293241736573385</v>
      </c>
      <c r="BJ43" s="36">
        <f t="shared" ca="1" si="97"/>
        <v>54.676243323921902</v>
      </c>
      <c r="BK43" s="36">
        <f t="shared" ca="1" si="97"/>
        <v>54.844645390187964</v>
      </c>
      <c r="BL43" s="36">
        <f t="shared" ca="1" si="97"/>
        <v>54.029278683331206</v>
      </c>
      <c r="BM43" s="36">
        <f t="shared" ca="1" si="97"/>
        <v>54.12094246016359</v>
      </c>
      <c r="BN43" s="36">
        <f t="shared" ca="1" si="97"/>
        <v>54.409210784710019</v>
      </c>
      <c r="BO43" s="36">
        <f t="shared" ca="1" si="97"/>
        <v>52.84520722753436</v>
      </c>
      <c r="BP43" s="36">
        <f t="shared" ca="1" si="97"/>
        <v>52.943728356406019</v>
      </c>
      <c r="BQ43" s="36">
        <f t="shared" ca="1" si="97"/>
        <v>52.811341873113996</v>
      </c>
      <c r="BR43" s="36">
        <f t="shared" ca="1" si="94"/>
        <v>51.258215802888664</v>
      </c>
      <c r="BS43" s="36">
        <f t="shared" ca="1" si="94"/>
        <v>51.738492523353621</v>
      </c>
      <c r="BT43" s="36">
        <f t="shared" ca="1" si="94"/>
        <v>51.969092189381143</v>
      </c>
      <c r="BU43" s="36">
        <f t="shared" ca="1" si="94"/>
        <v>51.747274765391708</v>
      </c>
      <c r="BV43" s="36">
        <f t="shared" ca="1" si="94"/>
        <v>51.590361072219842</v>
      </c>
      <c r="BW43" s="36">
        <f t="shared" ca="1" si="94"/>
        <v>50.45084641166472</v>
      </c>
      <c r="BX43" s="36">
        <f t="shared" ca="1" si="94"/>
        <v>50.602189101102823</v>
      </c>
      <c r="BY43" s="36">
        <f t="shared" ca="1" si="94"/>
        <v>51.360894605707394</v>
      </c>
      <c r="BZ43" s="36">
        <f t="shared" ca="1" si="94"/>
        <v>51.702367828485528</v>
      </c>
      <c r="CA43" s="36">
        <f t="shared" ca="1" si="94"/>
        <v>52.455075009581421</v>
      </c>
      <c r="CB43" s="36">
        <f t="shared" ca="1" si="94"/>
        <v>51.741721092891659</v>
      </c>
      <c r="CC43" s="36">
        <f t="shared" ca="1" si="94"/>
        <v>51.261374481402285</v>
      </c>
      <c r="CD43" s="36">
        <f t="shared" ca="1" si="94"/>
        <v>51.038430520717355</v>
      </c>
      <c r="CE43" s="36">
        <f t="shared" ca="1" si="94"/>
        <v>50.692011521351048</v>
      </c>
      <c r="CF43" s="36">
        <f t="shared" ca="1" si="94"/>
        <v>50.390529266004542</v>
      </c>
      <c r="CG43" s="36">
        <f t="shared" ca="1" si="94"/>
        <v>50.729413340342639</v>
      </c>
      <c r="CH43" s="36">
        <f t="shared" ca="1" si="94"/>
        <v>50.576401461429271</v>
      </c>
      <c r="CI43" s="36">
        <f t="shared" ca="1" si="94"/>
        <v>50.177118621881235</v>
      </c>
      <c r="CJ43" s="36">
        <f t="shared" ca="1" si="94"/>
        <v>50.931077404606576</v>
      </c>
      <c r="CK43" s="36">
        <f t="shared" ca="1" si="94"/>
        <v>50.954803605706097</v>
      </c>
      <c r="CL43" s="36">
        <f t="shared" ca="1" si="94"/>
        <v>51.685515437403438</v>
      </c>
      <c r="CM43" s="36">
        <f t="shared" ca="1" si="94"/>
        <v>52.397453581088996</v>
      </c>
      <c r="CN43" s="36">
        <f t="shared" ca="1" si="94"/>
        <v>51.962938329125251</v>
      </c>
      <c r="CO43" s="36">
        <f t="shared" ca="1" si="94"/>
        <v>51.936796912254884</v>
      </c>
      <c r="CP43" s="36">
        <f t="shared" ca="1" si="94"/>
        <v>51.631245417510677</v>
      </c>
      <c r="CQ43" s="36">
        <f t="shared" ca="1" si="94"/>
        <v>50.996080775553594</v>
      </c>
      <c r="CR43" s="36">
        <f t="shared" ca="1" si="94"/>
        <v>51.417080122030661</v>
      </c>
      <c r="CS43" s="36">
        <f t="shared" ca="1" si="94"/>
        <v>51.608664993901243</v>
      </c>
      <c r="CT43" s="36">
        <f t="shared" ca="1" si="94"/>
        <v>51.38856878615848</v>
      </c>
      <c r="CU43" s="36">
        <f t="shared" ca="1" si="94"/>
        <v>51.161438568315596</v>
      </c>
      <c r="CV43" s="36">
        <f t="shared" ca="1" si="94"/>
        <v>50.995892845692829</v>
      </c>
      <c r="CW43" s="36">
        <f t="shared" ca="1" si="94"/>
        <v>51.095988424551194</v>
      </c>
      <c r="CX43" s="36">
        <f t="shared" ca="1" si="94"/>
        <v>50.474561573405047</v>
      </c>
      <c r="CY43" s="36">
        <f t="shared" ca="1" si="94"/>
        <v>49.893816560925465</v>
      </c>
      <c r="CZ43" s="36">
        <f t="shared" ca="1" si="94"/>
        <v>50.114717684951508</v>
      </c>
      <c r="DA43" s="36">
        <f t="shared" ca="1" si="94"/>
        <v>49.628422045464447</v>
      </c>
      <c r="DB43" s="36">
        <f t="shared" ca="1" si="94"/>
        <v>49.461862745971104</v>
      </c>
      <c r="DC43" s="36">
        <f t="shared" ca="1" si="94"/>
        <v>50.124120384804989</v>
      </c>
      <c r="DD43" s="36">
        <f t="shared" ca="1" si="94"/>
        <v>49.527321125250111</v>
      </c>
      <c r="DE43" s="36">
        <f t="shared" ca="1" si="94"/>
        <v>49.189924245125866</v>
      </c>
      <c r="DF43" s="36">
        <f t="shared" ca="1" si="94"/>
        <v>48.110349155173914</v>
      </c>
      <c r="DG43" s="36">
        <f t="shared" ca="1" si="94"/>
        <v>48.649928577952643</v>
      </c>
      <c r="DH43" s="36">
        <f t="shared" ca="1" si="94"/>
        <v>48.664630847798669</v>
      </c>
      <c r="DI43" s="36">
        <f t="shared" ca="1" si="94"/>
        <v>47.440674708277079</v>
      </c>
      <c r="DJ43" s="36">
        <f t="shared" ca="1" si="94"/>
        <v>47.562835879890208</v>
      </c>
      <c r="DK43" s="36">
        <f t="shared" ca="1" si="94"/>
        <v>47.904349435787466</v>
      </c>
      <c r="DL43" s="36">
        <f t="shared" ca="1" si="94"/>
        <v>49.259618319334436</v>
      </c>
      <c r="DM43" s="36">
        <f t="shared" ca="1" si="94"/>
        <v>48.267021180632192</v>
      </c>
      <c r="DN43" s="36">
        <f t="shared" ca="1" si="94"/>
        <v>49.711403754875413</v>
      </c>
      <c r="DO43" s="36">
        <f t="shared" ca="1" si="94"/>
        <v>48.898268363721776</v>
      </c>
      <c r="DP43" s="36">
        <f t="shared" ca="1" si="94"/>
        <v>48.111181534393765</v>
      </c>
      <c r="DQ43" s="36">
        <f t="shared" ca="1" si="94"/>
        <v>47.787943599447942</v>
      </c>
      <c r="DR43" s="36">
        <f t="shared" ca="1" si="94"/>
        <v>47.645761433428795</v>
      </c>
      <c r="DS43" s="36">
        <f t="shared" ca="1" si="94"/>
        <v>47.931539329164998</v>
      </c>
      <c r="DT43" s="36">
        <f t="shared" ca="1" si="94"/>
        <v>48.811594752478584</v>
      </c>
      <c r="DU43" s="36">
        <f t="shared" ca="1" si="94"/>
        <v>48.113822303908179</v>
      </c>
      <c r="DV43" s="36">
        <f t="shared" ca="1" si="94"/>
        <v>48.28991710970373</v>
      </c>
      <c r="DW43" s="36">
        <f t="shared" ca="1" si="94"/>
        <v>48.552780557410074</v>
      </c>
      <c r="DX43" s="36">
        <f t="shared" ca="1" si="94"/>
        <v>48.367233155328456</v>
      </c>
      <c r="DY43" s="36">
        <f t="shared" ca="1" si="94"/>
        <v>48.401288130191432</v>
      </c>
      <c r="DZ43" s="36">
        <f t="shared" ca="1" si="94"/>
        <v>48.06915271939549</v>
      </c>
      <c r="EA43" s="36">
        <f t="shared" ca="1" si="94"/>
        <v>47.6644088560233</v>
      </c>
      <c r="EB43" s="36">
        <f t="shared" ca="1" si="94"/>
        <v>47.581219228636861</v>
      </c>
      <c r="EC43" s="36">
        <f t="shared" ca="1" si="72"/>
        <v>48.882467419180252</v>
      </c>
      <c r="ED43" s="36">
        <f t="shared" ca="1" si="72"/>
        <v>49.211363082614987</v>
      </c>
      <c r="EE43" s="36">
        <f t="shared" ca="1" si="72"/>
        <v>49.258731504787036</v>
      </c>
      <c r="EF43" s="36">
        <f t="shared" ca="1" si="72"/>
        <v>48.931638314309495</v>
      </c>
      <c r="EG43" s="36">
        <f t="shared" ca="1" si="72"/>
        <v>48.75366574527029</v>
      </c>
      <c r="EH43" s="36">
        <f t="shared" ca="1" si="72"/>
        <v>48.774341320841494</v>
      </c>
      <c r="EI43" s="36">
        <f t="shared" ca="1" si="72"/>
        <v>47.695412751038425</v>
      </c>
      <c r="EJ43" s="36">
        <f t="shared" ca="1" si="72"/>
        <v>47.836226857901551</v>
      </c>
      <c r="EK43" s="36">
        <f t="shared" ca="1" si="72"/>
        <v>48.348504765593233</v>
      </c>
      <c r="EL43" s="36">
        <f t="shared" ca="1" si="72"/>
        <v>48.00813777041008</v>
      </c>
      <c r="EM43" s="36">
        <f t="shared" ca="1" si="72"/>
        <v>47.615131496067256</v>
      </c>
      <c r="EN43" s="36">
        <f t="shared" ca="1" si="72"/>
        <v>47.072152211280688</v>
      </c>
      <c r="EO43" s="36">
        <f t="shared" ca="1" si="72"/>
        <v>47.943977271724989</v>
      </c>
      <c r="EP43" s="36">
        <f t="shared" ca="1" si="72"/>
        <v>47.692703885548177</v>
      </c>
      <c r="EQ43" s="36">
        <f t="shared" ca="1" si="72"/>
        <v>47.564528387576487</v>
      </c>
      <c r="ER43" s="36">
        <f t="shared" ca="1" si="72"/>
        <v>47.217808760061573</v>
      </c>
      <c r="ES43" s="36">
        <f t="shared" ca="1" si="72"/>
        <v>47.790520828426651</v>
      </c>
      <c r="ET43" s="36">
        <f t="shared" ca="1" si="72"/>
        <v>46.898849262708183</v>
      </c>
      <c r="EU43" s="36">
        <f t="shared" ca="1" si="72"/>
        <v>47.56975996350495</v>
      </c>
      <c r="EV43" s="36">
        <f t="shared" ca="1" si="72"/>
        <v>46.104077543180807</v>
      </c>
      <c r="EW43" s="36">
        <f t="shared" ref="EW43:HH47" ca="1" si="101">EV43*EXP(($B$3-$B$4^2/2)*1+$B$4*_xlfn.NORM.S.INV(RAND()))</f>
        <v>46.432774990356492</v>
      </c>
      <c r="EX43" s="36">
        <f t="shared" ca="1" si="101"/>
        <v>46.133371313511923</v>
      </c>
      <c r="EY43" s="36">
        <f t="shared" ca="1" si="101"/>
        <v>46.329643050360986</v>
      </c>
      <c r="EZ43" s="36">
        <f t="shared" ca="1" si="101"/>
        <v>45.86794263861497</v>
      </c>
      <c r="FA43" s="36">
        <f t="shared" ca="1" si="101"/>
        <v>45.926641793759423</v>
      </c>
      <c r="FB43" s="36">
        <f t="shared" ca="1" si="101"/>
        <v>46.238601777647808</v>
      </c>
      <c r="FC43" s="36">
        <f t="shared" ca="1" si="101"/>
        <v>45.954859283272633</v>
      </c>
      <c r="FD43" s="36">
        <f t="shared" ca="1" si="101"/>
        <v>45.879585390354109</v>
      </c>
      <c r="FE43" s="36">
        <f t="shared" ca="1" si="101"/>
        <v>45.179000772044695</v>
      </c>
      <c r="FF43" s="36">
        <f t="shared" ca="1" si="101"/>
        <v>44.558152792688354</v>
      </c>
      <c r="FG43" s="36">
        <f t="shared" ca="1" si="101"/>
        <v>45.266343181181753</v>
      </c>
      <c r="FH43" s="36">
        <f t="shared" ca="1" si="101"/>
        <v>45.79769024896337</v>
      </c>
      <c r="FI43" s="36">
        <f t="shared" ca="1" si="101"/>
        <v>45.994708554962351</v>
      </c>
      <c r="FJ43" s="36">
        <f t="shared" ca="1" si="101"/>
        <v>45.944623748616465</v>
      </c>
      <c r="FK43" s="36">
        <f t="shared" ca="1" si="101"/>
        <v>45.886047111171635</v>
      </c>
      <c r="FL43" s="36">
        <f t="shared" ca="1" si="101"/>
        <v>46.297322540854545</v>
      </c>
      <c r="FM43" s="36">
        <f t="shared" ca="1" si="101"/>
        <v>46.736684967551319</v>
      </c>
      <c r="FN43" s="36">
        <f t="shared" ca="1" si="101"/>
        <v>45.634493255135567</v>
      </c>
      <c r="FO43" s="36">
        <f t="shared" ca="1" si="101"/>
        <v>46.7135224652449</v>
      </c>
      <c r="FP43" s="36">
        <f t="shared" ca="1" si="101"/>
        <v>47.156246969913695</v>
      </c>
      <c r="FQ43" s="36">
        <f t="shared" ca="1" si="101"/>
        <v>48.009052251982126</v>
      </c>
      <c r="FR43" s="36">
        <f t="shared" ca="1" si="101"/>
        <v>47.311336556912067</v>
      </c>
      <c r="FS43" s="36">
        <f t="shared" ca="1" si="101"/>
        <v>46.12102464242632</v>
      </c>
      <c r="FT43" s="36">
        <f t="shared" ca="1" si="101"/>
        <v>45.362383611528692</v>
      </c>
      <c r="FU43" s="36">
        <f t="shared" ca="1" si="101"/>
        <v>46.163611288036144</v>
      </c>
      <c r="FV43" s="36">
        <f t="shared" ca="1" si="101"/>
        <v>47.248474956802163</v>
      </c>
      <c r="FW43" s="36">
        <f t="shared" ca="1" si="101"/>
        <v>46.990705814378686</v>
      </c>
      <c r="FX43" s="36">
        <f t="shared" ca="1" si="101"/>
        <v>46.024440453054325</v>
      </c>
      <c r="FY43" s="36">
        <f t="shared" ca="1" si="101"/>
        <v>45.15054017625242</v>
      </c>
      <c r="FZ43" s="36">
        <f t="shared" ca="1" si="101"/>
        <v>45.180704547876481</v>
      </c>
      <c r="GA43" s="36">
        <f t="shared" ca="1" si="101"/>
        <v>45.820397686598454</v>
      </c>
      <c r="GB43" s="36">
        <f t="shared" ca="1" si="101"/>
        <v>46.218394720229618</v>
      </c>
      <c r="GC43" s="36">
        <f t="shared" ca="1" si="101"/>
        <v>45.335257848803003</v>
      </c>
      <c r="GD43" s="36">
        <f t="shared" ca="1" si="101"/>
        <v>45.551632567486593</v>
      </c>
      <c r="GE43" s="36">
        <f t="shared" ca="1" si="101"/>
        <v>46.579535195232779</v>
      </c>
      <c r="GF43" s="36">
        <f t="shared" ca="1" si="101"/>
        <v>47.070187745062164</v>
      </c>
      <c r="GG43" s="36">
        <f t="shared" ca="1" si="101"/>
        <v>47.281590025792312</v>
      </c>
      <c r="GH43" s="36">
        <f t="shared" ca="1" si="101"/>
        <v>47.128717642548942</v>
      </c>
      <c r="GI43" s="36">
        <f t="shared" ca="1" si="101"/>
        <v>47.8209954152439</v>
      </c>
      <c r="GJ43" s="36">
        <f t="shared" ca="1" si="101"/>
        <v>48.130100005395079</v>
      </c>
      <c r="GK43" s="36">
        <f t="shared" ca="1" si="101"/>
        <v>47.530087671257299</v>
      </c>
      <c r="GL43" s="36">
        <f t="shared" ca="1" si="101"/>
        <v>47.296583403105252</v>
      </c>
      <c r="GM43" s="36">
        <f t="shared" ca="1" si="101"/>
        <v>47.473994931376232</v>
      </c>
      <c r="GN43" s="36">
        <f t="shared" ca="1" si="101"/>
        <v>47.09045807385619</v>
      </c>
      <c r="GO43" s="36">
        <f t="shared" ca="1" si="101"/>
        <v>46.878474896727873</v>
      </c>
      <c r="GP43" s="36">
        <f t="shared" ca="1" si="101"/>
        <v>47.03849508989471</v>
      </c>
      <c r="GQ43" s="36">
        <f t="shared" ca="1" si="101"/>
        <v>46.69565254528495</v>
      </c>
      <c r="GR43" s="36">
        <f t="shared" ca="1" si="101"/>
        <v>46.62877782081943</v>
      </c>
      <c r="GS43" s="36">
        <f t="shared" ca="1" si="101"/>
        <v>46.32729091977447</v>
      </c>
      <c r="GT43" s="36">
        <f t="shared" ca="1" si="101"/>
        <v>46.439360154337386</v>
      </c>
      <c r="GU43" s="36">
        <f t="shared" ca="1" si="101"/>
        <v>46.743966273327111</v>
      </c>
      <c r="GV43" s="36">
        <f t="shared" ca="1" si="101"/>
        <v>47.074398968902237</v>
      </c>
      <c r="GW43" s="36">
        <f t="shared" ca="1" si="101"/>
        <v>47.490240341973035</v>
      </c>
      <c r="GX43" s="36">
        <f t="shared" ca="1" si="101"/>
        <v>47.397478962061221</v>
      </c>
      <c r="GY43" s="36">
        <f t="shared" ca="1" si="101"/>
        <v>47.018591673386553</v>
      </c>
      <c r="GZ43" s="36">
        <f t="shared" ca="1" si="101"/>
        <v>46.830827434945455</v>
      </c>
      <c r="HA43" s="36">
        <f t="shared" ca="1" si="101"/>
        <v>47.576102362509054</v>
      </c>
      <c r="HB43" s="36">
        <f t="shared" ca="1" si="101"/>
        <v>46.810511639733249</v>
      </c>
      <c r="HC43" s="36">
        <f t="shared" ca="1" si="101"/>
        <v>46.268019099154316</v>
      </c>
      <c r="HD43" s="36">
        <f t="shared" ca="1" si="101"/>
        <v>46.050146835332086</v>
      </c>
      <c r="HE43" s="36">
        <f t="shared" ca="1" si="101"/>
        <v>45.868548270823105</v>
      </c>
      <c r="HF43" s="36">
        <f t="shared" ca="1" si="101"/>
        <v>45.198755285362246</v>
      </c>
      <c r="HG43" s="36">
        <f t="shared" ca="1" si="101"/>
        <v>45.353441939001634</v>
      </c>
      <c r="HH43" s="36">
        <f t="shared" ca="1" si="101"/>
        <v>44.200310094891734</v>
      </c>
      <c r="HI43" s="36">
        <f t="shared" ca="1" si="99"/>
        <v>43.18142395119699</v>
      </c>
      <c r="HJ43" s="36">
        <f t="shared" ca="1" si="99"/>
        <v>42.107157165168204</v>
      </c>
      <c r="HK43" s="36">
        <f t="shared" ca="1" si="99"/>
        <v>41.357105868603654</v>
      </c>
      <c r="HL43" s="36">
        <f t="shared" ref="HL43:HT43" ca="1" si="102">HK43*EXP(($B$3-$B$4^2/2)*1+$B$4*_xlfn.NORM.S.INV(RAND()))</f>
        <v>42.362150557450008</v>
      </c>
      <c r="HM43" s="36">
        <f t="shared" ca="1" si="102"/>
        <v>42.870200949924481</v>
      </c>
      <c r="HN43" s="36">
        <f t="shared" ca="1" si="102"/>
        <v>42.783751886285273</v>
      </c>
      <c r="HO43" s="36">
        <f t="shared" ca="1" si="102"/>
        <v>43.417208955117339</v>
      </c>
      <c r="HP43" s="36">
        <f t="shared" ca="1" si="102"/>
        <v>43.307707835038009</v>
      </c>
      <c r="HQ43" s="36">
        <f t="shared" ca="1" si="102"/>
        <v>42.464855670869618</v>
      </c>
      <c r="HR43" s="36">
        <f t="shared" ca="1" si="102"/>
        <v>43.250490061905623</v>
      </c>
      <c r="HS43" s="36">
        <f t="shared" ca="1" si="102"/>
        <v>44.521356849964214</v>
      </c>
      <c r="HT43" s="36">
        <f t="shared" ca="1" si="102"/>
        <v>43.464528904289104</v>
      </c>
      <c r="HU43" s="36">
        <f t="shared" ca="1" si="80"/>
        <v>43.05453170617853</v>
      </c>
      <c r="HV43" s="36">
        <f t="shared" ca="1" si="80"/>
        <v>43.492809576777375</v>
      </c>
      <c r="HW43" s="36">
        <f t="shared" ca="1" si="80"/>
        <v>44.429485690882814</v>
      </c>
      <c r="HX43" s="36">
        <f t="shared" ca="1" si="80"/>
        <v>43.149126910159659</v>
      </c>
      <c r="HY43" s="36">
        <f t="shared" ca="1" si="80"/>
        <v>42.57683615106545</v>
      </c>
      <c r="HZ43" s="36">
        <f t="shared" ca="1" si="80"/>
        <v>43.026671960578284</v>
      </c>
      <c r="IA43" s="36">
        <f t="shared" ca="1" si="80"/>
        <v>43.184872212078865</v>
      </c>
      <c r="IB43" s="36">
        <f t="shared" ca="1" si="80"/>
        <v>43.256444465785449</v>
      </c>
      <c r="IC43" s="36">
        <f t="shared" ca="1" si="80"/>
        <v>43.199535690150427</v>
      </c>
      <c r="ID43" s="36">
        <f t="shared" ca="1" si="80"/>
        <v>42.522185077904787</v>
      </c>
      <c r="IE43" s="36">
        <f t="shared" ca="1" si="80"/>
        <v>42.97486884251488</v>
      </c>
      <c r="IF43" s="36">
        <f t="shared" ca="1" si="80"/>
        <v>42.44209538037525</v>
      </c>
      <c r="IG43" s="36">
        <f t="shared" ca="1" si="80"/>
        <v>42.842691604278606</v>
      </c>
      <c r="IH43" s="36">
        <f t="shared" ca="1" si="80"/>
        <v>42.693131613249122</v>
      </c>
      <c r="II43" s="36">
        <f t="shared" ca="1" si="80"/>
        <v>42.461546832575152</v>
      </c>
      <c r="IJ43" s="36">
        <f t="shared" ref="HU43:IU52" ca="1" si="103">II43*EXP(($B$3-$B$4^2/2)*1+$B$4*_xlfn.NORM.S.INV(RAND()))</f>
        <v>42.055158994071036</v>
      </c>
      <c r="IK43" s="36">
        <f t="shared" ca="1" si="103"/>
        <v>41.685702075407519</v>
      </c>
      <c r="IL43" s="36">
        <f t="shared" ca="1" si="103"/>
        <v>41.71205725808337</v>
      </c>
      <c r="IM43" s="36">
        <f t="shared" ca="1" si="103"/>
        <v>41.621495080191629</v>
      </c>
      <c r="IN43" s="36">
        <f t="shared" ca="1" si="103"/>
        <v>42.34924281979611</v>
      </c>
      <c r="IO43" s="36">
        <f t="shared" ca="1" si="103"/>
        <v>42.925262451885189</v>
      </c>
      <c r="IP43" s="36">
        <f t="shared" ca="1" si="103"/>
        <v>42.290950645644728</v>
      </c>
      <c r="IQ43" s="36">
        <f t="shared" ca="1" si="103"/>
        <v>41.568154531137978</v>
      </c>
      <c r="IR43" s="36">
        <f t="shared" ca="1" si="103"/>
        <v>41.198078520760539</v>
      </c>
      <c r="IS43" s="36">
        <f t="shared" ca="1" si="103"/>
        <v>41.020334913930931</v>
      </c>
      <c r="IT43" s="36">
        <f t="shared" ca="1" si="103"/>
        <v>40.565956028760972</v>
      </c>
      <c r="IU43" s="36">
        <f t="shared" ca="1" si="103"/>
        <v>41.170724153564763</v>
      </c>
    </row>
    <row r="44" spans="1:255" x14ac:dyDescent="0.2">
      <c r="A44" s="36"/>
      <c r="B44">
        <v>34</v>
      </c>
      <c r="C44" s="36">
        <v>50</v>
      </c>
      <c r="D44" s="36">
        <f t="shared" ca="1" si="14"/>
        <v>51.281938276808745</v>
      </c>
      <c r="E44" s="36">
        <f t="shared" ca="1" si="14"/>
        <v>49.933525534135818</v>
      </c>
      <c r="F44" s="36">
        <f t="shared" ca="1" si="97"/>
        <v>49.572966917229309</v>
      </c>
      <c r="G44" s="36">
        <f t="shared" ca="1" si="97"/>
        <v>50.730094114226929</v>
      </c>
      <c r="H44" s="36">
        <f t="shared" ca="1" si="97"/>
        <v>50.515925807043132</v>
      </c>
      <c r="I44" s="36">
        <f t="shared" ca="1" si="97"/>
        <v>51.312467366474706</v>
      </c>
      <c r="J44" s="36">
        <f t="shared" ca="1" si="97"/>
        <v>51.719864288153431</v>
      </c>
      <c r="K44" s="36">
        <f t="shared" ca="1" si="97"/>
        <v>52.745380625257795</v>
      </c>
      <c r="L44" s="36">
        <f t="shared" ca="1" si="97"/>
        <v>53.523548126350306</v>
      </c>
      <c r="M44" s="36">
        <f t="shared" ca="1" si="97"/>
        <v>53.735515584757806</v>
      </c>
      <c r="N44" s="36">
        <f t="shared" ca="1" si="97"/>
        <v>53.228340444630781</v>
      </c>
      <c r="O44" s="36">
        <f t="shared" ca="1" si="97"/>
        <v>52.619524116673681</v>
      </c>
      <c r="P44" s="36">
        <f t="shared" ca="1" si="97"/>
        <v>52.220434479379456</v>
      </c>
      <c r="Q44" s="36">
        <f t="shared" ca="1" si="97"/>
        <v>52.386117489532282</v>
      </c>
      <c r="R44" s="36">
        <f t="shared" ca="1" si="97"/>
        <v>51.592162693582893</v>
      </c>
      <c r="S44" s="36">
        <f t="shared" ca="1" si="97"/>
        <v>51.347299939223454</v>
      </c>
      <c r="T44" s="36">
        <f t="shared" ca="1" si="97"/>
        <v>51.404752773121238</v>
      </c>
      <c r="U44" s="36">
        <f t="shared" ca="1" si="97"/>
        <v>53.327009459700221</v>
      </c>
      <c r="V44" s="36">
        <f t="shared" ca="1" si="97"/>
        <v>52.394008478685407</v>
      </c>
      <c r="W44" s="36">
        <f t="shared" ca="1" si="97"/>
        <v>52.508800896604249</v>
      </c>
      <c r="X44" s="36">
        <f t="shared" ca="1" si="97"/>
        <v>52.251970603580176</v>
      </c>
      <c r="Y44" s="36">
        <f t="shared" ca="1" si="97"/>
        <v>52.272715455475108</v>
      </c>
      <c r="Z44" s="36">
        <f t="shared" ca="1" si="97"/>
        <v>52.185983268220923</v>
      </c>
      <c r="AA44" s="36">
        <f t="shared" ca="1" si="97"/>
        <v>52.561013777414246</v>
      </c>
      <c r="AB44" s="36">
        <f t="shared" ca="1" si="97"/>
        <v>52.799552029589272</v>
      </c>
      <c r="AC44" s="36">
        <f t="shared" ca="1" si="97"/>
        <v>53.335452467835417</v>
      </c>
      <c r="AD44" s="36">
        <f t="shared" ca="1" si="97"/>
        <v>53.895457562901129</v>
      </c>
      <c r="AE44" s="36">
        <f t="shared" ca="1" si="97"/>
        <v>52.866502225702014</v>
      </c>
      <c r="AF44" s="36">
        <f t="shared" ca="1" si="97"/>
        <v>53.020961819731021</v>
      </c>
      <c r="AG44" s="36">
        <f t="shared" ca="1" si="97"/>
        <v>54.118116320546555</v>
      </c>
      <c r="AH44" s="36">
        <f t="shared" ca="1" si="97"/>
        <v>54.580708469315937</v>
      </c>
      <c r="AI44" s="36">
        <f t="shared" ca="1" si="97"/>
        <v>55.649945297817503</v>
      </c>
      <c r="AJ44" s="36">
        <f t="shared" ca="1" si="97"/>
        <v>56.314070579338924</v>
      </c>
      <c r="AK44" s="36">
        <f t="shared" ca="1" si="97"/>
        <v>56.022064384262215</v>
      </c>
      <c r="AL44" s="36">
        <f t="shared" ca="1" si="97"/>
        <v>56.075356301589089</v>
      </c>
      <c r="AM44" s="36">
        <f t="shared" ca="1" si="97"/>
        <v>56.589931527585655</v>
      </c>
      <c r="AN44" s="36">
        <f t="shared" ca="1" si="97"/>
        <v>56.827363814666747</v>
      </c>
      <c r="AO44" s="36">
        <f t="shared" ca="1" si="97"/>
        <v>56.517340872843619</v>
      </c>
      <c r="AP44" s="36">
        <f t="shared" ca="1" si="97"/>
        <v>56.675173086610819</v>
      </c>
      <c r="AQ44" s="36">
        <f t="shared" ca="1" si="97"/>
        <v>57.62905400999513</v>
      </c>
      <c r="AR44" s="36">
        <f t="shared" ca="1" si="97"/>
        <v>57.507347619325515</v>
      </c>
      <c r="AS44" s="36">
        <f t="shared" ca="1" si="97"/>
        <v>58.32493633988009</v>
      </c>
      <c r="AT44" s="36">
        <f t="shared" ca="1" si="97"/>
        <v>59.287395246097887</v>
      </c>
      <c r="AU44" s="36">
        <f t="shared" ca="1" si="97"/>
        <v>61.296339985370501</v>
      </c>
      <c r="AV44" s="36">
        <f t="shared" ca="1" si="97"/>
        <v>62.993051372732005</v>
      </c>
      <c r="AW44" s="36">
        <f t="shared" ca="1" si="97"/>
        <v>61.148526918067013</v>
      </c>
      <c r="AX44" s="36">
        <f t="shared" ca="1" si="97"/>
        <v>61.337888047745203</v>
      </c>
      <c r="AY44" s="36">
        <f t="shared" ca="1" si="97"/>
        <v>60.421618203623588</v>
      </c>
      <c r="AZ44" s="36">
        <f t="shared" ca="1" si="97"/>
        <v>62.185920311488715</v>
      </c>
      <c r="BA44" s="36">
        <f t="shared" ca="1" si="97"/>
        <v>61.741348590906156</v>
      </c>
      <c r="BB44" s="36">
        <f t="shared" ca="1" si="97"/>
        <v>60.918988654120199</v>
      </c>
      <c r="BC44" s="36">
        <f t="shared" ca="1" si="97"/>
        <v>61.205713137188489</v>
      </c>
      <c r="BD44" s="36">
        <f t="shared" ca="1" si="97"/>
        <v>61.602797171284656</v>
      </c>
      <c r="BE44" s="36">
        <f t="shared" ca="1" si="97"/>
        <v>62.351744950507971</v>
      </c>
      <c r="BF44" s="36">
        <f t="shared" ca="1" si="97"/>
        <v>61.991253280360461</v>
      </c>
      <c r="BG44" s="36">
        <f t="shared" ca="1" si="97"/>
        <v>60.735668005086296</v>
      </c>
      <c r="BH44" s="36">
        <f t="shared" ca="1" si="97"/>
        <v>62.096699180284375</v>
      </c>
      <c r="BI44" s="36">
        <f t="shared" ca="1" si="97"/>
        <v>62.893598053282666</v>
      </c>
      <c r="BJ44" s="36">
        <f t="shared" ca="1" si="97"/>
        <v>62.015274932779249</v>
      </c>
      <c r="BK44" s="36">
        <f t="shared" ca="1" si="97"/>
        <v>62.500174107952603</v>
      </c>
      <c r="BL44" s="36">
        <f t="shared" ca="1" si="97"/>
        <v>62.953430627225394</v>
      </c>
      <c r="BM44" s="36">
        <f t="shared" ca="1" si="97"/>
        <v>62.980605243443371</v>
      </c>
      <c r="BN44" s="36">
        <f t="shared" ca="1" si="97"/>
        <v>62.082287680268095</v>
      </c>
      <c r="BO44" s="36">
        <f t="shared" ca="1" si="97"/>
        <v>61.112083925004654</v>
      </c>
      <c r="BP44" s="36">
        <f t="shared" ca="1" si="97"/>
        <v>59.877628249207447</v>
      </c>
      <c r="BQ44" s="36">
        <f t="shared" ca="1" si="97"/>
        <v>60.423220795904342</v>
      </c>
      <c r="BR44" s="36">
        <f t="shared" ca="1" si="94"/>
        <v>61.216315908566415</v>
      </c>
      <c r="BS44" s="36">
        <f t="shared" ca="1" si="94"/>
        <v>60.955293529554176</v>
      </c>
      <c r="BT44" s="36">
        <f t="shared" ca="1" si="94"/>
        <v>60.848877584770733</v>
      </c>
      <c r="BU44" s="36">
        <f t="shared" ca="1" si="94"/>
        <v>59.506885465580147</v>
      </c>
      <c r="BV44" s="36">
        <f t="shared" ca="1" si="94"/>
        <v>59.112821441475411</v>
      </c>
      <c r="BW44" s="36">
        <f t="shared" ca="1" si="94"/>
        <v>58.918218631246447</v>
      </c>
      <c r="BX44" s="36">
        <f t="shared" ca="1" si="94"/>
        <v>57.848495557445219</v>
      </c>
      <c r="BY44" s="36">
        <f t="shared" ca="1" si="94"/>
        <v>57.803121976065327</v>
      </c>
      <c r="BZ44" s="36">
        <f t="shared" ca="1" si="94"/>
        <v>58.427952591704361</v>
      </c>
      <c r="CA44" s="36">
        <f t="shared" ca="1" si="94"/>
        <v>58.692661125494098</v>
      </c>
      <c r="CB44" s="36">
        <f t="shared" ca="1" si="94"/>
        <v>58.039928652893224</v>
      </c>
      <c r="CC44" s="36">
        <f t="shared" ca="1" si="94"/>
        <v>58.21007753543303</v>
      </c>
      <c r="CD44" s="36">
        <f t="shared" ca="1" si="94"/>
        <v>57.025154552977199</v>
      </c>
      <c r="CE44" s="36">
        <f t="shared" ca="1" si="94"/>
        <v>56.039938709357706</v>
      </c>
      <c r="CF44" s="36">
        <f t="shared" ca="1" si="94"/>
        <v>55.238671924625471</v>
      </c>
      <c r="CG44" s="36">
        <f t="shared" ca="1" si="94"/>
        <v>56.871425004551703</v>
      </c>
      <c r="CH44" s="36">
        <f t="shared" ca="1" si="94"/>
        <v>56.629578885942102</v>
      </c>
      <c r="CI44" s="36">
        <f t="shared" ca="1" si="94"/>
        <v>56.153197121008944</v>
      </c>
      <c r="CJ44" s="36">
        <f t="shared" ca="1" si="94"/>
        <v>56.40010136903075</v>
      </c>
      <c r="CK44" s="36">
        <f t="shared" ca="1" si="94"/>
        <v>56.251330739375867</v>
      </c>
      <c r="CL44" s="36">
        <f t="shared" ca="1" si="94"/>
        <v>54.857180333910811</v>
      </c>
      <c r="CM44" s="36">
        <f t="shared" ca="1" si="94"/>
        <v>54.857223952716716</v>
      </c>
      <c r="CN44" s="36">
        <f t="shared" ca="1" si="94"/>
        <v>53.610202193156468</v>
      </c>
      <c r="CO44" s="36">
        <f t="shared" ca="1" si="94"/>
        <v>53.397259130201128</v>
      </c>
      <c r="CP44" s="36">
        <f t="shared" ca="1" si="94"/>
        <v>52.975699782232255</v>
      </c>
      <c r="CQ44" s="36">
        <f t="shared" ca="1" si="94"/>
        <v>53.159780405451393</v>
      </c>
      <c r="CR44" s="36">
        <f t="shared" ca="1" si="94"/>
        <v>52.01323476027062</v>
      </c>
      <c r="CS44" s="36">
        <f t="shared" ca="1" si="94"/>
        <v>50.839647166431455</v>
      </c>
      <c r="CT44" s="36">
        <f t="shared" ca="1" si="94"/>
        <v>50.171188440258071</v>
      </c>
      <c r="CU44" s="36">
        <f t="shared" ca="1" si="94"/>
        <v>50.079134438429421</v>
      </c>
      <c r="CV44" s="36">
        <f t="shared" ca="1" si="94"/>
        <v>50.355887044619024</v>
      </c>
      <c r="CW44" s="36">
        <f t="shared" ca="1" si="94"/>
        <v>49.022388840678644</v>
      </c>
      <c r="CX44" s="36">
        <f t="shared" ca="1" si="94"/>
        <v>49.02183205859189</v>
      </c>
      <c r="CY44" s="36">
        <f t="shared" ca="1" si="94"/>
        <v>49.694233397034161</v>
      </c>
      <c r="CZ44" s="36">
        <f t="shared" ca="1" si="94"/>
        <v>50.90792781212879</v>
      </c>
      <c r="DA44" s="36">
        <f t="shared" ca="1" si="94"/>
        <v>51.218026244043266</v>
      </c>
      <c r="DB44" s="36">
        <f t="shared" ca="1" si="94"/>
        <v>50.732009744054736</v>
      </c>
      <c r="DC44" s="36">
        <f t="shared" ca="1" si="94"/>
        <v>51.239849300236827</v>
      </c>
      <c r="DD44" s="36">
        <f t="shared" ca="1" si="94"/>
        <v>51.336844898061649</v>
      </c>
      <c r="DE44" s="36">
        <f t="shared" ca="1" si="94"/>
        <v>49.886739470851133</v>
      </c>
      <c r="DF44" s="36">
        <f t="shared" ca="1" si="94"/>
        <v>49.923140645458943</v>
      </c>
      <c r="DG44" s="36">
        <f t="shared" ca="1" si="94"/>
        <v>48.668472813900074</v>
      </c>
      <c r="DH44" s="36">
        <f t="shared" ca="1" si="94"/>
        <v>48.734720229778254</v>
      </c>
      <c r="DI44" s="36">
        <f t="shared" ca="1" si="94"/>
        <v>49.026392249856933</v>
      </c>
      <c r="DJ44" s="36">
        <f t="shared" ca="1" si="94"/>
        <v>49.300867659714882</v>
      </c>
      <c r="DK44" s="36">
        <f t="shared" ca="1" si="94"/>
        <v>49.03904034521598</v>
      </c>
      <c r="DL44" s="36">
        <f t="shared" ca="1" si="94"/>
        <v>49.76387358499489</v>
      </c>
      <c r="DM44" s="36">
        <f t="shared" ca="1" si="94"/>
        <v>49.920588803344401</v>
      </c>
      <c r="DN44" s="36">
        <f t="shared" ca="1" si="94"/>
        <v>50.65816222738151</v>
      </c>
      <c r="DO44" s="36">
        <f t="shared" ca="1" si="94"/>
        <v>50.928732158029064</v>
      </c>
      <c r="DP44" s="36">
        <f t="shared" ca="1" si="94"/>
        <v>51.470918286881925</v>
      </c>
      <c r="DQ44" s="36">
        <f t="shared" ca="1" si="94"/>
        <v>51.957357051055546</v>
      </c>
      <c r="DR44" s="36">
        <f t="shared" ca="1" si="94"/>
        <v>51.776132441721664</v>
      </c>
      <c r="DS44" s="36">
        <f t="shared" ca="1" si="94"/>
        <v>51.209364062122276</v>
      </c>
      <c r="DT44" s="36">
        <f t="shared" ca="1" si="94"/>
        <v>51.104303990688557</v>
      </c>
      <c r="DU44" s="36">
        <f t="shared" ca="1" si="94"/>
        <v>51.224218768305448</v>
      </c>
      <c r="DV44" s="36">
        <f t="shared" ca="1" si="94"/>
        <v>51.405832000709147</v>
      </c>
      <c r="DW44" s="36">
        <f t="shared" ca="1" si="94"/>
        <v>51.002559440782981</v>
      </c>
      <c r="DX44" s="36">
        <f t="shared" ca="1" si="94"/>
        <v>52.077537527839993</v>
      </c>
      <c r="DY44" s="36">
        <f t="shared" ca="1" si="94"/>
        <v>51.597309848291658</v>
      </c>
      <c r="DZ44" s="36">
        <f t="shared" ca="1" si="94"/>
        <v>50.754702644715948</v>
      </c>
      <c r="EA44" s="36">
        <f t="shared" ca="1" si="94"/>
        <v>51.75259531087417</v>
      </c>
      <c r="EB44" s="36">
        <f t="shared" ca="1" si="94"/>
        <v>53.699864823300167</v>
      </c>
      <c r="EC44" s="36">
        <f t="shared" ca="1" si="72"/>
        <v>53.896184561227287</v>
      </c>
      <c r="ED44" s="36">
        <f t="shared" ca="1" si="72"/>
        <v>53.169356195932465</v>
      </c>
      <c r="EE44" s="36">
        <f t="shared" ca="1" si="72"/>
        <v>54.59314069947947</v>
      </c>
      <c r="EF44" s="36">
        <f t="shared" ca="1" si="72"/>
        <v>54.824933104944421</v>
      </c>
      <c r="EG44" s="36">
        <f t="shared" ca="1" si="72"/>
        <v>54.527682480618132</v>
      </c>
      <c r="EH44" s="36">
        <f t="shared" ca="1" si="72"/>
        <v>52.822406264351201</v>
      </c>
      <c r="EI44" s="36">
        <f t="shared" ca="1" si="72"/>
        <v>52.653445964286384</v>
      </c>
      <c r="EJ44" s="36">
        <f t="shared" ca="1" si="72"/>
        <v>52.765320323743737</v>
      </c>
      <c r="EK44" s="36">
        <f t="shared" ca="1" si="72"/>
        <v>52.029038190530166</v>
      </c>
      <c r="EL44" s="36">
        <f t="shared" ca="1" si="72"/>
        <v>52.453155414427684</v>
      </c>
      <c r="EM44" s="36">
        <f t="shared" ca="1" si="72"/>
        <v>52.555995468696757</v>
      </c>
      <c r="EN44" s="36">
        <f t="shared" ca="1" si="72"/>
        <v>52.819239068447338</v>
      </c>
      <c r="EO44" s="36">
        <f t="shared" ca="1" si="72"/>
        <v>53.588003709428115</v>
      </c>
      <c r="EP44" s="36">
        <f t="shared" ca="1" si="72"/>
        <v>52.717035398435293</v>
      </c>
      <c r="EQ44" s="36">
        <f t="shared" ca="1" si="72"/>
        <v>52.461239586400225</v>
      </c>
      <c r="ER44" s="36">
        <f t="shared" ref="ER44:EW44" ca="1" si="104">EQ44*EXP(($B$3-$B$4^2/2)*1+$B$4*_xlfn.NORM.S.INV(RAND()))</f>
        <v>51.352323928705161</v>
      </c>
      <c r="ES44" s="36">
        <f t="shared" ca="1" si="104"/>
        <v>51.00156950123251</v>
      </c>
      <c r="ET44" s="36">
        <f t="shared" ca="1" si="104"/>
        <v>49.853691135090145</v>
      </c>
      <c r="EU44" s="36">
        <f t="shared" ca="1" si="104"/>
        <v>49.594380563015363</v>
      </c>
      <c r="EV44" s="36">
        <f t="shared" ca="1" si="104"/>
        <v>49.627428811085679</v>
      </c>
      <c r="EW44" s="36">
        <f t="shared" ca="1" si="104"/>
        <v>50.554502042571833</v>
      </c>
      <c r="EX44" s="36">
        <f t="shared" ca="1" si="101"/>
        <v>50.776705479630586</v>
      </c>
      <c r="EY44" s="36">
        <f t="shared" ca="1" si="101"/>
        <v>50.947144944014241</v>
      </c>
      <c r="EZ44" s="36">
        <f t="shared" ca="1" si="101"/>
        <v>49.473939519714875</v>
      </c>
      <c r="FA44" s="36">
        <f t="shared" ca="1" si="101"/>
        <v>49.037662768637837</v>
      </c>
      <c r="FB44" s="36">
        <f t="shared" ca="1" si="101"/>
        <v>48.968909612267943</v>
      </c>
      <c r="FC44" s="36">
        <f t="shared" ca="1" si="101"/>
        <v>48.312337123177045</v>
      </c>
      <c r="FD44" s="36">
        <f t="shared" ca="1" si="101"/>
        <v>47.967349661559226</v>
      </c>
      <c r="FE44" s="36">
        <f t="shared" ca="1" si="101"/>
        <v>47.255936456559589</v>
      </c>
      <c r="FF44" s="36">
        <f t="shared" ca="1" si="101"/>
        <v>47.285731937672587</v>
      </c>
      <c r="FG44" s="36">
        <f t="shared" ca="1" si="101"/>
        <v>47.557161145070246</v>
      </c>
      <c r="FH44" s="36">
        <f t="shared" ca="1" si="101"/>
        <v>46.611158399095601</v>
      </c>
      <c r="FI44" s="36">
        <f t="shared" ca="1" si="101"/>
        <v>45.885108036261059</v>
      </c>
      <c r="FJ44" s="36">
        <f t="shared" ca="1" si="101"/>
        <v>46.250404868188006</v>
      </c>
      <c r="FK44" s="36">
        <f t="shared" ca="1" si="101"/>
        <v>46.120990178404881</v>
      </c>
      <c r="FL44" s="36">
        <f t="shared" ca="1" si="101"/>
        <v>46.101154919362742</v>
      </c>
      <c r="FM44" s="36">
        <f t="shared" ca="1" si="101"/>
        <v>46.207426133787443</v>
      </c>
      <c r="FN44" s="36">
        <f t="shared" ca="1" si="101"/>
        <v>47.035087901087266</v>
      </c>
      <c r="FO44" s="36">
        <f t="shared" ca="1" si="101"/>
        <v>47.979793899810808</v>
      </c>
      <c r="FP44" s="36">
        <f t="shared" ca="1" si="101"/>
        <v>48.174596345404261</v>
      </c>
      <c r="FQ44" s="36">
        <f t="shared" ca="1" si="101"/>
        <v>47.880612865837684</v>
      </c>
      <c r="FR44" s="36">
        <f t="shared" ca="1" si="101"/>
        <v>47.774750239488021</v>
      </c>
      <c r="FS44" s="36">
        <f t="shared" ca="1" si="101"/>
        <v>46.989902005592192</v>
      </c>
      <c r="FT44" s="36">
        <f t="shared" ca="1" si="101"/>
        <v>46.563324111118476</v>
      </c>
      <c r="FU44" s="36">
        <f t="shared" ca="1" si="101"/>
        <v>46.48614124406123</v>
      </c>
      <c r="FV44" s="36">
        <f t="shared" ca="1" si="101"/>
        <v>46.321962821749928</v>
      </c>
      <c r="FW44" s="36">
        <f t="shared" ca="1" si="101"/>
        <v>47.483371999551323</v>
      </c>
      <c r="FX44" s="36">
        <f t="shared" ca="1" si="101"/>
        <v>47.109903518343486</v>
      </c>
      <c r="FY44" s="36">
        <f t="shared" ca="1" si="101"/>
        <v>46.475162139797227</v>
      </c>
      <c r="FZ44" s="36">
        <f t="shared" ca="1" si="101"/>
        <v>46.150364869969458</v>
      </c>
      <c r="GA44" s="36">
        <f t="shared" ca="1" si="101"/>
        <v>46.041495089360239</v>
      </c>
      <c r="GB44" s="36">
        <f t="shared" ca="1" si="101"/>
        <v>47.145427204675769</v>
      </c>
      <c r="GC44" s="36">
        <f t="shared" ca="1" si="101"/>
        <v>47.504289880288574</v>
      </c>
      <c r="GD44" s="36">
        <f t="shared" ca="1" si="101"/>
        <v>47.653665100320474</v>
      </c>
      <c r="GE44" s="36">
        <f t="shared" ca="1" si="101"/>
        <v>47.710679937803391</v>
      </c>
      <c r="GF44" s="36">
        <f t="shared" ca="1" si="101"/>
        <v>47.381334723549379</v>
      </c>
      <c r="GG44" s="36">
        <f t="shared" ca="1" si="101"/>
        <v>47.551239779233882</v>
      </c>
      <c r="GH44" s="36">
        <f t="shared" ca="1" si="101"/>
        <v>46.887715897422986</v>
      </c>
      <c r="GI44" s="36">
        <f t="shared" ca="1" si="101"/>
        <v>45.727105677492951</v>
      </c>
      <c r="GJ44" s="36">
        <f t="shared" ca="1" si="101"/>
        <v>45.505948599662005</v>
      </c>
      <c r="GK44" s="36">
        <f t="shared" ca="1" si="101"/>
        <v>45.881365240147318</v>
      </c>
      <c r="GL44" s="36">
        <f t="shared" ca="1" si="101"/>
        <v>45.760871577718035</v>
      </c>
      <c r="GM44" s="36">
        <f t="shared" ca="1" si="101"/>
        <v>45.232151076413047</v>
      </c>
      <c r="GN44" s="36">
        <f t="shared" ca="1" si="101"/>
        <v>45.431558645039431</v>
      </c>
      <c r="GO44" s="36">
        <f t="shared" ca="1" si="101"/>
        <v>44.846812383878401</v>
      </c>
      <c r="GP44" s="36">
        <f t="shared" ca="1" si="101"/>
        <v>44.853653290973874</v>
      </c>
      <c r="GQ44" s="36">
        <f t="shared" ca="1" si="101"/>
        <v>45.303007720380293</v>
      </c>
      <c r="GR44" s="36">
        <f t="shared" ca="1" si="101"/>
        <v>45.832280852919183</v>
      </c>
      <c r="GS44" s="36">
        <f t="shared" ca="1" si="101"/>
        <v>44.554168195740964</v>
      </c>
      <c r="GT44" s="36">
        <f t="shared" ca="1" si="101"/>
        <v>44.206098724270952</v>
      </c>
      <c r="GU44" s="36">
        <f t="shared" ca="1" si="101"/>
        <v>44.799544015000748</v>
      </c>
      <c r="GV44" s="36">
        <f t="shared" ca="1" si="101"/>
        <v>44.707208344083725</v>
      </c>
      <c r="GW44" s="36">
        <f t="shared" ca="1" si="101"/>
        <v>45.021142792139486</v>
      </c>
      <c r="GX44" s="36">
        <f t="shared" ca="1" si="101"/>
        <v>45.386940697432806</v>
      </c>
      <c r="GY44" s="36">
        <f t="shared" ca="1" si="101"/>
        <v>45.556157179024886</v>
      </c>
      <c r="GZ44" s="36">
        <f t="shared" ca="1" si="101"/>
        <v>45.87567039750261</v>
      </c>
      <c r="HA44" s="36">
        <f t="shared" ca="1" si="101"/>
        <v>46.040199734640098</v>
      </c>
      <c r="HB44" s="36">
        <f t="shared" ca="1" si="101"/>
        <v>45.371041715485781</v>
      </c>
      <c r="HC44" s="36">
        <f t="shared" ca="1" si="101"/>
        <v>44.743452827284614</v>
      </c>
      <c r="HD44" s="36">
        <f t="shared" ca="1" si="101"/>
        <v>45.884800083422334</v>
      </c>
      <c r="HE44" s="36">
        <f t="shared" ca="1" si="101"/>
        <v>45.741167063467877</v>
      </c>
      <c r="HF44" s="36">
        <f t="shared" ca="1" si="101"/>
        <v>45.554884638868828</v>
      </c>
      <c r="HG44" s="36">
        <f t="shared" ca="1" si="101"/>
        <v>44.809884540280159</v>
      </c>
      <c r="HH44" s="36">
        <f t="shared" ca="1" si="101"/>
        <v>45.578440254184827</v>
      </c>
      <c r="HI44" s="36">
        <f t="shared" ca="1" si="99"/>
        <v>45.939122105344929</v>
      </c>
      <c r="HJ44" s="36">
        <f t="shared" ca="1" si="99"/>
        <v>47.311194971875736</v>
      </c>
      <c r="HK44" s="36">
        <f t="shared" ca="1" si="99"/>
        <v>48.289710516310492</v>
      </c>
      <c r="HL44" s="36">
        <f t="shared" ref="HL44:HT44" ca="1" si="105">HK44*EXP(($B$3-$B$4^2/2)*1+$B$4*_xlfn.NORM.S.INV(RAND()))</f>
        <v>48.165213670711445</v>
      </c>
      <c r="HM44" s="36">
        <f t="shared" ca="1" si="105"/>
        <v>48.692084189236638</v>
      </c>
      <c r="HN44" s="36">
        <f t="shared" ca="1" si="105"/>
        <v>49.503862509182596</v>
      </c>
      <c r="HO44" s="36">
        <f t="shared" ca="1" si="105"/>
        <v>49.996053037686742</v>
      </c>
      <c r="HP44" s="36">
        <f t="shared" ca="1" si="105"/>
        <v>50.224760553118536</v>
      </c>
      <c r="HQ44" s="36">
        <f t="shared" ca="1" si="105"/>
        <v>49.532116126528528</v>
      </c>
      <c r="HR44" s="36">
        <f t="shared" ca="1" si="105"/>
        <v>48.547633864028512</v>
      </c>
      <c r="HS44" s="36">
        <f t="shared" ca="1" si="105"/>
        <v>48.049029567452514</v>
      </c>
      <c r="HT44" s="36">
        <f t="shared" ca="1" si="105"/>
        <v>47.760944385199849</v>
      </c>
      <c r="HU44" s="36">
        <f t="shared" ca="1" si="103"/>
        <v>48.365510723731624</v>
      </c>
      <c r="HV44" s="36">
        <f t="shared" ca="1" si="103"/>
        <v>48.221832076689438</v>
      </c>
      <c r="HW44" s="36">
        <f t="shared" ca="1" si="103"/>
        <v>47.147484460813587</v>
      </c>
      <c r="HX44" s="36">
        <f t="shared" ca="1" si="103"/>
        <v>47.331920252121911</v>
      </c>
      <c r="HY44" s="36">
        <f t="shared" ca="1" si="103"/>
        <v>47.438882217256058</v>
      </c>
      <c r="HZ44" s="36">
        <f t="shared" ca="1" si="103"/>
        <v>47.72147046014927</v>
      </c>
      <c r="IA44" s="36">
        <f t="shared" ca="1" si="103"/>
        <v>47.3742095875036</v>
      </c>
      <c r="IB44" s="36">
        <f t="shared" ca="1" si="103"/>
        <v>48.318397632357303</v>
      </c>
      <c r="IC44" s="36">
        <f t="shared" ca="1" si="103"/>
        <v>48.675973885214752</v>
      </c>
      <c r="ID44" s="36">
        <f t="shared" ca="1" si="103"/>
        <v>48.710858927106784</v>
      </c>
      <c r="IE44" s="36">
        <f t="shared" ca="1" si="103"/>
        <v>48.313314719290908</v>
      </c>
      <c r="IF44" s="36">
        <f t="shared" ca="1" si="103"/>
        <v>47.76658350021583</v>
      </c>
      <c r="IG44" s="36">
        <f t="shared" ca="1" si="103"/>
        <v>47.142195373826716</v>
      </c>
      <c r="IH44" s="36">
        <f t="shared" ca="1" si="103"/>
        <v>46.503437917559566</v>
      </c>
      <c r="II44" s="36">
        <f t="shared" ca="1" si="103"/>
        <v>46.117295343400798</v>
      </c>
      <c r="IJ44" s="36">
        <f t="shared" ca="1" si="103"/>
        <v>46.37887664275965</v>
      </c>
      <c r="IK44" s="36">
        <f t="shared" ca="1" si="103"/>
        <v>46.884316353401132</v>
      </c>
      <c r="IL44" s="36">
        <f t="shared" ca="1" si="103"/>
        <v>47.105121513878522</v>
      </c>
      <c r="IM44" s="36">
        <f t="shared" ca="1" si="103"/>
        <v>47.242501513564953</v>
      </c>
      <c r="IN44" s="36">
        <f t="shared" ca="1" si="103"/>
        <v>47.272243704796352</v>
      </c>
      <c r="IO44" s="36">
        <f t="shared" ca="1" si="103"/>
        <v>46.340969309177531</v>
      </c>
      <c r="IP44" s="36">
        <f t="shared" ca="1" si="103"/>
        <v>46.047160125394669</v>
      </c>
      <c r="IQ44" s="36">
        <f t="shared" ca="1" si="103"/>
        <v>44.490614994953781</v>
      </c>
      <c r="IR44" s="36">
        <f t="shared" ca="1" si="103"/>
        <v>44.149623221457567</v>
      </c>
      <c r="IS44" s="36">
        <f t="shared" ca="1" si="103"/>
        <v>43.12752712732383</v>
      </c>
      <c r="IT44" s="36">
        <f t="shared" ca="1" si="103"/>
        <v>42.174408810268773</v>
      </c>
      <c r="IU44" s="36">
        <f t="shared" ca="1" si="103"/>
        <v>41.898237647924546</v>
      </c>
    </row>
    <row r="45" spans="1:255" x14ac:dyDescent="0.2">
      <c r="A45" s="36"/>
      <c r="B45">
        <v>35</v>
      </c>
      <c r="C45" s="36">
        <v>50</v>
      </c>
      <c r="D45" s="36">
        <f t="shared" ca="1" si="14"/>
        <v>49.986802748717231</v>
      </c>
      <c r="E45" s="36">
        <f t="shared" ca="1" si="14"/>
        <v>49.58841813768862</v>
      </c>
      <c r="F45" s="36">
        <f t="shared" ca="1" si="97"/>
        <v>50.078867693282966</v>
      </c>
      <c r="G45" s="36">
        <f t="shared" ca="1" si="97"/>
        <v>49.480450140956577</v>
      </c>
      <c r="H45" s="36">
        <f t="shared" ca="1" si="97"/>
        <v>49.372049351494503</v>
      </c>
      <c r="I45" s="36">
        <f t="shared" ca="1" si="97"/>
        <v>49.334498736256002</v>
      </c>
      <c r="J45" s="36">
        <f t="shared" ca="1" si="97"/>
        <v>49.037175926559776</v>
      </c>
      <c r="K45" s="36">
        <f t="shared" ca="1" si="97"/>
        <v>49.853469142958218</v>
      </c>
      <c r="L45" s="36">
        <f t="shared" ca="1" si="97"/>
        <v>49.053185764790953</v>
      </c>
      <c r="M45" s="36">
        <f t="shared" ca="1" si="97"/>
        <v>48.598321852137943</v>
      </c>
      <c r="N45" s="36">
        <f t="shared" ca="1" si="97"/>
        <v>48.72855774152216</v>
      </c>
      <c r="O45" s="36">
        <f t="shared" ca="1" si="97"/>
        <v>48.866613455433573</v>
      </c>
      <c r="P45" s="36">
        <f t="shared" ca="1" si="97"/>
        <v>48.164118428829376</v>
      </c>
      <c r="Q45" s="36">
        <f t="shared" ca="1" si="97"/>
        <v>48.850317563209565</v>
      </c>
      <c r="R45" s="36">
        <f t="shared" ca="1" si="97"/>
        <v>47.97316255441477</v>
      </c>
      <c r="S45" s="36">
        <f t="shared" ca="1" si="97"/>
        <v>48.283857649865055</v>
      </c>
      <c r="T45" s="36">
        <f t="shared" ca="1" si="97"/>
        <v>49.101216421866951</v>
      </c>
      <c r="U45" s="36">
        <f t="shared" ca="1" si="97"/>
        <v>48.534537218349293</v>
      </c>
      <c r="V45" s="36">
        <f t="shared" ca="1" si="97"/>
        <v>49.992861313532686</v>
      </c>
      <c r="W45" s="36">
        <f t="shared" ca="1" si="97"/>
        <v>49.88602534345452</v>
      </c>
      <c r="X45" s="36">
        <f t="shared" ca="1" si="97"/>
        <v>49.037673776417968</v>
      </c>
      <c r="Y45" s="36">
        <f t="shared" ca="1" si="97"/>
        <v>48.823371596180017</v>
      </c>
      <c r="Z45" s="36">
        <f t="shared" ca="1" si="97"/>
        <v>49.54699106365419</v>
      </c>
      <c r="AA45" s="36">
        <f t="shared" ca="1" si="97"/>
        <v>49.190975578673395</v>
      </c>
      <c r="AB45" s="36">
        <f t="shared" ca="1" si="97"/>
        <v>48.203430242742961</v>
      </c>
      <c r="AC45" s="36">
        <f t="shared" ca="1" si="97"/>
        <v>48.150293530188961</v>
      </c>
      <c r="AD45" s="36">
        <f t="shared" ca="1" si="97"/>
        <v>47.320279164376778</v>
      </c>
      <c r="AE45" s="36">
        <f t="shared" ca="1" si="97"/>
        <v>47.13595140555303</v>
      </c>
      <c r="AF45" s="36">
        <f t="shared" ca="1" si="97"/>
        <v>46.555132904030167</v>
      </c>
      <c r="AG45" s="36">
        <f t="shared" ca="1" si="97"/>
        <v>47.566795432013159</v>
      </c>
      <c r="AH45" s="36">
        <f t="shared" ca="1" si="97"/>
        <v>47.920835672073572</v>
      </c>
      <c r="AI45" s="36">
        <f t="shared" ca="1" si="97"/>
        <v>46.389753890156882</v>
      </c>
      <c r="AJ45" s="36">
        <f t="shared" ca="1" si="97"/>
        <v>46.34246130111876</v>
      </c>
      <c r="AK45" s="36">
        <f t="shared" ca="1" si="97"/>
        <v>46.747369894995828</v>
      </c>
      <c r="AL45" s="36">
        <f t="shared" ca="1" si="97"/>
        <v>46.595253531454446</v>
      </c>
      <c r="AM45" s="36">
        <f t="shared" ca="1" si="97"/>
        <v>46.781708838027733</v>
      </c>
      <c r="AN45" s="36">
        <f t="shared" ca="1" si="97"/>
        <v>47.071664735231877</v>
      </c>
      <c r="AO45" s="36">
        <f t="shared" ca="1" si="97"/>
        <v>46.720668617028949</v>
      </c>
      <c r="AP45" s="36">
        <f t="shared" ca="1" si="97"/>
        <v>46.158880557283787</v>
      </c>
      <c r="AQ45" s="36">
        <f t="shared" ca="1" si="97"/>
        <v>45.759529000583321</v>
      </c>
      <c r="AR45" s="36">
        <f t="shared" ca="1" si="97"/>
        <v>45.958649945174827</v>
      </c>
      <c r="AS45" s="36">
        <f t="shared" ca="1" si="97"/>
        <v>46.447869762083869</v>
      </c>
      <c r="AT45" s="36">
        <f t="shared" ca="1" si="97"/>
        <v>47.610742506710707</v>
      </c>
      <c r="AU45" s="36">
        <f t="shared" ca="1" si="97"/>
        <v>46.619809141300891</v>
      </c>
      <c r="AV45" s="36">
        <f t="shared" ca="1" si="97"/>
        <v>46.773445067425939</v>
      </c>
      <c r="AW45" s="36">
        <f t="shared" ca="1" si="97"/>
        <v>47.026272345521726</v>
      </c>
      <c r="AX45" s="36">
        <f t="shared" ca="1" si="97"/>
        <v>46.293784982317895</v>
      </c>
      <c r="AY45" s="36">
        <f t="shared" ca="1" si="97"/>
        <v>46.445887508174792</v>
      </c>
      <c r="AZ45" s="36">
        <f t="shared" ca="1" si="97"/>
        <v>46.361299939018529</v>
      </c>
      <c r="BA45" s="36">
        <f t="shared" ca="1" si="97"/>
        <v>46.043159298875921</v>
      </c>
      <c r="BB45" s="36">
        <f t="shared" ca="1" si="97"/>
        <v>45.466072290156589</v>
      </c>
      <c r="BC45" s="36">
        <f t="shared" ca="1" si="97"/>
        <v>45.255209796907273</v>
      </c>
      <c r="BD45" s="36">
        <f t="shared" ca="1" si="97"/>
        <v>44.140487769678387</v>
      </c>
      <c r="BE45" s="36">
        <f t="shared" ca="1" si="97"/>
        <v>43.083603776027864</v>
      </c>
      <c r="BF45" s="36">
        <f t="shared" ca="1" si="97"/>
        <v>42.732616371477228</v>
      </c>
      <c r="BG45" s="36">
        <f t="shared" ca="1" si="97"/>
        <v>42.253715753435657</v>
      </c>
      <c r="BH45" s="36">
        <f t="shared" ca="1" si="97"/>
        <v>41.708928542109021</v>
      </c>
      <c r="BI45" s="36">
        <f t="shared" ca="1" si="97"/>
        <v>41.171770166191436</v>
      </c>
      <c r="BJ45" s="36">
        <f t="shared" ca="1" si="97"/>
        <v>41.882805015986989</v>
      </c>
      <c r="BK45" s="36">
        <f t="shared" ca="1" si="97"/>
        <v>42.031715901522176</v>
      </c>
      <c r="BL45" s="36">
        <f t="shared" ca="1" si="97"/>
        <v>41.605295459580582</v>
      </c>
      <c r="BM45" s="36">
        <f t="shared" ca="1" si="97"/>
        <v>40.391778093253386</v>
      </c>
      <c r="BN45" s="36">
        <f t="shared" ca="1" si="97"/>
        <v>41.33644980752188</v>
      </c>
      <c r="BO45" s="36">
        <f t="shared" ca="1" si="97"/>
        <v>41.105621265720558</v>
      </c>
      <c r="BP45" s="36">
        <f t="shared" ca="1" si="97"/>
        <v>41.607249806336299</v>
      </c>
      <c r="BQ45" s="36">
        <f t="shared" ref="BQ45:EB48" ca="1" si="106">BP45*EXP(($B$3-$B$4^2/2)*1+$B$4*_xlfn.NORM.S.INV(RAND()))</f>
        <v>41.843054426845065</v>
      </c>
      <c r="BR45" s="36">
        <f t="shared" ca="1" si="106"/>
        <v>42.39643345096848</v>
      </c>
      <c r="BS45" s="36">
        <f t="shared" ca="1" si="106"/>
        <v>43.559679852365782</v>
      </c>
      <c r="BT45" s="36">
        <f t="shared" ca="1" si="106"/>
        <v>42.427392718467637</v>
      </c>
      <c r="BU45" s="36">
        <f t="shared" ca="1" si="106"/>
        <v>42.521650087796459</v>
      </c>
      <c r="BV45" s="36">
        <f t="shared" ca="1" si="106"/>
        <v>42.795051731813317</v>
      </c>
      <c r="BW45" s="36">
        <f t="shared" ca="1" si="106"/>
        <v>43.305910050949699</v>
      </c>
      <c r="BX45" s="36">
        <f t="shared" ca="1" si="106"/>
        <v>42.705107475994168</v>
      </c>
      <c r="BY45" s="36">
        <f t="shared" ca="1" si="106"/>
        <v>41.886723764909767</v>
      </c>
      <c r="BZ45" s="36">
        <f t="shared" ca="1" si="106"/>
        <v>41.938135412718971</v>
      </c>
      <c r="CA45" s="36">
        <f t="shared" ca="1" si="106"/>
        <v>41.573219876057721</v>
      </c>
      <c r="CB45" s="36">
        <f t="shared" ca="1" si="106"/>
        <v>41.953073173121624</v>
      </c>
      <c r="CC45" s="36">
        <f t="shared" ca="1" si="106"/>
        <v>41.964838882999786</v>
      </c>
      <c r="CD45" s="36">
        <f t="shared" ca="1" si="106"/>
        <v>41.561138508365971</v>
      </c>
      <c r="CE45" s="36">
        <f t="shared" ca="1" si="106"/>
        <v>41.921040622152866</v>
      </c>
      <c r="CF45" s="36">
        <f t="shared" ca="1" si="106"/>
        <v>42.008274066284258</v>
      </c>
      <c r="CG45" s="36">
        <f t="shared" ca="1" si="106"/>
        <v>42.535480330693147</v>
      </c>
      <c r="CH45" s="36">
        <f t="shared" ca="1" si="106"/>
        <v>42.87957657274319</v>
      </c>
      <c r="CI45" s="36">
        <f t="shared" ca="1" si="106"/>
        <v>42.341826555376883</v>
      </c>
      <c r="CJ45" s="36">
        <f t="shared" ca="1" si="106"/>
        <v>42.503038440748171</v>
      </c>
      <c r="CK45" s="36">
        <f t="shared" ca="1" si="106"/>
        <v>42.835948860615495</v>
      </c>
      <c r="CL45" s="36">
        <f t="shared" ca="1" si="106"/>
        <v>42.425633373804374</v>
      </c>
      <c r="CM45" s="36">
        <f t="shared" ca="1" si="106"/>
        <v>41.616357645129021</v>
      </c>
      <c r="CN45" s="36">
        <f t="shared" ca="1" si="106"/>
        <v>41.809061736343772</v>
      </c>
      <c r="CO45" s="36">
        <f t="shared" ca="1" si="106"/>
        <v>41.539019218997055</v>
      </c>
      <c r="CP45" s="36">
        <f t="shared" ca="1" si="106"/>
        <v>40.631021815550191</v>
      </c>
      <c r="CQ45" s="36">
        <f t="shared" ca="1" si="106"/>
        <v>40.996134426745577</v>
      </c>
      <c r="CR45" s="36">
        <f t="shared" ca="1" si="106"/>
        <v>41.301390542693824</v>
      </c>
      <c r="CS45" s="36">
        <f t="shared" ca="1" si="106"/>
        <v>40.727392877130974</v>
      </c>
      <c r="CT45" s="36">
        <f t="shared" ca="1" si="106"/>
        <v>40.547052750382832</v>
      </c>
      <c r="CU45" s="36">
        <f t="shared" ca="1" si="106"/>
        <v>41.675449377731326</v>
      </c>
      <c r="CV45" s="36">
        <f t="shared" ca="1" si="106"/>
        <v>41.555982456744822</v>
      </c>
      <c r="CW45" s="36">
        <f t="shared" ca="1" si="106"/>
        <v>41.618585580090247</v>
      </c>
      <c r="CX45" s="36">
        <f t="shared" ca="1" si="106"/>
        <v>42.074459202485038</v>
      </c>
      <c r="CY45" s="36">
        <f t="shared" ca="1" si="106"/>
        <v>41.45793217156654</v>
      </c>
      <c r="CZ45" s="36">
        <f t="shared" ca="1" si="106"/>
        <v>41.455558294776893</v>
      </c>
      <c r="DA45" s="36">
        <f t="shared" ca="1" si="106"/>
        <v>40.95306388924925</v>
      </c>
      <c r="DB45" s="36">
        <f t="shared" ca="1" si="106"/>
        <v>41.398852799193264</v>
      </c>
      <c r="DC45" s="36">
        <f t="shared" ca="1" si="106"/>
        <v>41.004775257051904</v>
      </c>
      <c r="DD45" s="36">
        <f t="shared" ca="1" si="106"/>
        <v>40.749474441032298</v>
      </c>
      <c r="DE45" s="36">
        <f t="shared" ca="1" si="106"/>
        <v>40.22880565213562</v>
      </c>
      <c r="DF45" s="36">
        <f t="shared" ca="1" si="106"/>
        <v>39.526488104687019</v>
      </c>
      <c r="DG45" s="36">
        <f t="shared" ca="1" si="106"/>
        <v>39.541871291616545</v>
      </c>
      <c r="DH45" s="36">
        <f t="shared" ca="1" si="106"/>
        <v>39.330766742608581</v>
      </c>
      <c r="DI45" s="36">
        <f t="shared" ca="1" si="106"/>
        <v>39.614538513244014</v>
      </c>
      <c r="DJ45" s="36">
        <f t="shared" ca="1" si="106"/>
        <v>39.44880870948014</v>
      </c>
      <c r="DK45" s="36">
        <f t="shared" ca="1" si="106"/>
        <v>38.474081458857121</v>
      </c>
      <c r="DL45" s="36">
        <f t="shared" ca="1" si="106"/>
        <v>38.788063293793599</v>
      </c>
      <c r="DM45" s="36">
        <f t="shared" ca="1" si="106"/>
        <v>39.385788285463555</v>
      </c>
      <c r="DN45" s="36">
        <f t="shared" ca="1" si="106"/>
        <v>39.509979131181836</v>
      </c>
      <c r="DO45" s="36">
        <f t="shared" ca="1" si="106"/>
        <v>39.326837741697574</v>
      </c>
      <c r="DP45" s="36">
        <f t="shared" ca="1" si="106"/>
        <v>39.367268549640585</v>
      </c>
      <c r="DQ45" s="36">
        <f t="shared" ca="1" si="106"/>
        <v>39.44884430535916</v>
      </c>
      <c r="DR45" s="36">
        <f t="shared" ca="1" si="106"/>
        <v>38.610297407621715</v>
      </c>
      <c r="DS45" s="36">
        <f t="shared" ca="1" si="106"/>
        <v>38.853707481786827</v>
      </c>
      <c r="DT45" s="36">
        <f t="shared" ca="1" si="106"/>
        <v>38.736676593509024</v>
      </c>
      <c r="DU45" s="36">
        <f t="shared" ca="1" si="106"/>
        <v>38.591748646683946</v>
      </c>
      <c r="DV45" s="36">
        <f t="shared" ca="1" si="106"/>
        <v>38.480784897574686</v>
      </c>
      <c r="DW45" s="36">
        <f t="shared" ca="1" si="106"/>
        <v>38.060704840769468</v>
      </c>
      <c r="DX45" s="36">
        <f t="shared" ca="1" si="106"/>
        <v>37.929526313390618</v>
      </c>
      <c r="DY45" s="36">
        <f t="shared" ca="1" si="106"/>
        <v>38.761418466477451</v>
      </c>
      <c r="DZ45" s="36">
        <f t="shared" ca="1" si="106"/>
        <v>39.231352870287509</v>
      </c>
      <c r="EA45" s="36">
        <f t="shared" ca="1" si="106"/>
        <v>39.939289889357248</v>
      </c>
      <c r="EB45" s="36">
        <f t="shared" ca="1" si="106"/>
        <v>40.265313021116953</v>
      </c>
      <c r="EC45" s="36">
        <f t="shared" ref="EC45:EV57" ca="1" si="107">EB45*EXP(($B$3-$B$4^2/2)*1+$B$4*_xlfn.NORM.S.INV(RAND()))</f>
        <v>40.093835535089205</v>
      </c>
      <c r="ED45" s="36">
        <f t="shared" ca="1" si="107"/>
        <v>39.793542744078962</v>
      </c>
      <c r="EE45" s="36">
        <f t="shared" ca="1" si="107"/>
        <v>40.321608608996534</v>
      </c>
      <c r="EF45" s="36">
        <f t="shared" ca="1" si="107"/>
        <v>41.234332198108547</v>
      </c>
      <c r="EG45" s="36">
        <f t="shared" ca="1" si="107"/>
        <v>40.801406015077241</v>
      </c>
      <c r="EH45" s="36">
        <f t="shared" ca="1" si="107"/>
        <v>39.880546816985181</v>
      </c>
      <c r="EI45" s="36">
        <f t="shared" ca="1" si="107"/>
        <v>40.479064609849331</v>
      </c>
      <c r="EJ45" s="36">
        <f t="shared" ca="1" si="107"/>
        <v>40.462448438101987</v>
      </c>
      <c r="EK45" s="36">
        <f t="shared" ca="1" si="107"/>
        <v>40.625069266775824</v>
      </c>
      <c r="EL45" s="36">
        <f t="shared" ca="1" si="107"/>
        <v>41.60286576675869</v>
      </c>
      <c r="EM45" s="36">
        <f t="shared" ca="1" si="107"/>
        <v>41.591152398708864</v>
      </c>
      <c r="EN45" s="36">
        <f t="shared" ca="1" si="107"/>
        <v>40.937895344664426</v>
      </c>
      <c r="EO45" s="36">
        <f t="shared" ca="1" si="107"/>
        <v>41.624786547077306</v>
      </c>
      <c r="EP45" s="36">
        <f t="shared" ca="1" si="107"/>
        <v>41.25852993037303</v>
      </c>
      <c r="EQ45" s="36">
        <f t="shared" ca="1" si="107"/>
        <v>41.545997343605499</v>
      </c>
      <c r="ER45" s="36">
        <f t="shared" ca="1" si="107"/>
        <v>40.737027241638174</v>
      </c>
      <c r="ES45" s="36">
        <f t="shared" ca="1" si="107"/>
        <v>40.966402257643757</v>
      </c>
      <c r="ET45" s="36">
        <f t="shared" ca="1" si="107"/>
        <v>41.156814102493236</v>
      </c>
      <c r="EU45" s="36">
        <f t="shared" ca="1" si="107"/>
        <v>41.385130015744217</v>
      </c>
      <c r="EV45" s="36">
        <f t="shared" ca="1" si="107"/>
        <v>42.417687528335343</v>
      </c>
      <c r="EW45" s="36">
        <f t="shared" ref="EW45" ca="1" si="108">EV45*EXP(($B$3-$B$4^2/2)*1+$B$4*_xlfn.NORM.S.INV(RAND()))</f>
        <v>42.323406258132607</v>
      </c>
      <c r="EX45" s="36">
        <f t="shared" ca="1" si="101"/>
        <v>42.684019447818045</v>
      </c>
      <c r="EY45" s="36">
        <f t="shared" ca="1" si="101"/>
        <v>42.03752291474165</v>
      </c>
      <c r="EZ45" s="36">
        <f t="shared" ca="1" si="101"/>
        <v>41.493062064785029</v>
      </c>
      <c r="FA45" s="36">
        <f t="shared" ca="1" si="101"/>
        <v>40.971224439285379</v>
      </c>
      <c r="FB45" s="36">
        <f t="shared" ca="1" si="101"/>
        <v>42.158442898274778</v>
      </c>
      <c r="FC45" s="36">
        <f t="shared" ca="1" si="101"/>
        <v>41.346142321585674</v>
      </c>
      <c r="FD45" s="36">
        <f t="shared" ca="1" si="101"/>
        <v>42.086797205334307</v>
      </c>
      <c r="FE45" s="36">
        <f t="shared" ca="1" si="101"/>
        <v>41.885454415685736</v>
      </c>
      <c r="FF45" s="36">
        <f t="shared" ca="1" si="101"/>
        <v>41.605493028847562</v>
      </c>
      <c r="FG45" s="36">
        <f t="shared" ca="1" si="101"/>
        <v>42.342051022515115</v>
      </c>
      <c r="FH45" s="36">
        <f t="shared" ca="1" si="101"/>
        <v>41.8856078655473</v>
      </c>
      <c r="FI45" s="36">
        <f t="shared" ca="1" si="101"/>
        <v>42.780506896037032</v>
      </c>
      <c r="FJ45" s="36">
        <f t="shared" ca="1" si="101"/>
        <v>42.325228313751857</v>
      </c>
      <c r="FK45" s="36">
        <f t="shared" ca="1" si="101"/>
        <v>42.467985728423528</v>
      </c>
      <c r="FL45" s="36">
        <f t="shared" ca="1" si="101"/>
        <v>42.699113191734746</v>
      </c>
      <c r="FM45" s="36">
        <f t="shared" ca="1" si="101"/>
        <v>42.982974034764815</v>
      </c>
      <c r="FN45" s="36">
        <f t="shared" ca="1" si="101"/>
        <v>43.422843662383158</v>
      </c>
      <c r="FO45" s="36">
        <f t="shared" ca="1" si="101"/>
        <v>43.324163878306976</v>
      </c>
      <c r="FP45" s="36">
        <f t="shared" ca="1" si="101"/>
        <v>43.316984066700023</v>
      </c>
      <c r="FQ45" s="36">
        <f t="shared" ca="1" si="101"/>
        <v>43.178834409914401</v>
      </c>
      <c r="FR45" s="36">
        <f t="shared" ca="1" si="101"/>
        <v>42.795613337364749</v>
      </c>
      <c r="FS45" s="36">
        <f t="shared" ca="1" si="101"/>
        <v>43.002404009172743</v>
      </c>
      <c r="FT45" s="36">
        <f t="shared" ca="1" si="101"/>
        <v>42.498246248193219</v>
      </c>
      <c r="FU45" s="36">
        <f t="shared" ca="1" si="101"/>
        <v>42.307625302317433</v>
      </c>
      <c r="FV45" s="36">
        <f t="shared" ca="1" si="101"/>
        <v>42.870236673533995</v>
      </c>
      <c r="FW45" s="36">
        <f t="shared" ca="1" si="101"/>
        <v>44.12367114527855</v>
      </c>
      <c r="FX45" s="36">
        <f t="shared" ca="1" si="101"/>
        <v>44.140984394222102</v>
      </c>
      <c r="FY45" s="36">
        <f t="shared" ca="1" si="101"/>
        <v>44.819287036804937</v>
      </c>
      <c r="FZ45" s="36">
        <f t="shared" ca="1" si="101"/>
        <v>44.938697874257997</v>
      </c>
      <c r="GA45" s="36">
        <f t="shared" ca="1" si="101"/>
        <v>44.76982748735265</v>
      </c>
      <c r="GB45" s="36">
        <f t="shared" ca="1" si="101"/>
        <v>44.684723800940148</v>
      </c>
      <c r="GC45" s="36">
        <f t="shared" ca="1" si="101"/>
        <v>45.978539934255686</v>
      </c>
      <c r="GD45" s="36">
        <f t="shared" ca="1" si="101"/>
        <v>45.496637234421911</v>
      </c>
      <c r="GE45" s="36">
        <f t="shared" ca="1" si="101"/>
        <v>45.20349980790828</v>
      </c>
      <c r="GF45" s="36">
        <f t="shared" ca="1" si="101"/>
        <v>44.702812665388109</v>
      </c>
      <c r="GG45" s="36">
        <f t="shared" ca="1" si="101"/>
        <v>44.834802489407714</v>
      </c>
      <c r="GH45" s="36">
        <f t="shared" ca="1" si="101"/>
        <v>45.049566243438832</v>
      </c>
      <c r="GI45" s="36">
        <f t="shared" ca="1" si="101"/>
        <v>45.306503274179654</v>
      </c>
      <c r="GJ45" s="36">
        <f t="shared" ca="1" si="101"/>
        <v>45.3023688713944</v>
      </c>
      <c r="GK45" s="36">
        <f t="shared" ca="1" si="101"/>
        <v>45.059920165280531</v>
      </c>
      <c r="GL45" s="36">
        <f t="shared" ca="1" si="101"/>
        <v>45.488642409381882</v>
      </c>
      <c r="GM45" s="36">
        <f t="shared" ca="1" si="101"/>
        <v>45.137619234430737</v>
      </c>
      <c r="GN45" s="36">
        <f t="shared" ca="1" si="101"/>
        <v>44.626467230932356</v>
      </c>
      <c r="GO45" s="36">
        <f t="shared" ca="1" si="101"/>
        <v>45.070555827033061</v>
      </c>
      <c r="GP45" s="36">
        <f t="shared" ca="1" si="101"/>
        <v>45.967154514858933</v>
      </c>
      <c r="GQ45" s="36">
        <f t="shared" ca="1" si="101"/>
        <v>45.194405886445082</v>
      </c>
      <c r="GR45" s="36">
        <f t="shared" ca="1" si="101"/>
        <v>46.058408596296502</v>
      </c>
      <c r="GS45" s="36">
        <f t="shared" ca="1" si="101"/>
        <v>45.597005467023195</v>
      </c>
      <c r="GT45" s="36">
        <f t="shared" ca="1" si="101"/>
        <v>45.102418920491552</v>
      </c>
      <c r="GU45" s="36">
        <f t="shared" ca="1" si="101"/>
        <v>43.745929943428585</v>
      </c>
      <c r="GV45" s="36">
        <f t="shared" ca="1" si="101"/>
        <v>42.411691641629631</v>
      </c>
      <c r="GW45" s="36">
        <f t="shared" ca="1" si="101"/>
        <v>42.845983793154133</v>
      </c>
      <c r="GX45" s="36">
        <f t="shared" ca="1" si="101"/>
        <v>43.225285475488853</v>
      </c>
      <c r="GY45" s="36">
        <f t="shared" ca="1" si="101"/>
        <v>43.107689381632412</v>
      </c>
      <c r="GZ45" s="36">
        <f t="shared" ca="1" si="101"/>
        <v>42.867669861171272</v>
      </c>
      <c r="HA45" s="36">
        <f t="shared" ca="1" si="101"/>
        <v>43.906807254705463</v>
      </c>
      <c r="HB45" s="36">
        <f t="shared" ca="1" si="101"/>
        <v>44.918543904868386</v>
      </c>
      <c r="HC45" s="36">
        <f t="shared" ca="1" si="101"/>
        <v>44.532274903533839</v>
      </c>
      <c r="HD45" s="36">
        <f t="shared" ca="1" si="101"/>
        <v>44.338604693709328</v>
      </c>
      <c r="HE45" s="36">
        <f t="shared" ca="1" si="101"/>
        <v>44.848264214372634</v>
      </c>
      <c r="HF45" s="36">
        <f t="shared" ca="1" si="101"/>
        <v>44.648828561876201</v>
      </c>
      <c r="HG45" s="36">
        <f t="shared" ca="1" si="101"/>
        <v>44.649440792354689</v>
      </c>
      <c r="HH45" s="36">
        <f t="shared" ca="1" si="101"/>
        <v>45.519501662587587</v>
      </c>
      <c r="HI45" s="36">
        <f t="shared" ref="HI45:HT46" ca="1" si="109">HH45*EXP(($B$3-$B$4^2/2)*1+$B$4*_xlfn.NORM.S.INV(RAND()))</f>
        <v>45.516195639855503</v>
      </c>
      <c r="HJ45" s="36">
        <f t="shared" ca="1" si="109"/>
        <v>45.067967596391384</v>
      </c>
      <c r="HK45" s="36">
        <f t="shared" ca="1" si="109"/>
        <v>46.051695012179373</v>
      </c>
      <c r="HL45" s="36">
        <f t="shared" ca="1" si="109"/>
        <v>45.312859269856318</v>
      </c>
      <c r="HM45" s="36">
        <f t="shared" ca="1" si="109"/>
        <v>46.167120065863337</v>
      </c>
      <c r="HN45" s="36">
        <f t="shared" ca="1" si="109"/>
        <v>46.462466396812005</v>
      </c>
      <c r="HO45" s="36">
        <f t="shared" ca="1" si="109"/>
        <v>46.002087058763621</v>
      </c>
      <c r="HP45" s="36">
        <f t="shared" ca="1" si="109"/>
        <v>47.067319708147622</v>
      </c>
      <c r="HQ45" s="36">
        <f t="shared" ca="1" si="109"/>
        <v>46.399524437466056</v>
      </c>
      <c r="HR45" s="36">
        <f t="shared" ca="1" si="109"/>
        <v>47.071977724903874</v>
      </c>
      <c r="HS45" s="36">
        <f t="shared" ca="1" si="109"/>
        <v>47.85897716171921</v>
      </c>
      <c r="HT45" s="36">
        <f t="shared" ca="1" si="109"/>
        <v>48.154761617621645</v>
      </c>
      <c r="HU45" s="36">
        <f t="shared" ca="1" si="103"/>
        <v>48.418659456752167</v>
      </c>
      <c r="HV45" s="36">
        <f t="shared" ca="1" si="103"/>
        <v>48.356660851683685</v>
      </c>
      <c r="HW45" s="36">
        <f t="shared" ca="1" si="103"/>
        <v>49.065915259237094</v>
      </c>
      <c r="HX45" s="36">
        <f t="shared" ca="1" si="103"/>
        <v>49.037340958693378</v>
      </c>
      <c r="HY45" s="36">
        <f t="shared" ca="1" si="103"/>
        <v>50.034140395525441</v>
      </c>
      <c r="HZ45" s="36">
        <f t="shared" ca="1" si="103"/>
        <v>49.980143163086119</v>
      </c>
      <c r="IA45" s="36">
        <f t="shared" ca="1" si="103"/>
        <v>49.539674349359558</v>
      </c>
      <c r="IB45" s="36">
        <f t="shared" ca="1" si="103"/>
        <v>49.363166104849647</v>
      </c>
      <c r="IC45" s="36">
        <f t="shared" ca="1" si="103"/>
        <v>48.891698224537208</v>
      </c>
      <c r="ID45" s="36">
        <f t="shared" ca="1" si="103"/>
        <v>48.474739952640803</v>
      </c>
      <c r="IE45" s="36">
        <f t="shared" ca="1" si="103"/>
        <v>47.89259919493189</v>
      </c>
      <c r="IF45" s="36">
        <f t="shared" ca="1" si="103"/>
        <v>48.009724112576841</v>
      </c>
      <c r="IG45" s="36">
        <f t="shared" ca="1" si="103"/>
        <v>48.676808740249456</v>
      </c>
      <c r="IH45" s="36">
        <f t="shared" ca="1" si="103"/>
        <v>49.540717760358191</v>
      </c>
      <c r="II45" s="36">
        <f t="shared" ca="1" si="103"/>
        <v>49.711373298876261</v>
      </c>
      <c r="IJ45" s="36">
        <f t="shared" ca="1" si="103"/>
        <v>49.7393681286309</v>
      </c>
      <c r="IK45" s="36">
        <f t="shared" ca="1" si="103"/>
        <v>49.310144200551115</v>
      </c>
      <c r="IL45" s="36">
        <f t="shared" ca="1" si="103"/>
        <v>48.466006551664961</v>
      </c>
      <c r="IM45" s="36">
        <f t="shared" ca="1" si="103"/>
        <v>48.710420888938806</v>
      </c>
      <c r="IN45" s="36">
        <f t="shared" ca="1" si="103"/>
        <v>49.655473354698643</v>
      </c>
      <c r="IO45" s="36">
        <f t="shared" ca="1" si="103"/>
        <v>49.830163673269432</v>
      </c>
      <c r="IP45" s="36">
        <f t="shared" ca="1" si="103"/>
        <v>49.471750115711856</v>
      </c>
      <c r="IQ45" s="36">
        <f t="shared" ca="1" si="103"/>
        <v>48.726050898715528</v>
      </c>
      <c r="IR45" s="36">
        <f t="shared" ca="1" si="103"/>
        <v>48.751561742840572</v>
      </c>
      <c r="IS45" s="36">
        <f t="shared" ca="1" si="103"/>
        <v>47.839523880830825</v>
      </c>
      <c r="IT45" s="36">
        <f t="shared" ca="1" si="103"/>
        <v>47.403020452598447</v>
      </c>
      <c r="IU45" s="36">
        <f t="shared" ca="1" si="103"/>
        <v>47.069675446586629</v>
      </c>
    </row>
    <row r="46" spans="1:255" x14ac:dyDescent="0.2">
      <c r="A46" s="36"/>
      <c r="B46">
        <v>36</v>
      </c>
      <c r="C46" s="36">
        <v>50</v>
      </c>
      <c r="D46" s="36">
        <f t="shared" ca="1" si="14"/>
        <v>49.885335220357625</v>
      </c>
      <c r="E46" s="36">
        <f t="shared" ca="1" si="14"/>
        <v>49.720374698630287</v>
      </c>
      <c r="F46" s="36">
        <f t="shared" ref="F46:BQ49" ca="1" si="110">E46*EXP(($B$3-$B$4^2/2)*1+$B$4*_xlfn.NORM.S.INV(RAND()))</f>
        <v>48.696585786173841</v>
      </c>
      <c r="G46" s="36">
        <f t="shared" ca="1" si="110"/>
        <v>49.408335261508249</v>
      </c>
      <c r="H46" s="36">
        <f t="shared" ca="1" si="110"/>
        <v>50.333169425542209</v>
      </c>
      <c r="I46" s="36">
        <f t="shared" ca="1" si="110"/>
        <v>50.734848441255927</v>
      </c>
      <c r="J46" s="36">
        <f t="shared" ca="1" si="110"/>
        <v>49.984780458895678</v>
      </c>
      <c r="K46" s="36">
        <f t="shared" ca="1" si="110"/>
        <v>50.395544530958048</v>
      </c>
      <c r="L46" s="36">
        <f t="shared" ca="1" si="110"/>
        <v>50.744967281901914</v>
      </c>
      <c r="M46" s="36">
        <f t="shared" ca="1" si="110"/>
        <v>50.646625469144162</v>
      </c>
      <c r="N46" s="36">
        <f t="shared" ca="1" si="110"/>
        <v>50.788767593282643</v>
      </c>
      <c r="O46" s="36">
        <f t="shared" ca="1" si="110"/>
        <v>50.769792070037745</v>
      </c>
      <c r="P46" s="36">
        <f t="shared" ca="1" si="110"/>
        <v>50.324395366814116</v>
      </c>
      <c r="Q46" s="36">
        <f t="shared" ca="1" si="110"/>
        <v>49.685127592055096</v>
      </c>
      <c r="R46" s="36">
        <f t="shared" ca="1" si="110"/>
        <v>48.634090169592035</v>
      </c>
      <c r="S46" s="36">
        <f t="shared" ca="1" si="110"/>
        <v>49.452297244567319</v>
      </c>
      <c r="T46" s="36">
        <f t="shared" ca="1" si="110"/>
        <v>49.711487773832459</v>
      </c>
      <c r="U46" s="36">
        <f t="shared" ca="1" si="110"/>
        <v>48.982936849088482</v>
      </c>
      <c r="V46" s="36">
        <f t="shared" ca="1" si="110"/>
        <v>50.233544261218903</v>
      </c>
      <c r="W46" s="36">
        <f t="shared" ca="1" si="110"/>
        <v>50.546340638533316</v>
      </c>
      <c r="X46" s="36">
        <f t="shared" ca="1" si="110"/>
        <v>49.680039963541418</v>
      </c>
      <c r="Y46" s="36">
        <f t="shared" ca="1" si="110"/>
        <v>49.674635273494495</v>
      </c>
      <c r="Z46" s="36">
        <f t="shared" ca="1" si="110"/>
        <v>49.594238874219066</v>
      </c>
      <c r="AA46" s="36">
        <f t="shared" ca="1" si="110"/>
        <v>50.138048407824634</v>
      </c>
      <c r="AB46" s="36">
        <f t="shared" ca="1" si="110"/>
        <v>50.043524235974132</v>
      </c>
      <c r="AC46" s="36">
        <f t="shared" ca="1" si="110"/>
        <v>49.667399200666857</v>
      </c>
      <c r="AD46" s="36">
        <f t="shared" ca="1" si="110"/>
        <v>49.629663173930751</v>
      </c>
      <c r="AE46" s="36">
        <f t="shared" ca="1" si="110"/>
        <v>50.150987742656653</v>
      </c>
      <c r="AF46" s="36">
        <f t="shared" ca="1" si="110"/>
        <v>51.244514430243584</v>
      </c>
      <c r="AG46" s="36">
        <f t="shared" ca="1" si="110"/>
        <v>51.474332219799038</v>
      </c>
      <c r="AH46" s="36">
        <f t="shared" ca="1" si="110"/>
        <v>50.478395818476692</v>
      </c>
      <c r="AI46" s="36">
        <f t="shared" ca="1" si="110"/>
        <v>49.866715280747023</v>
      </c>
      <c r="AJ46" s="36">
        <f t="shared" ca="1" si="110"/>
        <v>50.593726137135789</v>
      </c>
      <c r="AK46" s="36">
        <f t="shared" ca="1" si="110"/>
        <v>52.240772153227709</v>
      </c>
      <c r="AL46" s="36">
        <f t="shared" ca="1" si="110"/>
        <v>52.254548613069623</v>
      </c>
      <c r="AM46" s="36">
        <f t="shared" ca="1" si="110"/>
        <v>53.098614899363234</v>
      </c>
      <c r="AN46" s="36">
        <f t="shared" ca="1" si="110"/>
        <v>54.030786057025438</v>
      </c>
      <c r="AO46" s="36">
        <f t="shared" ca="1" si="110"/>
        <v>54.997861757002383</v>
      </c>
      <c r="AP46" s="36">
        <f t="shared" ca="1" si="110"/>
        <v>56.459093200788459</v>
      </c>
      <c r="AQ46" s="36">
        <f t="shared" ca="1" si="110"/>
        <v>58.256363645264997</v>
      </c>
      <c r="AR46" s="36">
        <f t="shared" ca="1" si="110"/>
        <v>57.639792296663387</v>
      </c>
      <c r="AS46" s="36">
        <f t="shared" ca="1" si="110"/>
        <v>58.170081549251698</v>
      </c>
      <c r="AT46" s="36">
        <f t="shared" ca="1" si="110"/>
        <v>58.652401745793853</v>
      </c>
      <c r="AU46" s="36">
        <f t="shared" ca="1" si="110"/>
        <v>58.311247650311607</v>
      </c>
      <c r="AV46" s="36">
        <f t="shared" ca="1" si="110"/>
        <v>58.818659223255693</v>
      </c>
      <c r="AW46" s="36">
        <f t="shared" ca="1" si="110"/>
        <v>58.311358273815905</v>
      </c>
      <c r="AX46" s="36">
        <f t="shared" ca="1" si="110"/>
        <v>58.217649026877041</v>
      </c>
      <c r="AY46" s="36">
        <f t="shared" ca="1" si="110"/>
        <v>58.559678814729438</v>
      </c>
      <c r="AZ46" s="36">
        <f t="shared" ca="1" si="110"/>
        <v>59.345136379509768</v>
      </c>
      <c r="BA46" s="36">
        <f t="shared" ca="1" si="110"/>
        <v>59.066598641363996</v>
      </c>
      <c r="BB46" s="36">
        <f t="shared" ca="1" si="110"/>
        <v>59.431632644932648</v>
      </c>
      <c r="BC46" s="36">
        <f t="shared" ca="1" si="110"/>
        <v>59.227872821250863</v>
      </c>
      <c r="BD46" s="36">
        <f t="shared" ca="1" si="110"/>
        <v>59.382234483897811</v>
      </c>
      <c r="BE46" s="36">
        <f t="shared" ca="1" si="110"/>
        <v>58.814061758674093</v>
      </c>
      <c r="BF46" s="36">
        <f t="shared" ca="1" si="110"/>
        <v>58.48839514654756</v>
      </c>
      <c r="BG46" s="36">
        <f t="shared" ca="1" si="110"/>
        <v>57.846325749769726</v>
      </c>
      <c r="BH46" s="36">
        <f t="shared" ca="1" si="110"/>
        <v>58.154937557999268</v>
      </c>
      <c r="BI46" s="36">
        <f t="shared" ca="1" si="110"/>
        <v>58.032299723328052</v>
      </c>
      <c r="BJ46" s="36">
        <f t="shared" ca="1" si="110"/>
        <v>58.265797640893688</v>
      </c>
      <c r="BK46" s="36">
        <f t="shared" ca="1" si="110"/>
        <v>58.095263621266405</v>
      </c>
      <c r="BL46" s="36">
        <f t="shared" ca="1" si="110"/>
        <v>58.301979193289199</v>
      </c>
      <c r="BM46" s="36">
        <f t="shared" ca="1" si="110"/>
        <v>59.319823366820856</v>
      </c>
      <c r="BN46" s="36">
        <f t="shared" ca="1" si="110"/>
        <v>59.782309313194034</v>
      </c>
      <c r="BO46" s="36">
        <f t="shared" ca="1" si="110"/>
        <v>59.297136317003357</v>
      </c>
      <c r="BP46" s="36">
        <f t="shared" ca="1" si="110"/>
        <v>59.722354227083954</v>
      </c>
      <c r="BQ46" s="36">
        <f t="shared" ca="1" si="110"/>
        <v>60.469091837834114</v>
      </c>
      <c r="BR46" s="36">
        <f t="shared" ca="1" si="106"/>
        <v>59.052440175700909</v>
      </c>
      <c r="BS46" s="36">
        <f t="shared" ca="1" si="106"/>
        <v>59.17610496610169</v>
      </c>
      <c r="BT46" s="36">
        <f t="shared" ca="1" si="106"/>
        <v>59.324347231830274</v>
      </c>
      <c r="BU46" s="36">
        <f t="shared" ca="1" si="106"/>
        <v>59.208641942861661</v>
      </c>
      <c r="BV46" s="36">
        <f t="shared" ca="1" si="106"/>
        <v>58.867085102215839</v>
      </c>
      <c r="BW46" s="36">
        <f t="shared" ca="1" si="106"/>
        <v>58.433281404249527</v>
      </c>
      <c r="BX46" s="36">
        <f t="shared" ca="1" si="106"/>
        <v>58.963345022523612</v>
      </c>
      <c r="BY46" s="36">
        <f t="shared" ca="1" si="106"/>
        <v>59.082241583062725</v>
      </c>
      <c r="BZ46" s="36">
        <f t="shared" ca="1" si="106"/>
        <v>61.178264575687848</v>
      </c>
      <c r="CA46" s="36">
        <f t="shared" ca="1" si="106"/>
        <v>60.89154571819364</v>
      </c>
      <c r="CB46" s="36">
        <f t="shared" ca="1" si="106"/>
        <v>60.636144881460396</v>
      </c>
      <c r="CC46" s="36">
        <f t="shared" ca="1" si="106"/>
        <v>60.08457833797398</v>
      </c>
      <c r="CD46" s="36">
        <f t="shared" ca="1" si="106"/>
        <v>59.882449089439788</v>
      </c>
      <c r="CE46" s="36">
        <f t="shared" ca="1" si="106"/>
        <v>59.994040441334988</v>
      </c>
      <c r="CF46" s="36">
        <f t="shared" ca="1" si="106"/>
        <v>59.664191076533086</v>
      </c>
      <c r="CG46" s="36">
        <f t="shared" ca="1" si="106"/>
        <v>60.175632710439743</v>
      </c>
      <c r="CH46" s="36">
        <f t="shared" ca="1" si="106"/>
        <v>59.934541000924071</v>
      </c>
      <c r="CI46" s="36">
        <f t="shared" ca="1" si="106"/>
        <v>60.280223415028935</v>
      </c>
      <c r="CJ46" s="36">
        <f t="shared" ca="1" si="106"/>
        <v>61.098653113814315</v>
      </c>
      <c r="CK46" s="36">
        <f t="shared" ca="1" si="106"/>
        <v>60.634996381518832</v>
      </c>
      <c r="CL46" s="36">
        <f t="shared" ca="1" si="106"/>
        <v>59.819367266671442</v>
      </c>
      <c r="CM46" s="36">
        <f t="shared" ca="1" si="106"/>
        <v>60.739346056423692</v>
      </c>
      <c r="CN46" s="36">
        <f t="shared" ca="1" si="106"/>
        <v>61.214316141963124</v>
      </c>
      <c r="CO46" s="36">
        <f t="shared" ca="1" si="106"/>
        <v>60.484371771575724</v>
      </c>
      <c r="CP46" s="36">
        <f t="shared" ca="1" si="106"/>
        <v>60.172029610629323</v>
      </c>
      <c r="CQ46" s="36">
        <f t="shared" ca="1" si="106"/>
        <v>62.142050652884457</v>
      </c>
      <c r="CR46" s="36">
        <f t="shared" ca="1" si="106"/>
        <v>61.882415087469184</v>
      </c>
      <c r="CS46" s="36">
        <f t="shared" ca="1" si="106"/>
        <v>62.5554804497297</v>
      </c>
      <c r="CT46" s="36">
        <f t="shared" ca="1" si="106"/>
        <v>63.002765360967295</v>
      </c>
      <c r="CU46" s="36">
        <f t="shared" ca="1" si="106"/>
        <v>62.867668099089393</v>
      </c>
      <c r="CV46" s="36">
        <f t="shared" ca="1" si="106"/>
        <v>62.127956713192425</v>
      </c>
      <c r="CW46" s="36">
        <f t="shared" ca="1" si="106"/>
        <v>61.772225310472031</v>
      </c>
      <c r="CX46" s="36">
        <f t="shared" ca="1" si="106"/>
        <v>62.783555930613815</v>
      </c>
      <c r="CY46" s="36">
        <f t="shared" ca="1" si="106"/>
        <v>62.740114984771601</v>
      </c>
      <c r="CZ46" s="36">
        <f t="shared" ca="1" si="106"/>
        <v>63.33991682140131</v>
      </c>
      <c r="DA46" s="36">
        <f t="shared" ca="1" si="106"/>
        <v>64.509822895244184</v>
      </c>
      <c r="DB46" s="36">
        <f t="shared" ca="1" si="106"/>
        <v>64.833834112477874</v>
      </c>
      <c r="DC46" s="36">
        <f t="shared" ca="1" si="106"/>
        <v>66.002377106329703</v>
      </c>
      <c r="DD46" s="36">
        <f t="shared" ca="1" si="106"/>
        <v>65.965681198113714</v>
      </c>
      <c r="DE46" s="36">
        <f t="shared" ca="1" si="106"/>
        <v>65.548801882282078</v>
      </c>
      <c r="DF46" s="36">
        <f t="shared" ca="1" si="106"/>
        <v>66.501856536124222</v>
      </c>
      <c r="DG46" s="36">
        <f t="shared" ca="1" si="106"/>
        <v>66.857073333762983</v>
      </c>
      <c r="DH46" s="36">
        <f t="shared" ca="1" si="106"/>
        <v>66.51461928908715</v>
      </c>
      <c r="DI46" s="36">
        <f t="shared" ca="1" si="106"/>
        <v>67.14140035465212</v>
      </c>
      <c r="DJ46" s="36">
        <f t="shared" ca="1" si="106"/>
        <v>67.036380739542381</v>
      </c>
      <c r="DK46" s="36">
        <f t="shared" ca="1" si="106"/>
        <v>67.62770216707024</v>
      </c>
      <c r="DL46" s="36">
        <f t="shared" ca="1" si="106"/>
        <v>68.767010812025305</v>
      </c>
      <c r="DM46" s="36">
        <f t="shared" ca="1" si="106"/>
        <v>69.40911481595613</v>
      </c>
      <c r="DN46" s="36">
        <f t="shared" ca="1" si="106"/>
        <v>70.61843990159511</v>
      </c>
      <c r="DO46" s="36">
        <f t="shared" ca="1" si="106"/>
        <v>72.055849086272147</v>
      </c>
      <c r="DP46" s="36">
        <f t="shared" ca="1" si="106"/>
        <v>71.89144704400077</v>
      </c>
      <c r="DQ46" s="36">
        <f t="shared" ca="1" si="106"/>
        <v>71.036050184722271</v>
      </c>
      <c r="DR46" s="36">
        <f t="shared" ca="1" si="106"/>
        <v>70.724617128342715</v>
      </c>
      <c r="DS46" s="36">
        <f t="shared" ca="1" si="106"/>
        <v>70.795193200833907</v>
      </c>
      <c r="DT46" s="36">
        <f t="shared" ca="1" si="106"/>
        <v>72.165261487435799</v>
      </c>
      <c r="DU46" s="36">
        <f t="shared" ca="1" si="106"/>
        <v>72.071959249345852</v>
      </c>
      <c r="DV46" s="36">
        <f t="shared" ca="1" si="106"/>
        <v>72.285369479638575</v>
      </c>
      <c r="DW46" s="36">
        <f t="shared" ca="1" si="106"/>
        <v>72.195921065764423</v>
      </c>
      <c r="DX46" s="36">
        <f t="shared" ca="1" si="106"/>
        <v>72.511510499147903</v>
      </c>
      <c r="DY46" s="36">
        <f t="shared" ca="1" si="106"/>
        <v>73.282849155848126</v>
      </c>
      <c r="DZ46" s="36">
        <f t="shared" ca="1" si="106"/>
        <v>73.619825735275924</v>
      </c>
      <c r="EA46" s="36">
        <f t="shared" ca="1" si="106"/>
        <v>74.839958842096678</v>
      </c>
      <c r="EB46" s="36">
        <f t="shared" ca="1" si="106"/>
        <v>72.809111978841599</v>
      </c>
      <c r="EC46" s="36">
        <f t="shared" ca="1" si="107"/>
        <v>71.310268432543225</v>
      </c>
      <c r="ED46" s="36">
        <f t="shared" ca="1" si="107"/>
        <v>71.592009301089121</v>
      </c>
      <c r="EE46" s="36">
        <f t="shared" ca="1" si="107"/>
        <v>71.166426388068587</v>
      </c>
      <c r="EF46" s="36">
        <f t="shared" ca="1" si="107"/>
        <v>73.171534115575454</v>
      </c>
      <c r="EG46" s="36">
        <f t="shared" ca="1" si="107"/>
        <v>72.530928628595575</v>
      </c>
      <c r="EH46" s="36">
        <f t="shared" ca="1" si="107"/>
        <v>72.818787674000703</v>
      </c>
      <c r="EI46" s="36">
        <f t="shared" ca="1" si="107"/>
        <v>71.062819971014164</v>
      </c>
      <c r="EJ46" s="36">
        <f t="shared" ca="1" si="107"/>
        <v>70.987399402738106</v>
      </c>
      <c r="EK46" s="36">
        <f t="shared" ca="1" si="107"/>
        <v>70.74886319487473</v>
      </c>
      <c r="EL46" s="36">
        <f t="shared" ca="1" si="107"/>
        <v>71.187522006592644</v>
      </c>
      <c r="EM46" s="36">
        <f t="shared" ca="1" si="107"/>
        <v>71.488053742902054</v>
      </c>
      <c r="EN46" s="36">
        <f t="shared" ca="1" si="107"/>
        <v>72.112274273570591</v>
      </c>
      <c r="EO46" s="36">
        <f t="shared" ca="1" si="107"/>
        <v>74.496339159523686</v>
      </c>
      <c r="EP46" s="36">
        <f t="shared" ca="1" si="107"/>
        <v>73.900615956510478</v>
      </c>
      <c r="EQ46" s="36">
        <f t="shared" ca="1" si="107"/>
        <v>74.697455680631663</v>
      </c>
      <c r="ER46" s="36">
        <f t="shared" ca="1" si="107"/>
        <v>75.894112669107699</v>
      </c>
      <c r="ES46" s="36">
        <f t="shared" ca="1" si="107"/>
        <v>75.947522637173165</v>
      </c>
      <c r="ET46" s="36">
        <f t="shared" ca="1" si="107"/>
        <v>76.000260017744637</v>
      </c>
      <c r="EU46" s="36">
        <f t="shared" ca="1" si="107"/>
        <v>75.777710003242305</v>
      </c>
      <c r="EV46" s="36">
        <f t="shared" ca="1" si="107"/>
        <v>76.369601912969259</v>
      </c>
      <c r="EW46" s="36">
        <f t="shared" ref="EW46" ca="1" si="111">EV46*EXP(($B$3-$B$4^2/2)*1+$B$4*_xlfn.NORM.S.INV(RAND()))</f>
        <v>76.428860107840023</v>
      </c>
      <c r="EX46" s="36">
        <f t="shared" ca="1" si="101"/>
        <v>75.477262893930529</v>
      </c>
      <c r="EY46" s="36">
        <f t="shared" ca="1" si="101"/>
        <v>74.565361534538354</v>
      </c>
      <c r="EZ46" s="36">
        <f t="shared" ca="1" si="101"/>
        <v>74.431463333588681</v>
      </c>
      <c r="FA46" s="36">
        <f t="shared" ca="1" si="101"/>
        <v>72.555838644226995</v>
      </c>
      <c r="FB46" s="36">
        <f t="shared" ca="1" si="101"/>
        <v>73.502046314029698</v>
      </c>
      <c r="FC46" s="36">
        <f t="shared" ca="1" si="101"/>
        <v>73.524446837776352</v>
      </c>
      <c r="FD46" s="36">
        <f t="shared" ca="1" si="101"/>
        <v>73.542385410097964</v>
      </c>
      <c r="FE46" s="36">
        <f t="shared" ca="1" si="101"/>
        <v>74.271792503140802</v>
      </c>
      <c r="FF46" s="36">
        <f t="shared" ca="1" si="101"/>
        <v>72.832346933858091</v>
      </c>
      <c r="FG46" s="36">
        <f t="shared" ca="1" si="101"/>
        <v>72.636244488618459</v>
      </c>
      <c r="FH46" s="36">
        <f t="shared" ca="1" si="101"/>
        <v>73.266297545603607</v>
      </c>
      <c r="FI46" s="36">
        <f t="shared" ca="1" si="101"/>
        <v>73.198075095441069</v>
      </c>
      <c r="FJ46" s="36">
        <f t="shared" ca="1" si="101"/>
        <v>72.697819100303676</v>
      </c>
      <c r="FK46" s="36">
        <f t="shared" ca="1" si="101"/>
        <v>72.13244286722238</v>
      </c>
      <c r="FL46" s="36">
        <f t="shared" ca="1" si="101"/>
        <v>72.401327807399227</v>
      </c>
      <c r="FM46" s="36">
        <f t="shared" ca="1" si="101"/>
        <v>72.310094850085449</v>
      </c>
      <c r="FN46" s="36">
        <f t="shared" ca="1" si="101"/>
        <v>73.222593895875477</v>
      </c>
      <c r="FO46" s="36">
        <f t="shared" ca="1" si="101"/>
        <v>73.39822428415485</v>
      </c>
      <c r="FP46" s="36">
        <f t="shared" ca="1" si="101"/>
        <v>72.805285926325794</v>
      </c>
      <c r="FQ46" s="36">
        <f t="shared" ca="1" si="101"/>
        <v>72.675219135125289</v>
      </c>
      <c r="FR46" s="36">
        <f t="shared" ca="1" si="101"/>
        <v>72.663952820717782</v>
      </c>
      <c r="FS46" s="36">
        <f t="shared" ca="1" si="101"/>
        <v>71.318597643268518</v>
      </c>
      <c r="FT46" s="36">
        <f t="shared" ca="1" si="101"/>
        <v>70.732106180225117</v>
      </c>
      <c r="FU46" s="36">
        <f t="shared" ca="1" si="101"/>
        <v>70.296243234298103</v>
      </c>
      <c r="FV46" s="36">
        <f t="shared" ca="1" si="101"/>
        <v>70.73411128539972</v>
      </c>
      <c r="FW46" s="36">
        <f t="shared" ca="1" si="101"/>
        <v>70.986507050715616</v>
      </c>
      <c r="FX46" s="36">
        <f t="shared" ca="1" si="101"/>
        <v>70.158880463210323</v>
      </c>
      <c r="FY46" s="36">
        <f t="shared" ca="1" si="101"/>
        <v>70.121787585817415</v>
      </c>
      <c r="FZ46" s="36">
        <f t="shared" ca="1" si="101"/>
        <v>70.380900298551907</v>
      </c>
      <c r="GA46" s="36">
        <f t="shared" ca="1" si="101"/>
        <v>69.626264084994347</v>
      </c>
      <c r="GB46" s="36">
        <f t="shared" ca="1" si="101"/>
        <v>70.537986861915016</v>
      </c>
      <c r="GC46" s="36">
        <f t="shared" ca="1" si="101"/>
        <v>70.098908218822146</v>
      </c>
      <c r="GD46" s="36">
        <f t="shared" ca="1" si="101"/>
        <v>70.362467683040649</v>
      </c>
      <c r="GE46" s="36">
        <f t="shared" ca="1" si="101"/>
        <v>70.134352992481055</v>
      </c>
      <c r="GF46" s="36">
        <f t="shared" ca="1" si="101"/>
        <v>70.574834058380532</v>
      </c>
      <c r="GG46" s="36">
        <f t="shared" ca="1" si="101"/>
        <v>70.337922773063781</v>
      </c>
      <c r="GH46" s="36">
        <f t="shared" ca="1" si="101"/>
        <v>68.450594722610816</v>
      </c>
      <c r="GI46" s="36">
        <f t="shared" ca="1" si="101"/>
        <v>68.278471819126551</v>
      </c>
      <c r="GJ46" s="36">
        <f t="shared" ca="1" si="101"/>
        <v>68.564265440717236</v>
      </c>
      <c r="GK46" s="36">
        <f t="shared" ca="1" si="101"/>
        <v>68.149084703559097</v>
      </c>
      <c r="GL46" s="36">
        <f t="shared" ca="1" si="101"/>
        <v>67.206131715041423</v>
      </c>
      <c r="GM46" s="36">
        <f t="shared" ca="1" si="101"/>
        <v>65.548796066608404</v>
      </c>
      <c r="GN46" s="36">
        <f t="shared" ca="1" si="101"/>
        <v>66.315987704113823</v>
      </c>
      <c r="GO46" s="36">
        <f t="shared" ca="1" si="101"/>
        <v>66.525274146363188</v>
      </c>
      <c r="GP46" s="36">
        <f t="shared" ca="1" si="101"/>
        <v>66.244424764348153</v>
      </c>
      <c r="GQ46" s="36">
        <f t="shared" ca="1" si="101"/>
        <v>66.358389169206319</v>
      </c>
      <c r="GR46" s="36">
        <f t="shared" ca="1" si="101"/>
        <v>66.089109899763557</v>
      </c>
      <c r="GS46" s="36">
        <f t="shared" ca="1" si="101"/>
        <v>67.907792431371334</v>
      </c>
      <c r="GT46" s="36">
        <f t="shared" ca="1" si="101"/>
        <v>69.113962880796024</v>
      </c>
      <c r="GU46" s="36">
        <f t="shared" ca="1" si="101"/>
        <v>69.472456776324606</v>
      </c>
      <c r="GV46" s="36">
        <f t="shared" ca="1" si="101"/>
        <v>70.021232444197864</v>
      </c>
      <c r="GW46" s="36">
        <f t="shared" ca="1" si="101"/>
        <v>70.746844127171343</v>
      </c>
      <c r="GX46" s="36">
        <f t="shared" ca="1" si="101"/>
        <v>70.475728095865065</v>
      </c>
      <c r="GY46" s="36">
        <f t="shared" ca="1" si="101"/>
        <v>70.94737497617227</v>
      </c>
      <c r="GZ46" s="36">
        <f t="shared" ca="1" si="101"/>
        <v>69.529132654704298</v>
      </c>
      <c r="HA46" s="36">
        <f t="shared" ca="1" si="101"/>
        <v>69.328326255831769</v>
      </c>
      <c r="HB46" s="36">
        <f t="shared" ca="1" si="101"/>
        <v>69.015051363108995</v>
      </c>
      <c r="HC46" s="36">
        <f t="shared" ca="1" si="101"/>
        <v>67.589079998580502</v>
      </c>
      <c r="HD46" s="36">
        <f t="shared" ca="1" si="101"/>
        <v>67.167663306023101</v>
      </c>
      <c r="HE46" s="36">
        <f t="shared" ca="1" si="101"/>
        <v>67.242498392214131</v>
      </c>
      <c r="HF46" s="36">
        <f t="shared" ca="1" si="101"/>
        <v>67.747246298606342</v>
      </c>
      <c r="HG46" s="36">
        <f t="shared" ca="1" si="101"/>
        <v>69.430437797013894</v>
      </c>
      <c r="HH46" s="36">
        <f t="shared" ca="1" si="101"/>
        <v>70.161590603753496</v>
      </c>
      <c r="HI46" s="36">
        <f t="shared" ca="1" si="109"/>
        <v>69.775982401002949</v>
      </c>
      <c r="HJ46" s="36">
        <f t="shared" ca="1" si="109"/>
        <v>68.864328140117152</v>
      </c>
      <c r="HK46" s="36">
        <f t="shared" ca="1" si="109"/>
        <v>69.773515942892516</v>
      </c>
      <c r="HL46" s="36">
        <f t="shared" ca="1" si="109"/>
        <v>70.208302627471653</v>
      </c>
      <c r="HM46" s="36">
        <f t="shared" ca="1" si="109"/>
        <v>71.061838608876656</v>
      </c>
      <c r="HN46" s="36">
        <f t="shared" ca="1" si="109"/>
        <v>70.735246005624333</v>
      </c>
      <c r="HO46" s="36">
        <f t="shared" ca="1" si="109"/>
        <v>70.716015517659542</v>
      </c>
      <c r="HP46" s="36">
        <f t="shared" ca="1" si="109"/>
        <v>70.858180018611989</v>
      </c>
      <c r="HQ46" s="36">
        <f t="shared" ca="1" si="109"/>
        <v>71.842669728557723</v>
      </c>
      <c r="HR46" s="36">
        <f t="shared" ca="1" si="109"/>
        <v>72.379081753863503</v>
      </c>
      <c r="HS46" s="36">
        <f t="shared" ca="1" si="109"/>
        <v>71.144689670234968</v>
      </c>
      <c r="HT46" s="36">
        <f t="shared" ca="1" si="109"/>
        <v>71.619533867046627</v>
      </c>
      <c r="HU46" s="36">
        <f t="shared" ca="1" si="103"/>
        <v>72.202069505232174</v>
      </c>
      <c r="HV46" s="36">
        <f t="shared" ca="1" si="103"/>
        <v>70.467150073631544</v>
      </c>
      <c r="HW46" s="36">
        <f t="shared" ca="1" si="103"/>
        <v>69.324380086308125</v>
      </c>
      <c r="HX46" s="36">
        <f t="shared" ca="1" si="103"/>
        <v>69.575788097685916</v>
      </c>
      <c r="HY46" s="36">
        <f t="shared" ca="1" si="103"/>
        <v>67.75647546222244</v>
      </c>
      <c r="HZ46" s="36">
        <f t="shared" ca="1" si="103"/>
        <v>66.033940614406035</v>
      </c>
      <c r="IA46" s="36">
        <f t="shared" ca="1" si="103"/>
        <v>65.268210831174216</v>
      </c>
      <c r="IB46" s="36">
        <f t="shared" ca="1" si="103"/>
        <v>67.380191698702504</v>
      </c>
      <c r="IC46" s="36">
        <f t="shared" ca="1" si="103"/>
        <v>67.023512814215223</v>
      </c>
      <c r="ID46" s="36">
        <f t="shared" ca="1" si="103"/>
        <v>67.952115805587425</v>
      </c>
      <c r="IE46" s="36">
        <f t="shared" ca="1" si="103"/>
        <v>68.115010955416835</v>
      </c>
      <c r="IF46" s="36">
        <f t="shared" ca="1" si="103"/>
        <v>67.457425681779299</v>
      </c>
      <c r="IG46" s="36">
        <f t="shared" ca="1" si="103"/>
        <v>68.321148226949035</v>
      </c>
      <c r="IH46" s="36">
        <f t="shared" ca="1" si="103"/>
        <v>68.004758576947054</v>
      </c>
      <c r="II46" s="36">
        <f t="shared" ca="1" si="103"/>
        <v>67.839605099303697</v>
      </c>
      <c r="IJ46" s="36">
        <f t="shared" ca="1" si="103"/>
        <v>67.732074359227283</v>
      </c>
      <c r="IK46" s="36">
        <f t="shared" ca="1" si="103"/>
        <v>68.147662508437222</v>
      </c>
      <c r="IL46" s="36">
        <f t="shared" ca="1" si="103"/>
        <v>67.451538929706601</v>
      </c>
      <c r="IM46" s="36">
        <f t="shared" ca="1" si="103"/>
        <v>68.196658010888555</v>
      </c>
      <c r="IN46" s="36">
        <f t="shared" ca="1" si="103"/>
        <v>67.54462683352881</v>
      </c>
      <c r="IO46" s="36">
        <f t="shared" ca="1" si="103"/>
        <v>69.293089245745307</v>
      </c>
      <c r="IP46" s="36">
        <f t="shared" ca="1" si="103"/>
        <v>71.083555711649524</v>
      </c>
      <c r="IQ46" s="36">
        <f t="shared" ca="1" si="103"/>
        <v>72.151584918910899</v>
      </c>
      <c r="IR46" s="36">
        <f t="shared" ca="1" si="103"/>
        <v>73.078444060697962</v>
      </c>
      <c r="IS46" s="36">
        <f t="shared" ca="1" si="103"/>
        <v>73.651943414048034</v>
      </c>
      <c r="IT46" s="36">
        <f t="shared" ca="1" si="103"/>
        <v>73.76186238210687</v>
      </c>
      <c r="IU46" s="36">
        <f t="shared" ca="1" si="103"/>
        <v>74.880983236969868</v>
      </c>
    </row>
    <row r="47" spans="1:255" x14ac:dyDescent="0.2">
      <c r="A47" s="36"/>
      <c r="B47">
        <v>37</v>
      </c>
      <c r="C47" s="36">
        <v>50</v>
      </c>
      <c r="D47" s="36">
        <f t="shared" ca="1" si="14"/>
        <v>50.051038975735075</v>
      </c>
      <c r="E47" s="36">
        <f t="shared" ca="1" si="14"/>
        <v>49.809649165151853</v>
      </c>
      <c r="F47" s="36">
        <f t="shared" ca="1" si="110"/>
        <v>51.019172680685799</v>
      </c>
      <c r="G47" s="36">
        <f t="shared" ca="1" si="110"/>
        <v>50.20795050976092</v>
      </c>
      <c r="H47" s="36">
        <f t="shared" ca="1" si="110"/>
        <v>49.73539285563627</v>
      </c>
      <c r="I47" s="36">
        <f t="shared" ca="1" si="110"/>
        <v>50.254371841202598</v>
      </c>
      <c r="J47" s="36">
        <f t="shared" ca="1" si="110"/>
        <v>49.83575339856165</v>
      </c>
      <c r="K47" s="36">
        <f t="shared" ca="1" si="110"/>
        <v>50.10372594723507</v>
      </c>
      <c r="L47" s="36">
        <f t="shared" ca="1" si="110"/>
        <v>48.911332092487555</v>
      </c>
      <c r="M47" s="36">
        <f t="shared" ca="1" si="110"/>
        <v>49.116380779762601</v>
      </c>
      <c r="N47" s="36">
        <f t="shared" ca="1" si="110"/>
        <v>49.450004973460096</v>
      </c>
      <c r="O47" s="36">
        <f t="shared" ca="1" si="110"/>
        <v>49.641310894655255</v>
      </c>
      <c r="P47" s="36">
        <f t="shared" ca="1" si="110"/>
        <v>50.26207640591835</v>
      </c>
      <c r="Q47" s="36">
        <f t="shared" ca="1" si="110"/>
        <v>50.46723454389177</v>
      </c>
      <c r="R47" s="36">
        <f t="shared" ca="1" si="110"/>
        <v>51.713379414000862</v>
      </c>
      <c r="S47" s="36">
        <f t="shared" ca="1" si="110"/>
        <v>51.394906374891619</v>
      </c>
      <c r="T47" s="36">
        <f t="shared" ca="1" si="110"/>
        <v>50.805116484718162</v>
      </c>
      <c r="U47" s="36">
        <f t="shared" ca="1" si="110"/>
        <v>51.768362301447922</v>
      </c>
      <c r="V47" s="36">
        <f t="shared" ca="1" si="110"/>
        <v>52.40324887845545</v>
      </c>
      <c r="W47" s="36">
        <f t="shared" ca="1" si="110"/>
        <v>51.323091378778948</v>
      </c>
      <c r="X47" s="36">
        <f t="shared" ca="1" si="110"/>
        <v>52.216389933928824</v>
      </c>
      <c r="Y47" s="36">
        <f t="shared" ca="1" si="110"/>
        <v>52.589779459451123</v>
      </c>
      <c r="Z47" s="36">
        <f t="shared" ca="1" si="110"/>
        <v>52.53212373569653</v>
      </c>
      <c r="AA47" s="36">
        <f t="shared" ca="1" si="110"/>
        <v>53.461487944728127</v>
      </c>
      <c r="AB47" s="36">
        <f t="shared" ca="1" si="110"/>
        <v>53.854840589144651</v>
      </c>
      <c r="AC47" s="36">
        <f t="shared" ca="1" si="110"/>
        <v>53.836798714243606</v>
      </c>
      <c r="AD47" s="36">
        <f t="shared" ca="1" si="110"/>
        <v>53.869429420169446</v>
      </c>
      <c r="AE47" s="36">
        <f t="shared" ca="1" si="110"/>
        <v>54.541224568984092</v>
      </c>
      <c r="AF47" s="36">
        <f t="shared" ca="1" si="110"/>
        <v>54.423724880661723</v>
      </c>
      <c r="AG47" s="36">
        <f t="shared" ca="1" si="110"/>
        <v>53.638007136062427</v>
      </c>
      <c r="AH47" s="36">
        <f t="shared" ca="1" si="110"/>
        <v>54.505619474890452</v>
      </c>
      <c r="AI47" s="36">
        <f t="shared" ca="1" si="110"/>
        <v>54.784518079720087</v>
      </c>
      <c r="AJ47" s="36">
        <f t="shared" ca="1" si="110"/>
        <v>54.614282357643667</v>
      </c>
      <c r="AK47" s="36">
        <f t="shared" ca="1" si="110"/>
        <v>56.514303977709076</v>
      </c>
      <c r="AL47" s="36">
        <f t="shared" ca="1" si="110"/>
        <v>56.031525727333232</v>
      </c>
      <c r="AM47" s="36">
        <f t="shared" ca="1" si="110"/>
        <v>56.644556232559871</v>
      </c>
      <c r="AN47" s="36">
        <f t="shared" ca="1" si="110"/>
        <v>57.300775050722038</v>
      </c>
      <c r="AO47" s="36">
        <f t="shared" ca="1" si="110"/>
        <v>57.067096152363952</v>
      </c>
      <c r="AP47" s="36">
        <f t="shared" ca="1" si="110"/>
        <v>55.892023845414208</v>
      </c>
      <c r="AQ47" s="36">
        <f t="shared" ca="1" si="110"/>
        <v>56.476701022169863</v>
      </c>
      <c r="AR47" s="36">
        <f t="shared" ca="1" si="110"/>
        <v>56.601234657073327</v>
      </c>
      <c r="AS47" s="36">
        <f t="shared" ca="1" si="110"/>
        <v>56.751004808510665</v>
      </c>
      <c r="AT47" s="36">
        <f t="shared" ca="1" si="110"/>
        <v>56.748130579362169</v>
      </c>
      <c r="AU47" s="36">
        <f t="shared" ca="1" si="110"/>
        <v>56.666414170780861</v>
      </c>
      <c r="AV47" s="36">
        <f t="shared" ca="1" si="110"/>
        <v>56.535392186573553</v>
      </c>
      <c r="AW47" s="36">
        <f t="shared" ca="1" si="110"/>
        <v>56.431898145452458</v>
      </c>
      <c r="AX47" s="36">
        <f t="shared" ca="1" si="110"/>
        <v>56.885786071254792</v>
      </c>
      <c r="AY47" s="36">
        <f t="shared" ca="1" si="110"/>
        <v>57.183909274159291</v>
      </c>
      <c r="AZ47" s="36">
        <f t="shared" ca="1" si="110"/>
        <v>57.161902066284419</v>
      </c>
      <c r="BA47" s="36">
        <f t="shared" ca="1" si="110"/>
        <v>57.241871614695349</v>
      </c>
      <c r="BB47" s="36">
        <f t="shared" ca="1" si="110"/>
        <v>57.562683617560367</v>
      </c>
      <c r="BC47" s="36">
        <f t="shared" ca="1" si="110"/>
        <v>57.209712330144562</v>
      </c>
      <c r="BD47" s="36">
        <f t="shared" ca="1" si="110"/>
        <v>57.272480490204174</v>
      </c>
      <c r="BE47" s="36">
        <f t="shared" ca="1" si="110"/>
        <v>57.360826711456482</v>
      </c>
      <c r="BF47" s="36">
        <f t="shared" ca="1" si="110"/>
        <v>57.491090069829013</v>
      </c>
      <c r="BG47" s="36">
        <f t="shared" ca="1" si="110"/>
        <v>57.532078479111988</v>
      </c>
      <c r="BH47" s="36">
        <f t="shared" ca="1" si="110"/>
        <v>57.450718383000954</v>
      </c>
      <c r="BI47" s="36">
        <f t="shared" ca="1" si="110"/>
        <v>56.310718156109061</v>
      </c>
      <c r="BJ47" s="36">
        <f t="shared" ca="1" si="110"/>
        <v>56.906252393043559</v>
      </c>
      <c r="BK47" s="36">
        <f t="shared" ca="1" si="110"/>
        <v>58.801816413421477</v>
      </c>
      <c r="BL47" s="36">
        <f t="shared" ca="1" si="110"/>
        <v>58.584698481817092</v>
      </c>
      <c r="BM47" s="36">
        <f t="shared" ca="1" si="110"/>
        <v>58.062130384681389</v>
      </c>
      <c r="BN47" s="36">
        <f t="shared" ca="1" si="110"/>
        <v>57.558116027457594</v>
      </c>
      <c r="BO47" s="36">
        <f t="shared" ca="1" si="110"/>
        <v>57.566905152224329</v>
      </c>
      <c r="BP47" s="36">
        <f t="shared" ca="1" si="110"/>
        <v>58.218535102090328</v>
      </c>
      <c r="BQ47" s="36">
        <f t="shared" ca="1" si="110"/>
        <v>57.555234792929674</v>
      </c>
      <c r="BR47" s="36">
        <f t="shared" ca="1" si="106"/>
        <v>57.416977412524943</v>
      </c>
      <c r="BS47" s="36">
        <f t="shared" ca="1" si="106"/>
        <v>57.820585140038276</v>
      </c>
      <c r="BT47" s="36">
        <f t="shared" ca="1" si="106"/>
        <v>57.140551154684751</v>
      </c>
      <c r="BU47" s="36">
        <f t="shared" ca="1" si="106"/>
        <v>57.158382986872674</v>
      </c>
      <c r="BV47" s="36">
        <f t="shared" ca="1" si="106"/>
        <v>56.921303154928658</v>
      </c>
      <c r="BW47" s="36">
        <f t="shared" ca="1" si="106"/>
        <v>58.033206179051533</v>
      </c>
      <c r="BX47" s="36">
        <f t="shared" ca="1" si="106"/>
        <v>59.408647207602357</v>
      </c>
      <c r="BY47" s="36">
        <f t="shared" ca="1" si="106"/>
        <v>59.245543268838539</v>
      </c>
      <c r="BZ47" s="36">
        <f t="shared" ca="1" si="106"/>
        <v>60.500285566622196</v>
      </c>
      <c r="CA47" s="36">
        <f t="shared" ca="1" si="106"/>
        <v>59.780609188127642</v>
      </c>
      <c r="CB47" s="36">
        <f t="shared" ca="1" si="106"/>
        <v>59.343199391690185</v>
      </c>
      <c r="CC47" s="36">
        <f t="shared" ca="1" si="106"/>
        <v>60.407775400316872</v>
      </c>
      <c r="CD47" s="36">
        <f t="shared" ca="1" si="106"/>
        <v>60.785773057015724</v>
      </c>
      <c r="CE47" s="36">
        <f t="shared" ca="1" si="106"/>
        <v>59.329434773134764</v>
      </c>
      <c r="CF47" s="36">
        <f t="shared" ca="1" si="106"/>
        <v>58.781819917237812</v>
      </c>
      <c r="CG47" s="36">
        <f t="shared" ca="1" si="106"/>
        <v>58.129018868491571</v>
      </c>
      <c r="CH47" s="36">
        <f t="shared" ca="1" si="106"/>
        <v>58.306058957812802</v>
      </c>
      <c r="CI47" s="36">
        <f t="shared" ca="1" si="106"/>
        <v>58.382033219288992</v>
      </c>
      <c r="CJ47" s="36">
        <f t="shared" ca="1" si="106"/>
        <v>58.909921276571175</v>
      </c>
      <c r="CK47" s="36">
        <f t="shared" ca="1" si="106"/>
        <v>59.473532663717677</v>
      </c>
      <c r="CL47" s="36">
        <f t="shared" ca="1" si="106"/>
        <v>59.029323146942701</v>
      </c>
      <c r="CM47" s="36">
        <f t="shared" ca="1" si="106"/>
        <v>58.04931108357902</v>
      </c>
      <c r="CN47" s="36">
        <f t="shared" ca="1" si="106"/>
        <v>58.266385881045615</v>
      </c>
      <c r="CO47" s="36">
        <f t="shared" ca="1" si="106"/>
        <v>58.563722307800916</v>
      </c>
      <c r="CP47" s="36">
        <f t="shared" ca="1" si="106"/>
        <v>57.998601779122076</v>
      </c>
      <c r="CQ47" s="36">
        <f t="shared" ca="1" si="106"/>
        <v>58.599817143407243</v>
      </c>
      <c r="CR47" s="36">
        <f t="shared" ca="1" si="106"/>
        <v>58.424939192963187</v>
      </c>
      <c r="CS47" s="36">
        <f t="shared" ca="1" si="106"/>
        <v>59.388791111894079</v>
      </c>
      <c r="CT47" s="36">
        <f t="shared" ca="1" si="106"/>
        <v>60.506464855250158</v>
      </c>
      <c r="CU47" s="36">
        <f t="shared" ca="1" si="106"/>
        <v>60.620678116747257</v>
      </c>
      <c r="CV47" s="36">
        <f t="shared" ca="1" si="106"/>
        <v>60.790506452567406</v>
      </c>
      <c r="CW47" s="36">
        <f t="shared" ca="1" si="106"/>
        <v>59.766671727272254</v>
      </c>
      <c r="CX47" s="36">
        <f t="shared" ca="1" si="106"/>
        <v>58.725097567433835</v>
      </c>
      <c r="CY47" s="36">
        <f t="shared" ca="1" si="106"/>
        <v>59.186046026378477</v>
      </c>
      <c r="CZ47" s="36">
        <f t="shared" ca="1" si="106"/>
        <v>59.239549155858164</v>
      </c>
      <c r="DA47" s="36">
        <f t="shared" ca="1" si="106"/>
        <v>59.981247590276837</v>
      </c>
      <c r="DB47" s="36">
        <f t="shared" ca="1" si="106"/>
        <v>59.950288350533938</v>
      </c>
      <c r="DC47" s="36">
        <f t="shared" ca="1" si="106"/>
        <v>59.693794106085335</v>
      </c>
      <c r="DD47" s="36">
        <f t="shared" ca="1" si="106"/>
        <v>60.292273576797676</v>
      </c>
      <c r="DE47" s="36">
        <f t="shared" ca="1" si="106"/>
        <v>60.260976908936534</v>
      </c>
      <c r="DF47" s="36">
        <f t="shared" ca="1" si="106"/>
        <v>59.555813113068645</v>
      </c>
      <c r="DG47" s="36">
        <f t="shared" ca="1" si="106"/>
        <v>59.498276518939484</v>
      </c>
      <c r="DH47" s="36">
        <f t="shared" ca="1" si="106"/>
        <v>59.720046982153804</v>
      </c>
      <c r="DI47" s="36">
        <f t="shared" ca="1" si="106"/>
        <v>59.907566103647689</v>
      </c>
      <c r="DJ47" s="36">
        <f t="shared" ca="1" si="106"/>
        <v>60.286308047120421</v>
      </c>
      <c r="DK47" s="36">
        <f t="shared" ca="1" si="106"/>
        <v>59.580343400113165</v>
      </c>
      <c r="DL47" s="36">
        <f t="shared" ca="1" si="106"/>
        <v>59.590774112883246</v>
      </c>
      <c r="DM47" s="36">
        <f t="shared" ca="1" si="106"/>
        <v>59.850553683230224</v>
      </c>
      <c r="DN47" s="36">
        <f t="shared" ca="1" si="106"/>
        <v>59.788989656655275</v>
      </c>
      <c r="DO47" s="36">
        <f t="shared" ca="1" si="106"/>
        <v>60.242026429433039</v>
      </c>
      <c r="DP47" s="36">
        <f t="shared" ca="1" si="106"/>
        <v>60.005492237905564</v>
      </c>
      <c r="DQ47" s="36">
        <f t="shared" ca="1" si="106"/>
        <v>61.252444412640479</v>
      </c>
      <c r="DR47" s="36">
        <f t="shared" ca="1" si="106"/>
        <v>60.743062648458661</v>
      </c>
      <c r="DS47" s="36">
        <f t="shared" ca="1" si="106"/>
        <v>59.250289704413163</v>
      </c>
      <c r="DT47" s="36">
        <f t="shared" ca="1" si="106"/>
        <v>60.17778520200725</v>
      </c>
      <c r="DU47" s="36">
        <f t="shared" ca="1" si="106"/>
        <v>59.436578444603974</v>
      </c>
      <c r="DV47" s="36">
        <f t="shared" ca="1" si="106"/>
        <v>60.407675941385513</v>
      </c>
      <c r="DW47" s="36">
        <f t="shared" ca="1" si="106"/>
        <v>60.52066112940188</v>
      </c>
      <c r="DX47" s="36">
        <f t="shared" ca="1" si="106"/>
        <v>60.824227029322564</v>
      </c>
      <c r="DY47" s="36">
        <f t="shared" ca="1" si="106"/>
        <v>60.486469757544647</v>
      </c>
      <c r="DZ47" s="36">
        <f t="shared" ca="1" si="106"/>
        <v>60.282845377768865</v>
      </c>
      <c r="EA47" s="36">
        <f t="shared" ca="1" si="106"/>
        <v>61.153359244216709</v>
      </c>
      <c r="EB47" s="36">
        <f t="shared" ca="1" si="106"/>
        <v>62.081855825272939</v>
      </c>
      <c r="EC47" s="36">
        <f t="shared" ca="1" si="107"/>
        <v>61.861170040319152</v>
      </c>
      <c r="ED47" s="36">
        <f t="shared" ca="1" si="107"/>
        <v>60.961139308212111</v>
      </c>
      <c r="EE47" s="36">
        <f t="shared" ca="1" si="107"/>
        <v>61.22657855193826</v>
      </c>
      <c r="EF47" s="36">
        <f t="shared" ca="1" si="107"/>
        <v>60.486883968821566</v>
      </c>
      <c r="EG47" s="36">
        <f t="shared" ca="1" si="107"/>
        <v>59.689450034602388</v>
      </c>
      <c r="EH47" s="36">
        <f t="shared" ca="1" si="107"/>
        <v>60.329545730990858</v>
      </c>
      <c r="EI47" s="36">
        <f t="shared" ca="1" si="107"/>
        <v>60.575213368863842</v>
      </c>
      <c r="EJ47" s="36">
        <f t="shared" ca="1" si="107"/>
        <v>59.919776227210093</v>
      </c>
      <c r="EK47" s="36">
        <f t="shared" ca="1" si="107"/>
        <v>59.118314047572618</v>
      </c>
      <c r="EL47" s="36">
        <f t="shared" ca="1" si="107"/>
        <v>60.24095004551306</v>
      </c>
      <c r="EM47" s="36">
        <f t="shared" ca="1" si="107"/>
        <v>60.062384204198608</v>
      </c>
      <c r="EN47" s="36">
        <f t="shared" ca="1" si="107"/>
        <v>61.074972242374507</v>
      </c>
      <c r="EO47" s="36">
        <f t="shared" ca="1" si="107"/>
        <v>61.306880699067349</v>
      </c>
      <c r="EP47" s="36">
        <f t="shared" ca="1" si="107"/>
        <v>61.928142193292771</v>
      </c>
      <c r="EQ47" s="36">
        <f t="shared" ca="1" si="107"/>
        <v>62.911303266644808</v>
      </c>
      <c r="ER47" s="36">
        <f t="shared" ca="1" si="107"/>
        <v>63.157522397255775</v>
      </c>
      <c r="ES47" s="36">
        <f t="shared" ca="1" si="107"/>
        <v>62.902668832008224</v>
      </c>
      <c r="ET47" s="36">
        <f t="shared" ca="1" si="107"/>
        <v>63.649574622235114</v>
      </c>
      <c r="EU47" s="36">
        <f t="shared" ca="1" si="107"/>
        <v>63.634911618496602</v>
      </c>
      <c r="EV47" s="36">
        <f t="shared" ca="1" si="107"/>
        <v>64.365859989675855</v>
      </c>
      <c r="EW47" s="36">
        <f t="shared" ref="EW47" ca="1" si="112">EV47*EXP(($B$3-$B$4^2/2)*1+$B$4*_xlfn.NORM.S.INV(RAND()))</f>
        <v>66.370785809311315</v>
      </c>
      <c r="EX47" s="36">
        <f t="shared" ca="1" si="101"/>
        <v>67.672560987630177</v>
      </c>
      <c r="EY47" s="36">
        <f t="shared" ca="1" si="101"/>
        <v>67.665918825615677</v>
      </c>
      <c r="EZ47" s="36">
        <f t="shared" ref="EZ47:HK48" ca="1" si="113">EY47*EXP(($B$3-$B$4^2/2)*1+$B$4*_xlfn.NORM.S.INV(RAND()))</f>
        <v>67.548904143517603</v>
      </c>
      <c r="FA47" s="36">
        <f t="shared" ca="1" si="113"/>
        <v>67.10207740488714</v>
      </c>
      <c r="FB47" s="36">
        <f t="shared" ca="1" si="113"/>
        <v>69.046625236697665</v>
      </c>
      <c r="FC47" s="36">
        <f t="shared" ca="1" si="113"/>
        <v>69.532501893600156</v>
      </c>
      <c r="FD47" s="36">
        <f t="shared" ca="1" si="113"/>
        <v>68.098324060907203</v>
      </c>
      <c r="FE47" s="36">
        <f t="shared" ca="1" si="113"/>
        <v>67.97251401429159</v>
      </c>
      <c r="FF47" s="36">
        <f t="shared" ca="1" si="113"/>
        <v>67.757291955819227</v>
      </c>
      <c r="FG47" s="36">
        <f t="shared" ca="1" si="113"/>
        <v>68.734708780772948</v>
      </c>
      <c r="FH47" s="36">
        <f t="shared" ca="1" si="113"/>
        <v>68.972660476080009</v>
      </c>
      <c r="FI47" s="36">
        <f t="shared" ca="1" si="113"/>
        <v>68.669783077706015</v>
      </c>
      <c r="FJ47" s="36">
        <f t="shared" ca="1" si="113"/>
        <v>69.579953479423438</v>
      </c>
      <c r="FK47" s="36">
        <f t="shared" ca="1" si="113"/>
        <v>68.804799732680337</v>
      </c>
      <c r="FL47" s="36">
        <f t="shared" ca="1" si="113"/>
        <v>68.588055956642293</v>
      </c>
      <c r="FM47" s="36">
        <f t="shared" ca="1" si="113"/>
        <v>68.215282204805774</v>
      </c>
      <c r="FN47" s="36">
        <f t="shared" ca="1" si="113"/>
        <v>68.778707333979696</v>
      </c>
      <c r="FO47" s="36">
        <f t="shared" ca="1" si="113"/>
        <v>70.009476393875858</v>
      </c>
      <c r="FP47" s="36">
        <f t="shared" ca="1" si="113"/>
        <v>68.985776417764995</v>
      </c>
      <c r="FQ47" s="36">
        <f t="shared" ca="1" si="113"/>
        <v>67.528744084975472</v>
      </c>
      <c r="FR47" s="36">
        <f t="shared" ca="1" si="113"/>
        <v>67.968068988026403</v>
      </c>
      <c r="FS47" s="36">
        <f t="shared" ca="1" si="113"/>
        <v>68.749261477792359</v>
      </c>
      <c r="FT47" s="36">
        <f t="shared" ca="1" si="113"/>
        <v>69.034719618216315</v>
      </c>
      <c r="FU47" s="36">
        <f t="shared" ca="1" si="113"/>
        <v>71.143603549073276</v>
      </c>
      <c r="FV47" s="36">
        <f t="shared" ca="1" si="113"/>
        <v>71.012859657054591</v>
      </c>
      <c r="FW47" s="36">
        <f t="shared" ca="1" si="113"/>
        <v>71.097201016573322</v>
      </c>
      <c r="FX47" s="36">
        <f t="shared" ca="1" si="113"/>
        <v>70.707986073107776</v>
      </c>
      <c r="FY47" s="36">
        <f t="shared" ca="1" si="113"/>
        <v>71.735194912065054</v>
      </c>
      <c r="FZ47" s="36">
        <f t="shared" ca="1" si="113"/>
        <v>73.240055355367275</v>
      </c>
      <c r="GA47" s="36">
        <f t="shared" ca="1" si="113"/>
        <v>72.870914223707629</v>
      </c>
      <c r="GB47" s="36">
        <f t="shared" ca="1" si="113"/>
        <v>73.637361567380253</v>
      </c>
      <c r="GC47" s="36">
        <f t="shared" ca="1" si="113"/>
        <v>72.685941579583556</v>
      </c>
      <c r="GD47" s="36">
        <f t="shared" ca="1" si="113"/>
        <v>71.965297916874633</v>
      </c>
      <c r="GE47" s="36">
        <f t="shared" ca="1" si="113"/>
        <v>72.774871405976782</v>
      </c>
      <c r="GF47" s="36">
        <f t="shared" ca="1" si="113"/>
        <v>72.984619442169617</v>
      </c>
      <c r="GG47" s="36">
        <f t="shared" ca="1" si="113"/>
        <v>72.211817750167754</v>
      </c>
      <c r="GH47" s="36">
        <f t="shared" ca="1" si="113"/>
        <v>72.667122561190766</v>
      </c>
      <c r="GI47" s="36">
        <f t="shared" ca="1" si="113"/>
        <v>70.807859951924669</v>
      </c>
      <c r="GJ47" s="36">
        <f t="shared" ca="1" si="113"/>
        <v>69.61891613682748</v>
      </c>
      <c r="GK47" s="36">
        <f t="shared" ca="1" si="113"/>
        <v>68.742071693877421</v>
      </c>
      <c r="GL47" s="36">
        <f t="shared" ca="1" si="113"/>
        <v>67.907741943477873</v>
      </c>
      <c r="GM47" s="36">
        <f t="shared" ca="1" si="113"/>
        <v>66.73538758303981</v>
      </c>
      <c r="GN47" s="36">
        <f t="shared" ca="1" si="113"/>
        <v>65.331549769531208</v>
      </c>
      <c r="GO47" s="36">
        <f t="shared" ca="1" si="113"/>
        <v>65.588279668597352</v>
      </c>
      <c r="GP47" s="36">
        <f t="shared" ca="1" si="113"/>
        <v>65.149599885253707</v>
      </c>
      <c r="GQ47" s="36">
        <f t="shared" ca="1" si="113"/>
        <v>64.243697985092894</v>
      </c>
      <c r="GR47" s="36">
        <f t="shared" ca="1" si="113"/>
        <v>64.392028366082116</v>
      </c>
      <c r="GS47" s="36">
        <f t="shared" ca="1" si="113"/>
        <v>65.499632810431308</v>
      </c>
      <c r="GT47" s="36">
        <f t="shared" ca="1" si="113"/>
        <v>64.373948719832057</v>
      </c>
      <c r="GU47" s="36">
        <f t="shared" ca="1" si="113"/>
        <v>64.77793137117105</v>
      </c>
      <c r="GV47" s="36">
        <f t="shared" ca="1" si="113"/>
        <v>64.751881350305482</v>
      </c>
      <c r="GW47" s="36">
        <f t="shared" ca="1" si="113"/>
        <v>63.786942016411444</v>
      </c>
      <c r="GX47" s="36">
        <f t="shared" ca="1" si="113"/>
        <v>62.95924272818722</v>
      </c>
      <c r="GY47" s="36">
        <f t="shared" ca="1" si="113"/>
        <v>62.936847829064988</v>
      </c>
      <c r="GZ47" s="36">
        <f t="shared" ca="1" si="113"/>
        <v>62.996904434386607</v>
      </c>
      <c r="HA47" s="36">
        <f t="shared" ca="1" si="113"/>
        <v>62.981578404811607</v>
      </c>
      <c r="HB47" s="36">
        <f t="shared" ca="1" si="113"/>
        <v>62.274146252734177</v>
      </c>
      <c r="HC47" s="36">
        <f t="shared" ca="1" si="113"/>
        <v>62.651627098039576</v>
      </c>
      <c r="HD47" s="36">
        <f t="shared" ca="1" si="113"/>
        <v>62.179625170056056</v>
      </c>
      <c r="HE47" s="36">
        <f t="shared" ca="1" si="113"/>
        <v>63.241099572377792</v>
      </c>
      <c r="HF47" s="36">
        <f t="shared" ca="1" si="113"/>
        <v>62.74091487031842</v>
      </c>
      <c r="HG47" s="36">
        <f t="shared" ca="1" si="113"/>
        <v>62.257504693964684</v>
      </c>
      <c r="HH47" s="36">
        <f t="shared" ca="1" si="113"/>
        <v>61.914499496496916</v>
      </c>
      <c r="HI47" s="36">
        <f t="shared" ca="1" si="113"/>
        <v>62.039246849220035</v>
      </c>
      <c r="HJ47" s="36">
        <f t="shared" ca="1" si="113"/>
        <v>62.170907825470728</v>
      </c>
      <c r="HK47" s="36">
        <f t="shared" ca="1" si="113"/>
        <v>60.862300329050228</v>
      </c>
      <c r="HL47" s="36">
        <f t="shared" ref="HL47:HT47" ca="1" si="114">HK47*EXP(($B$3-$B$4^2/2)*1+$B$4*_xlfn.NORM.S.INV(RAND()))</f>
        <v>61.919691263326655</v>
      </c>
      <c r="HM47" s="36">
        <f t="shared" ca="1" si="114"/>
        <v>61.681420996708162</v>
      </c>
      <c r="HN47" s="36">
        <f t="shared" ca="1" si="114"/>
        <v>60.783192050321539</v>
      </c>
      <c r="HO47" s="36">
        <f t="shared" ca="1" si="114"/>
        <v>60.969907786368758</v>
      </c>
      <c r="HP47" s="36">
        <f t="shared" ca="1" si="114"/>
        <v>62.416238902235392</v>
      </c>
      <c r="HQ47" s="36">
        <f t="shared" ca="1" si="114"/>
        <v>62.486105286509463</v>
      </c>
      <c r="HR47" s="36">
        <f t="shared" ca="1" si="114"/>
        <v>62.104772753587213</v>
      </c>
      <c r="HS47" s="36">
        <f t="shared" ca="1" si="114"/>
        <v>62.133935876154212</v>
      </c>
      <c r="HT47" s="36">
        <f t="shared" ca="1" si="114"/>
        <v>61.836016125326879</v>
      </c>
      <c r="HU47" s="36">
        <f t="shared" ca="1" si="103"/>
        <v>62.148022044576649</v>
      </c>
      <c r="HV47" s="36">
        <f t="shared" ca="1" si="103"/>
        <v>60.828652995229042</v>
      </c>
      <c r="HW47" s="36">
        <f t="shared" ca="1" si="103"/>
        <v>61.657060077176965</v>
      </c>
      <c r="HX47" s="36">
        <f t="shared" ca="1" si="103"/>
        <v>61.522489382174129</v>
      </c>
      <c r="HY47" s="36">
        <f t="shared" ca="1" si="103"/>
        <v>60.861215890116988</v>
      </c>
      <c r="HZ47" s="36">
        <f t="shared" ca="1" si="103"/>
        <v>61.314535036028104</v>
      </c>
      <c r="IA47" s="36">
        <f t="shared" ca="1" si="103"/>
        <v>61.532057080456731</v>
      </c>
      <c r="IB47" s="36">
        <f t="shared" ca="1" si="103"/>
        <v>61.521494447100622</v>
      </c>
      <c r="IC47" s="36">
        <f t="shared" ca="1" si="103"/>
        <v>60.89506529487052</v>
      </c>
      <c r="ID47" s="36">
        <f t="shared" ca="1" si="103"/>
        <v>60.025518575485094</v>
      </c>
      <c r="IE47" s="36">
        <f t="shared" ca="1" si="103"/>
        <v>60.276580800036363</v>
      </c>
      <c r="IF47" s="36">
        <f t="shared" ca="1" si="103"/>
        <v>60.407574471261384</v>
      </c>
      <c r="IG47" s="36">
        <f t="shared" ca="1" si="103"/>
        <v>59.34160419448817</v>
      </c>
      <c r="IH47" s="36">
        <f t="shared" ca="1" si="103"/>
        <v>60.682637869909357</v>
      </c>
      <c r="II47" s="36">
        <f t="shared" ca="1" si="103"/>
        <v>60.20975647992109</v>
      </c>
      <c r="IJ47" s="36">
        <f t="shared" ca="1" si="103"/>
        <v>60.595450250789789</v>
      </c>
      <c r="IK47" s="36">
        <f t="shared" ca="1" si="103"/>
        <v>60.302234963699469</v>
      </c>
      <c r="IL47" s="36">
        <f t="shared" ca="1" si="103"/>
        <v>62.537596748466854</v>
      </c>
      <c r="IM47" s="36">
        <f t="shared" ca="1" si="103"/>
        <v>62.878394975117992</v>
      </c>
      <c r="IN47" s="36">
        <f t="shared" ca="1" si="103"/>
        <v>62.304442766050109</v>
      </c>
      <c r="IO47" s="36">
        <f t="shared" ca="1" si="103"/>
        <v>62.0218218478241</v>
      </c>
      <c r="IP47" s="36">
        <f t="shared" ca="1" si="103"/>
        <v>62.089377474181312</v>
      </c>
      <c r="IQ47" s="36">
        <f t="shared" ca="1" si="103"/>
        <v>63.052398530763128</v>
      </c>
      <c r="IR47" s="36">
        <f t="shared" ca="1" si="103"/>
        <v>62.722662362883291</v>
      </c>
      <c r="IS47" s="36">
        <f t="shared" ca="1" si="103"/>
        <v>63.521816069441478</v>
      </c>
      <c r="IT47" s="36">
        <f t="shared" ca="1" si="103"/>
        <v>63.197869723980567</v>
      </c>
      <c r="IU47" s="36">
        <f t="shared" ca="1" si="103"/>
        <v>63.607408556916511</v>
      </c>
    </row>
    <row r="48" spans="1:255" x14ac:dyDescent="0.2">
      <c r="A48" s="36"/>
      <c r="B48">
        <v>38</v>
      </c>
      <c r="C48" s="36">
        <v>50</v>
      </c>
      <c r="D48" s="36">
        <f t="shared" ca="1" si="14"/>
        <v>48.815305214964972</v>
      </c>
      <c r="E48" s="36">
        <f t="shared" ca="1" si="14"/>
        <v>48.508618939664842</v>
      </c>
      <c r="F48" s="36">
        <f t="shared" ca="1" si="110"/>
        <v>49.008965661121032</v>
      </c>
      <c r="G48" s="36">
        <f t="shared" ca="1" si="110"/>
        <v>48.338672658825324</v>
      </c>
      <c r="H48" s="36">
        <f t="shared" ca="1" si="110"/>
        <v>48.826674961991081</v>
      </c>
      <c r="I48" s="36">
        <f t="shared" ca="1" si="110"/>
        <v>48.153998354073927</v>
      </c>
      <c r="J48" s="36">
        <f t="shared" ca="1" si="110"/>
        <v>48.209522257709914</v>
      </c>
      <c r="K48" s="36">
        <f t="shared" ca="1" si="110"/>
        <v>48.648051766201263</v>
      </c>
      <c r="L48" s="36">
        <f t="shared" ca="1" si="110"/>
        <v>47.587343388512416</v>
      </c>
      <c r="M48" s="36">
        <f t="shared" ca="1" si="110"/>
        <v>47.769734340451485</v>
      </c>
      <c r="N48" s="36">
        <f t="shared" ca="1" si="110"/>
        <v>48.295118625008904</v>
      </c>
      <c r="O48" s="36">
        <f t="shared" ca="1" si="110"/>
        <v>49.463792108416257</v>
      </c>
      <c r="P48" s="36">
        <f t="shared" ca="1" si="110"/>
        <v>48.237540137582911</v>
      </c>
      <c r="Q48" s="36">
        <f t="shared" ca="1" si="110"/>
        <v>48.060883911629453</v>
      </c>
      <c r="R48" s="36">
        <f t="shared" ca="1" si="110"/>
        <v>47.599699078009536</v>
      </c>
      <c r="S48" s="36">
        <f t="shared" ca="1" si="110"/>
        <v>47.07514760319107</v>
      </c>
      <c r="T48" s="36">
        <f t="shared" ca="1" si="110"/>
        <v>47.233594532935633</v>
      </c>
      <c r="U48" s="36">
        <f t="shared" ca="1" si="110"/>
        <v>46.663590534955311</v>
      </c>
      <c r="V48" s="36">
        <f t="shared" ca="1" si="110"/>
        <v>45.790430463637392</v>
      </c>
      <c r="W48" s="36">
        <f t="shared" ca="1" si="110"/>
        <v>46.317537423505172</v>
      </c>
      <c r="X48" s="36">
        <f t="shared" ca="1" si="110"/>
        <v>46.143065679384577</v>
      </c>
      <c r="Y48" s="36">
        <f t="shared" ca="1" si="110"/>
        <v>46.041491570703613</v>
      </c>
      <c r="Z48" s="36">
        <f t="shared" ca="1" si="110"/>
        <v>45.871100059490743</v>
      </c>
      <c r="AA48" s="36">
        <f t="shared" ca="1" si="110"/>
        <v>45.483675339520651</v>
      </c>
      <c r="AB48" s="36">
        <f t="shared" ca="1" si="110"/>
        <v>45.632611779395695</v>
      </c>
      <c r="AC48" s="36">
        <f t="shared" ca="1" si="110"/>
        <v>46.331711486573184</v>
      </c>
      <c r="AD48" s="36">
        <f t="shared" ca="1" si="110"/>
        <v>45.995966188224578</v>
      </c>
      <c r="AE48" s="36">
        <f t="shared" ca="1" si="110"/>
        <v>45.77748053415592</v>
      </c>
      <c r="AF48" s="36">
        <f t="shared" ca="1" si="110"/>
        <v>45.830626160679962</v>
      </c>
      <c r="AG48" s="36">
        <f t="shared" ca="1" si="110"/>
        <v>46.613227215865159</v>
      </c>
      <c r="AH48" s="36">
        <f t="shared" ca="1" si="110"/>
        <v>47.678533717959617</v>
      </c>
      <c r="AI48" s="36">
        <f t="shared" ca="1" si="110"/>
        <v>47.779682936232369</v>
      </c>
      <c r="AJ48" s="36">
        <f t="shared" ca="1" si="110"/>
        <v>47.868627298011447</v>
      </c>
      <c r="AK48" s="36">
        <f t="shared" ca="1" si="110"/>
        <v>48.789814540898647</v>
      </c>
      <c r="AL48" s="36">
        <f t="shared" ca="1" si="110"/>
        <v>49.642876341966641</v>
      </c>
      <c r="AM48" s="36">
        <f t="shared" ca="1" si="110"/>
        <v>49.900266967178347</v>
      </c>
      <c r="AN48" s="36">
        <f t="shared" ca="1" si="110"/>
        <v>50.168966742206479</v>
      </c>
      <c r="AO48" s="36">
        <f t="shared" ca="1" si="110"/>
        <v>50.656001242706211</v>
      </c>
      <c r="AP48" s="36">
        <f t="shared" ca="1" si="110"/>
        <v>50.963345220751748</v>
      </c>
      <c r="AQ48" s="36">
        <f t="shared" ca="1" si="110"/>
        <v>51.626742233398815</v>
      </c>
      <c r="AR48" s="36">
        <f t="shared" ca="1" si="110"/>
        <v>51.504879785741771</v>
      </c>
      <c r="AS48" s="36">
        <f t="shared" ca="1" si="110"/>
        <v>51.600612190369866</v>
      </c>
      <c r="AT48" s="36">
        <f t="shared" ca="1" si="110"/>
        <v>50.965659602031693</v>
      </c>
      <c r="AU48" s="36">
        <f t="shared" ca="1" si="110"/>
        <v>49.951115469436935</v>
      </c>
      <c r="AV48" s="36">
        <f t="shared" ca="1" si="110"/>
        <v>49.505512535685796</v>
      </c>
      <c r="AW48" s="36">
        <f t="shared" ca="1" si="110"/>
        <v>49.243036236252358</v>
      </c>
      <c r="AX48" s="36">
        <f t="shared" ca="1" si="110"/>
        <v>49.220191468818328</v>
      </c>
      <c r="AY48" s="36">
        <f t="shared" ca="1" si="110"/>
        <v>49.63618906510186</v>
      </c>
      <c r="AZ48" s="36">
        <f t="shared" ca="1" si="110"/>
        <v>49.94478447011462</v>
      </c>
      <c r="BA48" s="36">
        <f t="shared" ca="1" si="110"/>
        <v>51.290877968698226</v>
      </c>
      <c r="BB48" s="36">
        <f t="shared" ca="1" si="110"/>
        <v>52.382797334311256</v>
      </c>
      <c r="BC48" s="36">
        <f t="shared" ca="1" si="110"/>
        <v>53.510999201074419</v>
      </c>
      <c r="BD48" s="36">
        <f t="shared" ca="1" si="110"/>
        <v>53.121881626798263</v>
      </c>
      <c r="BE48" s="36">
        <f t="shared" ca="1" si="110"/>
        <v>52.749243405333203</v>
      </c>
      <c r="BF48" s="36">
        <f t="shared" ca="1" si="110"/>
        <v>53.834629378433178</v>
      </c>
      <c r="BG48" s="36">
        <f t="shared" ca="1" si="110"/>
        <v>54.953570465742771</v>
      </c>
      <c r="BH48" s="36">
        <f t="shared" ca="1" si="110"/>
        <v>55.55057714048619</v>
      </c>
      <c r="BI48" s="36">
        <f t="shared" ca="1" si="110"/>
        <v>54.869272081079913</v>
      </c>
      <c r="BJ48" s="36">
        <f t="shared" ca="1" si="110"/>
        <v>54.822665161502265</v>
      </c>
      <c r="BK48" s="36">
        <f t="shared" ca="1" si="110"/>
        <v>54.544528553662019</v>
      </c>
      <c r="BL48" s="36">
        <f t="shared" ca="1" si="110"/>
        <v>54.44596134697057</v>
      </c>
      <c r="BM48" s="36">
        <f t="shared" ca="1" si="110"/>
        <v>54.164194586872334</v>
      </c>
      <c r="BN48" s="36">
        <f t="shared" ca="1" si="110"/>
        <v>54.972218545820418</v>
      </c>
      <c r="BO48" s="36">
        <f t="shared" ca="1" si="110"/>
        <v>54.348453642935766</v>
      </c>
      <c r="BP48" s="36">
        <f t="shared" ca="1" si="110"/>
        <v>54.130588024801462</v>
      </c>
      <c r="BQ48" s="36">
        <f t="shared" ca="1" si="110"/>
        <v>54.79967780715522</v>
      </c>
      <c r="BR48" s="36">
        <f t="shared" ca="1" si="106"/>
        <v>54.765388859913514</v>
      </c>
      <c r="BS48" s="36">
        <f t="shared" ca="1" si="106"/>
        <v>54.496897442906302</v>
      </c>
      <c r="BT48" s="36">
        <f t="shared" ca="1" si="106"/>
        <v>53.890474589392113</v>
      </c>
      <c r="BU48" s="36">
        <f t="shared" ca="1" si="106"/>
        <v>53.393365615215806</v>
      </c>
      <c r="BV48" s="36">
        <f t="shared" ca="1" si="106"/>
        <v>53.54814463617145</v>
      </c>
      <c r="BW48" s="36">
        <f t="shared" ca="1" si="106"/>
        <v>52.902292267683386</v>
      </c>
      <c r="BX48" s="36">
        <f t="shared" ca="1" si="106"/>
        <v>52.285629613599426</v>
      </c>
      <c r="BY48" s="36">
        <f t="shared" ca="1" si="106"/>
        <v>51.981882510997842</v>
      </c>
      <c r="BZ48" s="36">
        <f t="shared" ca="1" si="106"/>
        <v>51.960251794286101</v>
      </c>
      <c r="CA48" s="36">
        <f t="shared" ca="1" si="106"/>
        <v>52.436063622834226</v>
      </c>
      <c r="CB48" s="36">
        <f t="shared" ca="1" si="106"/>
        <v>52.61616885793687</v>
      </c>
      <c r="CC48" s="36">
        <f t="shared" ca="1" si="106"/>
        <v>52.452268355209924</v>
      </c>
      <c r="CD48" s="36">
        <f t="shared" ca="1" si="106"/>
        <v>52.488170675754041</v>
      </c>
      <c r="CE48" s="36">
        <f t="shared" ca="1" si="106"/>
        <v>52.188824214038185</v>
      </c>
      <c r="CF48" s="36">
        <f t="shared" ca="1" si="106"/>
        <v>52.522471580785336</v>
      </c>
      <c r="CG48" s="36">
        <f t="shared" ca="1" si="106"/>
        <v>51.798281964605358</v>
      </c>
      <c r="CH48" s="36">
        <f t="shared" ca="1" si="106"/>
        <v>52.107076178730608</v>
      </c>
      <c r="CI48" s="36">
        <f t="shared" ca="1" si="106"/>
        <v>51.008009926260307</v>
      </c>
      <c r="CJ48" s="36">
        <f t="shared" ca="1" si="106"/>
        <v>50.288039274157171</v>
      </c>
      <c r="CK48" s="36">
        <f t="shared" ca="1" si="106"/>
        <v>49.150262103912233</v>
      </c>
      <c r="CL48" s="36">
        <f t="shared" ca="1" si="106"/>
        <v>49.897708478359569</v>
      </c>
      <c r="CM48" s="36">
        <f t="shared" ca="1" si="106"/>
        <v>49.636639844816358</v>
      </c>
      <c r="CN48" s="36">
        <f t="shared" ca="1" si="106"/>
        <v>51.099591993329888</v>
      </c>
      <c r="CO48" s="36">
        <f t="shared" ca="1" si="106"/>
        <v>50.933869687899225</v>
      </c>
      <c r="CP48" s="36">
        <f t="shared" ca="1" si="106"/>
        <v>50.59392659166528</v>
      </c>
      <c r="CQ48" s="36">
        <f t="shared" ca="1" si="106"/>
        <v>50.988274763801741</v>
      </c>
      <c r="CR48" s="36">
        <f t="shared" ca="1" si="106"/>
        <v>51.741274163831136</v>
      </c>
      <c r="CS48" s="36">
        <f t="shared" ca="1" si="106"/>
        <v>52.190126716287566</v>
      </c>
      <c r="CT48" s="36">
        <f t="shared" ca="1" si="106"/>
        <v>52.977591046956377</v>
      </c>
      <c r="CU48" s="36">
        <f t="shared" ca="1" si="106"/>
        <v>52.920602842568393</v>
      </c>
      <c r="CV48" s="36">
        <f t="shared" ca="1" si="106"/>
        <v>52.916297347717496</v>
      </c>
      <c r="CW48" s="36">
        <f t="shared" ca="1" si="106"/>
        <v>53.69957992286075</v>
      </c>
      <c r="CX48" s="36">
        <f t="shared" ca="1" si="106"/>
        <v>53.575604080954442</v>
      </c>
      <c r="CY48" s="36">
        <f t="shared" ca="1" si="106"/>
        <v>53.735465621272674</v>
      </c>
      <c r="CZ48" s="36">
        <f t="shared" ca="1" si="106"/>
        <v>54.49250736826432</v>
      </c>
      <c r="DA48" s="36">
        <f t="shared" ca="1" si="106"/>
        <v>54.984640499786373</v>
      </c>
      <c r="DB48" s="36">
        <f t="shared" ca="1" si="106"/>
        <v>53.858127294054583</v>
      </c>
      <c r="DC48" s="36">
        <f t="shared" ca="1" si="106"/>
        <v>53.592212464136722</v>
      </c>
      <c r="DD48" s="36">
        <f t="shared" ca="1" si="106"/>
        <v>53.29636156320629</v>
      </c>
      <c r="DE48" s="36">
        <f t="shared" ca="1" si="106"/>
        <v>53.67388768486633</v>
      </c>
      <c r="DF48" s="36">
        <f t="shared" ca="1" si="106"/>
        <v>54.249133619327367</v>
      </c>
      <c r="DG48" s="36">
        <f t="shared" ca="1" si="106"/>
        <v>54.545969137767692</v>
      </c>
      <c r="DH48" s="36">
        <f t="shared" ca="1" si="106"/>
        <v>54.795377889376439</v>
      </c>
      <c r="DI48" s="36">
        <f t="shared" ca="1" si="106"/>
        <v>55.028874929967429</v>
      </c>
      <c r="DJ48" s="36">
        <f t="shared" ca="1" si="106"/>
        <v>55.536685883043191</v>
      </c>
      <c r="DK48" s="36">
        <f t="shared" ca="1" si="106"/>
        <v>55.001293501103085</v>
      </c>
      <c r="DL48" s="36">
        <f t="shared" ca="1" si="106"/>
        <v>54.752849712703735</v>
      </c>
      <c r="DM48" s="36">
        <f t="shared" ca="1" si="106"/>
        <v>55.144551108698664</v>
      </c>
      <c r="DN48" s="36">
        <f t="shared" ca="1" si="106"/>
        <v>56.397273572805538</v>
      </c>
      <c r="DO48" s="36">
        <f t="shared" ca="1" si="106"/>
        <v>56.318433932309127</v>
      </c>
      <c r="DP48" s="36">
        <f t="shared" ca="1" si="106"/>
        <v>56.517506912907642</v>
      </c>
      <c r="DQ48" s="36">
        <f t="shared" ca="1" si="106"/>
        <v>55.384265052530353</v>
      </c>
      <c r="DR48" s="36">
        <f t="shared" ca="1" si="106"/>
        <v>54.260724595295251</v>
      </c>
      <c r="DS48" s="36">
        <f t="shared" ca="1" si="106"/>
        <v>53.326951573534636</v>
      </c>
      <c r="DT48" s="36">
        <f t="shared" ca="1" si="106"/>
        <v>51.949838853313757</v>
      </c>
      <c r="DU48" s="36">
        <f t="shared" ca="1" si="106"/>
        <v>51.411554001598155</v>
      </c>
      <c r="DV48" s="36">
        <f t="shared" ca="1" si="106"/>
        <v>51.179308648988247</v>
      </c>
      <c r="DW48" s="36">
        <f t="shared" ca="1" si="106"/>
        <v>51.096163211367298</v>
      </c>
      <c r="DX48" s="36">
        <f t="shared" ca="1" si="106"/>
        <v>52.044523562312158</v>
      </c>
      <c r="DY48" s="36">
        <f t="shared" ca="1" si="106"/>
        <v>51.869598112793106</v>
      </c>
      <c r="DZ48" s="36">
        <f t="shared" ca="1" si="106"/>
        <v>52.321759255700293</v>
      </c>
      <c r="EA48" s="36">
        <f t="shared" ca="1" si="106"/>
        <v>51.946611234163093</v>
      </c>
      <c r="EB48" s="36">
        <f t="shared" ca="1" si="106"/>
        <v>51.247530806127955</v>
      </c>
      <c r="EC48" s="36">
        <f t="shared" ca="1" si="107"/>
        <v>50.944544622273575</v>
      </c>
      <c r="ED48" s="36">
        <f t="shared" ca="1" si="107"/>
        <v>50.162224363716277</v>
      </c>
      <c r="EE48" s="36">
        <f t="shared" ca="1" si="107"/>
        <v>50.252227214151681</v>
      </c>
      <c r="EF48" s="36">
        <f t="shared" ca="1" si="107"/>
        <v>50.294870864292378</v>
      </c>
      <c r="EG48" s="36">
        <f t="shared" ca="1" si="107"/>
        <v>50.833231535664154</v>
      </c>
      <c r="EH48" s="36">
        <f t="shared" ca="1" si="107"/>
        <v>51.172596194939793</v>
      </c>
      <c r="EI48" s="36">
        <f t="shared" ca="1" si="107"/>
        <v>51.728036980291385</v>
      </c>
      <c r="EJ48" s="36">
        <f t="shared" ca="1" si="107"/>
        <v>50.942742651373536</v>
      </c>
      <c r="EK48" s="36">
        <f t="shared" ca="1" si="107"/>
        <v>50.764317385692195</v>
      </c>
      <c r="EL48" s="36">
        <f t="shared" ca="1" si="107"/>
        <v>50.51234591386747</v>
      </c>
      <c r="EM48" s="36">
        <f t="shared" ca="1" si="107"/>
        <v>50.433842630976812</v>
      </c>
      <c r="EN48" s="36">
        <f t="shared" ca="1" si="107"/>
        <v>50.378922600402426</v>
      </c>
      <c r="EO48" s="36">
        <f t="shared" ca="1" si="107"/>
        <v>49.872563286692625</v>
      </c>
      <c r="EP48" s="36">
        <f t="shared" ca="1" si="107"/>
        <v>50.031212742704554</v>
      </c>
      <c r="EQ48" s="36">
        <f t="shared" ca="1" si="107"/>
        <v>49.315060868669477</v>
      </c>
      <c r="ER48" s="36">
        <f t="shared" ca="1" si="107"/>
        <v>49.648436818817864</v>
      </c>
      <c r="ES48" s="36">
        <f t="shared" ca="1" si="107"/>
        <v>49.920188017157919</v>
      </c>
      <c r="ET48" s="36">
        <f t="shared" ca="1" si="107"/>
        <v>50.128041227598025</v>
      </c>
      <c r="EU48" s="36">
        <f t="shared" ca="1" si="107"/>
        <v>50.478740142469249</v>
      </c>
      <c r="EV48" s="36">
        <f t="shared" ca="1" si="107"/>
        <v>50.234379975269078</v>
      </c>
      <c r="EW48" s="36">
        <f t="shared" ref="EW48:HH52" ca="1" si="115">EV48*EXP(($B$3-$B$4^2/2)*1+$B$4*_xlfn.NORM.S.INV(RAND()))</f>
        <v>49.477760742037162</v>
      </c>
      <c r="EX48" s="36">
        <f t="shared" ca="1" si="115"/>
        <v>49.878587973250198</v>
      </c>
      <c r="EY48" s="36">
        <f t="shared" ca="1" si="115"/>
        <v>50.473315543896973</v>
      </c>
      <c r="EZ48" s="36">
        <f t="shared" ca="1" si="115"/>
        <v>50.069289035576283</v>
      </c>
      <c r="FA48" s="36">
        <f t="shared" ca="1" si="115"/>
        <v>50.574031783191181</v>
      </c>
      <c r="FB48" s="36">
        <f t="shared" ca="1" si="115"/>
        <v>50.437116082032219</v>
      </c>
      <c r="FC48" s="36">
        <f t="shared" ca="1" si="115"/>
        <v>50.918565720507615</v>
      </c>
      <c r="FD48" s="36">
        <f t="shared" ca="1" si="115"/>
        <v>51.320435652892911</v>
      </c>
      <c r="FE48" s="36">
        <f t="shared" ca="1" si="115"/>
        <v>51.658729392791749</v>
      </c>
      <c r="FF48" s="36">
        <f t="shared" ca="1" si="115"/>
        <v>52.160246213674121</v>
      </c>
      <c r="FG48" s="36">
        <f t="shared" ca="1" si="115"/>
        <v>51.024866897116674</v>
      </c>
      <c r="FH48" s="36">
        <f t="shared" ca="1" si="115"/>
        <v>50.573757650157702</v>
      </c>
      <c r="FI48" s="36">
        <f t="shared" ca="1" si="115"/>
        <v>50.945252545682983</v>
      </c>
      <c r="FJ48" s="36">
        <f t="shared" ca="1" si="115"/>
        <v>50.593541420782913</v>
      </c>
      <c r="FK48" s="36">
        <f t="shared" ca="1" si="115"/>
        <v>50.24998033804922</v>
      </c>
      <c r="FL48" s="36">
        <f t="shared" ca="1" si="115"/>
        <v>49.785782802293411</v>
      </c>
      <c r="FM48" s="36">
        <f t="shared" ca="1" si="115"/>
        <v>50.123147008228969</v>
      </c>
      <c r="FN48" s="36">
        <f t="shared" ca="1" si="115"/>
        <v>50.166223858572636</v>
      </c>
      <c r="FO48" s="36">
        <f t="shared" ca="1" si="115"/>
        <v>50.646145109493702</v>
      </c>
      <c r="FP48" s="36">
        <f t="shared" ca="1" si="115"/>
        <v>50.648180378057852</v>
      </c>
      <c r="FQ48" s="36">
        <f t="shared" ca="1" si="115"/>
        <v>51.477530794188752</v>
      </c>
      <c r="FR48" s="36">
        <f t="shared" ca="1" si="115"/>
        <v>51.116137741609791</v>
      </c>
      <c r="FS48" s="36">
        <f t="shared" ca="1" si="115"/>
        <v>50.549838148308403</v>
      </c>
      <c r="FT48" s="36">
        <f t="shared" ca="1" si="115"/>
        <v>49.739989148483545</v>
      </c>
      <c r="FU48" s="36">
        <f t="shared" ca="1" si="115"/>
        <v>49.765561466301044</v>
      </c>
      <c r="FV48" s="36">
        <f t="shared" ca="1" si="115"/>
        <v>48.922227616210179</v>
      </c>
      <c r="FW48" s="36">
        <f t="shared" ca="1" si="115"/>
        <v>49.19618213636582</v>
      </c>
      <c r="FX48" s="36">
        <f t="shared" ca="1" si="115"/>
        <v>49.220164492600546</v>
      </c>
      <c r="FY48" s="36">
        <f t="shared" ca="1" si="115"/>
        <v>50.123884381003464</v>
      </c>
      <c r="FZ48" s="36">
        <f t="shared" ca="1" si="115"/>
        <v>50.452970550660773</v>
      </c>
      <c r="GA48" s="36">
        <f t="shared" ca="1" si="115"/>
        <v>50.546189809575658</v>
      </c>
      <c r="GB48" s="36">
        <f t="shared" ca="1" si="115"/>
        <v>50.62429647852845</v>
      </c>
      <c r="GC48" s="36">
        <f t="shared" ca="1" si="115"/>
        <v>50.343039690175978</v>
      </c>
      <c r="GD48" s="36">
        <f t="shared" ca="1" si="115"/>
        <v>49.928912372340832</v>
      </c>
      <c r="GE48" s="36">
        <f t="shared" ca="1" si="115"/>
        <v>48.880620249140549</v>
      </c>
      <c r="GF48" s="36">
        <f t="shared" ca="1" si="115"/>
        <v>47.660376083477679</v>
      </c>
      <c r="GG48" s="36">
        <f t="shared" ca="1" si="115"/>
        <v>47.146992358013996</v>
      </c>
      <c r="GH48" s="36">
        <f t="shared" ca="1" si="115"/>
        <v>47.409757704900244</v>
      </c>
      <c r="GI48" s="36">
        <f t="shared" ca="1" si="115"/>
        <v>47.906910169211315</v>
      </c>
      <c r="GJ48" s="36">
        <f t="shared" ca="1" si="115"/>
        <v>47.256223009450061</v>
      </c>
      <c r="GK48" s="36">
        <f t="shared" ca="1" si="115"/>
        <v>48.070921995276201</v>
      </c>
      <c r="GL48" s="36">
        <f t="shared" ca="1" si="115"/>
        <v>48.561832906738942</v>
      </c>
      <c r="GM48" s="36">
        <f t="shared" ca="1" si="115"/>
        <v>47.869111988369319</v>
      </c>
      <c r="GN48" s="36">
        <f t="shared" ca="1" si="115"/>
        <v>47.123768518187561</v>
      </c>
      <c r="GO48" s="36">
        <f t="shared" ca="1" si="115"/>
        <v>47.484719136871824</v>
      </c>
      <c r="GP48" s="36">
        <f t="shared" ca="1" si="115"/>
        <v>48.159477760180181</v>
      </c>
      <c r="GQ48" s="36">
        <f t="shared" ca="1" si="115"/>
        <v>48.208874950108921</v>
      </c>
      <c r="GR48" s="36">
        <f t="shared" ca="1" si="115"/>
        <v>49.476658217092741</v>
      </c>
      <c r="GS48" s="36">
        <f t="shared" ca="1" si="115"/>
        <v>49.342988789486746</v>
      </c>
      <c r="GT48" s="36">
        <f t="shared" ca="1" si="115"/>
        <v>49.436117168968785</v>
      </c>
      <c r="GU48" s="36">
        <f t="shared" ca="1" si="115"/>
        <v>49.844069140806269</v>
      </c>
      <c r="GV48" s="36">
        <f t="shared" ca="1" si="115"/>
        <v>49.670945252320458</v>
      </c>
      <c r="GW48" s="36">
        <f t="shared" ca="1" si="115"/>
        <v>49.815603839998964</v>
      </c>
      <c r="GX48" s="36">
        <f t="shared" ca="1" si="115"/>
        <v>48.760352805870639</v>
      </c>
      <c r="GY48" s="36">
        <f t="shared" ca="1" si="115"/>
        <v>48.966790081953803</v>
      </c>
      <c r="GZ48" s="36">
        <f t="shared" ca="1" si="115"/>
        <v>50.110064577633871</v>
      </c>
      <c r="HA48" s="36">
        <f t="shared" ca="1" si="115"/>
        <v>49.625544411226755</v>
      </c>
      <c r="HB48" s="36">
        <f t="shared" ca="1" si="115"/>
        <v>49.601162593204251</v>
      </c>
      <c r="HC48" s="36">
        <f t="shared" ca="1" si="115"/>
        <v>50.073298355622391</v>
      </c>
      <c r="HD48" s="36">
        <f t="shared" ca="1" si="115"/>
        <v>50.120659890801605</v>
      </c>
      <c r="HE48" s="36">
        <f t="shared" ca="1" si="115"/>
        <v>50.49903328236509</v>
      </c>
      <c r="HF48" s="36">
        <f t="shared" ca="1" si="115"/>
        <v>50.045145316278173</v>
      </c>
      <c r="HG48" s="36">
        <f t="shared" ca="1" si="115"/>
        <v>50.593683505131423</v>
      </c>
      <c r="HH48" s="36">
        <f t="shared" ca="1" si="115"/>
        <v>50.010035547302394</v>
      </c>
      <c r="HI48" s="36">
        <f t="shared" ca="1" si="113"/>
        <v>49.997126850998541</v>
      </c>
      <c r="HJ48" s="36">
        <f t="shared" ca="1" si="113"/>
        <v>49.602676743822613</v>
      </c>
      <c r="HK48" s="36">
        <f t="shared" ca="1" si="113"/>
        <v>50.433520419512689</v>
      </c>
      <c r="HL48" s="36">
        <f t="shared" ref="HL48:HT48" ca="1" si="116">HK48*EXP(($B$3-$B$4^2/2)*1+$B$4*_xlfn.NORM.S.INV(RAND()))</f>
        <v>50.515784229962435</v>
      </c>
      <c r="HM48" s="36">
        <f t="shared" ca="1" si="116"/>
        <v>50.74490343115751</v>
      </c>
      <c r="HN48" s="36">
        <f t="shared" ca="1" si="116"/>
        <v>50.174904849473712</v>
      </c>
      <c r="HO48" s="36">
        <f t="shared" ca="1" si="116"/>
        <v>49.650421930687713</v>
      </c>
      <c r="HP48" s="36">
        <f t="shared" ca="1" si="116"/>
        <v>49.684829081978826</v>
      </c>
      <c r="HQ48" s="36">
        <f t="shared" ca="1" si="116"/>
        <v>49.547098598165256</v>
      </c>
      <c r="HR48" s="36">
        <f t="shared" ca="1" si="116"/>
        <v>50.72289295657631</v>
      </c>
      <c r="HS48" s="36">
        <f t="shared" ca="1" si="116"/>
        <v>50.142680098035335</v>
      </c>
      <c r="HT48" s="36">
        <f t="shared" ca="1" si="116"/>
        <v>50.734732154011908</v>
      </c>
      <c r="HU48" s="36">
        <f t="shared" ca="1" si="103"/>
        <v>50.665257535872811</v>
      </c>
      <c r="HV48" s="36">
        <f t="shared" ca="1" si="103"/>
        <v>50.458062689402603</v>
      </c>
      <c r="HW48" s="36">
        <f t="shared" ca="1" si="103"/>
        <v>51.712544547021615</v>
      </c>
      <c r="HX48" s="36">
        <f t="shared" ca="1" si="103"/>
        <v>52.456145110272011</v>
      </c>
      <c r="HY48" s="36">
        <f t="shared" ca="1" si="103"/>
        <v>51.999212105222036</v>
      </c>
      <c r="HZ48" s="36">
        <f t="shared" ca="1" si="103"/>
        <v>51.197335938027116</v>
      </c>
      <c r="IA48" s="36">
        <f t="shared" ca="1" si="103"/>
        <v>50.946115102416066</v>
      </c>
      <c r="IB48" s="36">
        <f t="shared" ca="1" si="103"/>
        <v>50.521532110147845</v>
      </c>
      <c r="IC48" s="36">
        <f t="shared" ca="1" si="103"/>
        <v>50.157272457058482</v>
      </c>
      <c r="ID48" s="36">
        <f t="shared" ca="1" si="103"/>
        <v>50.221164765069446</v>
      </c>
      <c r="IE48" s="36">
        <f t="shared" ca="1" si="103"/>
        <v>49.41060275558948</v>
      </c>
      <c r="IF48" s="36">
        <f t="shared" ca="1" si="103"/>
        <v>49.712312405473767</v>
      </c>
      <c r="IG48" s="36">
        <f t="shared" ca="1" si="103"/>
        <v>50.327946158174541</v>
      </c>
      <c r="IH48" s="36">
        <f t="shared" ca="1" si="103"/>
        <v>50.745978770846492</v>
      </c>
      <c r="II48" s="36">
        <f t="shared" ca="1" si="103"/>
        <v>50.566886246401801</v>
      </c>
      <c r="IJ48" s="36">
        <f t="shared" ca="1" si="103"/>
        <v>50.640738724527296</v>
      </c>
      <c r="IK48" s="36">
        <f t="shared" ca="1" si="103"/>
        <v>50.14525942113324</v>
      </c>
      <c r="IL48" s="36">
        <f t="shared" ca="1" si="103"/>
        <v>50.302349424686859</v>
      </c>
      <c r="IM48" s="36">
        <f t="shared" ca="1" si="103"/>
        <v>50.514816425985657</v>
      </c>
      <c r="IN48" s="36">
        <f t="shared" ca="1" si="103"/>
        <v>51.383828062083197</v>
      </c>
      <c r="IO48" s="36">
        <f t="shared" ca="1" si="103"/>
        <v>51.551808068162281</v>
      </c>
      <c r="IP48" s="36">
        <f t="shared" ca="1" si="103"/>
        <v>51.75012174120274</v>
      </c>
      <c r="IQ48" s="36">
        <f t="shared" ca="1" si="103"/>
        <v>51.091139316845641</v>
      </c>
      <c r="IR48" s="36">
        <f t="shared" ca="1" si="103"/>
        <v>51.599572220232737</v>
      </c>
      <c r="IS48" s="36">
        <f t="shared" ca="1" si="103"/>
        <v>52.367987560118252</v>
      </c>
      <c r="IT48" s="36">
        <f t="shared" ca="1" si="103"/>
        <v>51.569253336981745</v>
      </c>
      <c r="IU48" s="36">
        <f t="shared" ca="1" si="103"/>
        <v>51.262037457270416</v>
      </c>
    </row>
    <row r="49" spans="1:255" x14ac:dyDescent="0.2">
      <c r="A49" s="36"/>
      <c r="B49">
        <v>39</v>
      </c>
      <c r="C49" s="36">
        <v>50</v>
      </c>
      <c r="D49" s="36">
        <f t="shared" ca="1" si="14"/>
        <v>50.405209696797904</v>
      </c>
      <c r="E49" s="36">
        <f t="shared" ca="1" si="14"/>
        <v>49.978322873667118</v>
      </c>
      <c r="F49" s="36">
        <f t="shared" ca="1" si="110"/>
        <v>48.737039051269292</v>
      </c>
      <c r="G49" s="36">
        <f t="shared" ca="1" si="110"/>
        <v>47.847535860265111</v>
      </c>
      <c r="H49" s="36">
        <f t="shared" ca="1" si="110"/>
        <v>48.285555594123039</v>
      </c>
      <c r="I49" s="36">
        <f t="shared" ca="1" si="110"/>
        <v>48.182135248881245</v>
      </c>
      <c r="J49" s="36">
        <f t="shared" ca="1" si="110"/>
        <v>48.740499945653447</v>
      </c>
      <c r="K49" s="36">
        <f t="shared" ca="1" si="110"/>
        <v>48.29724198824541</v>
      </c>
      <c r="L49" s="36">
        <f t="shared" ca="1" si="110"/>
        <v>48.606824227431815</v>
      </c>
      <c r="M49" s="36">
        <f t="shared" ca="1" si="110"/>
        <v>48.065503574731622</v>
      </c>
      <c r="N49" s="36">
        <f t="shared" ca="1" si="110"/>
        <v>48.885522367393641</v>
      </c>
      <c r="O49" s="36">
        <f t="shared" ca="1" si="110"/>
        <v>48.288604945609187</v>
      </c>
      <c r="P49" s="36">
        <f t="shared" ca="1" si="110"/>
        <v>46.787889033543969</v>
      </c>
      <c r="Q49" s="36">
        <f t="shared" ca="1" si="110"/>
        <v>46.954005248541485</v>
      </c>
      <c r="R49" s="36">
        <f t="shared" ca="1" si="110"/>
        <v>46.09313161859739</v>
      </c>
      <c r="S49" s="36">
        <f t="shared" ca="1" si="110"/>
        <v>45.833520831858323</v>
      </c>
      <c r="T49" s="36">
        <f t="shared" ca="1" si="110"/>
        <v>46.564349870227318</v>
      </c>
      <c r="U49" s="36">
        <f t="shared" ca="1" si="110"/>
        <v>46.202980924719249</v>
      </c>
      <c r="V49" s="36">
        <f t="shared" ca="1" si="110"/>
        <v>45.61517678313654</v>
      </c>
      <c r="W49" s="36">
        <f t="shared" ca="1" si="110"/>
        <v>45.144772338474738</v>
      </c>
      <c r="X49" s="36">
        <f t="shared" ca="1" si="110"/>
        <v>45.532669894376262</v>
      </c>
      <c r="Y49" s="36">
        <f t="shared" ca="1" si="110"/>
        <v>44.592673551447099</v>
      </c>
      <c r="Z49" s="36">
        <f t="shared" ca="1" si="110"/>
        <v>44.740058299510459</v>
      </c>
      <c r="AA49" s="36">
        <f t="shared" ca="1" si="110"/>
        <v>45.107218057688442</v>
      </c>
      <c r="AB49" s="36">
        <f t="shared" ca="1" si="110"/>
        <v>44.488691998527955</v>
      </c>
      <c r="AC49" s="36">
        <f t="shared" ca="1" si="110"/>
        <v>45.148789187424988</v>
      </c>
      <c r="AD49" s="36">
        <f t="shared" ca="1" si="110"/>
        <v>45.916012361467907</v>
      </c>
      <c r="AE49" s="36">
        <f t="shared" ca="1" si="110"/>
        <v>45.565728926680599</v>
      </c>
      <c r="AF49" s="36">
        <f t="shared" ca="1" si="110"/>
        <v>45.78628231217408</v>
      </c>
      <c r="AG49" s="36">
        <f t="shared" ca="1" si="110"/>
        <v>45.1269238500496</v>
      </c>
      <c r="AH49" s="36">
        <f t="shared" ca="1" si="110"/>
        <v>44.960378863159725</v>
      </c>
      <c r="AI49" s="36">
        <f t="shared" ca="1" si="110"/>
        <v>46.01044815296467</v>
      </c>
      <c r="AJ49" s="36">
        <f t="shared" ca="1" si="110"/>
        <v>46.714183845282811</v>
      </c>
      <c r="AK49" s="36">
        <f t="shared" ca="1" si="110"/>
        <v>46.800652698279585</v>
      </c>
      <c r="AL49" s="36">
        <f t="shared" ca="1" si="110"/>
        <v>45.821155741839171</v>
      </c>
      <c r="AM49" s="36">
        <f t="shared" ca="1" si="110"/>
        <v>46.319958652890946</v>
      </c>
      <c r="AN49" s="36">
        <f t="shared" ca="1" si="110"/>
        <v>47.263977425819299</v>
      </c>
      <c r="AO49" s="36">
        <f t="shared" ca="1" si="110"/>
        <v>47.602402031414542</v>
      </c>
      <c r="AP49" s="36">
        <f t="shared" ca="1" si="110"/>
        <v>47.846138578137129</v>
      </c>
      <c r="AQ49" s="36">
        <f t="shared" ca="1" si="110"/>
        <v>47.983108319259529</v>
      </c>
      <c r="AR49" s="36">
        <f t="shared" ca="1" si="110"/>
        <v>48.127784707560778</v>
      </c>
      <c r="AS49" s="36">
        <f t="shared" ca="1" si="110"/>
        <v>49.250991904350883</v>
      </c>
      <c r="AT49" s="36">
        <f t="shared" ca="1" si="110"/>
        <v>49.534609966614646</v>
      </c>
      <c r="AU49" s="36">
        <f t="shared" ca="1" si="110"/>
        <v>48.736136994208394</v>
      </c>
      <c r="AV49" s="36">
        <f t="shared" ca="1" si="110"/>
        <v>47.769039445383754</v>
      </c>
      <c r="AW49" s="36">
        <f t="shared" ca="1" si="110"/>
        <v>48.452943237648029</v>
      </c>
      <c r="AX49" s="36">
        <f t="shared" ca="1" si="110"/>
        <v>48.806939531065453</v>
      </c>
      <c r="AY49" s="36">
        <f t="shared" ca="1" si="110"/>
        <v>49.949283111203528</v>
      </c>
      <c r="AZ49" s="36">
        <f t="shared" ca="1" si="110"/>
        <v>49.693583949371408</v>
      </c>
      <c r="BA49" s="36">
        <f t="shared" ca="1" si="110"/>
        <v>49.751130998390479</v>
      </c>
      <c r="BB49" s="36">
        <f t="shared" ca="1" si="110"/>
        <v>48.7721981569197</v>
      </c>
      <c r="BC49" s="36">
        <f t="shared" ca="1" si="110"/>
        <v>48.662880435102267</v>
      </c>
      <c r="BD49" s="36">
        <f t="shared" ca="1" si="110"/>
        <v>48.789508449076536</v>
      </c>
      <c r="BE49" s="36">
        <f t="shared" ca="1" si="110"/>
        <v>47.635488360495536</v>
      </c>
      <c r="BF49" s="36">
        <f t="shared" ca="1" si="110"/>
        <v>47.607864746939114</v>
      </c>
      <c r="BG49" s="36">
        <f t="shared" ca="1" si="110"/>
        <v>47.848838448177638</v>
      </c>
      <c r="BH49" s="36">
        <f t="shared" ca="1" si="110"/>
        <v>48.974666393386791</v>
      </c>
      <c r="BI49" s="36">
        <f t="shared" ca="1" si="110"/>
        <v>48.814888561083521</v>
      </c>
      <c r="BJ49" s="36">
        <f t="shared" ca="1" si="110"/>
        <v>48.124120176348057</v>
      </c>
      <c r="BK49" s="36">
        <f t="shared" ca="1" si="110"/>
        <v>48.690625567182778</v>
      </c>
      <c r="BL49" s="36">
        <f t="shared" ca="1" si="110"/>
        <v>48.824225679081728</v>
      </c>
      <c r="BM49" s="36">
        <f t="shared" ca="1" si="110"/>
        <v>47.941154855561948</v>
      </c>
      <c r="BN49" s="36">
        <f t="shared" ca="1" si="110"/>
        <v>49.126754438466364</v>
      </c>
      <c r="BO49" s="36">
        <f t="shared" ca="1" si="110"/>
        <v>49.221808625650958</v>
      </c>
      <c r="BP49" s="36">
        <f t="shared" ca="1" si="110"/>
        <v>48.175444889471635</v>
      </c>
      <c r="BQ49" s="36">
        <f t="shared" ref="BQ49:EB52" ca="1" si="117">BP49*EXP(($B$3-$B$4^2/2)*1+$B$4*_xlfn.NORM.S.INV(RAND()))</f>
        <v>47.818718432701282</v>
      </c>
      <c r="BR49" s="36">
        <f t="shared" ca="1" si="117"/>
        <v>47.351966647739999</v>
      </c>
      <c r="BS49" s="36">
        <f t="shared" ca="1" si="117"/>
        <v>48.594169721702301</v>
      </c>
      <c r="BT49" s="36">
        <f t="shared" ca="1" si="117"/>
        <v>48.634585446376995</v>
      </c>
      <c r="BU49" s="36">
        <f t="shared" ca="1" si="117"/>
        <v>48.337615731655681</v>
      </c>
      <c r="BV49" s="36">
        <f t="shared" ca="1" si="117"/>
        <v>48.54504004057047</v>
      </c>
      <c r="BW49" s="36">
        <f t="shared" ca="1" si="117"/>
        <v>48.471917577557086</v>
      </c>
      <c r="BX49" s="36">
        <f t="shared" ca="1" si="117"/>
        <v>48.459045498570696</v>
      </c>
      <c r="BY49" s="36">
        <f t="shared" ca="1" si="117"/>
        <v>48.77070691801179</v>
      </c>
      <c r="BZ49" s="36">
        <f t="shared" ca="1" si="117"/>
        <v>48.459830356020767</v>
      </c>
      <c r="CA49" s="36">
        <f t="shared" ca="1" si="117"/>
        <v>49.266895339353077</v>
      </c>
      <c r="CB49" s="36">
        <f t="shared" ca="1" si="117"/>
        <v>48.942267364508943</v>
      </c>
      <c r="CC49" s="36">
        <f t="shared" ca="1" si="117"/>
        <v>48.76066658282646</v>
      </c>
      <c r="CD49" s="36">
        <f t="shared" ca="1" si="117"/>
        <v>49.749345792851152</v>
      </c>
      <c r="CE49" s="36">
        <f t="shared" ca="1" si="117"/>
        <v>49.760594463265896</v>
      </c>
      <c r="CF49" s="36">
        <f t="shared" ca="1" si="117"/>
        <v>49.331900423717876</v>
      </c>
      <c r="CG49" s="36">
        <f t="shared" ca="1" si="117"/>
        <v>49.992519112374346</v>
      </c>
      <c r="CH49" s="36">
        <f t="shared" ca="1" si="117"/>
        <v>49.922181795525013</v>
      </c>
      <c r="CI49" s="36">
        <f t="shared" ca="1" si="117"/>
        <v>49.776084158067739</v>
      </c>
      <c r="CJ49" s="36">
        <f t="shared" ca="1" si="117"/>
        <v>48.650948130508375</v>
      </c>
      <c r="CK49" s="36">
        <f t="shared" ca="1" si="117"/>
        <v>49.486917946519355</v>
      </c>
      <c r="CL49" s="36">
        <f t="shared" ca="1" si="117"/>
        <v>48.625660894926114</v>
      </c>
      <c r="CM49" s="36">
        <f t="shared" ca="1" si="117"/>
        <v>48.271551331977356</v>
      </c>
      <c r="CN49" s="36">
        <f t="shared" ca="1" si="117"/>
        <v>48.752609565579654</v>
      </c>
      <c r="CO49" s="36">
        <f t="shared" ca="1" si="117"/>
        <v>49.399136040539389</v>
      </c>
      <c r="CP49" s="36">
        <f t="shared" ca="1" si="117"/>
        <v>48.95628514827672</v>
      </c>
      <c r="CQ49" s="36">
        <f t="shared" ca="1" si="117"/>
        <v>49.750972866115589</v>
      </c>
      <c r="CR49" s="36">
        <f t="shared" ca="1" si="117"/>
        <v>49.85693519198756</v>
      </c>
      <c r="CS49" s="36">
        <f t="shared" ca="1" si="117"/>
        <v>49.920334547455056</v>
      </c>
      <c r="CT49" s="36">
        <f t="shared" ca="1" si="117"/>
        <v>51.314772994992467</v>
      </c>
      <c r="CU49" s="36">
        <f t="shared" ca="1" si="117"/>
        <v>51.975763460909469</v>
      </c>
      <c r="CV49" s="36">
        <f t="shared" ca="1" si="117"/>
        <v>51.037130743614263</v>
      </c>
      <c r="CW49" s="36">
        <f t="shared" ca="1" si="117"/>
        <v>51.865587615661596</v>
      </c>
      <c r="CX49" s="36">
        <f t="shared" ca="1" si="117"/>
        <v>52.554042587836442</v>
      </c>
      <c r="CY49" s="36">
        <f t="shared" ca="1" si="117"/>
        <v>51.640884854014367</v>
      </c>
      <c r="CZ49" s="36">
        <f t="shared" ca="1" si="117"/>
        <v>52.408713624527998</v>
      </c>
      <c r="DA49" s="36">
        <f t="shared" ca="1" si="117"/>
        <v>51.822815817447804</v>
      </c>
      <c r="DB49" s="36">
        <f t="shared" ca="1" si="117"/>
        <v>52.433935710263292</v>
      </c>
      <c r="DC49" s="36">
        <f t="shared" ca="1" si="117"/>
        <v>52.493019968720546</v>
      </c>
      <c r="DD49" s="36">
        <f t="shared" ca="1" si="117"/>
        <v>51.909690884454157</v>
      </c>
      <c r="DE49" s="36">
        <f t="shared" ca="1" si="117"/>
        <v>52.542943641617015</v>
      </c>
      <c r="DF49" s="36">
        <f t="shared" ca="1" si="117"/>
        <v>53.428134639216381</v>
      </c>
      <c r="DG49" s="36">
        <f t="shared" ca="1" si="117"/>
        <v>53.586819106864667</v>
      </c>
      <c r="DH49" s="36">
        <f t="shared" ca="1" si="117"/>
        <v>53.603197363791125</v>
      </c>
      <c r="DI49" s="36">
        <f t="shared" ca="1" si="117"/>
        <v>52.688928819056919</v>
      </c>
      <c r="DJ49" s="36">
        <f t="shared" ca="1" si="117"/>
        <v>53.34195069466201</v>
      </c>
      <c r="DK49" s="36">
        <f t="shared" ca="1" si="117"/>
        <v>52.413936702679493</v>
      </c>
      <c r="DL49" s="36">
        <f t="shared" ca="1" si="117"/>
        <v>51.722519807290936</v>
      </c>
      <c r="DM49" s="36">
        <f t="shared" ca="1" si="117"/>
        <v>51.092497012890568</v>
      </c>
      <c r="DN49" s="36">
        <f t="shared" ca="1" si="117"/>
        <v>51.218384683239556</v>
      </c>
      <c r="DO49" s="36">
        <f t="shared" ca="1" si="117"/>
        <v>52.128838934608929</v>
      </c>
      <c r="DP49" s="36">
        <f t="shared" ca="1" si="117"/>
        <v>52.090834849113193</v>
      </c>
      <c r="DQ49" s="36">
        <f t="shared" ca="1" si="117"/>
        <v>52.236784640456541</v>
      </c>
      <c r="DR49" s="36">
        <f t="shared" ca="1" si="117"/>
        <v>52.891474610114237</v>
      </c>
      <c r="DS49" s="36">
        <f t="shared" ca="1" si="117"/>
        <v>51.633797808762331</v>
      </c>
      <c r="DT49" s="36">
        <f t="shared" ca="1" si="117"/>
        <v>52.635962287239018</v>
      </c>
      <c r="DU49" s="36">
        <f t="shared" ca="1" si="117"/>
        <v>52.208942304647195</v>
      </c>
      <c r="DV49" s="36">
        <f t="shared" ca="1" si="117"/>
        <v>52.097968332466579</v>
      </c>
      <c r="DW49" s="36">
        <f t="shared" ca="1" si="117"/>
        <v>52.369991871577859</v>
      </c>
      <c r="DX49" s="36">
        <f t="shared" ca="1" si="117"/>
        <v>52.733173754184342</v>
      </c>
      <c r="DY49" s="36">
        <f t="shared" ca="1" si="117"/>
        <v>52.632292002785071</v>
      </c>
      <c r="DZ49" s="36">
        <f t="shared" ca="1" si="117"/>
        <v>53.631873664287582</v>
      </c>
      <c r="EA49" s="36">
        <f t="shared" ca="1" si="117"/>
        <v>53.697922510883501</v>
      </c>
      <c r="EB49" s="36">
        <f t="shared" ca="1" si="117"/>
        <v>53.992673874215704</v>
      </c>
      <c r="EC49" s="36">
        <f t="shared" ca="1" si="107"/>
        <v>54.011363868611312</v>
      </c>
      <c r="ED49" s="36">
        <f t="shared" ca="1" si="107"/>
        <v>54.01408400323227</v>
      </c>
      <c r="EE49" s="36">
        <f t="shared" ca="1" si="107"/>
        <v>54.121806682988748</v>
      </c>
      <c r="EF49" s="36">
        <f t="shared" ca="1" si="107"/>
        <v>54.461748771571806</v>
      </c>
      <c r="EG49" s="36">
        <f t="shared" ca="1" si="107"/>
        <v>53.655131312367352</v>
      </c>
      <c r="EH49" s="36">
        <f t="shared" ca="1" si="107"/>
        <v>53.13314969048151</v>
      </c>
      <c r="EI49" s="36">
        <f t="shared" ca="1" si="107"/>
        <v>53.036171470461404</v>
      </c>
      <c r="EJ49" s="36">
        <f t="shared" ca="1" si="107"/>
        <v>53.395543511125503</v>
      </c>
      <c r="EK49" s="36">
        <f t="shared" ca="1" si="107"/>
        <v>52.531533935695855</v>
      </c>
      <c r="EL49" s="36">
        <f t="shared" ca="1" si="107"/>
        <v>52.42075176820709</v>
      </c>
      <c r="EM49" s="36">
        <f t="shared" ca="1" si="107"/>
        <v>53.291272178194262</v>
      </c>
      <c r="EN49" s="36">
        <f t="shared" ca="1" si="107"/>
        <v>52.873222700988741</v>
      </c>
      <c r="EO49" s="36">
        <f t="shared" ca="1" si="107"/>
        <v>53.086722774864562</v>
      </c>
      <c r="EP49" s="36">
        <f t="shared" ca="1" si="107"/>
        <v>53.592173785402125</v>
      </c>
      <c r="EQ49" s="36">
        <f t="shared" ca="1" si="107"/>
        <v>54.235828286530818</v>
      </c>
      <c r="ER49" s="36">
        <f t="shared" ca="1" si="107"/>
        <v>54.596812532824693</v>
      </c>
      <c r="ES49" s="36">
        <f t="shared" ca="1" si="107"/>
        <v>54.42421600847964</v>
      </c>
      <c r="ET49" s="36">
        <f t="shared" ca="1" si="107"/>
        <v>54.811463890321996</v>
      </c>
      <c r="EU49" s="36">
        <f t="shared" ca="1" si="107"/>
        <v>54.042682033988427</v>
      </c>
      <c r="EV49" s="36">
        <f t="shared" ca="1" si="107"/>
        <v>53.715465726391926</v>
      </c>
      <c r="EW49" s="36">
        <f t="shared" ref="EW49" ca="1" si="118">EV49*EXP(($B$3-$B$4^2/2)*1+$B$4*_xlfn.NORM.S.INV(RAND()))</f>
        <v>53.549929810744956</v>
      </c>
      <c r="EX49" s="36">
        <f t="shared" ca="1" si="115"/>
        <v>53.912484386750641</v>
      </c>
      <c r="EY49" s="36">
        <f t="shared" ca="1" si="115"/>
        <v>54.124817020916048</v>
      </c>
      <c r="EZ49" s="36">
        <f t="shared" ca="1" si="115"/>
        <v>54.117137354595215</v>
      </c>
      <c r="FA49" s="36">
        <f t="shared" ca="1" si="115"/>
        <v>54.012686983724436</v>
      </c>
      <c r="FB49" s="36">
        <f t="shared" ca="1" si="115"/>
        <v>53.767182646930365</v>
      </c>
      <c r="FC49" s="36">
        <f t="shared" ca="1" si="115"/>
        <v>54.155260624713563</v>
      </c>
      <c r="FD49" s="36">
        <f t="shared" ca="1" si="115"/>
        <v>55.532285673596164</v>
      </c>
      <c r="FE49" s="36">
        <f t="shared" ca="1" si="115"/>
        <v>55.429006580590091</v>
      </c>
      <c r="FF49" s="36">
        <f t="shared" ca="1" si="115"/>
        <v>55.904281651144352</v>
      </c>
      <c r="FG49" s="36">
        <f t="shared" ca="1" si="115"/>
        <v>56.071915872350409</v>
      </c>
      <c r="FH49" s="36">
        <f t="shared" ca="1" si="115"/>
        <v>54.959977104437058</v>
      </c>
      <c r="FI49" s="36">
        <f t="shared" ca="1" si="115"/>
        <v>56.005400348358229</v>
      </c>
      <c r="FJ49" s="36">
        <f t="shared" ca="1" si="115"/>
        <v>55.943808984837794</v>
      </c>
      <c r="FK49" s="36">
        <f t="shared" ca="1" si="115"/>
        <v>55.249939020480689</v>
      </c>
      <c r="FL49" s="36">
        <f t="shared" ca="1" si="115"/>
        <v>53.863573117958616</v>
      </c>
      <c r="FM49" s="36">
        <f t="shared" ca="1" si="115"/>
        <v>53.799325072477508</v>
      </c>
      <c r="FN49" s="36">
        <f t="shared" ca="1" si="115"/>
        <v>53.917920609950045</v>
      </c>
      <c r="FO49" s="36">
        <f t="shared" ca="1" si="115"/>
        <v>53.440412611965513</v>
      </c>
      <c r="FP49" s="36">
        <f t="shared" ca="1" si="115"/>
        <v>53.519608610162116</v>
      </c>
      <c r="FQ49" s="36">
        <f t="shared" ca="1" si="115"/>
        <v>52.569175373494218</v>
      </c>
      <c r="FR49" s="36">
        <f t="shared" ca="1" si="115"/>
        <v>51.949295947414548</v>
      </c>
      <c r="FS49" s="36">
        <f t="shared" ca="1" si="115"/>
        <v>50.988482131461367</v>
      </c>
      <c r="FT49" s="36">
        <f t="shared" ca="1" si="115"/>
        <v>51.99049775468945</v>
      </c>
      <c r="FU49" s="36">
        <f t="shared" ca="1" si="115"/>
        <v>51.952420774288008</v>
      </c>
      <c r="FV49" s="36">
        <f t="shared" ca="1" si="115"/>
        <v>52.251937511559973</v>
      </c>
      <c r="FW49" s="36">
        <f t="shared" ca="1" si="115"/>
        <v>52.886990938274657</v>
      </c>
      <c r="FX49" s="36">
        <f t="shared" ca="1" si="115"/>
        <v>53.968738624174613</v>
      </c>
      <c r="FY49" s="36">
        <f t="shared" ca="1" si="115"/>
        <v>53.754133391144322</v>
      </c>
      <c r="FZ49" s="36">
        <f t="shared" ca="1" si="115"/>
        <v>53.160084219238016</v>
      </c>
      <c r="GA49" s="36">
        <f t="shared" ca="1" si="115"/>
        <v>54.37572117130739</v>
      </c>
      <c r="GB49" s="36">
        <f t="shared" ca="1" si="115"/>
        <v>54.195059664000311</v>
      </c>
      <c r="GC49" s="36">
        <f t="shared" ca="1" si="115"/>
        <v>54.156740232779192</v>
      </c>
      <c r="GD49" s="36">
        <f t="shared" ca="1" si="115"/>
        <v>54.095342885963682</v>
      </c>
      <c r="GE49" s="36">
        <f t="shared" ca="1" si="115"/>
        <v>54.265382738826801</v>
      </c>
      <c r="GF49" s="36">
        <f t="shared" ca="1" si="115"/>
        <v>54.746090379931871</v>
      </c>
      <c r="GG49" s="36">
        <f t="shared" ca="1" si="115"/>
        <v>55.324133350033179</v>
      </c>
      <c r="GH49" s="36">
        <f t="shared" ca="1" si="115"/>
        <v>54.3789168127621</v>
      </c>
      <c r="GI49" s="36">
        <f t="shared" ca="1" si="115"/>
        <v>53.485800496424893</v>
      </c>
      <c r="GJ49" s="36">
        <f t="shared" ca="1" si="115"/>
        <v>53.395009206181633</v>
      </c>
      <c r="GK49" s="36">
        <f t="shared" ca="1" si="115"/>
        <v>53.22696045892593</v>
      </c>
      <c r="GL49" s="36">
        <f t="shared" ca="1" si="115"/>
        <v>52.701885837939919</v>
      </c>
      <c r="GM49" s="36">
        <f t="shared" ca="1" si="115"/>
        <v>52.02228474869036</v>
      </c>
      <c r="GN49" s="36">
        <f t="shared" ca="1" si="115"/>
        <v>50.864326404864777</v>
      </c>
      <c r="GO49" s="36">
        <f t="shared" ca="1" si="115"/>
        <v>50.798237228411459</v>
      </c>
      <c r="GP49" s="36">
        <f t="shared" ca="1" si="115"/>
        <v>50.542962678555504</v>
      </c>
      <c r="GQ49" s="36">
        <f t="shared" ca="1" si="115"/>
        <v>49.820979697933801</v>
      </c>
      <c r="GR49" s="36">
        <f t="shared" ca="1" si="115"/>
        <v>49.842761284188704</v>
      </c>
      <c r="GS49" s="36">
        <f t="shared" ca="1" si="115"/>
        <v>50.596546889395981</v>
      </c>
      <c r="GT49" s="36">
        <f t="shared" ca="1" si="115"/>
        <v>50.18319178441368</v>
      </c>
      <c r="GU49" s="36">
        <f t="shared" ca="1" si="115"/>
        <v>49.458073070376379</v>
      </c>
      <c r="GV49" s="36">
        <f t="shared" ca="1" si="115"/>
        <v>49.760999343056376</v>
      </c>
      <c r="GW49" s="36">
        <f t="shared" ca="1" si="115"/>
        <v>49.483765667890246</v>
      </c>
      <c r="GX49" s="36">
        <f t="shared" ca="1" si="115"/>
        <v>49.394030307195209</v>
      </c>
      <c r="GY49" s="36">
        <f t="shared" ca="1" si="115"/>
        <v>49.310712478570096</v>
      </c>
      <c r="GZ49" s="36">
        <f t="shared" ca="1" si="115"/>
        <v>49.303727667347019</v>
      </c>
      <c r="HA49" s="36">
        <f t="shared" ca="1" si="115"/>
        <v>49.748567736629631</v>
      </c>
      <c r="HB49" s="36">
        <f t="shared" ca="1" si="115"/>
        <v>49.812422209642172</v>
      </c>
      <c r="HC49" s="36">
        <f t="shared" ca="1" si="115"/>
        <v>49.286249661508542</v>
      </c>
      <c r="HD49" s="36">
        <f t="shared" ca="1" si="115"/>
        <v>50.127385743133509</v>
      </c>
      <c r="HE49" s="36">
        <f t="shared" ca="1" si="115"/>
        <v>50.476369795243251</v>
      </c>
      <c r="HF49" s="36">
        <f t="shared" ca="1" si="115"/>
        <v>50.14778245150476</v>
      </c>
      <c r="HG49" s="36">
        <f t="shared" ca="1" si="115"/>
        <v>49.435500481885377</v>
      </c>
      <c r="HH49" s="36">
        <f t="shared" ca="1" si="115"/>
        <v>50.843527156085777</v>
      </c>
      <c r="HI49" s="36">
        <f t="shared" ref="HI49:HT51" ca="1" si="119">HH49*EXP(($B$3-$B$4^2/2)*1+$B$4*_xlfn.NORM.S.INV(RAND()))</f>
        <v>50.42869572197381</v>
      </c>
      <c r="HJ49" s="36">
        <f t="shared" ca="1" si="119"/>
        <v>50.658866421634642</v>
      </c>
      <c r="HK49" s="36">
        <f t="shared" ca="1" si="119"/>
        <v>51.01922390027601</v>
      </c>
      <c r="HL49" s="36">
        <f t="shared" ca="1" si="119"/>
        <v>50.720560867182961</v>
      </c>
      <c r="HM49" s="36">
        <f t="shared" ca="1" si="119"/>
        <v>52.215461349555007</v>
      </c>
      <c r="HN49" s="36">
        <f t="shared" ca="1" si="119"/>
        <v>51.658730405100314</v>
      </c>
      <c r="HO49" s="36">
        <f t="shared" ca="1" si="119"/>
        <v>51.530630252737211</v>
      </c>
      <c r="HP49" s="36">
        <f t="shared" ca="1" si="119"/>
        <v>51.17774086538649</v>
      </c>
      <c r="HQ49" s="36">
        <f t="shared" ca="1" si="119"/>
        <v>50.888471000951192</v>
      </c>
      <c r="HR49" s="36">
        <f t="shared" ca="1" si="119"/>
        <v>51.076822283604528</v>
      </c>
      <c r="HS49" s="36">
        <f t="shared" ca="1" si="119"/>
        <v>51.461026097871532</v>
      </c>
      <c r="HT49" s="36">
        <f t="shared" ca="1" si="119"/>
        <v>52.327969365773328</v>
      </c>
      <c r="HU49" s="36">
        <f t="shared" ca="1" si="103"/>
        <v>52.154481946342443</v>
      </c>
      <c r="HV49" s="36">
        <f t="shared" ca="1" si="103"/>
        <v>52.676119738386355</v>
      </c>
      <c r="HW49" s="36">
        <f t="shared" ca="1" si="103"/>
        <v>52.764322767246284</v>
      </c>
      <c r="HX49" s="36">
        <f t="shared" ca="1" si="103"/>
        <v>52.750657504319697</v>
      </c>
      <c r="HY49" s="36">
        <f t="shared" ca="1" si="103"/>
        <v>51.819087831752604</v>
      </c>
      <c r="HZ49" s="36">
        <f t="shared" ca="1" si="103"/>
        <v>51.639015111125808</v>
      </c>
      <c r="IA49" s="36">
        <f t="shared" ca="1" si="103"/>
        <v>50.437792074404946</v>
      </c>
      <c r="IB49" s="36">
        <f t="shared" ca="1" si="103"/>
        <v>51.262707565502737</v>
      </c>
      <c r="IC49" s="36">
        <f t="shared" ca="1" si="103"/>
        <v>50.835873033872026</v>
      </c>
      <c r="ID49" s="36">
        <f t="shared" ca="1" si="103"/>
        <v>52.357783066533244</v>
      </c>
      <c r="IE49" s="36">
        <f t="shared" ca="1" si="103"/>
        <v>52.064566472698679</v>
      </c>
      <c r="IF49" s="36">
        <f t="shared" ca="1" si="103"/>
        <v>52.743406275072452</v>
      </c>
      <c r="IG49" s="36">
        <f t="shared" ca="1" si="103"/>
        <v>51.904487492986291</v>
      </c>
      <c r="IH49" s="36">
        <f t="shared" ca="1" si="103"/>
        <v>51.542355464942133</v>
      </c>
      <c r="II49" s="36">
        <f t="shared" ca="1" si="103"/>
        <v>51.820589941222806</v>
      </c>
      <c r="IJ49" s="36">
        <f t="shared" ca="1" si="103"/>
        <v>51.527594281269153</v>
      </c>
      <c r="IK49" s="36">
        <f t="shared" ca="1" si="103"/>
        <v>51.077439750348113</v>
      </c>
      <c r="IL49" s="36">
        <f t="shared" ca="1" si="103"/>
        <v>50.304175911973573</v>
      </c>
      <c r="IM49" s="36">
        <f t="shared" ca="1" si="103"/>
        <v>49.701939548148736</v>
      </c>
      <c r="IN49" s="36">
        <f t="shared" ca="1" si="103"/>
        <v>49.600098161420959</v>
      </c>
      <c r="IO49" s="36">
        <f t="shared" ca="1" si="103"/>
        <v>50.527374516894255</v>
      </c>
      <c r="IP49" s="36">
        <f t="shared" ca="1" si="103"/>
        <v>50.616865899244445</v>
      </c>
      <c r="IQ49" s="36">
        <f t="shared" ca="1" si="103"/>
        <v>51.120127250022882</v>
      </c>
      <c r="IR49" s="36">
        <f t="shared" ca="1" si="103"/>
        <v>51.532929434209244</v>
      </c>
      <c r="IS49" s="36">
        <f t="shared" ca="1" si="103"/>
        <v>52.089457291926053</v>
      </c>
      <c r="IT49" s="36">
        <f t="shared" ca="1" si="103"/>
        <v>51.046148284388046</v>
      </c>
      <c r="IU49" s="36">
        <f t="shared" ca="1" si="103"/>
        <v>50.480581173317063</v>
      </c>
    </row>
    <row r="50" spans="1:255" x14ac:dyDescent="0.2">
      <c r="A50" s="36"/>
      <c r="B50">
        <v>40</v>
      </c>
      <c r="C50" s="36">
        <v>50</v>
      </c>
      <c r="D50" s="36">
        <f t="shared" ca="1" si="14"/>
        <v>50.693454165253392</v>
      </c>
      <c r="E50" s="36">
        <f t="shared" ca="1" si="14"/>
        <v>51.672801779911396</v>
      </c>
      <c r="F50" s="36">
        <f t="shared" ref="F50:BQ53" ca="1" si="120">E50*EXP(($B$3-$B$4^2/2)*1+$B$4*_xlfn.NORM.S.INV(RAND()))</f>
        <v>51.865338087017513</v>
      </c>
      <c r="G50" s="36">
        <f t="shared" ca="1" si="120"/>
        <v>51.377112608929316</v>
      </c>
      <c r="H50" s="36">
        <f t="shared" ca="1" si="120"/>
        <v>51.59969825695994</v>
      </c>
      <c r="I50" s="36">
        <f t="shared" ca="1" si="120"/>
        <v>51.447683036419605</v>
      </c>
      <c r="J50" s="36">
        <f t="shared" ca="1" si="120"/>
        <v>51.763470414299839</v>
      </c>
      <c r="K50" s="36">
        <f t="shared" ca="1" si="120"/>
        <v>51.369800466817068</v>
      </c>
      <c r="L50" s="36">
        <f t="shared" ca="1" si="120"/>
        <v>50.861568308472499</v>
      </c>
      <c r="M50" s="36">
        <f t="shared" ca="1" si="120"/>
        <v>50.347985080909936</v>
      </c>
      <c r="N50" s="36">
        <f t="shared" ca="1" si="120"/>
        <v>50.765079389289355</v>
      </c>
      <c r="O50" s="36">
        <f t="shared" ca="1" si="120"/>
        <v>49.964422209901294</v>
      </c>
      <c r="P50" s="36">
        <f t="shared" ca="1" si="120"/>
        <v>49.439735184612637</v>
      </c>
      <c r="Q50" s="36">
        <f t="shared" ca="1" si="120"/>
        <v>50.07607469295634</v>
      </c>
      <c r="R50" s="36">
        <f t="shared" ca="1" si="120"/>
        <v>49.948017378997449</v>
      </c>
      <c r="S50" s="36">
        <f t="shared" ca="1" si="120"/>
        <v>50.159333178545559</v>
      </c>
      <c r="T50" s="36">
        <f t="shared" ca="1" si="120"/>
        <v>48.789420275136933</v>
      </c>
      <c r="U50" s="36">
        <f t="shared" ca="1" si="120"/>
        <v>49.530190207417647</v>
      </c>
      <c r="V50" s="36">
        <f t="shared" ca="1" si="120"/>
        <v>49.188566798887585</v>
      </c>
      <c r="W50" s="36">
        <f t="shared" ca="1" si="120"/>
        <v>49.174680819068897</v>
      </c>
      <c r="X50" s="36">
        <f t="shared" ca="1" si="120"/>
        <v>49.427335887425329</v>
      </c>
      <c r="Y50" s="36">
        <f t="shared" ca="1" si="120"/>
        <v>48.501957696029898</v>
      </c>
      <c r="Z50" s="36">
        <f t="shared" ca="1" si="120"/>
        <v>48.443526884697704</v>
      </c>
      <c r="AA50" s="36">
        <f t="shared" ca="1" si="120"/>
        <v>48.181169314070026</v>
      </c>
      <c r="AB50" s="36">
        <f t="shared" ca="1" si="120"/>
        <v>48.691818807972545</v>
      </c>
      <c r="AC50" s="36">
        <f t="shared" ca="1" si="120"/>
        <v>49.052173320034406</v>
      </c>
      <c r="AD50" s="36">
        <f t="shared" ca="1" si="120"/>
        <v>49.356450748051316</v>
      </c>
      <c r="AE50" s="36">
        <f t="shared" ca="1" si="120"/>
        <v>50.087294639864574</v>
      </c>
      <c r="AF50" s="36">
        <f t="shared" ca="1" si="120"/>
        <v>51.154567588306385</v>
      </c>
      <c r="AG50" s="36">
        <f t="shared" ca="1" si="120"/>
        <v>51.778044915554936</v>
      </c>
      <c r="AH50" s="36">
        <f t="shared" ca="1" si="120"/>
        <v>52.52186555141256</v>
      </c>
      <c r="AI50" s="36">
        <f t="shared" ca="1" si="120"/>
        <v>51.622352693018158</v>
      </c>
      <c r="AJ50" s="36">
        <f t="shared" ca="1" si="120"/>
        <v>51.379195212038624</v>
      </c>
      <c r="AK50" s="36">
        <f t="shared" ca="1" si="120"/>
        <v>50.436264342980607</v>
      </c>
      <c r="AL50" s="36">
        <f t="shared" ca="1" si="120"/>
        <v>50.987951805358421</v>
      </c>
      <c r="AM50" s="36">
        <f t="shared" ca="1" si="120"/>
        <v>50.554369362225749</v>
      </c>
      <c r="AN50" s="36">
        <f t="shared" ca="1" si="120"/>
        <v>49.484756826105581</v>
      </c>
      <c r="AO50" s="36">
        <f t="shared" ca="1" si="120"/>
        <v>49.762063183047445</v>
      </c>
      <c r="AP50" s="36">
        <f t="shared" ca="1" si="120"/>
        <v>49.632123287758539</v>
      </c>
      <c r="AQ50" s="36">
        <f t="shared" ca="1" si="120"/>
        <v>48.886229017535236</v>
      </c>
      <c r="AR50" s="36">
        <f t="shared" ca="1" si="120"/>
        <v>48.411980940821422</v>
      </c>
      <c r="AS50" s="36">
        <f t="shared" ca="1" si="120"/>
        <v>48.243121629161898</v>
      </c>
      <c r="AT50" s="36">
        <f t="shared" ca="1" si="120"/>
        <v>47.811021911791102</v>
      </c>
      <c r="AU50" s="36">
        <f t="shared" ca="1" si="120"/>
        <v>48.126740819570266</v>
      </c>
      <c r="AV50" s="36">
        <f t="shared" ca="1" si="120"/>
        <v>48.860400298000329</v>
      </c>
      <c r="AW50" s="36">
        <f t="shared" ca="1" si="120"/>
        <v>48.908994509643435</v>
      </c>
      <c r="AX50" s="36">
        <f t="shared" ca="1" si="120"/>
        <v>48.310049920422991</v>
      </c>
      <c r="AY50" s="36">
        <f t="shared" ca="1" si="120"/>
        <v>47.555445199100831</v>
      </c>
      <c r="AZ50" s="36">
        <f t="shared" ca="1" si="120"/>
        <v>47.822543100888609</v>
      </c>
      <c r="BA50" s="36">
        <f t="shared" ca="1" si="120"/>
        <v>47.624072944662352</v>
      </c>
      <c r="BB50" s="36">
        <f t="shared" ca="1" si="120"/>
        <v>47.870039932518871</v>
      </c>
      <c r="BC50" s="36">
        <f t="shared" ca="1" si="120"/>
        <v>47.829308140857115</v>
      </c>
      <c r="BD50" s="36">
        <f t="shared" ca="1" si="120"/>
        <v>47.910772440225074</v>
      </c>
      <c r="BE50" s="36">
        <f t="shared" ca="1" si="120"/>
        <v>47.091946718695304</v>
      </c>
      <c r="BF50" s="36">
        <f t="shared" ca="1" si="120"/>
        <v>46.604585383329386</v>
      </c>
      <c r="BG50" s="36">
        <f t="shared" ca="1" si="120"/>
        <v>46.503003764487239</v>
      </c>
      <c r="BH50" s="36">
        <f t="shared" ca="1" si="120"/>
        <v>46.38378024275994</v>
      </c>
      <c r="BI50" s="36">
        <f t="shared" ca="1" si="120"/>
        <v>46.738091364672265</v>
      </c>
      <c r="BJ50" s="36">
        <f t="shared" ca="1" si="120"/>
        <v>46.004907554358432</v>
      </c>
      <c r="BK50" s="36">
        <f t="shared" ca="1" si="120"/>
        <v>45.539600111312723</v>
      </c>
      <c r="BL50" s="36">
        <f t="shared" ca="1" si="120"/>
        <v>45.053698220069379</v>
      </c>
      <c r="BM50" s="36">
        <f t="shared" ca="1" si="120"/>
        <v>45.636681548561221</v>
      </c>
      <c r="BN50" s="36">
        <f t="shared" ca="1" si="120"/>
        <v>45.611964342180279</v>
      </c>
      <c r="BO50" s="36">
        <f t="shared" ca="1" si="120"/>
        <v>45.561967398107555</v>
      </c>
      <c r="BP50" s="36">
        <f t="shared" ca="1" si="120"/>
        <v>45.324016170560917</v>
      </c>
      <c r="BQ50" s="36">
        <f t="shared" ca="1" si="120"/>
        <v>45.554557606691866</v>
      </c>
      <c r="BR50" s="36">
        <f t="shared" ca="1" si="117"/>
        <v>44.936324624158267</v>
      </c>
      <c r="BS50" s="36">
        <f t="shared" ca="1" si="117"/>
        <v>45.063249509351273</v>
      </c>
      <c r="BT50" s="36">
        <f t="shared" ca="1" si="117"/>
        <v>44.456144933284605</v>
      </c>
      <c r="BU50" s="36">
        <f t="shared" ca="1" si="117"/>
        <v>44.730258398994231</v>
      </c>
      <c r="BV50" s="36">
        <f t="shared" ca="1" si="117"/>
        <v>45.014148912203332</v>
      </c>
      <c r="BW50" s="36">
        <f t="shared" ca="1" si="117"/>
        <v>45.523667541597476</v>
      </c>
      <c r="BX50" s="36">
        <f t="shared" ca="1" si="117"/>
        <v>44.681027112534039</v>
      </c>
      <c r="BY50" s="36">
        <f t="shared" ca="1" si="117"/>
        <v>44.698116594363661</v>
      </c>
      <c r="BZ50" s="36">
        <f t="shared" ca="1" si="117"/>
        <v>44.64336963110388</v>
      </c>
      <c r="CA50" s="36">
        <f t="shared" ca="1" si="117"/>
        <v>44.40274932067117</v>
      </c>
      <c r="CB50" s="36">
        <f t="shared" ca="1" si="117"/>
        <v>43.622987564054917</v>
      </c>
      <c r="CC50" s="36">
        <f t="shared" ca="1" si="117"/>
        <v>44.274426843914647</v>
      </c>
      <c r="CD50" s="36">
        <f t="shared" ca="1" si="117"/>
        <v>43.736916882032602</v>
      </c>
      <c r="CE50" s="36">
        <f t="shared" ca="1" si="117"/>
        <v>44.068841135319502</v>
      </c>
      <c r="CF50" s="36">
        <f t="shared" ca="1" si="117"/>
        <v>43.628001896126165</v>
      </c>
      <c r="CG50" s="36">
        <f t="shared" ca="1" si="117"/>
        <v>44.496569001514253</v>
      </c>
      <c r="CH50" s="36">
        <f t="shared" ca="1" si="117"/>
        <v>43.477002443546986</v>
      </c>
      <c r="CI50" s="36">
        <f t="shared" ca="1" si="117"/>
        <v>43.136505233199017</v>
      </c>
      <c r="CJ50" s="36">
        <f t="shared" ca="1" si="117"/>
        <v>42.512572644280148</v>
      </c>
      <c r="CK50" s="36">
        <f t="shared" ca="1" si="117"/>
        <v>42.379291568216367</v>
      </c>
      <c r="CL50" s="36">
        <f t="shared" ca="1" si="117"/>
        <v>42.366416634071342</v>
      </c>
      <c r="CM50" s="36">
        <f t="shared" ca="1" si="117"/>
        <v>41.0247199103665</v>
      </c>
      <c r="CN50" s="36">
        <f t="shared" ca="1" si="117"/>
        <v>41.281835760653614</v>
      </c>
      <c r="CO50" s="36">
        <f t="shared" ca="1" si="117"/>
        <v>41.596393743451372</v>
      </c>
      <c r="CP50" s="36">
        <f t="shared" ca="1" si="117"/>
        <v>41.465470240328877</v>
      </c>
      <c r="CQ50" s="36">
        <f t="shared" ca="1" si="117"/>
        <v>40.991075749359744</v>
      </c>
      <c r="CR50" s="36">
        <f t="shared" ca="1" si="117"/>
        <v>40.74908343204433</v>
      </c>
      <c r="CS50" s="36">
        <f t="shared" ca="1" si="117"/>
        <v>40.819207353809816</v>
      </c>
      <c r="CT50" s="36">
        <f t="shared" ca="1" si="117"/>
        <v>41.023073100499388</v>
      </c>
      <c r="CU50" s="36">
        <f t="shared" ca="1" si="117"/>
        <v>41.643578350674595</v>
      </c>
      <c r="CV50" s="36">
        <f t="shared" ca="1" si="117"/>
        <v>41.884629900002864</v>
      </c>
      <c r="CW50" s="36">
        <f t="shared" ca="1" si="117"/>
        <v>41.790821656152694</v>
      </c>
      <c r="CX50" s="36">
        <f t="shared" ca="1" si="117"/>
        <v>42.159305205214636</v>
      </c>
      <c r="CY50" s="36">
        <f t="shared" ca="1" si="117"/>
        <v>41.873077435428009</v>
      </c>
      <c r="CZ50" s="36">
        <f t="shared" ca="1" si="117"/>
        <v>41.943402806679416</v>
      </c>
      <c r="DA50" s="36">
        <f t="shared" ca="1" si="117"/>
        <v>41.81480734120251</v>
      </c>
      <c r="DB50" s="36">
        <f t="shared" ca="1" si="117"/>
        <v>41.695050036387286</v>
      </c>
      <c r="DC50" s="36">
        <f t="shared" ca="1" si="117"/>
        <v>41.293793775507574</v>
      </c>
      <c r="DD50" s="36">
        <f t="shared" ca="1" si="117"/>
        <v>40.715859794071413</v>
      </c>
      <c r="DE50" s="36">
        <f t="shared" ca="1" si="117"/>
        <v>40.076703554193621</v>
      </c>
      <c r="DF50" s="36">
        <f t="shared" ca="1" si="117"/>
        <v>40.301606598551984</v>
      </c>
      <c r="DG50" s="36">
        <f t="shared" ca="1" si="117"/>
        <v>39.566326180790902</v>
      </c>
      <c r="DH50" s="36">
        <f t="shared" ca="1" si="117"/>
        <v>40.0266182637395</v>
      </c>
      <c r="DI50" s="36">
        <f t="shared" ca="1" si="117"/>
        <v>39.697331781802461</v>
      </c>
      <c r="DJ50" s="36">
        <f t="shared" ca="1" si="117"/>
        <v>40.034170355314288</v>
      </c>
      <c r="DK50" s="36">
        <f t="shared" ca="1" si="117"/>
        <v>39.422570076587277</v>
      </c>
      <c r="DL50" s="36">
        <f t="shared" ca="1" si="117"/>
        <v>39.709805813258413</v>
      </c>
      <c r="DM50" s="36">
        <f t="shared" ca="1" si="117"/>
        <v>39.638122506515998</v>
      </c>
      <c r="DN50" s="36">
        <f t="shared" ca="1" si="117"/>
        <v>39.751375128719332</v>
      </c>
      <c r="DO50" s="36">
        <f t="shared" ca="1" si="117"/>
        <v>39.69291890876729</v>
      </c>
      <c r="DP50" s="36">
        <f t="shared" ca="1" si="117"/>
        <v>39.270809618595251</v>
      </c>
      <c r="DQ50" s="36">
        <f t="shared" ca="1" si="117"/>
        <v>39.269551247738711</v>
      </c>
      <c r="DR50" s="36">
        <f t="shared" ca="1" si="117"/>
        <v>39.226663881535373</v>
      </c>
      <c r="DS50" s="36">
        <f t="shared" ca="1" si="117"/>
        <v>39.471379103938197</v>
      </c>
      <c r="DT50" s="36">
        <f t="shared" ca="1" si="117"/>
        <v>39.561350803713744</v>
      </c>
      <c r="DU50" s="36">
        <f t="shared" ca="1" si="117"/>
        <v>39.54720225748018</v>
      </c>
      <c r="DV50" s="36">
        <f t="shared" ca="1" si="117"/>
        <v>38.705157912037436</v>
      </c>
      <c r="DW50" s="36">
        <f t="shared" ca="1" si="117"/>
        <v>38.295744767055773</v>
      </c>
      <c r="DX50" s="36">
        <f t="shared" ca="1" si="117"/>
        <v>38.669538288269045</v>
      </c>
      <c r="DY50" s="36">
        <f t="shared" ca="1" si="117"/>
        <v>38.486809572802073</v>
      </c>
      <c r="DZ50" s="36">
        <f t="shared" ca="1" si="117"/>
        <v>37.612347450036538</v>
      </c>
      <c r="EA50" s="36">
        <f t="shared" ca="1" si="117"/>
        <v>38.300815022501887</v>
      </c>
      <c r="EB50" s="36">
        <f t="shared" ca="1" si="117"/>
        <v>38.22903814671055</v>
      </c>
      <c r="EC50" s="36">
        <f t="shared" ca="1" si="107"/>
        <v>38.521136364481031</v>
      </c>
      <c r="ED50" s="36">
        <f t="shared" ca="1" si="107"/>
        <v>38.663479339574842</v>
      </c>
      <c r="EE50" s="36">
        <f t="shared" ca="1" si="107"/>
        <v>38.623936165917243</v>
      </c>
      <c r="EF50" s="36">
        <f t="shared" ca="1" si="107"/>
        <v>38.818362803568633</v>
      </c>
      <c r="EG50" s="36">
        <f t="shared" ca="1" si="107"/>
        <v>38.738445451520739</v>
      </c>
      <c r="EH50" s="36">
        <f t="shared" ca="1" si="107"/>
        <v>38.699547097599414</v>
      </c>
      <c r="EI50" s="36">
        <f t="shared" ca="1" si="107"/>
        <v>39.276947775988667</v>
      </c>
      <c r="EJ50" s="36">
        <f t="shared" ca="1" si="107"/>
        <v>39.0056840369393</v>
      </c>
      <c r="EK50" s="36">
        <f t="shared" ca="1" si="107"/>
        <v>39.010533088249353</v>
      </c>
      <c r="EL50" s="36">
        <f t="shared" ca="1" si="107"/>
        <v>40.255069847758222</v>
      </c>
      <c r="EM50" s="36">
        <f t="shared" ca="1" si="107"/>
        <v>39.789889853143364</v>
      </c>
      <c r="EN50" s="36">
        <f t="shared" ca="1" si="107"/>
        <v>40.677684563884242</v>
      </c>
      <c r="EO50" s="36">
        <f t="shared" ca="1" si="107"/>
        <v>41.408710902808174</v>
      </c>
      <c r="EP50" s="36">
        <f t="shared" ca="1" si="107"/>
        <v>41.002201395777838</v>
      </c>
      <c r="EQ50" s="36">
        <f t="shared" ca="1" si="107"/>
        <v>39.836157354281781</v>
      </c>
      <c r="ER50" s="36">
        <f t="shared" ca="1" si="107"/>
        <v>39.147415587568631</v>
      </c>
      <c r="ES50" s="36">
        <f t="shared" ca="1" si="107"/>
        <v>39.437864062036979</v>
      </c>
      <c r="ET50" s="36">
        <f t="shared" ca="1" si="107"/>
        <v>38.588786518017329</v>
      </c>
      <c r="EU50" s="36">
        <f t="shared" ca="1" si="107"/>
        <v>38.640763294447929</v>
      </c>
      <c r="EV50" s="36">
        <f t="shared" ca="1" si="107"/>
        <v>38.164731408026483</v>
      </c>
      <c r="EW50" s="36">
        <f t="shared" ref="EW50" ca="1" si="121">EV50*EXP(($B$3-$B$4^2/2)*1+$B$4*_xlfn.NORM.S.INV(RAND()))</f>
        <v>37.445894658694669</v>
      </c>
      <c r="EX50" s="36">
        <f t="shared" ca="1" si="115"/>
        <v>38.168670821232318</v>
      </c>
      <c r="EY50" s="36">
        <f t="shared" ca="1" si="115"/>
        <v>38.337996862952757</v>
      </c>
      <c r="EZ50" s="36">
        <f t="shared" ca="1" si="115"/>
        <v>39.639833601816122</v>
      </c>
      <c r="FA50" s="36">
        <f t="shared" ca="1" si="115"/>
        <v>39.948314013900422</v>
      </c>
      <c r="FB50" s="36">
        <f t="shared" ca="1" si="115"/>
        <v>40.036650203118356</v>
      </c>
      <c r="FC50" s="36">
        <f t="shared" ca="1" si="115"/>
        <v>40.181631574217306</v>
      </c>
      <c r="FD50" s="36">
        <f t="shared" ca="1" si="115"/>
        <v>40.055926355719066</v>
      </c>
      <c r="FE50" s="36">
        <f t="shared" ca="1" si="115"/>
        <v>40.112492938227355</v>
      </c>
      <c r="FF50" s="36">
        <f t="shared" ca="1" si="115"/>
        <v>40.494909212220016</v>
      </c>
      <c r="FG50" s="36">
        <f t="shared" ca="1" si="115"/>
        <v>39.764583688084699</v>
      </c>
      <c r="FH50" s="36">
        <f t="shared" ca="1" si="115"/>
        <v>38.580572783376908</v>
      </c>
      <c r="FI50" s="36">
        <f t="shared" ca="1" si="115"/>
        <v>38.484973663727402</v>
      </c>
      <c r="FJ50" s="36">
        <f t="shared" ca="1" si="115"/>
        <v>38.72633251246986</v>
      </c>
      <c r="FK50" s="36">
        <f t="shared" ca="1" si="115"/>
        <v>38.889171119223768</v>
      </c>
      <c r="FL50" s="36">
        <f t="shared" ca="1" si="115"/>
        <v>38.558052502224939</v>
      </c>
      <c r="FM50" s="36">
        <f t="shared" ca="1" si="115"/>
        <v>38.629653923533461</v>
      </c>
      <c r="FN50" s="36">
        <f t="shared" ca="1" si="115"/>
        <v>37.759617822365151</v>
      </c>
      <c r="FO50" s="36">
        <f t="shared" ca="1" si="115"/>
        <v>37.951505115444448</v>
      </c>
      <c r="FP50" s="36">
        <f t="shared" ca="1" si="115"/>
        <v>37.657562695975138</v>
      </c>
      <c r="FQ50" s="36">
        <f t="shared" ca="1" si="115"/>
        <v>38.0870655517733</v>
      </c>
      <c r="FR50" s="36">
        <f t="shared" ca="1" si="115"/>
        <v>38.758087623777328</v>
      </c>
      <c r="FS50" s="36">
        <f t="shared" ca="1" si="115"/>
        <v>39.171644239241765</v>
      </c>
      <c r="FT50" s="36">
        <f t="shared" ca="1" si="115"/>
        <v>38.743097989413194</v>
      </c>
      <c r="FU50" s="36">
        <f t="shared" ca="1" si="115"/>
        <v>38.235264151621173</v>
      </c>
      <c r="FV50" s="36">
        <f t="shared" ca="1" si="115"/>
        <v>37.884373318305471</v>
      </c>
      <c r="FW50" s="36">
        <f t="shared" ca="1" si="115"/>
        <v>38.035783439544026</v>
      </c>
      <c r="FX50" s="36">
        <f t="shared" ca="1" si="115"/>
        <v>37.686492179980739</v>
      </c>
      <c r="FY50" s="36">
        <f t="shared" ca="1" si="115"/>
        <v>37.551923578623708</v>
      </c>
      <c r="FZ50" s="36">
        <f t="shared" ca="1" si="115"/>
        <v>37.330063220372367</v>
      </c>
      <c r="GA50" s="36">
        <f t="shared" ca="1" si="115"/>
        <v>36.842484075585389</v>
      </c>
      <c r="GB50" s="36">
        <f t="shared" ca="1" si="115"/>
        <v>36.906758568285113</v>
      </c>
      <c r="GC50" s="36">
        <f t="shared" ca="1" si="115"/>
        <v>36.364219119478477</v>
      </c>
      <c r="GD50" s="36">
        <f t="shared" ca="1" si="115"/>
        <v>36.492294190085723</v>
      </c>
      <c r="GE50" s="36">
        <f t="shared" ca="1" si="115"/>
        <v>35.81574439003203</v>
      </c>
      <c r="GF50" s="36">
        <f t="shared" ca="1" si="115"/>
        <v>34.772055351312389</v>
      </c>
      <c r="GG50" s="36">
        <f t="shared" ca="1" si="115"/>
        <v>34.671501394394596</v>
      </c>
      <c r="GH50" s="36">
        <f t="shared" ca="1" si="115"/>
        <v>34.77787131543581</v>
      </c>
      <c r="GI50" s="36">
        <f t="shared" ca="1" si="115"/>
        <v>34.575131106868326</v>
      </c>
      <c r="GJ50" s="36">
        <f t="shared" ca="1" si="115"/>
        <v>34.250578511427221</v>
      </c>
      <c r="GK50" s="36">
        <f t="shared" ca="1" si="115"/>
        <v>33.561586339855701</v>
      </c>
      <c r="GL50" s="36">
        <f t="shared" ca="1" si="115"/>
        <v>33.567354010878439</v>
      </c>
      <c r="GM50" s="36">
        <f t="shared" ca="1" si="115"/>
        <v>33.396391632454417</v>
      </c>
      <c r="GN50" s="36">
        <f t="shared" ca="1" si="115"/>
        <v>33.038543282283797</v>
      </c>
      <c r="GO50" s="36">
        <f t="shared" ca="1" si="115"/>
        <v>33.136784872995058</v>
      </c>
      <c r="GP50" s="36">
        <f t="shared" ca="1" si="115"/>
        <v>33.332595412742421</v>
      </c>
      <c r="GQ50" s="36">
        <f t="shared" ca="1" si="115"/>
        <v>33.436298556668149</v>
      </c>
      <c r="GR50" s="36">
        <f t="shared" ca="1" si="115"/>
        <v>33.779865370598344</v>
      </c>
      <c r="GS50" s="36">
        <f t="shared" ca="1" si="115"/>
        <v>33.918652754061746</v>
      </c>
      <c r="GT50" s="36">
        <f t="shared" ca="1" si="115"/>
        <v>33.977844269485985</v>
      </c>
      <c r="GU50" s="36">
        <f t="shared" ca="1" si="115"/>
        <v>33.160249870365</v>
      </c>
      <c r="GV50" s="36">
        <f t="shared" ca="1" si="115"/>
        <v>32.099944447725377</v>
      </c>
      <c r="GW50" s="36">
        <f t="shared" ca="1" si="115"/>
        <v>32.365493531474961</v>
      </c>
      <c r="GX50" s="36">
        <f t="shared" ca="1" si="115"/>
        <v>32.455280506270974</v>
      </c>
      <c r="GY50" s="36">
        <f t="shared" ca="1" si="115"/>
        <v>32.524240787573234</v>
      </c>
      <c r="GZ50" s="36">
        <f t="shared" ca="1" si="115"/>
        <v>32.679263317251817</v>
      </c>
      <c r="HA50" s="36">
        <f t="shared" ca="1" si="115"/>
        <v>33.225528223177093</v>
      </c>
      <c r="HB50" s="36">
        <f t="shared" ca="1" si="115"/>
        <v>33.504888824534405</v>
      </c>
      <c r="HC50" s="36">
        <f t="shared" ca="1" si="115"/>
        <v>32.837728007131318</v>
      </c>
      <c r="HD50" s="36">
        <f t="shared" ca="1" si="115"/>
        <v>33.476095525809008</v>
      </c>
      <c r="HE50" s="36">
        <f t="shared" ca="1" si="115"/>
        <v>33.411285213087105</v>
      </c>
      <c r="HF50" s="36">
        <f t="shared" ca="1" si="115"/>
        <v>33.159901253047913</v>
      </c>
      <c r="HG50" s="36">
        <f t="shared" ca="1" si="115"/>
        <v>33.150600042107783</v>
      </c>
      <c r="HH50" s="36">
        <f t="shared" ca="1" si="115"/>
        <v>32.951153402021411</v>
      </c>
      <c r="HI50" s="36">
        <f t="shared" ca="1" si="119"/>
        <v>32.960963309718053</v>
      </c>
      <c r="HJ50" s="36">
        <f t="shared" ca="1" si="119"/>
        <v>33.414620399608367</v>
      </c>
      <c r="HK50" s="36">
        <f t="shared" ca="1" si="119"/>
        <v>33.587240355238997</v>
      </c>
      <c r="HL50" s="36">
        <f t="shared" ca="1" si="119"/>
        <v>33.720295776814339</v>
      </c>
      <c r="HM50" s="36">
        <f t="shared" ca="1" si="119"/>
        <v>34.241103326090446</v>
      </c>
      <c r="HN50" s="36">
        <f t="shared" ca="1" si="119"/>
        <v>34.664320381199893</v>
      </c>
      <c r="HO50" s="36">
        <f t="shared" ca="1" si="119"/>
        <v>35.357231542385406</v>
      </c>
      <c r="HP50" s="36">
        <f t="shared" ca="1" si="119"/>
        <v>36.015483356571792</v>
      </c>
      <c r="HQ50" s="36">
        <f t="shared" ca="1" si="119"/>
        <v>35.198346836671952</v>
      </c>
      <c r="HR50" s="36">
        <f t="shared" ca="1" si="119"/>
        <v>35.351792460940779</v>
      </c>
      <c r="HS50" s="36">
        <f t="shared" ca="1" si="119"/>
        <v>35.592471053317759</v>
      </c>
      <c r="HT50" s="36">
        <f t="shared" ca="1" si="119"/>
        <v>35.977762850293132</v>
      </c>
      <c r="HU50" s="36">
        <f t="shared" ca="1" si="103"/>
        <v>35.320393941721221</v>
      </c>
      <c r="HV50" s="36">
        <f t="shared" ca="1" si="103"/>
        <v>35.390090938912017</v>
      </c>
      <c r="HW50" s="36">
        <f t="shared" ca="1" si="103"/>
        <v>35.674525265603009</v>
      </c>
      <c r="HX50" s="36">
        <f t="shared" ca="1" si="103"/>
        <v>35.073151667876125</v>
      </c>
      <c r="HY50" s="36">
        <f t="shared" ca="1" si="103"/>
        <v>34.522218544385794</v>
      </c>
      <c r="HZ50" s="36">
        <f t="shared" ca="1" si="103"/>
        <v>34.54547863297465</v>
      </c>
      <c r="IA50" s="36">
        <f t="shared" ca="1" si="103"/>
        <v>34.561776041820295</v>
      </c>
      <c r="IB50" s="36">
        <f t="shared" ca="1" si="103"/>
        <v>34.156441509010591</v>
      </c>
      <c r="IC50" s="36">
        <f t="shared" ca="1" si="103"/>
        <v>34.501918481786852</v>
      </c>
      <c r="ID50" s="36">
        <f t="shared" ca="1" si="103"/>
        <v>34.329296869276142</v>
      </c>
      <c r="IE50" s="36">
        <f t="shared" ca="1" si="103"/>
        <v>34.033480945047785</v>
      </c>
      <c r="IF50" s="36">
        <f t="shared" ca="1" si="103"/>
        <v>34.312067659911762</v>
      </c>
      <c r="IG50" s="36">
        <f t="shared" ca="1" si="103"/>
        <v>36.047599169357369</v>
      </c>
      <c r="IH50" s="36">
        <f t="shared" ca="1" si="103"/>
        <v>36.038712123242071</v>
      </c>
      <c r="II50" s="36">
        <f t="shared" ca="1" si="103"/>
        <v>36.556710453924801</v>
      </c>
      <c r="IJ50" s="36">
        <f t="shared" ca="1" si="103"/>
        <v>36.392497701461195</v>
      </c>
      <c r="IK50" s="36">
        <f t="shared" ca="1" si="103"/>
        <v>36.307857290864348</v>
      </c>
      <c r="IL50" s="36">
        <f t="shared" ca="1" si="103"/>
        <v>36.439497217466617</v>
      </c>
      <c r="IM50" s="36">
        <f t="shared" ca="1" si="103"/>
        <v>36.225001784827633</v>
      </c>
      <c r="IN50" s="36">
        <f t="shared" ca="1" si="103"/>
        <v>35.721675160240167</v>
      </c>
      <c r="IO50" s="36">
        <f t="shared" ca="1" si="103"/>
        <v>35.620397126502787</v>
      </c>
      <c r="IP50" s="36">
        <f t="shared" ca="1" si="103"/>
        <v>35.784928984107545</v>
      </c>
      <c r="IQ50" s="36">
        <f t="shared" ca="1" si="103"/>
        <v>35.613652675211554</v>
      </c>
      <c r="IR50" s="36">
        <f t="shared" ca="1" si="103"/>
        <v>36.23921188110188</v>
      </c>
      <c r="IS50" s="36">
        <f t="shared" ca="1" si="103"/>
        <v>36.817714159413661</v>
      </c>
      <c r="IT50" s="36">
        <f t="shared" ca="1" si="103"/>
        <v>36.92796480878016</v>
      </c>
      <c r="IU50" s="36">
        <f t="shared" ca="1" si="103"/>
        <v>36.978302355051149</v>
      </c>
    </row>
    <row r="51" spans="1:255" x14ac:dyDescent="0.2">
      <c r="A51" s="36"/>
      <c r="B51">
        <v>41</v>
      </c>
      <c r="C51" s="36">
        <v>50</v>
      </c>
      <c r="D51" s="36">
        <f t="shared" ca="1" si="14"/>
        <v>49.829345462185039</v>
      </c>
      <c r="E51" s="36">
        <f t="shared" ca="1" si="14"/>
        <v>49.973228104496194</v>
      </c>
      <c r="F51" s="36">
        <f t="shared" ca="1" si="120"/>
        <v>49.458634288532537</v>
      </c>
      <c r="G51" s="36">
        <f t="shared" ca="1" si="120"/>
        <v>48.88852131665962</v>
      </c>
      <c r="H51" s="36">
        <f t="shared" ca="1" si="120"/>
        <v>48.753380136593577</v>
      </c>
      <c r="I51" s="36">
        <f t="shared" ca="1" si="120"/>
        <v>49.594529095822438</v>
      </c>
      <c r="J51" s="36">
        <f t="shared" ca="1" si="120"/>
        <v>49.104647989948262</v>
      </c>
      <c r="K51" s="36">
        <f t="shared" ca="1" si="120"/>
        <v>48.239304020460224</v>
      </c>
      <c r="L51" s="36">
        <f t="shared" ca="1" si="120"/>
        <v>47.611413339192517</v>
      </c>
      <c r="M51" s="36">
        <f t="shared" ca="1" si="120"/>
        <v>48.734989438062641</v>
      </c>
      <c r="N51" s="36">
        <f t="shared" ca="1" si="120"/>
        <v>49.109402105586284</v>
      </c>
      <c r="O51" s="36">
        <f t="shared" ca="1" si="120"/>
        <v>48.321369387189179</v>
      </c>
      <c r="P51" s="36">
        <f t="shared" ca="1" si="120"/>
        <v>47.764100217468091</v>
      </c>
      <c r="Q51" s="36">
        <f t="shared" ca="1" si="120"/>
        <v>46.662931325443388</v>
      </c>
      <c r="R51" s="36">
        <f t="shared" ca="1" si="120"/>
        <v>47.110591286829724</v>
      </c>
      <c r="S51" s="36">
        <f t="shared" ca="1" si="120"/>
        <v>46.673330978000536</v>
      </c>
      <c r="T51" s="36">
        <f t="shared" ca="1" si="120"/>
        <v>46.187240581964595</v>
      </c>
      <c r="U51" s="36">
        <f t="shared" ca="1" si="120"/>
        <v>45.82247325476942</v>
      </c>
      <c r="V51" s="36">
        <f t="shared" ca="1" si="120"/>
        <v>45.349580053338109</v>
      </c>
      <c r="W51" s="36">
        <f t="shared" ca="1" si="120"/>
        <v>45.371097586359127</v>
      </c>
      <c r="X51" s="36">
        <f t="shared" ca="1" si="120"/>
        <v>45.904109786676223</v>
      </c>
      <c r="Y51" s="36">
        <f t="shared" ca="1" si="120"/>
        <v>45.226163784608936</v>
      </c>
      <c r="Z51" s="36">
        <f t="shared" ca="1" si="120"/>
        <v>45.028447430478145</v>
      </c>
      <c r="AA51" s="36">
        <f t="shared" ca="1" si="120"/>
        <v>44.3922131150334</v>
      </c>
      <c r="AB51" s="36">
        <f t="shared" ca="1" si="120"/>
        <v>43.984419956355723</v>
      </c>
      <c r="AC51" s="36">
        <f t="shared" ca="1" si="120"/>
        <v>44.186221027319498</v>
      </c>
      <c r="AD51" s="36">
        <f t="shared" ca="1" si="120"/>
        <v>44.062657402061497</v>
      </c>
      <c r="AE51" s="36">
        <f t="shared" ca="1" si="120"/>
        <v>44.143158905145185</v>
      </c>
      <c r="AF51" s="36">
        <f t="shared" ca="1" si="120"/>
        <v>43.682896622070395</v>
      </c>
      <c r="AG51" s="36">
        <f t="shared" ca="1" si="120"/>
        <v>43.57094975533748</v>
      </c>
      <c r="AH51" s="36">
        <f t="shared" ca="1" si="120"/>
        <v>44.207374697733414</v>
      </c>
      <c r="AI51" s="36">
        <f t="shared" ca="1" si="120"/>
        <v>44.75155948932143</v>
      </c>
      <c r="AJ51" s="36">
        <f t="shared" ca="1" si="120"/>
        <v>44.825880140058096</v>
      </c>
      <c r="AK51" s="36">
        <f t="shared" ca="1" si="120"/>
        <v>44.837371728988131</v>
      </c>
      <c r="AL51" s="36">
        <f t="shared" ca="1" si="120"/>
        <v>45.783694384811646</v>
      </c>
      <c r="AM51" s="36">
        <f t="shared" ca="1" si="120"/>
        <v>46.481013772893078</v>
      </c>
      <c r="AN51" s="36">
        <f t="shared" ca="1" si="120"/>
        <v>47.690206440333732</v>
      </c>
      <c r="AO51" s="36">
        <f t="shared" ca="1" si="120"/>
        <v>48.182254796539098</v>
      </c>
      <c r="AP51" s="36">
        <f t="shared" ca="1" si="120"/>
        <v>48.793828819815701</v>
      </c>
      <c r="AQ51" s="36">
        <f t="shared" ca="1" si="120"/>
        <v>48.575084579056188</v>
      </c>
      <c r="AR51" s="36">
        <f t="shared" ca="1" si="120"/>
        <v>48.928027396702852</v>
      </c>
      <c r="AS51" s="36">
        <f t="shared" ca="1" si="120"/>
        <v>47.090281393329668</v>
      </c>
      <c r="AT51" s="36">
        <f t="shared" ca="1" si="120"/>
        <v>47.754783619723646</v>
      </c>
      <c r="AU51" s="36">
        <f t="shared" ca="1" si="120"/>
        <v>47.989797047316628</v>
      </c>
      <c r="AV51" s="36">
        <f t="shared" ca="1" si="120"/>
        <v>47.646170152492701</v>
      </c>
      <c r="AW51" s="36">
        <f t="shared" ca="1" si="120"/>
        <v>47.171502675889428</v>
      </c>
      <c r="AX51" s="36">
        <f t="shared" ca="1" si="120"/>
        <v>47.771751168855872</v>
      </c>
      <c r="AY51" s="36">
        <f t="shared" ca="1" si="120"/>
        <v>46.058437660354478</v>
      </c>
      <c r="AZ51" s="36">
        <f t="shared" ca="1" si="120"/>
        <v>46.465499244652428</v>
      </c>
      <c r="BA51" s="36">
        <f t="shared" ca="1" si="120"/>
        <v>44.84124334738658</v>
      </c>
      <c r="BB51" s="36">
        <f t="shared" ca="1" si="120"/>
        <v>45.064380738881873</v>
      </c>
      <c r="BC51" s="36">
        <f t="shared" ca="1" si="120"/>
        <v>46.154106935382984</v>
      </c>
      <c r="BD51" s="36">
        <f t="shared" ca="1" si="120"/>
        <v>45.871976607315581</v>
      </c>
      <c r="BE51" s="36">
        <f t="shared" ca="1" si="120"/>
        <v>46.169656741867954</v>
      </c>
      <c r="BF51" s="36">
        <f t="shared" ca="1" si="120"/>
        <v>46.391073522742879</v>
      </c>
      <c r="BG51" s="36">
        <f t="shared" ca="1" si="120"/>
        <v>46.284808942138902</v>
      </c>
      <c r="BH51" s="36">
        <f t="shared" ca="1" si="120"/>
        <v>46.477731100595328</v>
      </c>
      <c r="BI51" s="36">
        <f t="shared" ca="1" si="120"/>
        <v>46.642837620181481</v>
      </c>
      <c r="BJ51" s="36">
        <f t="shared" ca="1" si="120"/>
        <v>47.227495390882972</v>
      </c>
      <c r="BK51" s="36">
        <f t="shared" ca="1" si="120"/>
        <v>46.823711039193299</v>
      </c>
      <c r="BL51" s="36">
        <f t="shared" ca="1" si="120"/>
        <v>47.329077484861408</v>
      </c>
      <c r="BM51" s="36">
        <f t="shared" ca="1" si="120"/>
        <v>47.055768691509904</v>
      </c>
      <c r="BN51" s="36">
        <f t="shared" ca="1" si="120"/>
        <v>47.224403984234854</v>
      </c>
      <c r="BO51" s="36">
        <f t="shared" ca="1" si="120"/>
        <v>47.489604888968671</v>
      </c>
      <c r="BP51" s="36">
        <f t="shared" ca="1" si="120"/>
        <v>47.059640482701425</v>
      </c>
      <c r="BQ51" s="36">
        <f t="shared" ca="1" si="120"/>
        <v>48.193591889032561</v>
      </c>
      <c r="BR51" s="36">
        <f t="shared" ca="1" si="117"/>
        <v>47.135781668487894</v>
      </c>
      <c r="BS51" s="36">
        <f t="shared" ca="1" si="117"/>
        <v>48.348804533855812</v>
      </c>
      <c r="BT51" s="36">
        <f t="shared" ca="1" si="117"/>
        <v>48.041489302632719</v>
      </c>
      <c r="BU51" s="36">
        <f t="shared" ca="1" si="117"/>
        <v>49.267734582825568</v>
      </c>
      <c r="BV51" s="36">
        <f t="shared" ca="1" si="117"/>
        <v>48.727058580841934</v>
      </c>
      <c r="BW51" s="36">
        <f t="shared" ca="1" si="117"/>
        <v>47.625204029496082</v>
      </c>
      <c r="BX51" s="36">
        <f t="shared" ca="1" si="117"/>
        <v>47.972296236277863</v>
      </c>
      <c r="BY51" s="36">
        <f t="shared" ca="1" si="117"/>
        <v>48.706018474487621</v>
      </c>
      <c r="BZ51" s="36">
        <f t="shared" ca="1" si="117"/>
        <v>48.446630072537438</v>
      </c>
      <c r="CA51" s="36">
        <f t="shared" ca="1" si="117"/>
        <v>49.642387722548591</v>
      </c>
      <c r="CB51" s="36">
        <f t="shared" ca="1" si="117"/>
        <v>50.430943159978476</v>
      </c>
      <c r="CC51" s="36">
        <f t="shared" ca="1" si="117"/>
        <v>51.389903705221208</v>
      </c>
      <c r="CD51" s="36">
        <f t="shared" ca="1" si="117"/>
        <v>51.247921514163657</v>
      </c>
      <c r="CE51" s="36">
        <f t="shared" ca="1" si="117"/>
        <v>50.480299228850583</v>
      </c>
      <c r="CF51" s="36">
        <f t="shared" ca="1" si="117"/>
        <v>50.362575562148876</v>
      </c>
      <c r="CG51" s="36">
        <f t="shared" ca="1" si="117"/>
        <v>51.215987459211362</v>
      </c>
      <c r="CH51" s="36">
        <f t="shared" ca="1" si="117"/>
        <v>50.80214872666572</v>
      </c>
      <c r="CI51" s="36">
        <f t="shared" ca="1" si="117"/>
        <v>50.53601572965411</v>
      </c>
      <c r="CJ51" s="36">
        <f t="shared" ca="1" si="117"/>
        <v>50.352786574870372</v>
      </c>
      <c r="CK51" s="36">
        <f t="shared" ca="1" si="117"/>
        <v>50.278091237339716</v>
      </c>
      <c r="CL51" s="36">
        <f t="shared" ca="1" si="117"/>
        <v>49.650629280226283</v>
      </c>
      <c r="CM51" s="36">
        <f t="shared" ca="1" si="117"/>
        <v>49.566893454225159</v>
      </c>
      <c r="CN51" s="36">
        <f t="shared" ca="1" si="117"/>
        <v>51.419485558605402</v>
      </c>
      <c r="CO51" s="36">
        <f t="shared" ca="1" si="117"/>
        <v>52.995512495679208</v>
      </c>
      <c r="CP51" s="36">
        <f t="shared" ca="1" si="117"/>
        <v>52.200438777578071</v>
      </c>
      <c r="CQ51" s="36">
        <f t="shared" ca="1" si="117"/>
        <v>51.936796260148725</v>
      </c>
      <c r="CR51" s="36">
        <f t="shared" ca="1" si="117"/>
        <v>51.883187100344912</v>
      </c>
      <c r="CS51" s="36">
        <f t="shared" ca="1" si="117"/>
        <v>52.057869106261109</v>
      </c>
      <c r="CT51" s="36">
        <f t="shared" ca="1" si="117"/>
        <v>51.167169220206439</v>
      </c>
      <c r="CU51" s="36">
        <f t="shared" ca="1" si="117"/>
        <v>50.947054026917186</v>
      </c>
      <c r="CV51" s="36">
        <f t="shared" ca="1" si="117"/>
        <v>49.758030007517405</v>
      </c>
      <c r="CW51" s="36">
        <f t="shared" ca="1" si="117"/>
        <v>49.193600330142068</v>
      </c>
      <c r="CX51" s="36">
        <f t="shared" ca="1" si="117"/>
        <v>47.782199078508611</v>
      </c>
      <c r="CY51" s="36">
        <f t="shared" ca="1" si="117"/>
        <v>48.04731691960437</v>
      </c>
      <c r="CZ51" s="36">
        <f t="shared" ca="1" si="117"/>
        <v>48.750446515889699</v>
      </c>
      <c r="DA51" s="36">
        <f t="shared" ca="1" si="117"/>
        <v>49.317199196424582</v>
      </c>
      <c r="DB51" s="36">
        <f t="shared" ca="1" si="117"/>
        <v>49.441715614152699</v>
      </c>
      <c r="DC51" s="36">
        <f t="shared" ca="1" si="117"/>
        <v>49.302861636560181</v>
      </c>
      <c r="DD51" s="36">
        <f t="shared" ca="1" si="117"/>
        <v>49.966835190158257</v>
      </c>
      <c r="DE51" s="36">
        <f t="shared" ca="1" si="117"/>
        <v>49.71459177346582</v>
      </c>
      <c r="DF51" s="36">
        <f t="shared" ca="1" si="117"/>
        <v>50.007398194735721</v>
      </c>
      <c r="DG51" s="36">
        <f t="shared" ca="1" si="117"/>
        <v>50.78547449588411</v>
      </c>
      <c r="DH51" s="36">
        <f t="shared" ca="1" si="117"/>
        <v>50.157317568204611</v>
      </c>
      <c r="DI51" s="36">
        <f t="shared" ca="1" si="117"/>
        <v>49.625706348606833</v>
      </c>
      <c r="DJ51" s="36">
        <f t="shared" ca="1" si="117"/>
        <v>48.534519805653254</v>
      </c>
      <c r="DK51" s="36">
        <f t="shared" ca="1" si="117"/>
        <v>49.307325702296239</v>
      </c>
      <c r="DL51" s="36">
        <f t="shared" ca="1" si="117"/>
        <v>48.755585674278848</v>
      </c>
      <c r="DM51" s="36">
        <f t="shared" ca="1" si="117"/>
        <v>49.591790111771672</v>
      </c>
      <c r="DN51" s="36">
        <f t="shared" ca="1" si="117"/>
        <v>49.342632969941931</v>
      </c>
      <c r="DO51" s="36">
        <f t="shared" ca="1" si="117"/>
        <v>48.926411916543678</v>
      </c>
      <c r="DP51" s="36">
        <f t="shared" ca="1" si="117"/>
        <v>48.057396120635374</v>
      </c>
      <c r="DQ51" s="36">
        <f t="shared" ca="1" si="117"/>
        <v>47.335971012929072</v>
      </c>
      <c r="DR51" s="36">
        <f t="shared" ca="1" si="117"/>
        <v>47.71643687458576</v>
      </c>
      <c r="DS51" s="36">
        <f t="shared" ca="1" si="117"/>
        <v>47.616362701405315</v>
      </c>
      <c r="DT51" s="36">
        <f t="shared" ca="1" si="117"/>
        <v>47.474909515670859</v>
      </c>
      <c r="DU51" s="36">
        <f t="shared" ca="1" si="117"/>
        <v>48.005390619865743</v>
      </c>
      <c r="DV51" s="36">
        <f t="shared" ca="1" si="117"/>
        <v>47.735889267449622</v>
      </c>
      <c r="DW51" s="36">
        <f t="shared" ca="1" si="117"/>
        <v>47.063280784119954</v>
      </c>
      <c r="DX51" s="36">
        <f t="shared" ca="1" si="117"/>
        <v>45.947857046951952</v>
      </c>
      <c r="DY51" s="36">
        <f t="shared" ca="1" si="117"/>
        <v>47.381359603496342</v>
      </c>
      <c r="DZ51" s="36">
        <f t="shared" ca="1" si="117"/>
        <v>46.95459190831015</v>
      </c>
      <c r="EA51" s="36">
        <f t="shared" ca="1" si="117"/>
        <v>47.286033378003971</v>
      </c>
      <c r="EB51" s="36">
        <f t="shared" ca="1" si="117"/>
        <v>47.484972036386225</v>
      </c>
      <c r="EC51" s="36">
        <f t="shared" ca="1" si="107"/>
        <v>47.700573054374367</v>
      </c>
      <c r="ED51" s="36">
        <f t="shared" ca="1" si="107"/>
        <v>47.025880681368143</v>
      </c>
      <c r="EE51" s="36">
        <f t="shared" ca="1" si="107"/>
        <v>47.224830156524497</v>
      </c>
      <c r="EF51" s="36">
        <f t="shared" ca="1" si="107"/>
        <v>46.931521730025565</v>
      </c>
      <c r="EG51" s="36">
        <f t="shared" ca="1" si="107"/>
        <v>46.44425315902177</v>
      </c>
      <c r="EH51" s="36">
        <f t="shared" ca="1" si="107"/>
        <v>46.755506977720401</v>
      </c>
      <c r="EI51" s="36">
        <f t="shared" ca="1" si="107"/>
        <v>47.240517293339337</v>
      </c>
      <c r="EJ51" s="36">
        <f t="shared" ca="1" si="107"/>
        <v>47.457027764828645</v>
      </c>
      <c r="EK51" s="36">
        <f t="shared" ca="1" si="107"/>
        <v>46.981777318570579</v>
      </c>
      <c r="EL51" s="36">
        <f t="shared" ca="1" si="107"/>
        <v>46.273692613659584</v>
      </c>
      <c r="EM51" s="36">
        <f t="shared" ca="1" si="107"/>
        <v>45.86586024425128</v>
      </c>
      <c r="EN51" s="36">
        <f t="shared" ca="1" si="107"/>
        <v>46.103539908709173</v>
      </c>
      <c r="EO51" s="36">
        <f t="shared" ca="1" si="107"/>
        <v>46.262025560328027</v>
      </c>
      <c r="EP51" s="36">
        <f t="shared" ca="1" si="107"/>
        <v>45.716492741680575</v>
      </c>
      <c r="EQ51" s="36">
        <f t="shared" ca="1" si="107"/>
        <v>46.792777172009934</v>
      </c>
      <c r="ER51" s="36">
        <f t="shared" ca="1" si="107"/>
        <v>47.101071878719999</v>
      </c>
      <c r="ES51" s="36">
        <f t="shared" ca="1" si="107"/>
        <v>47.778701186598695</v>
      </c>
      <c r="ET51" s="36">
        <f t="shared" ca="1" si="107"/>
        <v>48.431998068157682</v>
      </c>
      <c r="EU51" s="36">
        <f t="shared" ca="1" si="107"/>
        <v>48.128385482178132</v>
      </c>
      <c r="EV51" s="36">
        <f t="shared" ca="1" si="107"/>
        <v>48.784189256757195</v>
      </c>
      <c r="EW51" s="36">
        <f t="shared" ref="EW51" ca="1" si="122">EV51*EXP(($B$3-$B$4^2/2)*1+$B$4*_xlfn.NORM.S.INV(RAND()))</f>
        <v>48.826593537142735</v>
      </c>
      <c r="EX51" s="36">
        <f t="shared" ca="1" si="115"/>
        <v>48.433268269642191</v>
      </c>
      <c r="EY51" s="36">
        <f t="shared" ca="1" si="115"/>
        <v>49.378854663413954</v>
      </c>
      <c r="EZ51" s="36">
        <f t="shared" ca="1" si="115"/>
        <v>49.664952703351247</v>
      </c>
      <c r="FA51" s="36">
        <f t="shared" ca="1" si="115"/>
        <v>50.50627620632995</v>
      </c>
      <c r="FB51" s="36">
        <f t="shared" ca="1" si="115"/>
        <v>50.535685004421083</v>
      </c>
      <c r="FC51" s="36">
        <f t="shared" ca="1" si="115"/>
        <v>49.562786723399263</v>
      </c>
      <c r="FD51" s="36">
        <f t="shared" ca="1" si="115"/>
        <v>50.111737256375008</v>
      </c>
      <c r="FE51" s="36">
        <f t="shared" ca="1" si="115"/>
        <v>50.322236276447086</v>
      </c>
      <c r="FF51" s="36">
        <f t="shared" ca="1" si="115"/>
        <v>49.804501687417371</v>
      </c>
      <c r="FG51" s="36">
        <f t="shared" ca="1" si="115"/>
        <v>49.509690816160244</v>
      </c>
      <c r="FH51" s="36">
        <f t="shared" ca="1" si="115"/>
        <v>49.79334034372441</v>
      </c>
      <c r="FI51" s="36">
        <f t="shared" ca="1" si="115"/>
        <v>50.470245551835063</v>
      </c>
      <c r="FJ51" s="36">
        <f t="shared" ca="1" si="115"/>
        <v>50.907208656487676</v>
      </c>
      <c r="FK51" s="36">
        <f t="shared" ca="1" si="115"/>
        <v>50.872012609103365</v>
      </c>
      <c r="FL51" s="36">
        <f t="shared" ca="1" si="115"/>
        <v>51.63046419245407</v>
      </c>
      <c r="FM51" s="36">
        <f t="shared" ca="1" si="115"/>
        <v>52.826106761476801</v>
      </c>
      <c r="FN51" s="36">
        <f t="shared" ca="1" si="115"/>
        <v>53.455355582715789</v>
      </c>
      <c r="FO51" s="36">
        <f t="shared" ca="1" si="115"/>
        <v>53.810100246237724</v>
      </c>
      <c r="FP51" s="36">
        <f t="shared" ca="1" si="115"/>
        <v>52.74952951230096</v>
      </c>
      <c r="FQ51" s="36">
        <f t="shared" ca="1" si="115"/>
        <v>52.799688808143436</v>
      </c>
      <c r="FR51" s="36">
        <f t="shared" ca="1" si="115"/>
        <v>53.801389798231739</v>
      </c>
      <c r="FS51" s="36">
        <f t="shared" ca="1" si="115"/>
        <v>53.459233300142422</v>
      </c>
      <c r="FT51" s="36">
        <f t="shared" ca="1" si="115"/>
        <v>52.917228811340635</v>
      </c>
      <c r="FU51" s="36">
        <f t="shared" ca="1" si="115"/>
        <v>53.316806093251671</v>
      </c>
      <c r="FV51" s="36">
        <f t="shared" ca="1" si="115"/>
        <v>52.939251334888041</v>
      </c>
      <c r="FW51" s="36">
        <f t="shared" ca="1" si="115"/>
        <v>52.329394028754571</v>
      </c>
      <c r="FX51" s="36">
        <f t="shared" ca="1" si="115"/>
        <v>51.813226645651689</v>
      </c>
      <c r="FY51" s="36">
        <f t="shared" ca="1" si="115"/>
        <v>51.749396343616951</v>
      </c>
      <c r="FZ51" s="36">
        <f t="shared" ca="1" si="115"/>
        <v>50.982003930361138</v>
      </c>
      <c r="GA51" s="36">
        <f t="shared" ca="1" si="115"/>
        <v>51.714616239131381</v>
      </c>
      <c r="GB51" s="36">
        <f t="shared" ca="1" si="115"/>
        <v>52.03323247024754</v>
      </c>
      <c r="GC51" s="36">
        <f t="shared" ca="1" si="115"/>
        <v>52.21857581831442</v>
      </c>
      <c r="GD51" s="36">
        <f t="shared" ca="1" si="115"/>
        <v>52.523560358753741</v>
      </c>
      <c r="GE51" s="36">
        <f t="shared" ca="1" si="115"/>
        <v>52.564258064136475</v>
      </c>
      <c r="GF51" s="36">
        <f t="shared" ca="1" si="115"/>
        <v>52.529287640318778</v>
      </c>
      <c r="GG51" s="36">
        <f t="shared" ca="1" si="115"/>
        <v>52.381708077351298</v>
      </c>
      <c r="GH51" s="36">
        <f t="shared" ca="1" si="115"/>
        <v>52.806749466081655</v>
      </c>
      <c r="GI51" s="36">
        <f t="shared" ca="1" si="115"/>
        <v>53.245964026504765</v>
      </c>
      <c r="GJ51" s="36">
        <f t="shared" ca="1" si="115"/>
        <v>52.372470954035066</v>
      </c>
      <c r="GK51" s="36">
        <f t="shared" ca="1" si="115"/>
        <v>51.49176355411187</v>
      </c>
      <c r="GL51" s="36">
        <f t="shared" ca="1" si="115"/>
        <v>51.127255105815458</v>
      </c>
      <c r="GM51" s="36">
        <f t="shared" ca="1" si="115"/>
        <v>51.063136125476554</v>
      </c>
      <c r="GN51" s="36">
        <f t="shared" ca="1" si="115"/>
        <v>51.532186976798613</v>
      </c>
      <c r="GO51" s="36">
        <f t="shared" ca="1" si="115"/>
        <v>51.770122447304388</v>
      </c>
      <c r="GP51" s="36">
        <f t="shared" ca="1" si="115"/>
        <v>51.686990583628045</v>
      </c>
      <c r="GQ51" s="36">
        <f t="shared" ca="1" si="115"/>
        <v>52.162814168396153</v>
      </c>
      <c r="GR51" s="36">
        <f t="shared" ca="1" si="115"/>
        <v>52.666296954502002</v>
      </c>
      <c r="GS51" s="36">
        <f t="shared" ca="1" si="115"/>
        <v>52.371513437739466</v>
      </c>
      <c r="GT51" s="36">
        <f t="shared" ca="1" si="115"/>
        <v>53.3315838810298</v>
      </c>
      <c r="GU51" s="36">
        <f t="shared" ca="1" si="115"/>
        <v>54.526467476094155</v>
      </c>
      <c r="GV51" s="36">
        <f t="shared" ca="1" si="115"/>
        <v>54.149044446391912</v>
      </c>
      <c r="GW51" s="36">
        <f t="shared" ca="1" si="115"/>
        <v>53.349626369934178</v>
      </c>
      <c r="GX51" s="36">
        <f t="shared" ca="1" si="115"/>
        <v>52.879805538654622</v>
      </c>
      <c r="GY51" s="36">
        <f t="shared" ca="1" si="115"/>
        <v>52.102822540387649</v>
      </c>
      <c r="GZ51" s="36">
        <f t="shared" ca="1" si="115"/>
        <v>52.001169346081618</v>
      </c>
      <c r="HA51" s="36">
        <f t="shared" ca="1" si="115"/>
        <v>52.082326378723018</v>
      </c>
      <c r="HB51" s="36">
        <f t="shared" ca="1" si="115"/>
        <v>52.466691905263808</v>
      </c>
      <c r="HC51" s="36">
        <f t="shared" ca="1" si="115"/>
        <v>52.16499100789725</v>
      </c>
      <c r="HD51" s="36">
        <f t="shared" ca="1" si="115"/>
        <v>51.976115836130411</v>
      </c>
      <c r="HE51" s="36">
        <f t="shared" ca="1" si="115"/>
        <v>51.015795909412361</v>
      </c>
      <c r="HF51" s="36">
        <f t="shared" ca="1" si="115"/>
        <v>50.324031865657922</v>
      </c>
      <c r="HG51" s="36">
        <f t="shared" ca="1" si="115"/>
        <v>50.457277512272064</v>
      </c>
      <c r="HH51" s="36">
        <f t="shared" ca="1" si="115"/>
        <v>49.808750106324482</v>
      </c>
      <c r="HI51" s="36">
        <f t="shared" ca="1" si="119"/>
        <v>50.801975524722842</v>
      </c>
      <c r="HJ51" s="36">
        <f t="shared" ca="1" si="119"/>
        <v>51.553406131792713</v>
      </c>
      <c r="HK51" s="36">
        <f t="shared" ca="1" si="119"/>
        <v>50.827123114405943</v>
      </c>
      <c r="HL51" s="36">
        <f t="shared" ca="1" si="119"/>
        <v>49.860324853066871</v>
      </c>
      <c r="HM51" s="36">
        <f t="shared" ca="1" si="119"/>
        <v>49.80053550283003</v>
      </c>
      <c r="HN51" s="36">
        <f t="shared" ca="1" si="119"/>
        <v>49.246903680143255</v>
      </c>
      <c r="HO51" s="36">
        <f t="shared" ca="1" si="119"/>
        <v>49.173154252215888</v>
      </c>
      <c r="HP51" s="36">
        <f t="shared" ca="1" si="119"/>
        <v>49.057277843002716</v>
      </c>
      <c r="HQ51" s="36">
        <f t="shared" ca="1" si="119"/>
        <v>49.635295090453731</v>
      </c>
      <c r="HR51" s="36">
        <f t="shared" ca="1" si="119"/>
        <v>49.463521336149746</v>
      </c>
      <c r="HS51" s="36">
        <f t="shared" ca="1" si="119"/>
        <v>50.160554868433714</v>
      </c>
      <c r="HT51" s="36">
        <f t="shared" ca="1" si="119"/>
        <v>49.672318644637301</v>
      </c>
      <c r="HU51" s="36">
        <f t="shared" ca="1" si="103"/>
        <v>48.486593040781429</v>
      </c>
      <c r="HV51" s="36">
        <f t="shared" ca="1" si="103"/>
        <v>48.893339524516605</v>
      </c>
      <c r="HW51" s="36">
        <f t="shared" ca="1" si="103"/>
        <v>49.464889144770495</v>
      </c>
      <c r="HX51" s="36">
        <f t="shared" ca="1" si="103"/>
        <v>49.492161690959087</v>
      </c>
      <c r="HY51" s="36">
        <f t="shared" ca="1" si="103"/>
        <v>49.75237081984708</v>
      </c>
      <c r="HZ51" s="36">
        <f t="shared" ca="1" si="103"/>
        <v>49.636755382164999</v>
      </c>
      <c r="IA51" s="36">
        <f t="shared" ca="1" si="103"/>
        <v>49.145838316146623</v>
      </c>
      <c r="IB51" s="36">
        <f t="shared" ca="1" si="103"/>
        <v>49.145604043560525</v>
      </c>
      <c r="IC51" s="36">
        <f t="shared" ca="1" si="103"/>
        <v>49.528198147891381</v>
      </c>
      <c r="ID51" s="36">
        <f t="shared" ca="1" si="103"/>
        <v>49.925761328896499</v>
      </c>
      <c r="IE51" s="36">
        <f t="shared" ca="1" si="103"/>
        <v>48.983924562025237</v>
      </c>
      <c r="IF51" s="36">
        <f t="shared" ca="1" si="103"/>
        <v>48.784802902200063</v>
      </c>
      <c r="IG51" s="36">
        <f t="shared" ca="1" si="103"/>
        <v>48.878376252986328</v>
      </c>
      <c r="IH51" s="36">
        <f t="shared" ca="1" si="103"/>
        <v>48.166627005973652</v>
      </c>
      <c r="II51" s="36">
        <f t="shared" ca="1" si="103"/>
        <v>46.949130815995588</v>
      </c>
      <c r="IJ51" s="36">
        <f t="shared" ca="1" si="103"/>
        <v>47.992274142876099</v>
      </c>
      <c r="IK51" s="36">
        <f t="shared" ca="1" si="103"/>
        <v>47.718863480241836</v>
      </c>
      <c r="IL51" s="36">
        <f t="shared" ca="1" si="103"/>
        <v>47.921017403500187</v>
      </c>
      <c r="IM51" s="36">
        <f t="shared" ca="1" si="103"/>
        <v>46.923660999582864</v>
      </c>
      <c r="IN51" s="36">
        <f t="shared" ca="1" si="103"/>
        <v>46.874172925407109</v>
      </c>
      <c r="IO51" s="36">
        <f t="shared" ca="1" si="103"/>
        <v>47.271438806796198</v>
      </c>
      <c r="IP51" s="36">
        <f t="shared" ca="1" si="103"/>
        <v>48.10547038270704</v>
      </c>
      <c r="IQ51" s="36">
        <f t="shared" ca="1" si="103"/>
        <v>47.992776878433162</v>
      </c>
      <c r="IR51" s="36">
        <f t="shared" ca="1" si="103"/>
        <v>48.660031065058192</v>
      </c>
      <c r="IS51" s="36">
        <f t="shared" ca="1" si="103"/>
        <v>47.788166491238243</v>
      </c>
      <c r="IT51" s="36">
        <f t="shared" ca="1" si="103"/>
        <v>48.032907588417601</v>
      </c>
      <c r="IU51" s="36">
        <f t="shared" ca="1" si="103"/>
        <v>48.190056405231871</v>
      </c>
    </row>
    <row r="52" spans="1:255" x14ac:dyDescent="0.2">
      <c r="A52" s="36"/>
      <c r="B52">
        <v>42</v>
      </c>
      <c r="C52" s="36">
        <v>50</v>
      </c>
      <c r="D52" s="36">
        <f t="shared" ca="1" si="14"/>
        <v>49.366379244276587</v>
      </c>
      <c r="E52" s="36">
        <f t="shared" ca="1" si="14"/>
        <v>48.967507448053034</v>
      </c>
      <c r="F52" s="36">
        <f t="shared" ca="1" si="120"/>
        <v>48.399846975048476</v>
      </c>
      <c r="G52" s="36">
        <f t="shared" ca="1" si="120"/>
        <v>47.626912262048776</v>
      </c>
      <c r="H52" s="36">
        <f t="shared" ca="1" si="120"/>
        <v>48.238929699071349</v>
      </c>
      <c r="I52" s="36">
        <f t="shared" ca="1" si="120"/>
        <v>48.592514127623936</v>
      </c>
      <c r="J52" s="36">
        <f t="shared" ca="1" si="120"/>
        <v>49.24432167264321</v>
      </c>
      <c r="K52" s="36">
        <f t="shared" ca="1" si="120"/>
        <v>49.946435823317564</v>
      </c>
      <c r="L52" s="36">
        <f t="shared" ca="1" si="120"/>
        <v>49.405429313785888</v>
      </c>
      <c r="M52" s="36">
        <f t="shared" ca="1" si="120"/>
        <v>49.633836599463137</v>
      </c>
      <c r="N52" s="36">
        <f t="shared" ca="1" si="120"/>
        <v>50.093525636308478</v>
      </c>
      <c r="O52" s="36">
        <f t="shared" ca="1" si="120"/>
        <v>49.587246314506402</v>
      </c>
      <c r="P52" s="36">
        <f t="shared" ca="1" si="120"/>
        <v>49.713148657783677</v>
      </c>
      <c r="Q52" s="36">
        <f t="shared" ca="1" si="120"/>
        <v>49.419919617453083</v>
      </c>
      <c r="R52" s="36">
        <f t="shared" ca="1" si="120"/>
        <v>49.352054760058053</v>
      </c>
      <c r="S52" s="36">
        <f t="shared" ca="1" si="120"/>
        <v>48.22774784897922</v>
      </c>
      <c r="T52" s="36">
        <f t="shared" ca="1" si="120"/>
        <v>47.878215411518283</v>
      </c>
      <c r="U52" s="36">
        <f t="shared" ca="1" si="120"/>
        <v>48.367105023930364</v>
      </c>
      <c r="V52" s="36">
        <f t="shared" ca="1" si="120"/>
        <v>48.81953672835936</v>
      </c>
      <c r="W52" s="36">
        <f t="shared" ca="1" si="120"/>
        <v>50.51150483838542</v>
      </c>
      <c r="X52" s="36">
        <f t="shared" ca="1" si="120"/>
        <v>50.987159515268395</v>
      </c>
      <c r="Y52" s="36">
        <f t="shared" ca="1" si="120"/>
        <v>51.28109707272926</v>
      </c>
      <c r="Z52" s="36">
        <f t="shared" ca="1" si="120"/>
        <v>52.399055739777594</v>
      </c>
      <c r="AA52" s="36">
        <f t="shared" ca="1" si="120"/>
        <v>51.997192555194033</v>
      </c>
      <c r="AB52" s="36">
        <f t="shared" ca="1" si="120"/>
        <v>52.139862771178407</v>
      </c>
      <c r="AC52" s="36">
        <f t="shared" ca="1" si="120"/>
        <v>52.515924399083296</v>
      </c>
      <c r="AD52" s="36">
        <f t="shared" ca="1" si="120"/>
        <v>52.107761288087445</v>
      </c>
      <c r="AE52" s="36">
        <f t="shared" ca="1" si="120"/>
        <v>52.112891014166955</v>
      </c>
      <c r="AF52" s="36">
        <f t="shared" ca="1" si="120"/>
        <v>52.423411139689101</v>
      </c>
      <c r="AG52" s="36">
        <f t="shared" ca="1" si="120"/>
        <v>52.128279885581669</v>
      </c>
      <c r="AH52" s="36">
        <f t="shared" ca="1" si="120"/>
        <v>51.760649189680372</v>
      </c>
      <c r="AI52" s="36">
        <f t="shared" ca="1" si="120"/>
        <v>51.140131446984007</v>
      </c>
      <c r="AJ52" s="36">
        <f t="shared" ca="1" si="120"/>
        <v>51.737741702653928</v>
      </c>
      <c r="AK52" s="36">
        <f t="shared" ca="1" si="120"/>
        <v>51.872913599071907</v>
      </c>
      <c r="AL52" s="36">
        <f t="shared" ca="1" si="120"/>
        <v>51.995104312549223</v>
      </c>
      <c r="AM52" s="36">
        <f t="shared" ca="1" si="120"/>
        <v>51.297802596096808</v>
      </c>
      <c r="AN52" s="36">
        <f t="shared" ca="1" si="120"/>
        <v>51.943393382115694</v>
      </c>
      <c r="AO52" s="36">
        <f t="shared" ca="1" si="120"/>
        <v>51.826289065504319</v>
      </c>
      <c r="AP52" s="36">
        <f t="shared" ca="1" si="120"/>
        <v>52.477385608156652</v>
      </c>
      <c r="AQ52" s="36">
        <f t="shared" ca="1" si="120"/>
        <v>51.327968325030305</v>
      </c>
      <c r="AR52" s="36">
        <f t="shared" ca="1" si="120"/>
        <v>51.867278368248691</v>
      </c>
      <c r="AS52" s="36">
        <f t="shared" ca="1" si="120"/>
        <v>51.168805898330397</v>
      </c>
      <c r="AT52" s="36">
        <f t="shared" ca="1" si="120"/>
        <v>51.224270108899788</v>
      </c>
      <c r="AU52" s="36">
        <f t="shared" ca="1" si="120"/>
        <v>50.644641296986897</v>
      </c>
      <c r="AV52" s="36">
        <f t="shared" ca="1" si="120"/>
        <v>50.113329943305054</v>
      </c>
      <c r="AW52" s="36">
        <f t="shared" ca="1" si="120"/>
        <v>49.81038689750379</v>
      </c>
      <c r="AX52" s="36">
        <f t="shared" ca="1" si="120"/>
        <v>48.79949807386496</v>
      </c>
      <c r="AY52" s="36">
        <f t="shared" ca="1" si="120"/>
        <v>49.452926360226606</v>
      </c>
      <c r="AZ52" s="36">
        <f t="shared" ca="1" si="120"/>
        <v>48.36751871781938</v>
      </c>
      <c r="BA52" s="36">
        <f t="shared" ca="1" si="120"/>
        <v>48.002024687829305</v>
      </c>
      <c r="BB52" s="36">
        <f t="shared" ca="1" si="120"/>
        <v>47.894451602339423</v>
      </c>
      <c r="BC52" s="36">
        <f t="shared" ca="1" si="120"/>
        <v>48.241770155945467</v>
      </c>
      <c r="BD52" s="36">
        <f t="shared" ca="1" si="120"/>
        <v>47.611076367629217</v>
      </c>
      <c r="BE52" s="36">
        <f t="shared" ca="1" si="120"/>
        <v>46.952221994476147</v>
      </c>
      <c r="BF52" s="36">
        <f t="shared" ca="1" si="120"/>
        <v>47.297501060476407</v>
      </c>
      <c r="BG52" s="36">
        <f t="shared" ca="1" si="120"/>
        <v>47.378343684678541</v>
      </c>
      <c r="BH52" s="36">
        <f t="shared" ca="1" si="120"/>
        <v>48.032971036973109</v>
      </c>
      <c r="BI52" s="36">
        <f t="shared" ca="1" si="120"/>
        <v>46.5366211241017</v>
      </c>
      <c r="BJ52" s="36">
        <f t="shared" ca="1" si="120"/>
        <v>47.506898676806578</v>
      </c>
      <c r="BK52" s="36">
        <f t="shared" ca="1" si="120"/>
        <v>47.195721162078549</v>
      </c>
      <c r="BL52" s="36">
        <f t="shared" ca="1" si="120"/>
        <v>46.905188834653686</v>
      </c>
      <c r="BM52" s="36">
        <f t="shared" ca="1" si="120"/>
        <v>46.957907672103779</v>
      </c>
      <c r="BN52" s="36">
        <f t="shared" ca="1" si="120"/>
        <v>46.560525742143113</v>
      </c>
      <c r="BO52" s="36">
        <f t="shared" ca="1" si="120"/>
        <v>46.941469300176841</v>
      </c>
      <c r="BP52" s="36">
        <f t="shared" ca="1" si="120"/>
        <v>46.866584153371896</v>
      </c>
      <c r="BQ52" s="36">
        <f t="shared" ca="1" si="120"/>
        <v>46.808575121292222</v>
      </c>
      <c r="BR52" s="36">
        <f t="shared" ca="1" si="117"/>
        <v>46.703863048220541</v>
      </c>
      <c r="BS52" s="36">
        <f t="shared" ca="1" si="117"/>
        <v>46.735003356743022</v>
      </c>
      <c r="BT52" s="36">
        <f t="shared" ca="1" si="117"/>
        <v>46.337402102814437</v>
      </c>
      <c r="BU52" s="36">
        <f t="shared" ca="1" si="117"/>
        <v>46.570514882681969</v>
      </c>
      <c r="BV52" s="36">
        <f t="shared" ca="1" si="117"/>
        <v>46.577221328879418</v>
      </c>
      <c r="BW52" s="36">
        <f t="shared" ca="1" si="117"/>
        <v>47.011814103923022</v>
      </c>
      <c r="BX52" s="36">
        <f t="shared" ca="1" si="117"/>
        <v>46.221527073713503</v>
      </c>
      <c r="BY52" s="36">
        <f t="shared" ca="1" si="117"/>
        <v>46.619660645224393</v>
      </c>
      <c r="BZ52" s="36">
        <f t="shared" ca="1" si="117"/>
        <v>46.084915215777386</v>
      </c>
      <c r="CA52" s="36">
        <f t="shared" ca="1" si="117"/>
        <v>46.615518870214558</v>
      </c>
      <c r="CB52" s="36">
        <f t="shared" ca="1" si="117"/>
        <v>46.712085707463764</v>
      </c>
      <c r="CC52" s="36">
        <f t="shared" ca="1" si="117"/>
        <v>47.757562939182108</v>
      </c>
      <c r="CD52" s="36">
        <f t="shared" ca="1" si="117"/>
        <v>47.136176325181893</v>
      </c>
      <c r="CE52" s="36">
        <f t="shared" ca="1" si="117"/>
        <v>47.704307696121255</v>
      </c>
      <c r="CF52" s="36">
        <f t="shared" ca="1" si="117"/>
        <v>48.076790480497671</v>
      </c>
      <c r="CG52" s="36">
        <f t="shared" ca="1" si="117"/>
        <v>47.438212350775807</v>
      </c>
      <c r="CH52" s="36">
        <f t="shared" ca="1" si="117"/>
        <v>48.237666441770592</v>
      </c>
      <c r="CI52" s="36">
        <f t="shared" ca="1" si="117"/>
        <v>48.111735668303567</v>
      </c>
      <c r="CJ52" s="36">
        <f t="shared" ca="1" si="117"/>
        <v>47.307677057518646</v>
      </c>
      <c r="CK52" s="36">
        <f t="shared" ca="1" si="117"/>
        <v>48.748202154373892</v>
      </c>
      <c r="CL52" s="36">
        <f t="shared" ca="1" si="117"/>
        <v>48.176575480092801</v>
      </c>
      <c r="CM52" s="36">
        <f t="shared" ca="1" si="117"/>
        <v>48.539763749669817</v>
      </c>
      <c r="CN52" s="36">
        <f t="shared" ca="1" si="117"/>
        <v>49.695627079624238</v>
      </c>
      <c r="CO52" s="36">
        <f t="shared" ca="1" si="117"/>
        <v>49.039456715389434</v>
      </c>
      <c r="CP52" s="36">
        <f t="shared" ca="1" si="117"/>
        <v>48.946431657584732</v>
      </c>
      <c r="CQ52" s="36">
        <f t="shared" ca="1" si="117"/>
        <v>49.258585291945508</v>
      </c>
      <c r="CR52" s="36">
        <f t="shared" ca="1" si="117"/>
        <v>49.684991847095418</v>
      </c>
      <c r="CS52" s="36">
        <f t="shared" ca="1" si="117"/>
        <v>50.520592300732339</v>
      </c>
      <c r="CT52" s="36">
        <f t="shared" ca="1" si="117"/>
        <v>50.891634599923684</v>
      </c>
      <c r="CU52" s="36">
        <f t="shared" ca="1" si="117"/>
        <v>51.269022461535684</v>
      </c>
      <c r="CV52" s="36">
        <f t="shared" ca="1" si="117"/>
        <v>50.682035628133406</v>
      </c>
      <c r="CW52" s="36">
        <f t="shared" ca="1" si="117"/>
        <v>50.001708613008141</v>
      </c>
      <c r="CX52" s="36">
        <f t="shared" ca="1" si="117"/>
        <v>49.325691395226002</v>
      </c>
      <c r="CY52" s="36">
        <f t="shared" ca="1" si="117"/>
        <v>49.355788510851646</v>
      </c>
      <c r="CZ52" s="36">
        <f t="shared" ca="1" si="117"/>
        <v>49.054380187564782</v>
      </c>
      <c r="DA52" s="36">
        <f t="shared" ca="1" si="117"/>
        <v>48.687620216981443</v>
      </c>
      <c r="DB52" s="36">
        <f t="shared" ca="1" si="117"/>
        <v>50.272929152174221</v>
      </c>
      <c r="DC52" s="36">
        <f t="shared" ca="1" si="117"/>
        <v>51.8091040042654</v>
      </c>
      <c r="DD52" s="36">
        <f t="shared" ca="1" si="117"/>
        <v>51.556557505059949</v>
      </c>
      <c r="DE52" s="36">
        <f t="shared" ca="1" si="117"/>
        <v>51.10595413960371</v>
      </c>
      <c r="DF52" s="36">
        <f t="shared" ca="1" si="117"/>
        <v>50.09063125346929</v>
      </c>
      <c r="DG52" s="36">
        <f t="shared" ca="1" si="117"/>
        <v>49.473995085077249</v>
      </c>
      <c r="DH52" s="36">
        <f t="shared" ca="1" si="117"/>
        <v>49.337634397934046</v>
      </c>
      <c r="DI52" s="36">
        <f t="shared" ca="1" si="117"/>
        <v>48.229943634562602</v>
      </c>
      <c r="DJ52" s="36">
        <f t="shared" ca="1" si="117"/>
        <v>48.791487155224715</v>
      </c>
      <c r="DK52" s="36">
        <f t="shared" ca="1" si="117"/>
        <v>49.30998311947053</v>
      </c>
      <c r="DL52" s="36">
        <f t="shared" ca="1" si="117"/>
        <v>48.202347240212248</v>
      </c>
      <c r="DM52" s="36">
        <f t="shared" ca="1" si="117"/>
        <v>47.707032128308157</v>
      </c>
      <c r="DN52" s="36">
        <f t="shared" ca="1" si="117"/>
        <v>47.979476898013907</v>
      </c>
      <c r="DO52" s="36">
        <f t="shared" ca="1" si="117"/>
        <v>47.835184736151419</v>
      </c>
      <c r="DP52" s="36">
        <f t="shared" ca="1" si="117"/>
        <v>47.766576480032903</v>
      </c>
      <c r="DQ52" s="36">
        <f t="shared" ca="1" si="117"/>
        <v>47.489461183599062</v>
      </c>
      <c r="DR52" s="36">
        <f t="shared" ca="1" si="117"/>
        <v>46.975716632866536</v>
      </c>
      <c r="DS52" s="36">
        <f t="shared" ca="1" si="117"/>
        <v>46.766216354375992</v>
      </c>
      <c r="DT52" s="36">
        <f t="shared" ca="1" si="117"/>
        <v>46.766369927519179</v>
      </c>
      <c r="DU52" s="36">
        <f t="shared" ca="1" si="117"/>
        <v>46.054643546237301</v>
      </c>
      <c r="DV52" s="36">
        <f t="shared" ca="1" si="117"/>
        <v>47.148493255190367</v>
      </c>
      <c r="DW52" s="36">
        <f t="shared" ca="1" si="117"/>
        <v>46.507124964133375</v>
      </c>
      <c r="DX52" s="36">
        <f t="shared" ca="1" si="117"/>
        <v>45.969386603857807</v>
      </c>
      <c r="DY52" s="36">
        <f t="shared" ca="1" si="117"/>
        <v>45.69419944236688</v>
      </c>
      <c r="DZ52" s="36">
        <f t="shared" ca="1" si="117"/>
        <v>44.872156974924216</v>
      </c>
      <c r="EA52" s="36">
        <f t="shared" ca="1" si="117"/>
        <v>43.873733740520237</v>
      </c>
      <c r="EB52" s="36">
        <f t="shared" ca="1" si="117"/>
        <v>44.405694916416479</v>
      </c>
      <c r="EC52" s="36">
        <f t="shared" ca="1" si="107"/>
        <v>44.232115030709025</v>
      </c>
      <c r="ED52" s="36">
        <f t="shared" ca="1" si="107"/>
        <v>43.92443620875293</v>
      </c>
      <c r="EE52" s="36">
        <f t="shared" ca="1" si="107"/>
        <v>44.82265870740752</v>
      </c>
      <c r="EF52" s="36">
        <f t="shared" ca="1" si="107"/>
        <v>45.59473511539651</v>
      </c>
      <c r="EG52" s="36">
        <f t="shared" ca="1" si="107"/>
        <v>45.083500897528154</v>
      </c>
      <c r="EH52" s="36">
        <f t="shared" ca="1" si="107"/>
        <v>44.636146537213037</v>
      </c>
      <c r="EI52" s="36">
        <f t="shared" ca="1" si="107"/>
        <v>45.099233016906666</v>
      </c>
      <c r="EJ52" s="36">
        <f t="shared" ca="1" si="107"/>
        <v>44.593032977840245</v>
      </c>
      <c r="EK52" s="36">
        <f t="shared" ca="1" si="107"/>
        <v>43.623985353292092</v>
      </c>
      <c r="EL52" s="36">
        <f t="shared" ca="1" si="107"/>
        <v>44.163603814524507</v>
      </c>
      <c r="EM52" s="36">
        <f t="shared" ca="1" si="107"/>
        <v>44.363993351199333</v>
      </c>
      <c r="EN52" s="36">
        <f t="shared" ca="1" si="107"/>
        <v>44.354377321796854</v>
      </c>
      <c r="EO52" s="36">
        <f t="shared" ca="1" si="107"/>
        <v>45.151803551680651</v>
      </c>
      <c r="EP52" s="36">
        <f t="shared" ca="1" si="107"/>
        <v>45.411614156402024</v>
      </c>
      <c r="EQ52" s="36">
        <f t="shared" ca="1" si="107"/>
        <v>45.29600809116004</v>
      </c>
      <c r="ER52" s="36">
        <f t="shared" ca="1" si="107"/>
        <v>45.608419166361138</v>
      </c>
      <c r="ES52" s="36">
        <f t="shared" ca="1" si="107"/>
        <v>45.897811711741284</v>
      </c>
      <c r="ET52" s="36">
        <f t="shared" ca="1" si="107"/>
        <v>45.604595791797635</v>
      </c>
      <c r="EU52" s="36">
        <f t="shared" ca="1" si="107"/>
        <v>45.055077748686273</v>
      </c>
      <c r="EV52" s="36">
        <f t="shared" ca="1" si="107"/>
        <v>45.265282993358113</v>
      </c>
      <c r="EW52" s="36">
        <f t="shared" ref="EW52" ca="1" si="123">EV52*EXP(($B$3-$B$4^2/2)*1+$B$4*_xlfn.NORM.S.INV(RAND()))</f>
        <v>45.052511958928918</v>
      </c>
      <c r="EX52" s="36">
        <f t="shared" ca="1" si="115"/>
        <v>44.643421357100948</v>
      </c>
      <c r="EY52" s="36">
        <f t="shared" ca="1" si="115"/>
        <v>44.81431099745177</v>
      </c>
      <c r="EZ52" s="36">
        <f t="shared" ref="EZ52:HK52" ca="1" si="124">EY52*EXP(($B$3-$B$4^2/2)*1+$B$4*_xlfn.NORM.S.INV(RAND()))</f>
        <v>44.680020363952636</v>
      </c>
      <c r="FA52" s="36">
        <f t="shared" ca="1" si="124"/>
        <v>44.562851462164879</v>
      </c>
      <c r="FB52" s="36">
        <f t="shared" ca="1" si="124"/>
        <v>44.610987008207154</v>
      </c>
      <c r="FC52" s="36">
        <f t="shared" ca="1" si="124"/>
        <v>44.430150433180842</v>
      </c>
      <c r="FD52" s="36">
        <f t="shared" ca="1" si="124"/>
        <v>45.153357949665576</v>
      </c>
      <c r="FE52" s="36">
        <f t="shared" ca="1" si="124"/>
        <v>44.646034077217635</v>
      </c>
      <c r="FF52" s="36">
        <f t="shared" ca="1" si="124"/>
        <v>44.034167621637209</v>
      </c>
      <c r="FG52" s="36">
        <f t="shared" ca="1" si="124"/>
        <v>43.491511190547122</v>
      </c>
      <c r="FH52" s="36">
        <f t="shared" ca="1" si="124"/>
        <v>42.527612532909693</v>
      </c>
      <c r="FI52" s="36">
        <f t="shared" ca="1" si="124"/>
        <v>43.074363063033097</v>
      </c>
      <c r="FJ52" s="36">
        <f t="shared" ca="1" si="124"/>
        <v>42.335203551712432</v>
      </c>
      <c r="FK52" s="36">
        <f t="shared" ca="1" si="124"/>
        <v>42.920896648066304</v>
      </c>
      <c r="FL52" s="36">
        <f t="shared" ca="1" si="124"/>
        <v>43.466614282767658</v>
      </c>
      <c r="FM52" s="36">
        <f t="shared" ca="1" si="124"/>
        <v>43.943362377243282</v>
      </c>
      <c r="FN52" s="36">
        <f t="shared" ca="1" si="124"/>
        <v>43.537441009748342</v>
      </c>
      <c r="FO52" s="36">
        <f t="shared" ca="1" si="124"/>
        <v>43.952627455060487</v>
      </c>
      <c r="FP52" s="36">
        <f t="shared" ca="1" si="124"/>
        <v>43.381974254686625</v>
      </c>
      <c r="FQ52" s="36">
        <f t="shared" ca="1" si="124"/>
        <v>44.208369113276305</v>
      </c>
      <c r="FR52" s="36">
        <f t="shared" ca="1" si="124"/>
        <v>44.229001381097923</v>
      </c>
      <c r="FS52" s="36">
        <f t="shared" ca="1" si="124"/>
        <v>43.797952389871689</v>
      </c>
      <c r="FT52" s="36">
        <f t="shared" ca="1" si="124"/>
        <v>42.238194585004187</v>
      </c>
      <c r="FU52" s="36">
        <f t="shared" ca="1" si="124"/>
        <v>42.176340541102121</v>
      </c>
      <c r="FV52" s="36">
        <f t="shared" ca="1" si="124"/>
        <v>42.776131479707608</v>
      </c>
      <c r="FW52" s="36">
        <f t="shared" ca="1" si="124"/>
        <v>42.528716336637231</v>
      </c>
      <c r="FX52" s="36">
        <f t="shared" ca="1" si="124"/>
        <v>42.764996172851092</v>
      </c>
      <c r="FY52" s="36">
        <f t="shared" ca="1" si="124"/>
        <v>42.540322495255346</v>
      </c>
      <c r="FZ52" s="36">
        <f t="shared" ca="1" si="124"/>
        <v>43.499248827127609</v>
      </c>
      <c r="GA52" s="36">
        <f t="shared" ca="1" si="124"/>
        <v>43.685160090027047</v>
      </c>
      <c r="GB52" s="36">
        <f t="shared" ca="1" si="124"/>
        <v>44.337608274769394</v>
      </c>
      <c r="GC52" s="36">
        <f t="shared" ca="1" si="124"/>
        <v>44.36037639403375</v>
      </c>
      <c r="GD52" s="36">
        <f t="shared" ca="1" si="124"/>
        <v>44.255158166422774</v>
      </c>
      <c r="GE52" s="36">
        <f t="shared" ca="1" si="124"/>
        <v>44.097836999646177</v>
      </c>
      <c r="GF52" s="36">
        <f t="shared" ca="1" si="124"/>
        <v>45.452584321035161</v>
      </c>
      <c r="GG52" s="36">
        <f t="shared" ca="1" si="124"/>
        <v>45.926055145397719</v>
      </c>
      <c r="GH52" s="36">
        <f t="shared" ca="1" si="124"/>
        <v>45.625564457195409</v>
      </c>
      <c r="GI52" s="36">
        <f t="shared" ca="1" si="124"/>
        <v>46.665633475243574</v>
      </c>
      <c r="GJ52" s="36">
        <f t="shared" ca="1" si="124"/>
        <v>46.469665854580605</v>
      </c>
      <c r="GK52" s="36">
        <f t="shared" ca="1" si="124"/>
        <v>45.551050126361822</v>
      </c>
      <c r="GL52" s="36">
        <f t="shared" ca="1" si="124"/>
        <v>45.489668061317623</v>
      </c>
      <c r="GM52" s="36">
        <f t="shared" ca="1" si="124"/>
        <v>45.382573858381768</v>
      </c>
      <c r="GN52" s="36">
        <f t="shared" ca="1" si="124"/>
        <v>44.568949554161158</v>
      </c>
      <c r="GO52" s="36">
        <f t="shared" ca="1" si="124"/>
        <v>44.392200088210373</v>
      </c>
      <c r="GP52" s="36">
        <f t="shared" ca="1" si="124"/>
        <v>43.426655086780713</v>
      </c>
      <c r="GQ52" s="36">
        <f t="shared" ca="1" si="124"/>
        <v>43.079919960099659</v>
      </c>
      <c r="GR52" s="36">
        <f t="shared" ca="1" si="124"/>
        <v>42.393520242198704</v>
      </c>
      <c r="GS52" s="36">
        <f t="shared" ca="1" si="124"/>
        <v>43.278782918151521</v>
      </c>
      <c r="GT52" s="36">
        <f t="shared" ca="1" si="124"/>
        <v>43.173318405423693</v>
      </c>
      <c r="GU52" s="36">
        <f t="shared" ca="1" si="124"/>
        <v>42.89230583806129</v>
      </c>
      <c r="GV52" s="36">
        <f t="shared" ca="1" si="124"/>
        <v>42.590702515471442</v>
      </c>
      <c r="GW52" s="36">
        <f t="shared" ca="1" si="124"/>
        <v>41.462470135024056</v>
      </c>
      <c r="GX52" s="36">
        <f t="shared" ca="1" si="124"/>
        <v>41.959403738459606</v>
      </c>
      <c r="GY52" s="36">
        <f t="shared" ca="1" si="124"/>
        <v>42.142876627917524</v>
      </c>
      <c r="GZ52" s="36">
        <f t="shared" ca="1" si="124"/>
        <v>41.970201960833151</v>
      </c>
      <c r="HA52" s="36">
        <f t="shared" ca="1" si="124"/>
        <v>41.540582547951516</v>
      </c>
      <c r="HB52" s="36">
        <f t="shared" ca="1" si="124"/>
        <v>41.505978875352724</v>
      </c>
      <c r="HC52" s="36">
        <f t="shared" ca="1" si="124"/>
        <v>41.700166546833138</v>
      </c>
      <c r="HD52" s="36">
        <f t="shared" ca="1" si="124"/>
        <v>41.182807537834087</v>
      </c>
      <c r="HE52" s="36">
        <f t="shared" ca="1" si="124"/>
        <v>41.508078395968639</v>
      </c>
      <c r="HF52" s="36">
        <f t="shared" ca="1" si="124"/>
        <v>42.033886468129303</v>
      </c>
      <c r="HG52" s="36">
        <f t="shared" ca="1" si="124"/>
        <v>41.601795011315701</v>
      </c>
      <c r="HH52" s="36">
        <f t="shared" ca="1" si="124"/>
        <v>41.429933813358737</v>
      </c>
      <c r="HI52" s="36">
        <f t="shared" ca="1" si="124"/>
        <v>41.883252957284824</v>
      </c>
      <c r="HJ52" s="36">
        <f t="shared" ca="1" si="124"/>
        <v>41.718933604014495</v>
      </c>
      <c r="HK52" s="36">
        <f t="shared" ca="1" si="124"/>
        <v>43.207336162555556</v>
      </c>
      <c r="HL52" s="36">
        <f t="shared" ref="HL52:HT52" ca="1" si="125">HK52*EXP(($B$3-$B$4^2/2)*1+$B$4*_xlfn.NORM.S.INV(RAND()))</f>
        <v>42.932418894943652</v>
      </c>
      <c r="HM52" s="36">
        <f t="shared" ca="1" si="125"/>
        <v>42.706696057727314</v>
      </c>
      <c r="HN52" s="36">
        <f t="shared" ca="1" si="125"/>
        <v>42.297494090292375</v>
      </c>
      <c r="HO52" s="36">
        <f t="shared" ca="1" si="125"/>
        <v>42.53090454911883</v>
      </c>
      <c r="HP52" s="36">
        <f t="shared" ca="1" si="125"/>
        <v>42.50701478831111</v>
      </c>
      <c r="HQ52" s="36">
        <f t="shared" ca="1" si="125"/>
        <v>42.726612736266489</v>
      </c>
      <c r="HR52" s="36">
        <f t="shared" ca="1" si="125"/>
        <v>42.635945021056216</v>
      </c>
      <c r="HS52" s="36">
        <f t="shared" ca="1" si="125"/>
        <v>42.245627310107174</v>
      </c>
      <c r="HT52" s="36">
        <f t="shared" ca="1" si="125"/>
        <v>42.218109822982441</v>
      </c>
      <c r="HU52" s="36">
        <f t="shared" ca="1" si="103"/>
        <v>42.029693926704844</v>
      </c>
      <c r="HV52" s="36">
        <f t="shared" ca="1" si="103"/>
        <v>41.406941963049157</v>
      </c>
      <c r="HW52" s="36">
        <f t="shared" ca="1" si="103"/>
        <v>40.685558958254347</v>
      </c>
      <c r="HX52" s="36">
        <f t="shared" ca="1" si="103"/>
        <v>39.625747496418199</v>
      </c>
      <c r="HY52" s="36">
        <f t="shared" ca="1" si="103"/>
        <v>39.650108549838812</v>
      </c>
      <c r="HZ52" s="36">
        <f t="shared" ca="1" si="103"/>
        <v>40.060759078845464</v>
      </c>
      <c r="IA52" s="36">
        <f t="shared" ca="1" si="103"/>
        <v>39.276965737227307</v>
      </c>
      <c r="IB52" s="36">
        <f t="shared" ca="1" si="103"/>
        <v>39.778296144746903</v>
      </c>
      <c r="IC52" s="36">
        <f t="shared" ca="1" si="103"/>
        <v>39.551256691222996</v>
      </c>
      <c r="ID52" s="36">
        <f t="shared" ca="1" si="103"/>
        <v>39.433489728025165</v>
      </c>
      <c r="IE52" s="36">
        <f t="shared" ca="1" si="103"/>
        <v>39.413386250962937</v>
      </c>
      <c r="IF52" s="36">
        <f t="shared" ca="1" si="103"/>
        <v>39.463926887935465</v>
      </c>
      <c r="IG52" s="36">
        <f t="shared" ca="1" si="103"/>
        <v>38.543257440951379</v>
      </c>
      <c r="IH52" s="36">
        <f t="shared" ca="1" si="103"/>
        <v>39.089918920301059</v>
      </c>
      <c r="II52" s="36">
        <f t="shared" ca="1" si="103"/>
        <v>39.667197483724287</v>
      </c>
      <c r="IJ52" s="36">
        <f t="shared" ca="1" si="103"/>
        <v>39.204379695735277</v>
      </c>
      <c r="IK52" s="36">
        <f t="shared" ca="1" si="103"/>
        <v>39.950085701802273</v>
      </c>
      <c r="IL52" s="36">
        <f t="shared" ca="1" si="103"/>
        <v>39.430985434044665</v>
      </c>
      <c r="IM52" s="36">
        <f t="shared" ca="1" si="103"/>
        <v>39.064119351422079</v>
      </c>
      <c r="IN52" s="36">
        <f t="shared" ca="1" si="103"/>
        <v>39.254197327936936</v>
      </c>
      <c r="IO52" s="36">
        <f t="shared" ca="1" si="103"/>
        <v>39.515637978709456</v>
      </c>
      <c r="IP52" s="36">
        <f t="shared" ca="1" si="103"/>
        <v>39.432637353514075</v>
      </c>
      <c r="IQ52" s="36">
        <f t="shared" ca="1" si="103"/>
        <v>39.539088864854911</v>
      </c>
      <c r="IR52" s="36">
        <f t="shared" ca="1" si="103"/>
        <v>39.436650768804597</v>
      </c>
      <c r="IS52" s="36">
        <f t="shared" ca="1" si="103"/>
        <v>39.921007143105356</v>
      </c>
      <c r="IT52" s="36">
        <f t="shared" ca="1" si="103"/>
        <v>39.7506937114292</v>
      </c>
      <c r="IU52" s="36">
        <f t="shared" ca="1" si="103"/>
        <v>39.000429875909589</v>
      </c>
    </row>
    <row r="53" spans="1:255" x14ac:dyDescent="0.2">
      <c r="A53" s="36"/>
      <c r="B53">
        <v>43</v>
      </c>
      <c r="C53" s="36">
        <v>50</v>
      </c>
      <c r="D53" s="36">
        <f t="shared" ca="1" si="14"/>
        <v>49.430137505850844</v>
      </c>
      <c r="E53" s="36">
        <f t="shared" ca="1" si="14"/>
        <v>50.272242549709382</v>
      </c>
      <c r="F53" s="36">
        <f t="shared" ca="1" si="120"/>
        <v>49.892003486840736</v>
      </c>
      <c r="G53" s="36">
        <f t="shared" ca="1" si="120"/>
        <v>48.543676739928465</v>
      </c>
      <c r="H53" s="36">
        <f t="shared" ca="1" si="120"/>
        <v>49.347131607533029</v>
      </c>
      <c r="I53" s="36">
        <f t="shared" ca="1" si="120"/>
        <v>49.357114289687225</v>
      </c>
      <c r="J53" s="36">
        <f t="shared" ca="1" si="120"/>
        <v>49.424098113549292</v>
      </c>
      <c r="K53" s="36">
        <f t="shared" ca="1" si="120"/>
        <v>48.487749239110585</v>
      </c>
      <c r="L53" s="36">
        <f t="shared" ca="1" si="120"/>
        <v>48.049895984075313</v>
      </c>
      <c r="M53" s="36">
        <f t="shared" ca="1" si="120"/>
        <v>47.495407893398585</v>
      </c>
      <c r="N53" s="36">
        <f t="shared" ca="1" si="120"/>
        <v>48.212013426312538</v>
      </c>
      <c r="O53" s="36">
        <f t="shared" ca="1" si="120"/>
        <v>47.830068118025366</v>
      </c>
      <c r="P53" s="36">
        <f t="shared" ca="1" si="120"/>
        <v>46.947590856178806</v>
      </c>
      <c r="Q53" s="36">
        <f t="shared" ca="1" si="120"/>
        <v>46.998553537652064</v>
      </c>
      <c r="R53" s="36">
        <f t="shared" ca="1" si="120"/>
        <v>47.72028405123465</v>
      </c>
      <c r="S53" s="36">
        <f t="shared" ca="1" si="120"/>
        <v>48.277406916949687</v>
      </c>
      <c r="T53" s="36">
        <f t="shared" ca="1" si="120"/>
        <v>46.976752338693217</v>
      </c>
      <c r="U53" s="36">
        <f t="shared" ca="1" si="120"/>
        <v>46.919625893647115</v>
      </c>
      <c r="V53" s="36">
        <f t="shared" ca="1" si="120"/>
        <v>47.222157515818317</v>
      </c>
      <c r="W53" s="36">
        <f t="shared" ca="1" si="120"/>
        <v>47.643795995908881</v>
      </c>
      <c r="X53" s="36">
        <f t="shared" ca="1" si="120"/>
        <v>47.680945108705586</v>
      </c>
      <c r="Y53" s="36">
        <f t="shared" ca="1" si="120"/>
        <v>47.63441748462639</v>
      </c>
      <c r="Z53" s="36">
        <f t="shared" ca="1" si="120"/>
        <v>47.911154718719004</v>
      </c>
      <c r="AA53" s="36">
        <f t="shared" ca="1" si="120"/>
        <v>47.506651597695019</v>
      </c>
      <c r="AB53" s="36">
        <f t="shared" ca="1" si="120"/>
        <v>47.138057743511588</v>
      </c>
      <c r="AC53" s="36">
        <f t="shared" ca="1" si="120"/>
        <v>46.920205354712017</v>
      </c>
      <c r="AD53" s="36">
        <f t="shared" ca="1" si="120"/>
        <v>46.653011357550284</v>
      </c>
      <c r="AE53" s="36">
        <f t="shared" ca="1" si="120"/>
        <v>46.930496807072792</v>
      </c>
      <c r="AF53" s="36">
        <f t="shared" ca="1" si="120"/>
        <v>45.972293230943734</v>
      </c>
      <c r="AG53" s="36">
        <f t="shared" ca="1" si="120"/>
        <v>46.790155354438326</v>
      </c>
      <c r="AH53" s="36">
        <f t="shared" ca="1" si="120"/>
        <v>47.34193027077454</v>
      </c>
      <c r="AI53" s="36">
        <f t="shared" ca="1" si="120"/>
        <v>46.748965051952894</v>
      </c>
      <c r="AJ53" s="36">
        <f t="shared" ca="1" si="120"/>
        <v>46.99106083864492</v>
      </c>
      <c r="AK53" s="36">
        <f t="shared" ca="1" si="120"/>
        <v>46.122825250972269</v>
      </c>
      <c r="AL53" s="36">
        <f t="shared" ca="1" si="120"/>
        <v>46.592441338740713</v>
      </c>
      <c r="AM53" s="36">
        <f t="shared" ca="1" si="120"/>
        <v>47.318113803117747</v>
      </c>
      <c r="AN53" s="36">
        <f t="shared" ca="1" si="120"/>
        <v>47.417380249302084</v>
      </c>
      <c r="AO53" s="36">
        <f t="shared" ca="1" si="120"/>
        <v>47.452054016043178</v>
      </c>
      <c r="AP53" s="36">
        <f t="shared" ca="1" si="120"/>
        <v>46.800109655360359</v>
      </c>
      <c r="AQ53" s="36">
        <f t="shared" ca="1" si="120"/>
        <v>46.913836060787332</v>
      </c>
      <c r="AR53" s="36">
        <f t="shared" ca="1" si="120"/>
        <v>46.468389248625876</v>
      </c>
      <c r="AS53" s="36">
        <f t="shared" ca="1" si="120"/>
        <v>46.46770631379669</v>
      </c>
      <c r="AT53" s="36">
        <f t="shared" ca="1" si="120"/>
        <v>46.618092674412267</v>
      </c>
      <c r="AU53" s="36">
        <f t="shared" ca="1" si="120"/>
        <v>47.294651487424446</v>
      </c>
      <c r="AV53" s="36">
        <f t="shared" ca="1" si="120"/>
        <v>47.223520405571129</v>
      </c>
      <c r="AW53" s="36">
        <f t="shared" ca="1" si="120"/>
        <v>46.327602203473219</v>
      </c>
      <c r="AX53" s="36">
        <f t="shared" ca="1" si="120"/>
        <v>46.511021269464187</v>
      </c>
      <c r="AY53" s="36">
        <f t="shared" ca="1" si="120"/>
        <v>47.531041432088102</v>
      </c>
      <c r="AZ53" s="36">
        <f t="shared" ca="1" si="120"/>
        <v>47.353433434985966</v>
      </c>
      <c r="BA53" s="36">
        <f t="shared" ca="1" si="120"/>
        <v>48.164796367468135</v>
      </c>
      <c r="BB53" s="36">
        <f t="shared" ca="1" si="120"/>
        <v>48.745288447989317</v>
      </c>
      <c r="BC53" s="36">
        <f t="shared" ca="1" si="120"/>
        <v>48.666001933802512</v>
      </c>
      <c r="BD53" s="36">
        <f t="shared" ca="1" si="120"/>
        <v>47.225405832157179</v>
      </c>
      <c r="BE53" s="36">
        <f t="shared" ca="1" si="120"/>
        <v>47.650627028632179</v>
      </c>
      <c r="BF53" s="36">
        <f t="shared" ca="1" si="120"/>
        <v>47.392673462133764</v>
      </c>
      <c r="BG53" s="36">
        <f t="shared" ca="1" si="120"/>
        <v>48.07583255388009</v>
      </c>
      <c r="BH53" s="36">
        <f t="shared" ca="1" si="120"/>
        <v>48.565573811520913</v>
      </c>
      <c r="BI53" s="36">
        <f t="shared" ca="1" si="120"/>
        <v>50.191540076864392</v>
      </c>
      <c r="BJ53" s="36">
        <f t="shared" ca="1" si="120"/>
        <v>51.529878328922372</v>
      </c>
      <c r="BK53" s="36">
        <f t="shared" ca="1" si="120"/>
        <v>51.060163833594757</v>
      </c>
      <c r="BL53" s="36">
        <f t="shared" ca="1" si="120"/>
        <v>50.678873163985969</v>
      </c>
      <c r="BM53" s="36">
        <f t="shared" ca="1" si="120"/>
        <v>50.82030150588632</v>
      </c>
      <c r="BN53" s="36">
        <f t="shared" ca="1" si="120"/>
        <v>50.495329229028144</v>
      </c>
      <c r="BO53" s="36">
        <f t="shared" ca="1" si="120"/>
        <v>50.651104556712703</v>
      </c>
      <c r="BP53" s="36">
        <f t="shared" ca="1" si="120"/>
        <v>50.819577661501441</v>
      </c>
      <c r="BQ53" s="36">
        <f t="shared" ref="BQ53:EB56" ca="1" si="126">BP53*EXP(($B$3-$B$4^2/2)*1+$B$4*_xlfn.NORM.S.INV(RAND()))</f>
        <v>51.425724581065047</v>
      </c>
      <c r="BR53" s="36">
        <f t="shared" ca="1" si="126"/>
        <v>51.963240930318356</v>
      </c>
      <c r="BS53" s="36">
        <f t="shared" ca="1" si="126"/>
        <v>52.659635245543718</v>
      </c>
      <c r="BT53" s="36">
        <f t="shared" ca="1" si="126"/>
        <v>51.107876082152899</v>
      </c>
      <c r="BU53" s="36">
        <f t="shared" ca="1" si="126"/>
        <v>50.251273136696874</v>
      </c>
      <c r="BV53" s="36">
        <f t="shared" ca="1" si="126"/>
        <v>49.653552188334473</v>
      </c>
      <c r="BW53" s="36">
        <f t="shared" ca="1" si="126"/>
        <v>49.838160544872757</v>
      </c>
      <c r="BX53" s="36">
        <f t="shared" ca="1" si="126"/>
        <v>49.997322035218048</v>
      </c>
      <c r="BY53" s="36">
        <f t="shared" ca="1" si="126"/>
        <v>50.250054902219176</v>
      </c>
      <c r="BZ53" s="36">
        <f t="shared" ca="1" si="126"/>
        <v>49.927239244825728</v>
      </c>
      <c r="CA53" s="36">
        <f t="shared" ca="1" si="126"/>
        <v>51.009217963799173</v>
      </c>
      <c r="CB53" s="36">
        <f t="shared" ca="1" si="126"/>
        <v>51.256303862469132</v>
      </c>
      <c r="CC53" s="36">
        <f t="shared" ca="1" si="126"/>
        <v>51.227065923309965</v>
      </c>
      <c r="CD53" s="36">
        <f t="shared" ca="1" si="126"/>
        <v>49.426790177406893</v>
      </c>
      <c r="CE53" s="36">
        <f t="shared" ca="1" si="126"/>
        <v>49.362702878527116</v>
      </c>
      <c r="CF53" s="36">
        <f t="shared" ca="1" si="126"/>
        <v>48.871073396803176</v>
      </c>
      <c r="CG53" s="36">
        <f t="shared" ca="1" si="126"/>
        <v>49.894321252455619</v>
      </c>
      <c r="CH53" s="36">
        <f t="shared" ca="1" si="126"/>
        <v>50.534983050592913</v>
      </c>
      <c r="CI53" s="36">
        <f t="shared" ca="1" si="126"/>
        <v>50.528658947198707</v>
      </c>
      <c r="CJ53" s="36">
        <f t="shared" ca="1" si="126"/>
        <v>50.407455995866648</v>
      </c>
      <c r="CK53" s="36">
        <f t="shared" ca="1" si="126"/>
        <v>50.991413636294361</v>
      </c>
      <c r="CL53" s="36">
        <f t="shared" ca="1" si="126"/>
        <v>51.133284037825128</v>
      </c>
      <c r="CM53" s="36">
        <f t="shared" ca="1" si="126"/>
        <v>52.213782613936239</v>
      </c>
      <c r="CN53" s="36">
        <f t="shared" ca="1" si="126"/>
        <v>51.860588033243012</v>
      </c>
      <c r="CO53" s="36">
        <f t="shared" ca="1" si="126"/>
        <v>51.856061526705311</v>
      </c>
      <c r="CP53" s="36">
        <f t="shared" ca="1" si="126"/>
        <v>51.194734430190202</v>
      </c>
      <c r="CQ53" s="36">
        <f t="shared" ca="1" si="126"/>
        <v>52.375778955780895</v>
      </c>
      <c r="CR53" s="36">
        <f t="shared" ca="1" si="126"/>
        <v>52.367324736810509</v>
      </c>
      <c r="CS53" s="36">
        <f t="shared" ca="1" si="126"/>
        <v>51.258429167734739</v>
      </c>
      <c r="CT53" s="36">
        <f t="shared" ca="1" si="126"/>
        <v>50.817727686447824</v>
      </c>
      <c r="CU53" s="36">
        <f t="shared" ca="1" si="126"/>
        <v>50.171577945623497</v>
      </c>
      <c r="CV53" s="36">
        <f t="shared" ca="1" si="126"/>
        <v>50.149973424694089</v>
      </c>
      <c r="CW53" s="36">
        <f t="shared" ca="1" si="126"/>
        <v>50.130975089828105</v>
      </c>
      <c r="CX53" s="36">
        <f t="shared" ca="1" si="126"/>
        <v>50.407976256716395</v>
      </c>
      <c r="CY53" s="36">
        <f t="shared" ca="1" si="126"/>
        <v>50.744385042231102</v>
      </c>
      <c r="CZ53" s="36">
        <f t="shared" ca="1" si="126"/>
        <v>50.048287527347306</v>
      </c>
      <c r="DA53" s="36">
        <f t="shared" ca="1" si="126"/>
        <v>50.016509498404993</v>
      </c>
      <c r="DB53" s="36">
        <f t="shared" ca="1" si="126"/>
        <v>49.682283551669805</v>
      </c>
      <c r="DC53" s="36">
        <f t="shared" ca="1" si="126"/>
        <v>49.060289154447084</v>
      </c>
      <c r="DD53" s="36">
        <f t="shared" ca="1" si="126"/>
        <v>48.640230830116323</v>
      </c>
      <c r="DE53" s="36">
        <f t="shared" ca="1" si="126"/>
        <v>49.290722100631676</v>
      </c>
      <c r="DF53" s="36">
        <f t="shared" ca="1" si="126"/>
        <v>48.764134417429446</v>
      </c>
      <c r="DG53" s="36">
        <f t="shared" ca="1" si="126"/>
        <v>48.180526070459877</v>
      </c>
      <c r="DH53" s="36">
        <f t="shared" ca="1" si="126"/>
        <v>48.194406658818842</v>
      </c>
      <c r="DI53" s="36">
        <f t="shared" ca="1" si="126"/>
        <v>48.117824559119654</v>
      </c>
      <c r="DJ53" s="36">
        <f t="shared" ca="1" si="126"/>
        <v>48.859512444877844</v>
      </c>
      <c r="DK53" s="36">
        <f t="shared" ca="1" si="126"/>
        <v>48.742232433403267</v>
      </c>
      <c r="DL53" s="36">
        <f t="shared" ca="1" si="126"/>
        <v>48.856415121322208</v>
      </c>
      <c r="DM53" s="36">
        <f t="shared" ca="1" si="126"/>
        <v>49.735844227336955</v>
      </c>
      <c r="DN53" s="36">
        <f t="shared" ca="1" si="126"/>
        <v>50.825624437707894</v>
      </c>
      <c r="DO53" s="36">
        <f t="shared" ca="1" si="126"/>
        <v>50.090252949905789</v>
      </c>
      <c r="DP53" s="36">
        <f t="shared" ca="1" si="126"/>
        <v>50.105499834143266</v>
      </c>
      <c r="DQ53" s="36">
        <f t="shared" ca="1" si="126"/>
        <v>50.013684739850149</v>
      </c>
      <c r="DR53" s="36">
        <f t="shared" ca="1" si="126"/>
        <v>50.112980612630082</v>
      </c>
      <c r="DS53" s="36">
        <f t="shared" ca="1" si="126"/>
        <v>51.510547683951842</v>
      </c>
      <c r="DT53" s="36">
        <f t="shared" ca="1" si="126"/>
        <v>51.537250161061827</v>
      </c>
      <c r="DU53" s="36">
        <f t="shared" ca="1" si="126"/>
        <v>50.873178893299674</v>
      </c>
      <c r="DV53" s="36">
        <f t="shared" ca="1" si="126"/>
        <v>50.636243125786571</v>
      </c>
      <c r="DW53" s="36">
        <f t="shared" ca="1" si="126"/>
        <v>51.948771105833821</v>
      </c>
      <c r="DX53" s="36">
        <f t="shared" ca="1" si="126"/>
        <v>50.080427705505613</v>
      </c>
      <c r="DY53" s="36">
        <f t="shared" ca="1" si="126"/>
        <v>49.537786317943741</v>
      </c>
      <c r="DZ53" s="36">
        <f t="shared" ca="1" si="126"/>
        <v>48.519154393360402</v>
      </c>
      <c r="EA53" s="36">
        <f t="shared" ca="1" si="126"/>
        <v>47.964375109372853</v>
      </c>
      <c r="EB53" s="36">
        <f t="shared" ca="1" si="126"/>
        <v>48.076739871775132</v>
      </c>
      <c r="EC53" s="36">
        <f t="shared" ca="1" si="107"/>
        <v>47.98453694018292</v>
      </c>
      <c r="ED53" s="36">
        <f t="shared" ca="1" si="107"/>
        <v>47.884391971114276</v>
      </c>
      <c r="EE53" s="36">
        <f t="shared" ca="1" si="107"/>
        <v>47.335047417730117</v>
      </c>
      <c r="EF53" s="36">
        <f t="shared" ca="1" si="107"/>
        <v>47.314792368733805</v>
      </c>
      <c r="EG53" s="36">
        <f t="shared" ca="1" si="107"/>
        <v>47.255085765772542</v>
      </c>
      <c r="EH53" s="36">
        <f t="shared" ca="1" si="107"/>
        <v>48.374216126037794</v>
      </c>
      <c r="EI53" s="36">
        <f t="shared" ca="1" si="107"/>
        <v>48.629528738181534</v>
      </c>
      <c r="EJ53" s="36">
        <f t="shared" ca="1" si="107"/>
        <v>47.54359260553997</v>
      </c>
      <c r="EK53" s="36">
        <f t="shared" ca="1" si="107"/>
        <v>45.815004454135419</v>
      </c>
      <c r="EL53" s="36">
        <f t="shared" ca="1" si="107"/>
        <v>44.669272884346952</v>
      </c>
      <c r="EM53" s="36">
        <f t="shared" ca="1" si="107"/>
        <v>44.621801115494236</v>
      </c>
      <c r="EN53" s="36">
        <f t="shared" ca="1" si="107"/>
        <v>43.514509098530432</v>
      </c>
      <c r="EO53" s="36">
        <f t="shared" ca="1" si="107"/>
        <v>43.978588707261402</v>
      </c>
      <c r="EP53" s="36">
        <f t="shared" ca="1" si="107"/>
        <v>43.724815144436803</v>
      </c>
      <c r="EQ53" s="36">
        <f t="shared" ca="1" si="107"/>
        <v>44.117719449388566</v>
      </c>
      <c r="ER53" s="36">
        <f t="shared" ca="1" si="107"/>
        <v>43.938866412274301</v>
      </c>
      <c r="ES53" s="36">
        <f t="shared" ca="1" si="107"/>
        <v>43.758271860498553</v>
      </c>
      <c r="ET53" s="36">
        <f t="shared" ca="1" si="107"/>
        <v>44.332169784389592</v>
      </c>
      <c r="EU53" s="36">
        <f t="shared" ca="1" si="107"/>
        <v>43.974913912052862</v>
      </c>
      <c r="EV53" s="36">
        <f t="shared" ca="1" si="107"/>
        <v>43.537642436810614</v>
      </c>
      <c r="EW53" s="36">
        <f t="shared" ref="EW53:HH57" ca="1" si="127">EV53*EXP(($B$3-$B$4^2/2)*1+$B$4*_xlfn.NORM.S.INV(RAND()))</f>
        <v>43.610369515042841</v>
      </c>
      <c r="EX53" s="36">
        <f t="shared" ca="1" si="127"/>
        <v>42.789602666655085</v>
      </c>
      <c r="EY53" s="36">
        <f t="shared" ca="1" si="127"/>
        <v>43.145064709911829</v>
      </c>
      <c r="EZ53" s="36">
        <f t="shared" ca="1" si="127"/>
        <v>42.765637066421547</v>
      </c>
      <c r="FA53" s="36">
        <f t="shared" ca="1" si="127"/>
        <v>43.432267224819448</v>
      </c>
      <c r="FB53" s="36">
        <f t="shared" ca="1" si="127"/>
        <v>43.253960967866696</v>
      </c>
      <c r="FC53" s="36">
        <f t="shared" ca="1" si="127"/>
        <v>43.263401427589514</v>
      </c>
      <c r="FD53" s="36">
        <f t="shared" ca="1" si="127"/>
        <v>43.442789085693107</v>
      </c>
      <c r="FE53" s="36">
        <f t="shared" ca="1" si="127"/>
        <v>43.01752108292078</v>
      </c>
      <c r="FF53" s="36">
        <f t="shared" ca="1" si="127"/>
        <v>43.736207809839641</v>
      </c>
      <c r="FG53" s="36">
        <f t="shared" ca="1" si="127"/>
        <v>43.760465817260361</v>
      </c>
      <c r="FH53" s="36">
        <f t="shared" ca="1" si="127"/>
        <v>44.432613950573675</v>
      </c>
      <c r="FI53" s="36">
        <f t="shared" ca="1" si="127"/>
        <v>44.071532240748454</v>
      </c>
      <c r="FJ53" s="36">
        <f t="shared" ca="1" si="127"/>
        <v>43.20470445100397</v>
      </c>
      <c r="FK53" s="36">
        <f t="shared" ca="1" si="127"/>
        <v>43.622034631069141</v>
      </c>
      <c r="FL53" s="36">
        <f t="shared" ca="1" si="127"/>
        <v>43.774914708388906</v>
      </c>
      <c r="FM53" s="36">
        <f t="shared" ca="1" si="127"/>
        <v>43.555729881467677</v>
      </c>
      <c r="FN53" s="36">
        <f t="shared" ca="1" si="127"/>
        <v>44.124751414497844</v>
      </c>
      <c r="FO53" s="36">
        <f t="shared" ca="1" si="127"/>
        <v>43.047755329499324</v>
      </c>
      <c r="FP53" s="36">
        <f t="shared" ca="1" si="127"/>
        <v>43.39487913855104</v>
      </c>
      <c r="FQ53" s="36">
        <f t="shared" ca="1" si="127"/>
        <v>43.106135733945358</v>
      </c>
      <c r="FR53" s="36">
        <f t="shared" ca="1" si="127"/>
        <v>43.024698651007682</v>
      </c>
      <c r="FS53" s="36">
        <f t="shared" ca="1" si="127"/>
        <v>42.812611591533482</v>
      </c>
      <c r="FT53" s="36">
        <f t="shared" ca="1" si="127"/>
        <v>42.346841109813766</v>
      </c>
      <c r="FU53" s="36">
        <f t="shared" ca="1" si="127"/>
        <v>42.684593943420836</v>
      </c>
      <c r="FV53" s="36">
        <f t="shared" ca="1" si="127"/>
        <v>43.162570512984423</v>
      </c>
      <c r="FW53" s="36">
        <f t="shared" ca="1" si="127"/>
        <v>43.096503091220193</v>
      </c>
      <c r="FX53" s="36">
        <f t="shared" ca="1" si="127"/>
        <v>42.855383502201292</v>
      </c>
      <c r="FY53" s="36">
        <f t="shared" ca="1" si="127"/>
        <v>42.998412885742368</v>
      </c>
      <c r="FZ53" s="36">
        <f t="shared" ca="1" si="127"/>
        <v>43.015583928631052</v>
      </c>
      <c r="GA53" s="36">
        <f t="shared" ca="1" si="127"/>
        <v>42.487025604841527</v>
      </c>
      <c r="GB53" s="36">
        <f t="shared" ca="1" si="127"/>
        <v>42.096412969170672</v>
      </c>
      <c r="GC53" s="36">
        <f t="shared" ca="1" si="127"/>
        <v>41.875331608622801</v>
      </c>
      <c r="GD53" s="36">
        <f t="shared" ca="1" si="127"/>
        <v>41.815798112557509</v>
      </c>
      <c r="GE53" s="36">
        <f t="shared" ca="1" si="127"/>
        <v>41.87714776670758</v>
      </c>
      <c r="GF53" s="36">
        <f t="shared" ca="1" si="127"/>
        <v>41.652378890960406</v>
      </c>
      <c r="GG53" s="36">
        <f t="shared" ca="1" si="127"/>
        <v>41.812599991172497</v>
      </c>
      <c r="GH53" s="36">
        <f t="shared" ca="1" si="127"/>
        <v>42.202727381053386</v>
      </c>
      <c r="GI53" s="36">
        <f t="shared" ca="1" si="127"/>
        <v>44.107589635466837</v>
      </c>
      <c r="GJ53" s="36">
        <f t="shared" ca="1" si="127"/>
        <v>43.765850969760763</v>
      </c>
      <c r="GK53" s="36">
        <f t="shared" ca="1" si="127"/>
        <v>43.562766011971995</v>
      </c>
      <c r="GL53" s="36">
        <f t="shared" ca="1" si="127"/>
        <v>42.93111335530142</v>
      </c>
      <c r="GM53" s="36">
        <f t="shared" ca="1" si="127"/>
        <v>42.543650683418676</v>
      </c>
      <c r="GN53" s="36">
        <f t="shared" ca="1" si="127"/>
        <v>43.022231916853002</v>
      </c>
      <c r="GO53" s="36">
        <f t="shared" ca="1" si="127"/>
        <v>42.859250932251868</v>
      </c>
      <c r="GP53" s="36">
        <f t="shared" ca="1" si="127"/>
        <v>42.207150063453824</v>
      </c>
      <c r="GQ53" s="36">
        <f t="shared" ca="1" si="127"/>
        <v>42.142597140389626</v>
      </c>
      <c r="GR53" s="36">
        <f t="shared" ca="1" si="127"/>
        <v>42.382428296020585</v>
      </c>
      <c r="GS53" s="36">
        <f t="shared" ca="1" si="127"/>
        <v>42.701999135459985</v>
      </c>
      <c r="GT53" s="36">
        <f t="shared" ca="1" si="127"/>
        <v>42.89889256733715</v>
      </c>
      <c r="GU53" s="36">
        <f t="shared" ca="1" si="127"/>
        <v>43.586068989003202</v>
      </c>
      <c r="GV53" s="36">
        <f t="shared" ca="1" si="127"/>
        <v>43.006680104692968</v>
      </c>
      <c r="GW53" s="36">
        <f t="shared" ca="1" si="127"/>
        <v>42.418836908241403</v>
      </c>
      <c r="GX53" s="36">
        <f t="shared" ca="1" si="127"/>
        <v>42.866857054452808</v>
      </c>
      <c r="GY53" s="36">
        <f t="shared" ca="1" si="127"/>
        <v>42.62241165881224</v>
      </c>
      <c r="GZ53" s="36">
        <f t="shared" ca="1" si="127"/>
        <v>42.693189490472918</v>
      </c>
      <c r="HA53" s="36">
        <f t="shared" ca="1" si="127"/>
        <v>43.407248865201886</v>
      </c>
      <c r="HB53" s="36">
        <f t="shared" ca="1" si="127"/>
        <v>41.653298021079728</v>
      </c>
      <c r="HC53" s="36">
        <f t="shared" ca="1" si="127"/>
        <v>41.19723308075217</v>
      </c>
      <c r="HD53" s="36">
        <f t="shared" ca="1" si="127"/>
        <v>41.274017549944368</v>
      </c>
      <c r="HE53" s="36">
        <f t="shared" ca="1" si="127"/>
        <v>41.014957946417056</v>
      </c>
      <c r="HF53" s="36">
        <f t="shared" ca="1" si="127"/>
        <v>40.482186992106115</v>
      </c>
      <c r="HG53" s="36">
        <f t="shared" ca="1" si="127"/>
        <v>41.260451190922126</v>
      </c>
      <c r="HH53" s="36">
        <f t="shared" ca="1" si="127"/>
        <v>41.653334267890656</v>
      </c>
      <c r="HI53" s="36">
        <f t="shared" ref="HI53:HX64" ca="1" si="128">HH53*EXP(($B$3-$B$4^2/2)*1+$B$4*_xlfn.NORM.S.INV(RAND()))</f>
        <v>41.613571830541723</v>
      </c>
      <c r="HJ53" s="36">
        <f t="shared" ca="1" si="128"/>
        <v>41.057911315314485</v>
      </c>
      <c r="HK53" s="36">
        <f t="shared" ca="1" si="128"/>
        <v>40.333167561063334</v>
      </c>
      <c r="HL53" s="36">
        <f t="shared" ca="1" si="128"/>
        <v>40.117877980821497</v>
      </c>
      <c r="HM53" s="36">
        <f t="shared" ca="1" si="128"/>
        <v>40.765819554640508</v>
      </c>
      <c r="HN53" s="36">
        <f t="shared" ca="1" si="128"/>
        <v>41.137217503350456</v>
      </c>
      <c r="HO53" s="36">
        <f t="shared" ca="1" si="128"/>
        <v>41.649344635620693</v>
      </c>
      <c r="HP53" s="36">
        <f t="shared" ca="1" si="128"/>
        <v>41.260348995911528</v>
      </c>
      <c r="HQ53" s="36">
        <f t="shared" ca="1" si="128"/>
        <v>41.58124436931562</v>
      </c>
      <c r="HR53" s="36">
        <f t="shared" ca="1" si="128"/>
        <v>41.217543296433398</v>
      </c>
      <c r="HS53" s="36">
        <f t="shared" ca="1" si="128"/>
        <v>40.441033439071298</v>
      </c>
      <c r="HT53" s="36">
        <f t="shared" ca="1" si="128"/>
        <v>40.86198748599034</v>
      </c>
      <c r="HU53" s="36">
        <f t="shared" ca="1" si="128"/>
        <v>41.430033251915518</v>
      </c>
      <c r="HV53" s="36">
        <f t="shared" ca="1" si="128"/>
        <v>40.506011499384499</v>
      </c>
      <c r="HW53" s="36">
        <f t="shared" ca="1" si="128"/>
        <v>40.368341183156076</v>
      </c>
      <c r="HX53" s="36">
        <f t="shared" ca="1" si="128"/>
        <v>40.228935959765167</v>
      </c>
      <c r="HY53" s="36">
        <f t="shared" ref="HY53:IU64" ca="1" si="129">HX53*EXP(($B$3-$B$4^2/2)*1+$B$4*_xlfn.NORM.S.INV(RAND()))</f>
        <v>40.813946034735757</v>
      </c>
      <c r="HZ53" s="36">
        <f t="shared" ca="1" si="129"/>
        <v>41.130692829913372</v>
      </c>
      <c r="IA53" s="36">
        <f t="shared" ca="1" si="129"/>
        <v>40.623855929419619</v>
      </c>
      <c r="IB53" s="36">
        <f t="shared" ca="1" si="129"/>
        <v>40.462794287705748</v>
      </c>
      <c r="IC53" s="36">
        <f t="shared" ca="1" si="129"/>
        <v>40.3625583078706</v>
      </c>
      <c r="ID53" s="36">
        <f t="shared" ca="1" si="129"/>
        <v>40.898466114869692</v>
      </c>
      <c r="IE53" s="36">
        <f t="shared" ca="1" si="129"/>
        <v>40.58301860803806</v>
      </c>
      <c r="IF53" s="36">
        <f t="shared" ca="1" si="129"/>
        <v>39.984356965669058</v>
      </c>
      <c r="IG53" s="36">
        <f t="shared" ca="1" si="129"/>
        <v>40.011346477694978</v>
      </c>
      <c r="IH53" s="36">
        <f t="shared" ca="1" si="129"/>
        <v>41.200802668581034</v>
      </c>
      <c r="II53" s="36">
        <f t="shared" ca="1" si="129"/>
        <v>41.141918943054378</v>
      </c>
      <c r="IJ53" s="36">
        <f t="shared" ca="1" si="129"/>
        <v>40.514506979277009</v>
      </c>
      <c r="IK53" s="36">
        <f t="shared" ca="1" si="129"/>
        <v>40.239387845085481</v>
      </c>
      <c r="IL53" s="36">
        <f t="shared" ca="1" si="129"/>
        <v>40.008852637927944</v>
      </c>
      <c r="IM53" s="36">
        <f t="shared" ca="1" si="129"/>
        <v>39.760909309375442</v>
      </c>
      <c r="IN53" s="36">
        <f t="shared" ca="1" si="129"/>
        <v>39.481391471826193</v>
      </c>
      <c r="IO53" s="36">
        <f t="shared" ca="1" si="129"/>
        <v>39.785346897992831</v>
      </c>
      <c r="IP53" s="36">
        <f t="shared" ca="1" si="129"/>
        <v>39.036428137288262</v>
      </c>
      <c r="IQ53" s="36">
        <f t="shared" ca="1" si="129"/>
        <v>38.91208990080451</v>
      </c>
      <c r="IR53" s="36">
        <f t="shared" ca="1" si="129"/>
        <v>39.825455707051631</v>
      </c>
      <c r="IS53" s="36">
        <f t="shared" ca="1" si="129"/>
        <v>39.420925087644498</v>
      </c>
      <c r="IT53" s="36">
        <f t="shared" ca="1" si="129"/>
        <v>39.599838539398228</v>
      </c>
      <c r="IU53" s="36">
        <f t="shared" ca="1" si="129"/>
        <v>39.560811537571936</v>
      </c>
    </row>
    <row r="54" spans="1:255" x14ac:dyDescent="0.2">
      <c r="A54" s="36"/>
      <c r="B54">
        <v>44</v>
      </c>
      <c r="C54" s="36">
        <v>50</v>
      </c>
      <c r="D54" s="36">
        <f t="shared" ca="1" si="14"/>
        <v>50.527341229976386</v>
      </c>
      <c r="E54" s="36">
        <f t="shared" ca="1" si="14"/>
        <v>49.920546273771052</v>
      </c>
      <c r="F54" s="36">
        <f t="shared" ref="F54:BQ57" ca="1" si="130">E54*EXP(($B$3-$B$4^2/2)*1+$B$4*_xlfn.NORM.S.INV(RAND()))</f>
        <v>48.89247244012698</v>
      </c>
      <c r="G54" s="36">
        <f t="shared" ca="1" si="130"/>
        <v>49.225001586515532</v>
      </c>
      <c r="H54" s="36">
        <f t="shared" ca="1" si="130"/>
        <v>48.647320057438272</v>
      </c>
      <c r="I54" s="36">
        <f t="shared" ca="1" si="130"/>
        <v>49.233167949748825</v>
      </c>
      <c r="J54" s="36">
        <f t="shared" ca="1" si="130"/>
        <v>48.254493515465285</v>
      </c>
      <c r="K54" s="36">
        <f t="shared" ca="1" si="130"/>
        <v>48.544476472221326</v>
      </c>
      <c r="L54" s="36">
        <f t="shared" ca="1" si="130"/>
        <v>47.216539763578332</v>
      </c>
      <c r="M54" s="36">
        <f t="shared" ca="1" si="130"/>
        <v>46.083399854959602</v>
      </c>
      <c r="N54" s="36">
        <f t="shared" ca="1" si="130"/>
        <v>45.963747875563627</v>
      </c>
      <c r="O54" s="36">
        <f t="shared" ca="1" si="130"/>
        <v>46.603021558536774</v>
      </c>
      <c r="P54" s="36">
        <f t="shared" ca="1" si="130"/>
        <v>46.447534625137237</v>
      </c>
      <c r="Q54" s="36">
        <f t="shared" ca="1" si="130"/>
        <v>46.466378575877954</v>
      </c>
      <c r="R54" s="36">
        <f t="shared" ca="1" si="130"/>
        <v>47.277396511411979</v>
      </c>
      <c r="S54" s="36">
        <f t="shared" ca="1" si="130"/>
        <v>46.608669624066444</v>
      </c>
      <c r="T54" s="36">
        <f t="shared" ca="1" si="130"/>
        <v>48.091255423554671</v>
      </c>
      <c r="U54" s="36">
        <f t="shared" ca="1" si="130"/>
        <v>49.241034225316042</v>
      </c>
      <c r="V54" s="36">
        <f t="shared" ca="1" si="130"/>
        <v>50.040433472819856</v>
      </c>
      <c r="W54" s="36">
        <f t="shared" ca="1" si="130"/>
        <v>50.271564229256597</v>
      </c>
      <c r="X54" s="36">
        <f t="shared" ca="1" si="130"/>
        <v>51.007232074789236</v>
      </c>
      <c r="Y54" s="36">
        <f t="shared" ca="1" si="130"/>
        <v>50.571576307097793</v>
      </c>
      <c r="Z54" s="36">
        <f t="shared" ca="1" si="130"/>
        <v>50.987121360159797</v>
      </c>
      <c r="AA54" s="36">
        <f t="shared" ca="1" si="130"/>
        <v>50.93062402822148</v>
      </c>
      <c r="AB54" s="36">
        <f t="shared" ca="1" si="130"/>
        <v>51.093928204422589</v>
      </c>
      <c r="AC54" s="36">
        <f t="shared" ca="1" si="130"/>
        <v>50.682988103755761</v>
      </c>
      <c r="AD54" s="36">
        <f t="shared" ca="1" si="130"/>
        <v>51.195453265171281</v>
      </c>
      <c r="AE54" s="36">
        <f t="shared" ca="1" si="130"/>
        <v>50.906262824707028</v>
      </c>
      <c r="AF54" s="36">
        <f t="shared" ca="1" si="130"/>
        <v>51.65859675216786</v>
      </c>
      <c r="AG54" s="36">
        <f t="shared" ca="1" si="130"/>
        <v>51.770386803828259</v>
      </c>
      <c r="AH54" s="36">
        <f t="shared" ca="1" si="130"/>
        <v>51.685031043639654</v>
      </c>
      <c r="AI54" s="36">
        <f t="shared" ca="1" si="130"/>
        <v>52.66367146280453</v>
      </c>
      <c r="AJ54" s="36">
        <f t="shared" ca="1" si="130"/>
        <v>53.148375014048653</v>
      </c>
      <c r="AK54" s="36">
        <f t="shared" ca="1" si="130"/>
        <v>54.348188289738211</v>
      </c>
      <c r="AL54" s="36">
        <f t="shared" ca="1" si="130"/>
        <v>55.406843948252465</v>
      </c>
      <c r="AM54" s="36">
        <f t="shared" ca="1" si="130"/>
        <v>54.989957374315253</v>
      </c>
      <c r="AN54" s="36">
        <f t="shared" ca="1" si="130"/>
        <v>55.331584235410254</v>
      </c>
      <c r="AO54" s="36">
        <f t="shared" ca="1" si="130"/>
        <v>55.884015083052709</v>
      </c>
      <c r="AP54" s="36">
        <f t="shared" ca="1" si="130"/>
        <v>57.041010963385567</v>
      </c>
      <c r="AQ54" s="36">
        <f t="shared" ca="1" si="130"/>
        <v>56.818491777507589</v>
      </c>
      <c r="AR54" s="36">
        <f t="shared" ca="1" si="130"/>
        <v>56.014671066798407</v>
      </c>
      <c r="AS54" s="36">
        <f t="shared" ca="1" si="130"/>
        <v>57.362336515843438</v>
      </c>
      <c r="AT54" s="36">
        <f t="shared" ca="1" si="130"/>
        <v>56.922638111254727</v>
      </c>
      <c r="AU54" s="36">
        <f t="shared" ca="1" si="130"/>
        <v>57.35391063984558</v>
      </c>
      <c r="AV54" s="36">
        <f t="shared" ca="1" si="130"/>
        <v>57.110929382729253</v>
      </c>
      <c r="AW54" s="36">
        <f t="shared" ca="1" si="130"/>
        <v>55.971459545280133</v>
      </c>
      <c r="AX54" s="36">
        <f t="shared" ca="1" si="130"/>
        <v>55.078125567686548</v>
      </c>
      <c r="AY54" s="36">
        <f t="shared" ca="1" si="130"/>
        <v>53.65491721542265</v>
      </c>
      <c r="AZ54" s="36">
        <f t="shared" ca="1" si="130"/>
        <v>52.762536246227647</v>
      </c>
      <c r="BA54" s="36">
        <f t="shared" ca="1" si="130"/>
        <v>53.003357636423033</v>
      </c>
      <c r="BB54" s="36">
        <f t="shared" ca="1" si="130"/>
        <v>52.714095128760405</v>
      </c>
      <c r="BC54" s="36">
        <f t="shared" ca="1" si="130"/>
        <v>54.09467782177299</v>
      </c>
      <c r="BD54" s="36">
        <f t="shared" ca="1" si="130"/>
        <v>54.094007568419691</v>
      </c>
      <c r="BE54" s="36">
        <f t="shared" ca="1" si="130"/>
        <v>54.656027239943803</v>
      </c>
      <c r="BF54" s="36">
        <f t="shared" ca="1" si="130"/>
        <v>54.366546363809235</v>
      </c>
      <c r="BG54" s="36">
        <f t="shared" ca="1" si="130"/>
        <v>56.551365568724776</v>
      </c>
      <c r="BH54" s="36">
        <f t="shared" ca="1" si="130"/>
        <v>54.882825718649961</v>
      </c>
      <c r="BI54" s="36">
        <f t="shared" ca="1" si="130"/>
        <v>55.394079827851655</v>
      </c>
      <c r="BJ54" s="36">
        <f t="shared" ca="1" si="130"/>
        <v>55.072787957497589</v>
      </c>
      <c r="BK54" s="36">
        <f t="shared" ca="1" si="130"/>
        <v>55.263415871278021</v>
      </c>
      <c r="BL54" s="36">
        <f t="shared" ca="1" si="130"/>
        <v>55.922578233177688</v>
      </c>
      <c r="BM54" s="36">
        <f t="shared" ca="1" si="130"/>
        <v>55.538834653502967</v>
      </c>
      <c r="BN54" s="36">
        <f t="shared" ca="1" si="130"/>
        <v>55.890248472368022</v>
      </c>
      <c r="BO54" s="36">
        <f t="shared" ca="1" si="130"/>
        <v>55.639102619800383</v>
      </c>
      <c r="BP54" s="36">
        <f t="shared" ca="1" si="130"/>
        <v>55.393548527680252</v>
      </c>
      <c r="BQ54" s="36">
        <f t="shared" ca="1" si="130"/>
        <v>54.88429588523217</v>
      </c>
      <c r="BR54" s="36">
        <f t="shared" ca="1" si="126"/>
        <v>53.486054875016947</v>
      </c>
      <c r="BS54" s="36">
        <f t="shared" ca="1" si="126"/>
        <v>53.290930903131787</v>
      </c>
      <c r="BT54" s="36">
        <f t="shared" ca="1" si="126"/>
        <v>53.244585945762871</v>
      </c>
      <c r="BU54" s="36">
        <f t="shared" ca="1" si="126"/>
        <v>52.643681989044346</v>
      </c>
      <c r="BV54" s="36">
        <f t="shared" ca="1" si="126"/>
        <v>53.09756550920946</v>
      </c>
      <c r="BW54" s="36">
        <f t="shared" ca="1" si="126"/>
        <v>53.291276158683985</v>
      </c>
      <c r="BX54" s="36">
        <f t="shared" ca="1" si="126"/>
        <v>52.590502278955505</v>
      </c>
      <c r="BY54" s="36">
        <f t="shared" ca="1" si="126"/>
        <v>52.878934870616476</v>
      </c>
      <c r="BZ54" s="36">
        <f t="shared" ca="1" si="126"/>
        <v>53.494207404376425</v>
      </c>
      <c r="CA54" s="36">
        <f t="shared" ca="1" si="126"/>
        <v>53.997532978290529</v>
      </c>
      <c r="CB54" s="36">
        <f t="shared" ca="1" si="126"/>
        <v>53.975368879640243</v>
      </c>
      <c r="CC54" s="36">
        <f t="shared" ca="1" si="126"/>
        <v>54.375281777143826</v>
      </c>
      <c r="CD54" s="36">
        <f t="shared" ca="1" si="126"/>
        <v>54.87447143493857</v>
      </c>
      <c r="CE54" s="36">
        <f t="shared" ca="1" si="126"/>
        <v>54.020335888736824</v>
      </c>
      <c r="CF54" s="36">
        <f t="shared" ca="1" si="126"/>
        <v>54.788811816185394</v>
      </c>
      <c r="CG54" s="36">
        <f t="shared" ca="1" si="126"/>
        <v>54.907407163411293</v>
      </c>
      <c r="CH54" s="36">
        <f t="shared" ca="1" si="126"/>
        <v>53.797384655711717</v>
      </c>
      <c r="CI54" s="36">
        <f t="shared" ca="1" si="126"/>
        <v>54.05413268379889</v>
      </c>
      <c r="CJ54" s="36">
        <f t="shared" ca="1" si="126"/>
        <v>53.385707728704084</v>
      </c>
      <c r="CK54" s="36">
        <f t="shared" ca="1" si="126"/>
        <v>53.99755267529698</v>
      </c>
      <c r="CL54" s="36">
        <f t="shared" ca="1" si="126"/>
        <v>55.194646768820014</v>
      </c>
      <c r="CM54" s="36">
        <f t="shared" ca="1" si="126"/>
        <v>55.461898294756594</v>
      </c>
      <c r="CN54" s="36">
        <f t="shared" ca="1" si="126"/>
        <v>55.279685321245175</v>
      </c>
      <c r="CO54" s="36">
        <f t="shared" ca="1" si="126"/>
        <v>55.526761447050696</v>
      </c>
      <c r="CP54" s="36">
        <f t="shared" ca="1" si="126"/>
        <v>55.273839484988265</v>
      </c>
      <c r="CQ54" s="36">
        <f t="shared" ca="1" si="126"/>
        <v>55.083981831705096</v>
      </c>
      <c r="CR54" s="36">
        <f t="shared" ca="1" si="126"/>
        <v>55.782714274149882</v>
      </c>
      <c r="CS54" s="36">
        <f t="shared" ca="1" si="126"/>
        <v>55.440944549425225</v>
      </c>
      <c r="CT54" s="36">
        <f t="shared" ca="1" si="126"/>
        <v>56.412637272233155</v>
      </c>
      <c r="CU54" s="36">
        <f t="shared" ca="1" si="126"/>
        <v>55.983639544693375</v>
      </c>
      <c r="CV54" s="36">
        <f t="shared" ca="1" si="126"/>
        <v>55.950997138061638</v>
      </c>
      <c r="CW54" s="36">
        <f t="shared" ca="1" si="126"/>
        <v>55.767608520898968</v>
      </c>
      <c r="CX54" s="36">
        <f t="shared" ca="1" si="126"/>
        <v>56.629359963479367</v>
      </c>
      <c r="CY54" s="36">
        <f t="shared" ca="1" si="126"/>
        <v>54.924513925047506</v>
      </c>
      <c r="CZ54" s="36">
        <f t="shared" ca="1" si="126"/>
        <v>55.905472038180982</v>
      </c>
      <c r="DA54" s="36">
        <f t="shared" ca="1" si="126"/>
        <v>55.789122059504471</v>
      </c>
      <c r="DB54" s="36">
        <f t="shared" ca="1" si="126"/>
        <v>56.160455279308664</v>
      </c>
      <c r="DC54" s="36">
        <f t="shared" ca="1" si="126"/>
        <v>55.317357415264418</v>
      </c>
      <c r="DD54" s="36">
        <f t="shared" ca="1" si="126"/>
        <v>54.437122881766435</v>
      </c>
      <c r="DE54" s="36">
        <f t="shared" ca="1" si="126"/>
        <v>54.640817298642453</v>
      </c>
      <c r="DF54" s="36">
        <f t="shared" ca="1" si="126"/>
        <v>54.542628170224916</v>
      </c>
      <c r="DG54" s="36">
        <f t="shared" ca="1" si="126"/>
        <v>55.729479542336222</v>
      </c>
      <c r="DH54" s="36">
        <f t="shared" ca="1" si="126"/>
        <v>55.180149957290368</v>
      </c>
      <c r="DI54" s="36">
        <f t="shared" ca="1" si="126"/>
        <v>54.744398384006331</v>
      </c>
      <c r="DJ54" s="36">
        <f t="shared" ca="1" si="126"/>
        <v>54.682202815564771</v>
      </c>
      <c r="DK54" s="36">
        <f t="shared" ca="1" si="126"/>
        <v>54.389713125090097</v>
      </c>
      <c r="DL54" s="36">
        <f t="shared" ca="1" si="126"/>
        <v>54.775330016618398</v>
      </c>
      <c r="DM54" s="36">
        <f t="shared" ca="1" si="126"/>
        <v>54.464493713787299</v>
      </c>
      <c r="DN54" s="36">
        <f t="shared" ca="1" si="126"/>
        <v>53.971434775022495</v>
      </c>
      <c r="DO54" s="36">
        <f t="shared" ca="1" si="126"/>
        <v>53.281767117391084</v>
      </c>
      <c r="DP54" s="36">
        <f t="shared" ca="1" si="126"/>
        <v>51.757152142054693</v>
      </c>
      <c r="DQ54" s="36">
        <f t="shared" ca="1" si="126"/>
        <v>49.880069948244028</v>
      </c>
      <c r="DR54" s="36">
        <f t="shared" ca="1" si="126"/>
        <v>49.463284862535204</v>
      </c>
      <c r="DS54" s="36">
        <f t="shared" ca="1" si="126"/>
        <v>48.379278120524617</v>
      </c>
      <c r="DT54" s="36">
        <f t="shared" ca="1" si="126"/>
        <v>48.731047429987697</v>
      </c>
      <c r="DU54" s="36">
        <f t="shared" ca="1" si="126"/>
        <v>48.227098501040849</v>
      </c>
      <c r="DV54" s="36">
        <f t="shared" ca="1" si="126"/>
        <v>48.324392760546694</v>
      </c>
      <c r="DW54" s="36">
        <f t="shared" ca="1" si="126"/>
        <v>48.738466424977439</v>
      </c>
      <c r="DX54" s="36">
        <f t="shared" ca="1" si="126"/>
        <v>49.108447047932117</v>
      </c>
      <c r="DY54" s="36">
        <f t="shared" ca="1" si="126"/>
        <v>48.845040967467469</v>
      </c>
      <c r="DZ54" s="36">
        <f t="shared" ca="1" si="126"/>
        <v>48.511830294036223</v>
      </c>
      <c r="EA54" s="36">
        <f t="shared" ca="1" si="126"/>
        <v>48.633884686708491</v>
      </c>
      <c r="EB54" s="36">
        <f t="shared" ca="1" si="126"/>
        <v>49.413824961883854</v>
      </c>
      <c r="EC54" s="36">
        <f t="shared" ca="1" si="107"/>
        <v>49.762161975826452</v>
      </c>
      <c r="ED54" s="36">
        <f t="shared" ca="1" si="107"/>
        <v>50.483066389229514</v>
      </c>
      <c r="EE54" s="36">
        <f t="shared" ca="1" si="107"/>
        <v>50.331984875101554</v>
      </c>
      <c r="EF54" s="36">
        <f t="shared" ca="1" si="107"/>
        <v>50.273861613894425</v>
      </c>
      <c r="EG54" s="36">
        <f t="shared" ca="1" si="107"/>
        <v>49.068491227018562</v>
      </c>
      <c r="EH54" s="36">
        <f t="shared" ca="1" si="107"/>
        <v>48.477443296880232</v>
      </c>
      <c r="EI54" s="36">
        <f t="shared" ca="1" si="107"/>
        <v>48.854729072434814</v>
      </c>
      <c r="EJ54" s="36">
        <f t="shared" ca="1" si="107"/>
        <v>48.523438765049285</v>
      </c>
      <c r="EK54" s="36">
        <f t="shared" ca="1" si="107"/>
        <v>48.146073323547341</v>
      </c>
      <c r="EL54" s="36">
        <f t="shared" ca="1" si="107"/>
        <v>47.551471248319537</v>
      </c>
      <c r="EM54" s="36">
        <f t="shared" ca="1" si="107"/>
        <v>48.012781483131775</v>
      </c>
      <c r="EN54" s="36">
        <f t="shared" ca="1" si="107"/>
        <v>48.299518948568554</v>
      </c>
      <c r="EO54" s="36">
        <f t="shared" ca="1" si="107"/>
        <v>49.262101614533115</v>
      </c>
      <c r="EP54" s="36">
        <f t="shared" ca="1" si="107"/>
        <v>50.611483457112143</v>
      </c>
      <c r="EQ54" s="36">
        <f t="shared" ca="1" si="107"/>
        <v>50.018219333810606</v>
      </c>
      <c r="ER54" s="36">
        <f t="shared" ca="1" si="107"/>
        <v>50.513889016635993</v>
      </c>
      <c r="ES54" s="36">
        <f t="shared" ca="1" si="107"/>
        <v>49.889607968502624</v>
      </c>
      <c r="ET54" s="36">
        <f t="shared" ca="1" si="107"/>
        <v>50.274511314472754</v>
      </c>
      <c r="EU54" s="36">
        <f t="shared" ca="1" si="107"/>
        <v>50.720413542799101</v>
      </c>
      <c r="EV54" s="36">
        <f t="shared" ca="1" si="107"/>
        <v>50.226279495678483</v>
      </c>
      <c r="EW54" s="36">
        <f t="shared" ref="EW54" ca="1" si="131">EV54*EXP(($B$3-$B$4^2/2)*1+$B$4*_xlfn.NORM.S.INV(RAND()))</f>
        <v>50.940953937888494</v>
      </c>
      <c r="EX54" s="36">
        <f t="shared" ca="1" si="127"/>
        <v>50.968136260233806</v>
      </c>
      <c r="EY54" s="36">
        <f t="shared" ca="1" si="127"/>
        <v>51.764149607575348</v>
      </c>
      <c r="EZ54" s="36">
        <f t="shared" ca="1" si="127"/>
        <v>52.054338140520272</v>
      </c>
      <c r="FA54" s="36">
        <f t="shared" ca="1" si="127"/>
        <v>52.461376990169263</v>
      </c>
      <c r="FB54" s="36">
        <f t="shared" ca="1" si="127"/>
        <v>52.274249898924744</v>
      </c>
      <c r="FC54" s="36">
        <f t="shared" ca="1" si="127"/>
        <v>51.951496784512692</v>
      </c>
      <c r="FD54" s="36">
        <f t="shared" ca="1" si="127"/>
        <v>51.915709286313287</v>
      </c>
      <c r="FE54" s="36">
        <f t="shared" ca="1" si="127"/>
        <v>51.553598336665104</v>
      </c>
      <c r="FF54" s="36">
        <f t="shared" ca="1" si="127"/>
        <v>52.449768790977572</v>
      </c>
      <c r="FG54" s="36">
        <f t="shared" ca="1" si="127"/>
        <v>53.222120608184596</v>
      </c>
      <c r="FH54" s="36">
        <f t="shared" ca="1" si="127"/>
        <v>53.448754707395409</v>
      </c>
      <c r="FI54" s="36">
        <f t="shared" ca="1" si="127"/>
        <v>54.358756890811364</v>
      </c>
      <c r="FJ54" s="36">
        <f t="shared" ca="1" si="127"/>
        <v>52.875558182991135</v>
      </c>
      <c r="FK54" s="36">
        <f t="shared" ca="1" si="127"/>
        <v>52.783683908595052</v>
      </c>
      <c r="FL54" s="36">
        <f t="shared" ca="1" si="127"/>
        <v>54.028791217302441</v>
      </c>
      <c r="FM54" s="36">
        <f t="shared" ca="1" si="127"/>
        <v>54.052007745020525</v>
      </c>
      <c r="FN54" s="36">
        <f t="shared" ca="1" si="127"/>
        <v>53.130952032604583</v>
      </c>
      <c r="FO54" s="36">
        <f t="shared" ca="1" si="127"/>
        <v>51.926407007728344</v>
      </c>
      <c r="FP54" s="36">
        <f t="shared" ca="1" si="127"/>
        <v>51.622668297407863</v>
      </c>
      <c r="FQ54" s="36">
        <f t="shared" ca="1" si="127"/>
        <v>52.354843055216392</v>
      </c>
      <c r="FR54" s="36">
        <f t="shared" ca="1" si="127"/>
        <v>53.439023775754066</v>
      </c>
      <c r="FS54" s="36">
        <f t="shared" ca="1" si="127"/>
        <v>53.262197759028453</v>
      </c>
      <c r="FT54" s="36">
        <f t="shared" ca="1" si="127"/>
        <v>52.26543076433304</v>
      </c>
      <c r="FU54" s="36">
        <f t="shared" ca="1" si="127"/>
        <v>53.130924542089232</v>
      </c>
      <c r="FV54" s="36">
        <f t="shared" ca="1" si="127"/>
        <v>53.06262361054732</v>
      </c>
      <c r="FW54" s="36">
        <f t="shared" ca="1" si="127"/>
        <v>51.842390988817641</v>
      </c>
      <c r="FX54" s="36">
        <f t="shared" ca="1" si="127"/>
        <v>51.996678203923352</v>
      </c>
      <c r="FY54" s="36">
        <f t="shared" ca="1" si="127"/>
        <v>53.105463316322336</v>
      </c>
      <c r="FZ54" s="36">
        <f t="shared" ca="1" si="127"/>
        <v>52.673880376082906</v>
      </c>
      <c r="GA54" s="36">
        <f t="shared" ca="1" si="127"/>
        <v>52.828999927700842</v>
      </c>
      <c r="GB54" s="36">
        <f t="shared" ca="1" si="127"/>
        <v>54.265294997102146</v>
      </c>
      <c r="GC54" s="36">
        <f t="shared" ca="1" si="127"/>
        <v>55.167098422117135</v>
      </c>
      <c r="GD54" s="36">
        <f t="shared" ca="1" si="127"/>
        <v>55.369579088197817</v>
      </c>
      <c r="GE54" s="36">
        <f t="shared" ca="1" si="127"/>
        <v>55.828590945020771</v>
      </c>
      <c r="GF54" s="36">
        <f t="shared" ca="1" si="127"/>
        <v>56.909713857929276</v>
      </c>
      <c r="GG54" s="36">
        <f t="shared" ca="1" si="127"/>
        <v>56.918300342232087</v>
      </c>
      <c r="GH54" s="36">
        <f t="shared" ca="1" si="127"/>
        <v>56.098316842556983</v>
      </c>
      <c r="GI54" s="36">
        <f t="shared" ca="1" si="127"/>
        <v>55.286825295791715</v>
      </c>
      <c r="GJ54" s="36">
        <f t="shared" ca="1" si="127"/>
        <v>56.352146624384041</v>
      </c>
      <c r="GK54" s="36">
        <f t="shared" ca="1" si="127"/>
        <v>57.120513607965883</v>
      </c>
      <c r="GL54" s="36">
        <f t="shared" ca="1" si="127"/>
        <v>56.490876372220868</v>
      </c>
      <c r="GM54" s="36">
        <f t="shared" ca="1" si="127"/>
        <v>57.096555124744441</v>
      </c>
      <c r="GN54" s="36">
        <f t="shared" ca="1" si="127"/>
        <v>58.231630174448554</v>
      </c>
      <c r="GO54" s="36">
        <f t="shared" ca="1" si="127"/>
        <v>59.061916466750326</v>
      </c>
      <c r="GP54" s="36">
        <f t="shared" ca="1" si="127"/>
        <v>60.37148608585796</v>
      </c>
      <c r="GQ54" s="36">
        <f t="shared" ca="1" si="127"/>
        <v>60.534988396764717</v>
      </c>
      <c r="GR54" s="36">
        <f t="shared" ca="1" si="127"/>
        <v>61.052518401112955</v>
      </c>
      <c r="GS54" s="36">
        <f t="shared" ca="1" si="127"/>
        <v>62.057342501270433</v>
      </c>
      <c r="GT54" s="36">
        <f t="shared" ca="1" si="127"/>
        <v>61.970426311288371</v>
      </c>
      <c r="GU54" s="36">
        <f t="shared" ca="1" si="127"/>
        <v>61.580244917712761</v>
      </c>
      <c r="GV54" s="36">
        <f t="shared" ca="1" si="127"/>
        <v>62.064902015757824</v>
      </c>
      <c r="GW54" s="36">
        <f t="shared" ca="1" si="127"/>
        <v>62.086807270470572</v>
      </c>
      <c r="GX54" s="36">
        <f t="shared" ca="1" si="127"/>
        <v>62.75753554145701</v>
      </c>
      <c r="GY54" s="36">
        <f t="shared" ca="1" si="127"/>
        <v>63.160403004789757</v>
      </c>
      <c r="GZ54" s="36">
        <f t="shared" ca="1" si="127"/>
        <v>62.996251531676982</v>
      </c>
      <c r="HA54" s="36">
        <f t="shared" ca="1" si="127"/>
        <v>61.917367098658744</v>
      </c>
      <c r="HB54" s="36">
        <f t="shared" ca="1" si="127"/>
        <v>62.900635534500935</v>
      </c>
      <c r="HC54" s="36">
        <f t="shared" ca="1" si="127"/>
        <v>63.931225389962478</v>
      </c>
      <c r="HD54" s="36">
        <f t="shared" ca="1" si="127"/>
        <v>64.181917927030227</v>
      </c>
      <c r="HE54" s="36">
        <f t="shared" ca="1" si="127"/>
        <v>64.490788118669769</v>
      </c>
      <c r="HF54" s="36">
        <f t="shared" ca="1" si="127"/>
        <v>64.205686536674818</v>
      </c>
      <c r="HG54" s="36">
        <f t="shared" ca="1" si="127"/>
        <v>64.157828413952984</v>
      </c>
      <c r="HH54" s="36">
        <f t="shared" ca="1" si="127"/>
        <v>64.164025592949216</v>
      </c>
      <c r="HI54" s="36">
        <f t="shared" ca="1" si="128"/>
        <v>64.487153239305584</v>
      </c>
      <c r="HJ54" s="36">
        <f t="shared" ca="1" si="128"/>
        <v>66.237392957922665</v>
      </c>
      <c r="HK54" s="36">
        <f t="shared" ca="1" si="128"/>
        <v>66.217000639546427</v>
      </c>
      <c r="HL54" s="36">
        <f t="shared" ca="1" si="128"/>
        <v>65.72199475058116</v>
      </c>
      <c r="HM54" s="36">
        <f t="shared" ca="1" si="128"/>
        <v>65.200950486765421</v>
      </c>
      <c r="HN54" s="36">
        <f t="shared" ca="1" si="128"/>
        <v>64.864551180218271</v>
      </c>
      <c r="HO54" s="36">
        <f t="shared" ca="1" si="128"/>
        <v>65.91578147884924</v>
      </c>
      <c r="HP54" s="36">
        <f t="shared" ca="1" si="128"/>
        <v>65.856009226233027</v>
      </c>
      <c r="HQ54" s="36">
        <f t="shared" ca="1" si="128"/>
        <v>65.264378184505702</v>
      </c>
      <c r="HR54" s="36">
        <f t="shared" ca="1" si="128"/>
        <v>64.228950832421077</v>
      </c>
      <c r="HS54" s="36">
        <f t="shared" ca="1" si="128"/>
        <v>65.920555753826577</v>
      </c>
      <c r="HT54" s="36">
        <f t="shared" ca="1" si="128"/>
        <v>66.376676430946972</v>
      </c>
      <c r="HU54" s="36">
        <f t="shared" ca="1" si="128"/>
        <v>66.28524306950959</v>
      </c>
      <c r="HV54" s="36">
        <f t="shared" ca="1" si="128"/>
        <v>66.252067143564943</v>
      </c>
      <c r="HW54" s="36">
        <f t="shared" ca="1" si="128"/>
        <v>66.814854948622596</v>
      </c>
      <c r="HX54" s="36">
        <f t="shared" ca="1" si="128"/>
        <v>68.566603770501985</v>
      </c>
      <c r="HY54" s="36">
        <f t="shared" ca="1" si="129"/>
        <v>69.126878242702517</v>
      </c>
      <c r="HZ54" s="36">
        <f t="shared" ca="1" si="129"/>
        <v>69.00076725160578</v>
      </c>
      <c r="IA54" s="36">
        <f t="shared" ca="1" si="129"/>
        <v>69.280912918032726</v>
      </c>
      <c r="IB54" s="36">
        <f t="shared" ca="1" si="129"/>
        <v>69.018114721757968</v>
      </c>
      <c r="IC54" s="36">
        <f t="shared" ca="1" si="129"/>
        <v>69.880414071841216</v>
      </c>
      <c r="ID54" s="36">
        <f t="shared" ca="1" si="129"/>
        <v>70.917992585584528</v>
      </c>
      <c r="IE54" s="36">
        <f t="shared" ca="1" si="129"/>
        <v>70.243817345265228</v>
      </c>
      <c r="IF54" s="36">
        <f t="shared" ca="1" si="129"/>
        <v>70.261486630543416</v>
      </c>
      <c r="IG54" s="36">
        <f t="shared" ca="1" si="129"/>
        <v>71.154623782220824</v>
      </c>
      <c r="IH54" s="36">
        <f t="shared" ca="1" si="129"/>
        <v>72.60120195018122</v>
      </c>
      <c r="II54" s="36">
        <f t="shared" ca="1" si="129"/>
        <v>72.987209260480682</v>
      </c>
      <c r="IJ54" s="36">
        <f t="shared" ca="1" si="129"/>
        <v>72.739153491434479</v>
      </c>
      <c r="IK54" s="36">
        <f t="shared" ca="1" si="129"/>
        <v>71.757328913434193</v>
      </c>
      <c r="IL54" s="36">
        <f t="shared" ca="1" si="129"/>
        <v>72.039453885320938</v>
      </c>
      <c r="IM54" s="36">
        <f t="shared" ca="1" si="129"/>
        <v>70.88736617835373</v>
      </c>
      <c r="IN54" s="36">
        <f t="shared" ca="1" si="129"/>
        <v>69.673882099959698</v>
      </c>
      <c r="IO54" s="36">
        <f t="shared" ca="1" si="129"/>
        <v>70.944388685562245</v>
      </c>
      <c r="IP54" s="36">
        <f t="shared" ca="1" si="129"/>
        <v>71.6073911707023</v>
      </c>
      <c r="IQ54" s="36">
        <f t="shared" ca="1" si="129"/>
        <v>70.174998645803711</v>
      </c>
      <c r="IR54" s="36">
        <f t="shared" ca="1" si="129"/>
        <v>69.764149123913057</v>
      </c>
      <c r="IS54" s="36">
        <f t="shared" ca="1" si="129"/>
        <v>69.859958480802518</v>
      </c>
      <c r="IT54" s="36">
        <f t="shared" ca="1" si="129"/>
        <v>68.803006309579871</v>
      </c>
      <c r="IU54" s="36">
        <f t="shared" ca="1" si="129"/>
        <v>69.732007732787679</v>
      </c>
    </row>
    <row r="55" spans="1:255" x14ac:dyDescent="0.2">
      <c r="A55" s="36"/>
      <c r="B55">
        <v>45</v>
      </c>
      <c r="C55" s="36">
        <v>50</v>
      </c>
      <c r="D55" s="36">
        <f t="shared" ca="1" si="14"/>
        <v>49.22380059209685</v>
      </c>
      <c r="E55" s="36">
        <f t="shared" ca="1" si="14"/>
        <v>49.731282243829014</v>
      </c>
      <c r="F55" s="36">
        <f t="shared" ca="1" si="130"/>
        <v>49.21386958022164</v>
      </c>
      <c r="G55" s="36">
        <f t="shared" ca="1" si="130"/>
        <v>48.162592088484416</v>
      </c>
      <c r="H55" s="36">
        <f t="shared" ca="1" si="130"/>
        <v>48.269748934957988</v>
      </c>
      <c r="I55" s="36">
        <f t="shared" ca="1" si="130"/>
        <v>47.996401093032787</v>
      </c>
      <c r="J55" s="36">
        <f t="shared" ca="1" si="130"/>
        <v>47.77237581418013</v>
      </c>
      <c r="K55" s="36">
        <f t="shared" ca="1" si="130"/>
        <v>47.618089842232244</v>
      </c>
      <c r="L55" s="36">
        <f t="shared" ca="1" si="130"/>
        <v>48.626125819036822</v>
      </c>
      <c r="M55" s="36">
        <f t="shared" ca="1" si="130"/>
        <v>48.479356208606148</v>
      </c>
      <c r="N55" s="36">
        <f t="shared" ca="1" si="130"/>
        <v>48.028987715233704</v>
      </c>
      <c r="O55" s="36">
        <f t="shared" ca="1" si="130"/>
        <v>47.238880614466908</v>
      </c>
      <c r="P55" s="36">
        <f t="shared" ca="1" si="130"/>
        <v>46.421356654409962</v>
      </c>
      <c r="Q55" s="36">
        <f t="shared" ca="1" si="130"/>
        <v>45.978786779478718</v>
      </c>
      <c r="R55" s="36">
        <f t="shared" ca="1" si="130"/>
        <v>46.257221175870406</v>
      </c>
      <c r="S55" s="36">
        <f t="shared" ca="1" si="130"/>
        <v>46.808360607622809</v>
      </c>
      <c r="T55" s="36">
        <f t="shared" ca="1" si="130"/>
        <v>46.913355834363166</v>
      </c>
      <c r="U55" s="36">
        <f t="shared" ca="1" si="130"/>
        <v>47.093392226203875</v>
      </c>
      <c r="V55" s="36">
        <f t="shared" ca="1" si="130"/>
        <v>47.726296600085725</v>
      </c>
      <c r="W55" s="36">
        <f t="shared" ca="1" si="130"/>
        <v>47.955331651076953</v>
      </c>
      <c r="X55" s="36">
        <f t="shared" ca="1" si="130"/>
        <v>47.926508802969451</v>
      </c>
      <c r="Y55" s="36">
        <f t="shared" ca="1" si="130"/>
        <v>48.340728789797225</v>
      </c>
      <c r="Z55" s="36">
        <f t="shared" ca="1" si="130"/>
        <v>48.358537111578016</v>
      </c>
      <c r="AA55" s="36">
        <f t="shared" ca="1" si="130"/>
        <v>48.819794954043765</v>
      </c>
      <c r="AB55" s="36">
        <f t="shared" ca="1" si="130"/>
        <v>48.545692359449767</v>
      </c>
      <c r="AC55" s="36">
        <f t="shared" ca="1" si="130"/>
        <v>47.791994005320959</v>
      </c>
      <c r="AD55" s="36">
        <f t="shared" ca="1" si="130"/>
        <v>48.201512248337423</v>
      </c>
      <c r="AE55" s="36">
        <f t="shared" ca="1" si="130"/>
        <v>48.696650137050277</v>
      </c>
      <c r="AF55" s="36">
        <f t="shared" ca="1" si="130"/>
        <v>48.115326066823947</v>
      </c>
      <c r="AG55" s="36">
        <f t="shared" ca="1" si="130"/>
        <v>47.276201799885015</v>
      </c>
      <c r="AH55" s="36">
        <f t="shared" ca="1" si="130"/>
        <v>45.893337744032891</v>
      </c>
      <c r="AI55" s="36">
        <f t="shared" ca="1" si="130"/>
        <v>45.653589871302707</v>
      </c>
      <c r="AJ55" s="36">
        <f t="shared" ca="1" si="130"/>
        <v>45.984919973383697</v>
      </c>
      <c r="AK55" s="36">
        <f t="shared" ca="1" si="130"/>
        <v>45.99465413487161</v>
      </c>
      <c r="AL55" s="36">
        <f t="shared" ca="1" si="130"/>
        <v>45.537891549862323</v>
      </c>
      <c r="AM55" s="36">
        <f t="shared" ca="1" si="130"/>
        <v>45.251868533886075</v>
      </c>
      <c r="AN55" s="36">
        <f t="shared" ca="1" si="130"/>
        <v>45.506495250817736</v>
      </c>
      <c r="AO55" s="36">
        <f t="shared" ca="1" si="130"/>
        <v>45.329203532767188</v>
      </c>
      <c r="AP55" s="36">
        <f t="shared" ca="1" si="130"/>
        <v>45.520157021341838</v>
      </c>
      <c r="AQ55" s="36">
        <f t="shared" ca="1" si="130"/>
        <v>45.332889001577307</v>
      </c>
      <c r="AR55" s="36">
        <f t="shared" ca="1" si="130"/>
        <v>43.970570135077523</v>
      </c>
      <c r="AS55" s="36">
        <f t="shared" ca="1" si="130"/>
        <v>43.787230885045417</v>
      </c>
      <c r="AT55" s="36">
        <f t="shared" ca="1" si="130"/>
        <v>44.551137952966407</v>
      </c>
      <c r="AU55" s="36">
        <f t="shared" ca="1" si="130"/>
        <v>44.377487217509511</v>
      </c>
      <c r="AV55" s="36">
        <f t="shared" ca="1" si="130"/>
        <v>44.264306518000623</v>
      </c>
      <c r="AW55" s="36">
        <f t="shared" ca="1" si="130"/>
        <v>44.151917420693813</v>
      </c>
      <c r="AX55" s="36">
        <f t="shared" ca="1" si="130"/>
        <v>44.97357317053374</v>
      </c>
      <c r="AY55" s="36">
        <f t="shared" ca="1" si="130"/>
        <v>44.90878787729455</v>
      </c>
      <c r="AZ55" s="36">
        <f t="shared" ca="1" si="130"/>
        <v>44.174762660533531</v>
      </c>
      <c r="BA55" s="36">
        <f t="shared" ca="1" si="130"/>
        <v>43.38687779515616</v>
      </c>
      <c r="BB55" s="36">
        <f t="shared" ca="1" si="130"/>
        <v>43.789401974195201</v>
      </c>
      <c r="BC55" s="36">
        <f t="shared" ca="1" si="130"/>
        <v>43.359214704536321</v>
      </c>
      <c r="BD55" s="36">
        <f t="shared" ca="1" si="130"/>
        <v>44.059408672523396</v>
      </c>
      <c r="BE55" s="36">
        <f t="shared" ca="1" si="130"/>
        <v>44.50446174072902</v>
      </c>
      <c r="BF55" s="36">
        <f t="shared" ca="1" si="130"/>
        <v>45.196182436142195</v>
      </c>
      <c r="BG55" s="36">
        <f t="shared" ca="1" si="130"/>
        <v>45.380391082407748</v>
      </c>
      <c r="BH55" s="36">
        <f t="shared" ca="1" si="130"/>
        <v>44.567200083496068</v>
      </c>
      <c r="BI55" s="36">
        <f t="shared" ca="1" si="130"/>
        <v>43.594981503873854</v>
      </c>
      <c r="BJ55" s="36">
        <f t="shared" ca="1" si="130"/>
        <v>43.536903642322144</v>
      </c>
      <c r="BK55" s="36">
        <f t="shared" ca="1" si="130"/>
        <v>43.841511659278638</v>
      </c>
      <c r="BL55" s="36">
        <f t="shared" ca="1" si="130"/>
        <v>44.154982871112068</v>
      </c>
      <c r="BM55" s="36">
        <f t="shared" ca="1" si="130"/>
        <v>45.265176623752069</v>
      </c>
      <c r="BN55" s="36">
        <f t="shared" ca="1" si="130"/>
        <v>45.084259831398107</v>
      </c>
      <c r="BO55" s="36">
        <f t="shared" ca="1" si="130"/>
        <v>44.998364176051432</v>
      </c>
      <c r="BP55" s="36">
        <f t="shared" ca="1" si="130"/>
        <v>45.498800471243214</v>
      </c>
      <c r="BQ55" s="36">
        <f t="shared" ca="1" si="130"/>
        <v>46.162016889682263</v>
      </c>
      <c r="BR55" s="36">
        <f t="shared" ca="1" si="126"/>
        <v>46.372262444212424</v>
      </c>
      <c r="BS55" s="36">
        <f t="shared" ca="1" si="126"/>
        <v>47.627216615251299</v>
      </c>
      <c r="BT55" s="36">
        <f t="shared" ca="1" si="126"/>
        <v>47.839112097453082</v>
      </c>
      <c r="BU55" s="36">
        <f t="shared" ca="1" si="126"/>
        <v>48.854090629174429</v>
      </c>
      <c r="BV55" s="36">
        <f t="shared" ca="1" si="126"/>
        <v>49.030121590261011</v>
      </c>
      <c r="BW55" s="36">
        <f t="shared" ca="1" si="126"/>
        <v>49.296351452836319</v>
      </c>
      <c r="BX55" s="36">
        <f t="shared" ca="1" si="126"/>
        <v>49.867452052375647</v>
      </c>
      <c r="BY55" s="36">
        <f t="shared" ca="1" si="126"/>
        <v>51.286181517674571</v>
      </c>
      <c r="BZ55" s="36">
        <f t="shared" ca="1" si="126"/>
        <v>51.008672667387067</v>
      </c>
      <c r="CA55" s="36">
        <f t="shared" ca="1" si="126"/>
        <v>50.720856679098205</v>
      </c>
      <c r="CB55" s="36">
        <f t="shared" ca="1" si="126"/>
        <v>51.317610885927039</v>
      </c>
      <c r="CC55" s="36">
        <f t="shared" ca="1" si="126"/>
        <v>49.189563948953086</v>
      </c>
      <c r="CD55" s="36">
        <f t="shared" ca="1" si="126"/>
        <v>48.659061558009164</v>
      </c>
      <c r="CE55" s="36">
        <f t="shared" ca="1" si="126"/>
        <v>49.000954769177895</v>
      </c>
      <c r="CF55" s="36">
        <f t="shared" ca="1" si="126"/>
        <v>48.758361237000436</v>
      </c>
      <c r="CG55" s="36">
        <f t="shared" ca="1" si="126"/>
        <v>48.880780808700052</v>
      </c>
      <c r="CH55" s="36">
        <f t="shared" ca="1" si="126"/>
        <v>48.484647792135938</v>
      </c>
      <c r="CI55" s="36">
        <f t="shared" ca="1" si="126"/>
        <v>48.086406622098579</v>
      </c>
      <c r="CJ55" s="36">
        <f t="shared" ca="1" si="126"/>
        <v>48.28356771759799</v>
      </c>
      <c r="CK55" s="36">
        <f t="shared" ca="1" si="126"/>
        <v>48.600784568792406</v>
      </c>
      <c r="CL55" s="36">
        <f t="shared" ca="1" si="126"/>
        <v>48.39679995503252</v>
      </c>
      <c r="CM55" s="36">
        <f t="shared" ca="1" si="126"/>
        <v>47.491955307923774</v>
      </c>
      <c r="CN55" s="36">
        <f t="shared" ca="1" si="126"/>
        <v>47.504185775740119</v>
      </c>
      <c r="CO55" s="36">
        <f t="shared" ca="1" si="126"/>
        <v>47.206788231761685</v>
      </c>
      <c r="CP55" s="36">
        <f t="shared" ca="1" si="126"/>
        <v>46.993011448749037</v>
      </c>
      <c r="CQ55" s="36">
        <f t="shared" ca="1" si="126"/>
        <v>47.014913450956165</v>
      </c>
      <c r="CR55" s="36">
        <f t="shared" ca="1" si="126"/>
        <v>47.780600745771693</v>
      </c>
      <c r="CS55" s="36">
        <f t="shared" ca="1" si="126"/>
        <v>47.961968302277917</v>
      </c>
      <c r="CT55" s="36">
        <f t="shared" ca="1" si="126"/>
        <v>47.633627291173774</v>
      </c>
      <c r="CU55" s="36">
        <f t="shared" ca="1" si="126"/>
        <v>46.94949350654575</v>
      </c>
      <c r="CV55" s="36">
        <f t="shared" ca="1" si="126"/>
        <v>47.615296545830589</v>
      </c>
      <c r="CW55" s="36">
        <f t="shared" ca="1" si="126"/>
        <v>46.758963702177709</v>
      </c>
      <c r="CX55" s="36">
        <f t="shared" ca="1" si="126"/>
        <v>46.995927029483333</v>
      </c>
      <c r="CY55" s="36">
        <f t="shared" ca="1" si="126"/>
        <v>48.010808953357056</v>
      </c>
      <c r="CZ55" s="36">
        <f t="shared" ca="1" si="126"/>
        <v>47.383406976518607</v>
      </c>
      <c r="DA55" s="36">
        <f t="shared" ca="1" si="126"/>
        <v>46.692405758271178</v>
      </c>
      <c r="DB55" s="36">
        <f t="shared" ca="1" si="126"/>
        <v>46.149695155964572</v>
      </c>
      <c r="DC55" s="36">
        <f t="shared" ca="1" si="126"/>
        <v>46.788483761487754</v>
      </c>
      <c r="DD55" s="36">
        <f t="shared" ca="1" si="126"/>
        <v>46.654217318441368</v>
      </c>
      <c r="DE55" s="36">
        <f t="shared" ca="1" si="126"/>
        <v>46.908718621913131</v>
      </c>
      <c r="DF55" s="36">
        <f t="shared" ca="1" si="126"/>
        <v>47.426978453745619</v>
      </c>
      <c r="DG55" s="36">
        <f t="shared" ca="1" si="126"/>
        <v>48.673486599389335</v>
      </c>
      <c r="DH55" s="36">
        <f t="shared" ca="1" si="126"/>
        <v>48.962718322342347</v>
      </c>
      <c r="DI55" s="36">
        <f t="shared" ca="1" si="126"/>
        <v>49.526213338594026</v>
      </c>
      <c r="DJ55" s="36">
        <f t="shared" ca="1" si="126"/>
        <v>49.461160398771696</v>
      </c>
      <c r="DK55" s="36">
        <f t="shared" ca="1" si="126"/>
        <v>49.554999524667174</v>
      </c>
      <c r="DL55" s="36">
        <f t="shared" ca="1" si="126"/>
        <v>49.813194251974032</v>
      </c>
      <c r="DM55" s="36">
        <f t="shared" ca="1" si="126"/>
        <v>50.144244565195002</v>
      </c>
      <c r="DN55" s="36">
        <f t="shared" ca="1" si="126"/>
        <v>50.423377110362892</v>
      </c>
      <c r="DO55" s="36">
        <f t="shared" ca="1" si="126"/>
        <v>50.116833629019666</v>
      </c>
      <c r="DP55" s="36">
        <f t="shared" ca="1" si="126"/>
        <v>50.29841071750878</v>
      </c>
      <c r="DQ55" s="36">
        <f t="shared" ca="1" si="126"/>
        <v>49.841806917550407</v>
      </c>
      <c r="DR55" s="36">
        <f t="shared" ca="1" si="126"/>
        <v>49.779913975468901</v>
      </c>
      <c r="DS55" s="36">
        <f t="shared" ca="1" si="126"/>
        <v>50.088653956428992</v>
      </c>
      <c r="DT55" s="36">
        <f t="shared" ca="1" si="126"/>
        <v>49.780685347017631</v>
      </c>
      <c r="DU55" s="36">
        <f t="shared" ca="1" si="126"/>
        <v>48.887652418382494</v>
      </c>
      <c r="DV55" s="36">
        <f t="shared" ca="1" si="126"/>
        <v>48.766905454734292</v>
      </c>
      <c r="DW55" s="36">
        <f t="shared" ca="1" si="126"/>
        <v>48.184103273172582</v>
      </c>
      <c r="DX55" s="36">
        <f t="shared" ca="1" si="126"/>
        <v>48.088543006305052</v>
      </c>
      <c r="DY55" s="36">
        <f t="shared" ca="1" si="126"/>
        <v>48.017859193375656</v>
      </c>
      <c r="DZ55" s="36">
        <f t="shared" ca="1" si="126"/>
        <v>47.691792159731946</v>
      </c>
      <c r="EA55" s="36">
        <f t="shared" ca="1" si="126"/>
        <v>47.413833614239934</v>
      </c>
      <c r="EB55" s="36">
        <f t="shared" ca="1" si="126"/>
        <v>47.635365028586435</v>
      </c>
      <c r="EC55" s="36">
        <f t="shared" ca="1" si="107"/>
        <v>46.778199854176648</v>
      </c>
      <c r="ED55" s="36">
        <f t="shared" ca="1" si="107"/>
        <v>47.809046458888936</v>
      </c>
      <c r="EE55" s="36">
        <f t="shared" ca="1" si="107"/>
        <v>47.206857464061713</v>
      </c>
      <c r="EF55" s="36">
        <f t="shared" ca="1" si="107"/>
        <v>47.239044060194381</v>
      </c>
      <c r="EG55" s="36">
        <f t="shared" ca="1" si="107"/>
        <v>46.598861100013416</v>
      </c>
      <c r="EH55" s="36">
        <f t="shared" ca="1" si="107"/>
        <v>46.045674150952138</v>
      </c>
      <c r="EI55" s="36">
        <f t="shared" ca="1" si="107"/>
        <v>46.283876727422538</v>
      </c>
      <c r="EJ55" s="36">
        <f t="shared" ca="1" si="107"/>
        <v>46.128103740557172</v>
      </c>
      <c r="EK55" s="36">
        <f t="shared" ca="1" si="107"/>
        <v>46.139411688881701</v>
      </c>
      <c r="EL55" s="36">
        <f t="shared" ca="1" si="107"/>
        <v>45.531220362723289</v>
      </c>
      <c r="EM55" s="36">
        <f t="shared" ca="1" si="107"/>
        <v>45.435838513742937</v>
      </c>
      <c r="EN55" s="36">
        <f t="shared" ca="1" si="107"/>
        <v>44.123855559767726</v>
      </c>
      <c r="EO55" s="36">
        <f t="shared" ca="1" si="107"/>
        <v>43.299611184001549</v>
      </c>
      <c r="EP55" s="36">
        <f t="shared" ca="1" si="107"/>
        <v>43.343726993253952</v>
      </c>
      <c r="EQ55" s="36">
        <f t="shared" ca="1" si="107"/>
        <v>43.571314266191663</v>
      </c>
      <c r="ER55" s="36">
        <f t="shared" ca="1" si="107"/>
        <v>43.266975780450657</v>
      </c>
      <c r="ES55" s="36">
        <f t="shared" ca="1" si="107"/>
        <v>43.474728687005822</v>
      </c>
      <c r="ET55" s="36">
        <f t="shared" ca="1" si="107"/>
        <v>43.17274655289787</v>
      </c>
      <c r="EU55" s="36">
        <f t="shared" ca="1" si="107"/>
        <v>43.099322384556679</v>
      </c>
      <c r="EV55" s="36">
        <f t="shared" ca="1" si="107"/>
        <v>43.157776590125728</v>
      </c>
      <c r="EW55" s="36">
        <f t="shared" ref="EW55" ca="1" si="132">EV55*EXP(($B$3-$B$4^2/2)*1+$B$4*_xlfn.NORM.S.INV(RAND()))</f>
        <v>43.028006613532135</v>
      </c>
      <c r="EX55" s="36">
        <f t="shared" ca="1" si="127"/>
        <v>43.57060203626898</v>
      </c>
      <c r="EY55" s="36">
        <f t="shared" ca="1" si="127"/>
        <v>42.606384803492865</v>
      </c>
      <c r="EZ55" s="36">
        <f t="shared" ca="1" si="127"/>
        <v>42.882842094868543</v>
      </c>
      <c r="FA55" s="36">
        <f t="shared" ca="1" si="127"/>
        <v>43.272157624249822</v>
      </c>
      <c r="FB55" s="36">
        <f t="shared" ca="1" si="127"/>
        <v>44.419322033933163</v>
      </c>
      <c r="FC55" s="36">
        <f t="shared" ca="1" si="127"/>
        <v>44.325237997750364</v>
      </c>
      <c r="FD55" s="36">
        <f t="shared" ca="1" si="127"/>
        <v>43.984304485515366</v>
      </c>
      <c r="FE55" s="36">
        <f t="shared" ca="1" si="127"/>
        <v>44.164994937739543</v>
      </c>
      <c r="FF55" s="36">
        <f t="shared" ca="1" si="127"/>
        <v>45.364398660546208</v>
      </c>
      <c r="FG55" s="36">
        <f t="shared" ca="1" si="127"/>
        <v>45.309286684994738</v>
      </c>
      <c r="FH55" s="36">
        <f t="shared" ca="1" si="127"/>
        <v>44.955274336788349</v>
      </c>
      <c r="FI55" s="36">
        <f t="shared" ca="1" si="127"/>
        <v>45.288969103878216</v>
      </c>
      <c r="FJ55" s="36">
        <f t="shared" ca="1" si="127"/>
        <v>44.717454475880878</v>
      </c>
      <c r="FK55" s="36">
        <f t="shared" ca="1" si="127"/>
        <v>44.023266692243759</v>
      </c>
      <c r="FL55" s="36">
        <f t="shared" ca="1" si="127"/>
        <v>44.272156516585092</v>
      </c>
      <c r="FM55" s="36">
        <f t="shared" ca="1" si="127"/>
        <v>44.027508936551094</v>
      </c>
      <c r="FN55" s="36">
        <f t="shared" ca="1" si="127"/>
        <v>43.844316222597406</v>
      </c>
      <c r="FO55" s="36">
        <f t="shared" ca="1" si="127"/>
        <v>43.93543949279961</v>
      </c>
      <c r="FP55" s="36">
        <f t="shared" ca="1" si="127"/>
        <v>45.150214016394465</v>
      </c>
      <c r="FQ55" s="36">
        <f t="shared" ca="1" si="127"/>
        <v>44.876346369806946</v>
      </c>
      <c r="FR55" s="36">
        <f t="shared" ca="1" si="127"/>
        <v>44.249720047324047</v>
      </c>
      <c r="FS55" s="36">
        <f t="shared" ca="1" si="127"/>
        <v>44.603924856076176</v>
      </c>
      <c r="FT55" s="36">
        <f t="shared" ca="1" si="127"/>
        <v>45.314499468784746</v>
      </c>
      <c r="FU55" s="36">
        <f t="shared" ca="1" si="127"/>
        <v>45.656195521148156</v>
      </c>
      <c r="FV55" s="36">
        <f t="shared" ca="1" si="127"/>
        <v>45.678638386372938</v>
      </c>
      <c r="FW55" s="36">
        <f t="shared" ca="1" si="127"/>
        <v>45.519638837544726</v>
      </c>
      <c r="FX55" s="36">
        <f t="shared" ca="1" si="127"/>
        <v>44.90678728013539</v>
      </c>
      <c r="FY55" s="36">
        <f t="shared" ca="1" si="127"/>
        <v>44.83752746210579</v>
      </c>
      <c r="FZ55" s="36">
        <f t="shared" ca="1" si="127"/>
        <v>45.092498644250632</v>
      </c>
      <c r="GA55" s="36">
        <f t="shared" ca="1" si="127"/>
        <v>45.059341986165386</v>
      </c>
      <c r="GB55" s="36">
        <f t="shared" ca="1" si="127"/>
        <v>43.319780161569852</v>
      </c>
      <c r="GC55" s="36">
        <f t="shared" ca="1" si="127"/>
        <v>43.32374238102291</v>
      </c>
      <c r="GD55" s="36">
        <f t="shared" ca="1" si="127"/>
        <v>42.277926873601643</v>
      </c>
      <c r="GE55" s="36">
        <f t="shared" ca="1" si="127"/>
        <v>41.628403523342556</v>
      </c>
      <c r="GF55" s="36">
        <f t="shared" ca="1" si="127"/>
        <v>40.394739080944476</v>
      </c>
      <c r="GG55" s="36">
        <f t="shared" ca="1" si="127"/>
        <v>40.418867240034409</v>
      </c>
      <c r="GH55" s="36">
        <f t="shared" ca="1" si="127"/>
        <v>40.32811984607951</v>
      </c>
      <c r="GI55" s="36">
        <f t="shared" ca="1" si="127"/>
        <v>39.526137336933118</v>
      </c>
      <c r="GJ55" s="36">
        <f t="shared" ca="1" si="127"/>
        <v>41.01201948541128</v>
      </c>
      <c r="GK55" s="36">
        <f t="shared" ca="1" si="127"/>
        <v>41.074349386451978</v>
      </c>
      <c r="GL55" s="36">
        <f t="shared" ca="1" si="127"/>
        <v>40.718006991288277</v>
      </c>
      <c r="GM55" s="36">
        <f t="shared" ca="1" si="127"/>
        <v>40.750678968622033</v>
      </c>
      <c r="GN55" s="36">
        <f t="shared" ca="1" si="127"/>
        <v>41.620633766109712</v>
      </c>
      <c r="GO55" s="36">
        <f t="shared" ca="1" si="127"/>
        <v>41.474015985364254</v>
      </c>
      <c r="GP55" s="36">
        <f t="shared" ca="1" si="127"/>
        <v>42.117669534583712</v>
      </c>
      <c r="GQ55" s="36">
        <f t="shared" ca="1" si="127"/>
        <v>41.37843099434415</v>
      </c>
      <c r="GR55" s="36">
        <f t="shared" ca="1" si="127"/>
        <v>42.663151973114822</v>
      </c>
      <c r="GS55" s="36">
        <f t="shared" ca="1" si="127"/>
        <v>43.096486230607503</v>
      </c>
      <c r="GT55" s="36">
        <f t="shared" ca="1" si="127"/>
        <v>43.517002998618622</v>
      </c>
      <c r="GU55" s="36">
        <f t="shared" ca="1" si="127"/>
        <v>43.169082837078548</v>
      </c>
      <c r="GV55" s="36">
        <f t="shared" ca="1" si="127"/>
        <v>43.19568854585907</v>
      </c>
      <c r="GW55" s="36">
        <f t="shared" ca="1" si="127"/>
        <v>42.606784086255402</v>
      </c>
      <c r="GX55" s="36">
        <f t="shared" ca="1" si="127"/>
        <v>41.640058111072449</v>
      </c>
      <c r="GY55" s="36">
        <f t="shared" ca="1" si="127"/>
        <v>41.223356224469562</v>
      </c>
      <c r="GZ55" s="36">
        <f t="shared" ca="1" si="127"/>
        <v>41.428437886202673</v>
      </c>
      <c r="HA55" s="36">
        <f t="shared" ca="1" si="127"/>
        <v>41.358474349650685</v>
      </c>
      <c r="HB55" s="36">
        <f t="shared" ca="1" si="127"/>
        <v>42.339116041103495</v>
      </c>
      <c r="HC55" s="36">
        <f t="shared" ca="1" si="127"/>
        <v>41.413840135927508</v>
      </c>
      <c r="HD55" s="36">
        <f t="shared" ca="1" si="127"/>
        <v>41.779191944855903</v>
      </c>
      <c r="HE55" s="36">
        <f t="shared" ca="1" si="127"/>
        <v>41.744056081714838</v>
      </c>
      <c r="HF55" s="36">
        <f t="shared" ca="1" si="127"/>
        <v>41.865173302028651</v>
      </c>
      <c r="HG55" s="36">
        <f t="shared" ca="1" si="127"/>
        <v>41.678836991368172</v>
      </c>
      <c r="HH55" s="36">
        <f t="shared" ca="1" si="127"/>
        <v>41.871595015800203</v>
      </c>
      <c r="HI55" s="36">
        <f t="shared" ca="1" si="128"/>
        <v>42.445487805015837</v>
      </c>
      <c r="HJ55" s="36">
        <f t="shared" ca="1" si="128"/>
        <v>42.442551694932661</v>
      </c>
      <c r="HK55" s="36">
        <f t="shared" ca="1" si="128"/>
        <v>42.830981075590962</v>
      </c>
      <c r="HL55" s="36">
        <f t="shared" ca="1" si="128"/>
        <v>43.385447196389443</v>
      </c>
      <c r="HM55" s="36">
        <f t="shared" ca="1" si="128"/>
        <v>43.987196405029962</v>
      </c>
      <c r="HN55" s="36">
        <f t="shared" ca="1" si="128"/>
        <v>43.528437634427519</v>
      </c>
      <c r="HO55" s="36">
        <f t="shared" ca="1" si="128"/>
        <v>42.292701134365309</v>
      </c>
      <c r="HP55" s="36">
        <f t="shared" ca="1" si="128"/>
        <v>42.545761690533368</v>
      </c>
      <c r="HQ55" s="36">
        <f t="shared" ca="1" si="128"/>
        <v>42.776875467298822</v>
      </c>
      <c r="HR55" s="36">
        <f t="shared" ca="1" si="128"/>
        <v>42.8213216901283</v>
      </c>
      <c r="HS55" s="36">
        <f t="shared" ca="1" si="128"/>
        <v>42.978203319617649</v>
      </c>
      <c r="HT55" s="36">
        <f t="shared" ca="1" si="128"/>
        <v>42.429908407421934</v>
      </c>
      <c r="HU55" s="36">
        <f t="shared" ca="1" si="128"/>
        <v>42.491638684060668</v>
      </c>
      <c r="HV55" s="36">
        <f t="shared" ca="1" si="128"/>
        <v>42.285294326870009</v>
      </c>
      <c r="HW55" s="36">
        <f t="shared" ca="1" si="128"/>
        <v>42.013481042804095</v>
      </c>
      <c r="HX55" s="36">
        <f t="shared" ca="1" si="128"/>
        <v>41.697315828168335</v>
      </c>
      <c r="HY55" s="36">
        <f t="shared" ca="1" si="129"/>
        <v>41.880129110375144</v>
      </c>
      <c r="HZ55" s="36">
        <f t="shared" ca="1" si="129"/>
        <v>41.194827421876191</v>
      </c>
      <c r="IA55" s="36">
        <f t="shared" ca="1" si="129"/>
        <v>41.649458136941242</v>
      </c>
      <c r="IB55" s="36">
        <f t="shared" ca="1" si="129"/>
        <v>41.792388336671465</v>
      </c>
      <c r="IC55" s="36">
        <f t="shared" ca="1" si="129"/>
        <v>42.334593705808921</v>
      </c>
      <c r="ID55" s="36">
        <f t="shared" ca="1" si="129"/>
        <v>42.472750321594454</v>
      </c>
      <c r="IE55" s="36">
        <f t="shared" ca="1" si="129"/>
        <v>42.926741654510018</v>
      </c>
      <c r="IF55" s="36">
        <f t="shared" ca="1" si="129"/>
        <v>42.50097591740127</v>
      </c>
      <c r="IG55" s="36">
        <f t="shared" ca="1" si="129"/>
        <v>42.600932493266271</v>
      </c>
      <c r="IH55" s="36">
        <f t="shared" ca="1" si="129"/>
        <v>42.729952860159138</v>
      </c>
      <c r="II55" s="36">
        <f t="shared" ca="1" si="129"/>
        <v>42.605859050968292</v>
      </c>
      <c r="IJ55" s="36">
        <f t="shared" ca="1" si="129"/>
        <v>43.017854161134984</v>
      </c>
      <c r="IK55" s="36">
        <f t="shared" ca="1" si="129"/>
        <v>42.627494184303579</v>
      </c>
      <c r="IL55" s="36">
        <f t="shared" ca="1" si="129"/>
        <v>42.787947565046224</v>
      </c>
      <c r="IM55" s="36">
        <f t="shared" ca="1" si="129"/>
        <v>43.005585471263196</v>
      </c>
      <c r="IN55" s="36">
        <f t="shared" ca="1" si="129"/>
        <v>42.227901697787999</v>
      </c>
      <c r="IO55" s="36">
        <f t="shared" ca="1" si="129"/>
        <v>43.008583108382673</v>
      </c>
      <c r="IP55" s="36">
        <f t="shared" ca="1" si="129"/>
        <v>41.976264759221856</v>
      </c>
      <c r="IQ55" s="36">
        <f t="shared" ca="1" si="129"/>
        <v>41.538713974248651</v>
      </c>
      <c r="IR55" s="36">
        <f t="shared" ca="1" si="129"/>
        <v>41.320585323304854</v>
      </c>
      <c r="IS55" s="36">
        <f t="shared" ca="1" si="129"/>
        <v>41.068105873186951</v>
      </c>
      <c r="IT55" s="36">
        <f t="shared" ca="1" si="129"/>
        <v>40.280625738142696</v>
      </c>
      <c r="IU55" s="36">
        <f t="shared" ca="1" si="129"/>
        <v>40.459262090050842</v>
      </c>
    </row>
    <row r="56" spans="1:255" x14ac:dyDescent="0.2">
      <c r="A56" s="36"/>
      <c r="B56">
        <v>46</v>
      </c>
      <c r="C56" s="36">
        <v>50</v>
      </c>
      <c r="D56" s="36">
        <f t="shared" ca="1" si="14"/>
        <v>50.419270817297011</v>
      </c>
      <c r="E56" s="36">
        <f t="shared" ca="1" si="14"/>
        <v>49.352709038728875</v>
      </c>
      <c r="F56" s="36">
        <f t="shared" ca="1" si="130"/>
        <v>49.818267077095513</v>
      </c>
      <c r="G56" s="36">
        <f t="shared" ca="1" si="130"/>
        <v>50.765609915044372</v>
      </c>
      <c r="H56" s="36">
        <f t="shared" ca="1" si="130"/>
        <v>49.773649421681917</v>
      </c>
      <c r="I56" s="36">
        <f t="shared" ca="1" si="130"/>
        <v>49.853095286720475</v>
      </c>
      <c r="J56" s="36">
        <f t="shared" ca="1" si="130"/>
        <v>49.574064174463068</v>
      </c>
      <c r="K56" s="36">
        <f t="shared" ca="1" si="130"/>
        <v>49.757649247869409</v>
      </c>
      <c r="L56" s="36">
        <f t="shared" ca="1" si="130"/>
        <v>49.719077283420859</v>
      </c>
      <c r="M56" s="36">
        <f t="shared" ca="1" si="130"/>
        <v>49.781167900378108</v>
      </c>
      <c r="N56" s="36">
        <f t="shared" ca="1" si="130"/>
        <v>50.882361536388558</v>
      </c>
      <c r="O56" s="36">
        <f t="shared" ca="1" si="130"/>
        <v>50.570658411828205</v>
      </c>
      <c r="P56" s="36">
        <f t="shared" ca="1" si="130"/>
        <v>49.457363993511827</v>
      </c>
      <c r="Q56" s="36">
        <f t="shared" ca="1" si="130"/>
        <v>49.754317580856025</v>
      </c>
      <c r="R56" s="36">
        <f t="shared" ca="1" si="130"/>
        <v>50.572718219481374</v>
      </c>
      <c r="S56" s="36">
        <f t="shared" ca="1" si="130"/>
        <v>49.995490765889812</v>
      </c>
      <c r="T56" s="36">
        <f t="shared" ca="1" si="130"/>
        <v>49.478162401612686</v>
      </c>
      <c r="U56" s="36">
        <f t="shared" ca="1" si="130"/>
        <v>50.368297084918474</v>
      </c>
      <c r="V56" s="36">
        <f t="shared" ca="1" si="130"/>
        <v>50.815070278885081</v>
      </c>
      <c r="W56" s="36">
        <f t="shared" ca="1" si="130"/>
        <v>51.572305992566633</v>
      </c>
      <c r="X56" s="36">
        <f t="shared" ca="1" si="130"/>
        <v>52.023403046705418</v>
      </c>
      <c r="Y56" s="36">
        <f t="shared" ca="1" si="130"/>
        <v>52.364898796853645</v>
      </c>
      <c r="Z56" s="36">
        <f t="shared" ca="1" si="130"/>
        <v>52.112501562256881</v>
      </c>
      <c r="AA56" s="36">
        <f t="shared" ca="1" si="130"/>
        <v>51.911507329141727</v>
      </c>
      <c r="AB56" s="36">
        <f t="shared" ca="1" si="130"/>
        <v>52.214508372139683</v>
      </c>
      <c r="AC56" s="36">
        <f t="shared" ca="1" si="130"/>
        <v>52.898172266020929</v>
      </c>
      <c r="AD56" s="36">
        <f t="shared" ca="1" si="130"/>
        <v>53.21462284130164</v>
      </c>
      <c r="AE56" s="36">
        <f t="shared" ca="1" si="130"/>
        <v>54.030198432184115</v>
      </c>
      <c r="AF56" s="36">
        <f t="shared" ca="1" si="130"/>
        <v>53.832941171783538</v>
      </c>
      <c r="AG56" s="36">
        <f t="shared" ca="1" si="130"/>
        <v>53.777984871023328</v>
      </c>
      <c r="AH56" s="36">
        <f t="shared" ca="1" si="130"/>
        <v>53.11876293852059</v>
      </c>
      <c r="AI56" s="36">
        <f t="shared" ca="1" si="130"/>
        <v>54.580950710516596</v>
      </c>
      <c r="AJ56" s="36">
        <f t="shared" ca="1" si="130"/>
        <v>55.071219377823866</v>
      </c>
      <c r="AK56" s="36">
        <f t="shared" ca="1" si="130"/>
        <v>54.985864086205424</v>
      </c>
      <c r="AL56" s="36">
        <f t="shared" ca="1" si="130"/>
        <v>54.997173894053283</v>
      </c>
      <c r="AM56" s="36">
        <f t="shared" ca="1" si="130"/>
        <v>53.988321185468472</v>
      </c>
      <c r="AN56" s="36">
        <f t="shared" ca="1" si="130"/>
        <v>53.381707373185094</v>
      </c>
      <c r="AO56" s="36">
        <f t="shared" ca="1" si="130"/>
        <v>54.050757464145889</v>
      </c>
      <c r="AP56" s="36">
        <f t="shared" ca="1" si="130"/>
        <v>54.502235761605419</v>
      </c>
      <c r="AQ56" s="36">
        <f t="shared" ca="1" si="130"/>
        <v>55.120453432391727</v>
      </c>
      <c r="AR56" s="36">
        <f t="shared" ca="1" si="130"/>
        <v>54.779579274979987</v>
      </c>
      <c r="AS56" s="36">
        <f t="shared" ca="1" si="130"/>
        <v>55.179288837010134</v>
      </c>
      <c r="AT56" s="36">
        <f t="shared" ca="1" si="130"/>
        <v>55.12648351647077</v>
      </c>
      <c r="AU56" s="36">
        <f t="shared" ca="1" si="130"/>
        <v>55.927572396107031</v>
      </c>
      <c r="AV56" s="36">
        <f t="shared" ca="1" si="130"/>
        <v>55.747008810977505</v>
      </c>
      <c r="AW56" s="36">
        <f t="shared" ca="1" si="130"/>
        <v>56.295470819066914</v>
      </c>
      <c r="AX56" s="36">
        <f t="shared" ca="1" si="130"/>
        <v>57.743660722910427</v>
      </c>
      <c r="AY56" s="36">
        <f t="shared" ca="1" si="130"/>
        <v>57.564498113049396</v>
      </c>
      <c r="AZ56" s="36">
        <f t="shared" ca="1" si="130"/>
        <v>58.142462942119494</v>
      </c>
      <c r="BA56" s="36">
        <f t="shared" ca="1" si="130"/>
        <v>57.807075473701545</v>
      </c>
      <c r="BB56" s="36">
        <f t="shared" ca="1" si="130"/>
        <v>57.470531615090692</v>
      </c>
      <c r="BC56" s="36">
        <f t="shared" ca="1" si="130"/>
        <v>57.586009561853835</v>
      </c>
      <c r="BD56" s="36">
        <f t="shared" ca="1" si="130"/>
        <v>57.702832434065662</v>
      </c>
      <c r="BE56" s="36">
        <f t="shared" ca="1" si="130"/>
        <v>57.828227382914513</v>
      </c>
      <c r="BF56" s="36">
        <f t="shared" ca="1" si="130"/>
        <v>57.808265318947861</v>
      </c>
      <c r="BG56" s="36">
        <f t="shared" ca="1" si="130"/>
        <v>58.419872827618633</v>
      </c>
      <c r="BH56" s="36">
        <f t="shared" ca="1" si="130"/>
        <v>58.888814398905346</v>
      </c>
      <c r="BI56" s="36">
        <f t="shared" ca="1" si="130"/>
        <v>58.580666542685726</v>
      </c>
      <c r="BJ56" s="36">
        <f t="shared" ca="1" si="130"/>
        <v>59.899968030225018</v>
      </c>
      <c r="BK56" s="36">
        <f t="shared" ca="1" si="130"/>
        <v>59.925497401789272</v>
      </c>
      <c r="BL56" s="36">
        <f t="shared" ca="1" si="130"/>
        <v>60.547754899297992</v>
      </c>
      <c r="BM56" s="36">
        <f t="shared" ca="1" si="130"/>
        <v>60.686299996291048</v>
      </c>
      <c r="BN56" s="36">
        <f t="shared" ca="1" si="130"/>
        <v>60.472538673241473</v>
      </c>
      <c r="BO56" s="36">
        <f t="shared" ca="1" si="130"/>
        <v>60.979504618893323</v>
      </c>
      <c r="BP56" s="36">
        <f t="shared" ca="1" si="130"/>
        <v>58.385696619960619</v>
      </c>
      <c r="BQ56" s="36">
        <f t="shared" ca="1" si="130"/>
        <v>58.400235067926154</v>
      </c>
      <c r="BR56" s="36">
        <f t="shared" ca="1" si="126"/>
        <v>56.606977633260222</v>
      </c>
      <c r="BS56" s="36">
        <f t="shared" ca="1" si="126"/>
        <v>55.856700499118631</v>
      </c>
      <c r="BT56" s="36">
        <f t="shared" ca="1" si="126"/>
        <v>56.504496365572628</v>
      </c>
      <c r="BU56" s="36">
        <f t="shared" ca="1" si="126"/>
        <v>56.434496757016575</v>
      </c>
      <c r="BV56" s="36">
        <f t="shared" ca="1" si="126"/>
        <v>55.963435085821182</v>
      </c>
      <c r="BW56" s="36">
        <f t="shared" ca="1" si="126"/>
        <v>56.344585642312353</v>
      </c>
      <c r="BX56" s="36">
        <f t="shared" ca="1" si="126"/>
        <v>56.039714966109642</v>
      </c>
      <c r="BY56" s="36">
        <f t="shared" ca="1" si="126"/>
        <v>55.308758457464521</v>
      </c>
      <c r="BZ56" s="36">
        <f t="shared" ca="1" si="126"/>
        <v>54.309706353176857</v>
      </c>
      <c r="CA56" s="36">
        <f t="shared" ca="1" si="126"/>
        <v>55.887922239839568</v>
      </c>
      <c r="CB56" s="36">
        <f t="shared" ca="1" si="126"/>
        <v>55.24176864608043</v>
      </c>
      <c r="CC56" s="36">
        <f t="shared" ca="1" si="126"/>
        <v>54.891900676871771</v>
      </c>
      <c r="CD56" s="36">
        <f t="shared" ca="1" si="126"/>
        <v>55.016236525576346</v>
      </c>
      <c r="CE56" s="36">
        <f t="shared" ca="1" si="126"/>
        <v>54.184722054649299</v>
      </c>
      <c r="CF56" s="36">
        <f t="shared" ca="1" si="126"/>
        <v>54.613621697354297</v>
      </c>
      <c r="CG56" s="36">
        <f t="shared" ca="1" si="126"/>
        <v>53.700305796251627</v>
      </c>
      <c r="CH56" s="36">
        <f t="shared" ca="1" si="126"/>
        <v>53.354946951596382</v>
      </c>
      <c r="CI56" s="36">
        <f t="shared" ca="1" si="126"/>
        <v>54.070256716915509</v>
      </c>
      <c r="CJ56" s="36">
        <f t="shared" ca="1" si="126"/>
        <v>54.249970019273007</v>
      </c>
      <c r="CK56" s="36">
        <f t="shared" ca="1" si="126"/>
        <v>54.330163070711677</v>
      </c>
      <c r="CL56" s="36">
        <f t="shared" ca="1" si="126"/>
        <v>54.51169436148048</v>
      </c>
      <c r="CM56" s="36">
        <f t="shared" ca="1" si="126"/>
        <v>54.990972068132095</v>
      </c>
      <c r="CN56" s="36">
        <f t="shared" ca="1" si="126"/>
        <v>55.093541782531688</v>
      </c>
      <c r="CO56" s="36">
        <f t="shared" ca="1" si="126"/>
        <v>55.220502455747479</v>
      </c>
      <c r="CP56" s="36">
        <f t="shared" ca="1" si="126"/>
        <v>56.750094379043041</v>
      </c>
      <c r="CQ56" s="36">
        <f t="shared" ca="1" si="126"/>
        <v>56.232695703979807</v>
      </c>
      <c r="CR56" s="36">
        <f t="shared" ca="1" si="126"/>
        <v>57.806712030431918</v>
      </c>
      <c r="CS56" s="36">
        <f t="shared" ca="1" si="126"/>
        <v>56.975313512807801</v>
      </c>
      <c r="CT56" s="36">
        <f t="shared" ca="1" si="126"/>
        <v>57.484973052351975</v>
      </c>
      <c r="CU56" s="36">
        <f t="shared" ca="1" si="126"/>
        <v>57.236544759706234</v>
      </c>
      <c r="CV56" s="36">
        <f t="shared" ca="1" si="126"/>
        <v>57.022984207998867</v>
      </c>
      <c r="CW56" s="36">
        <f t="shared" ca="1" si="126"/>
        <v>56.720666164150593</v>
      </c>
      <c r="CX56" s="36">
        <f t="shared" ca="1" si="126"/>
        <v>55.552918771116076</v>
      </c>
      <c r="CY56" s="36">
        <f t="shared" ca="1" si="126"/>
        <v>54.848034595625457</v>
      </c>
      <c r="CZ56" s="36">
        <f t="shared" ca="1" si="126"/>
        <v>54.860605009026081</v>
      </c>
      <c r="DA56" s="36">
        <f t="shared" ca="1" si="126"/>
        <v>53.76962380679123</v>
      </c>
      <c r="DB56" s="36">
        <f t="shared" ca="1" si="126"/>
        <v>52.78581414282791</v>
      </c>
      <c r="DC56" s="36">
        <f t="shared" ca="1" si="126"/>
        <v>52.868555625897194</v>
      </c>
      <c r="DD56" s="36">
        <f t="shared" ca="1" si="126"/>
        <v>55.005832266511419</v>
      </c>
      <c r="DE56" s="36">
        <f t="shared" ca="1" si="126"/>
        <v>54.897483106289222</v>
      </c>
      <c r="DF56" s="36">
        <f t="shared" ca="1" si="126"/>
        <v>54.948041829825456</v>
      </c>
      <c r="DG56" s="36">
        <f t="shared" ca="1" si="126"/>
        <v>53.654773307725733</v>
      </c>
      <c r="DH56" s="36">
        <f t="shared" ca="1" si="126"/>
        <v>54.387391227671735</v>
      </c>
      <c r="DI56" s="36">
        <f t="shared" ca="1" si="126"/>
        <v>53.330019032579038</v>
      </c>
      <c r="DJ56" s="36">
        <f t="shared" ca="1" si="126"/>
        <v>54.429474504718954</v>
      </c>
      <c r="DK56" s="36">
        <f t="shared" ca="1" si="126"/>
        <v>54.174221296341351</v>
      </c>
      <c r="DL56" s="36">
        <f t="shared" ca="1" si="126"/>
        <v>52.772922032204541</v>
      </c>
      <c r="DM56" s="36">
        <f t="shared" ca="1" si="126"/>
        <v>54.228377454525614</v>
      </c>
      <c r="DN56" s="36">
        <f t="shared" ca="1" si="126"/>
        <v>54.936399676617931</v>
      </c>
      <c r="DO56" s="36">
        <f t="shared" ca="1" si="126"/>
        <v>54.880807427079674</v>
      </c>
      <c r="DP56" s="36">
        <f t="shared" ca="1" si="126"/>
        <v>55.135259385396942</v>
      </c>
      <c r="DQ56" s="36">
        <f t="shared" ca="1" si="126"/>
        <v>54.076239301607551</v>
      </c>
      <c r="DR56" s="36">
        <f t="shared" ca="1" si="126"/>
        <v>55.668814515193588</v>
      </c>
      <c r="DS56" s="36">
        <f t="shared" ca="1" si="126"/>
        <v>55.760127280420512</v>
      </c>
      <c r="DT56" s="36">
        <f t="shared" ca="1" si="126"/>
        <v>55.84541748545093</v>
      </c>
      <c r="DU56" s="36">
        <f t="shared" ca="1" si="126"/>
        <v>54.739446237423358</v>
      </c>
      <c r="DV56" s="36">
        <f t="shared" ca="1" si="126"/>
        <v>55.205379376094619</v>
      </c>
      <c r="DW56" s="36">
        <f t="shared" ca="1" si="126"/>
        <v>56.821629990743141</v>
      </c>
      <c r="DX56" s="36">
        <f t="shared" ca="1" si="126"/>
        <v>56.582751178198265</v>
      </c>
      <c r="DY56" s="36">
        <f t="shared" ca="1" si="126"/>
        <v>56.095489566392814</v>
      </c>
      <c r="DZ56" s="36">
        <f t="shared" ca="1" si="126"/>
        <v>56.566781571403183</v>
      </c>
      <c r="EA56" s="36">
        <f t="shared" ca="1" si="126"/>
        <v>56.343971179165166</v>
      </c>
      <c r="EB56" s="36">
        <f t="shared" ca="1" si="126"/>
        <v>57.140999544181831</v>
      </c>
      <c r="EC56" s="36">
        <f t="shared" ca="1" si="107"/>
        <v>56.074248674023004</v>
      </c>
      <c r="ED56" s="36">
        <f t="shared" ca="1" si="107"/>
        <v>55.127361529972639</v>
      </c>
      <c r="EE56" s="36">
        <f t="shared" ca="1" si="107"/>
        <v>55.84592897177</v>
      </c>
      <c r="EF56" s="36">
        <f t="shared" ca="1" si="107"/>
        <v>56.428198583035524</v>
      </c>
      <c r="EG56" s="36">
        <f t="shared" ca="1" si="107"/>
        <v>57.822252059439748</v>
      </c>
      <c r="EH56" s="36">
        <f t="shared" ca="1" si="107"/>
        <v>58.082788963861823</v>
      </c>
      <c r="EI56" s="36">
        <f t="shared" ca="1" si="107"/>
        <v>58.486134946251134</v>
      </c>
      <c r="EJ56" s="36">
        <f t="shared" ca="1" si="107"/>
        <v>58.822687156921013</v>
      </c>
      <c r="EK56" s="36">
        <f t="shared" ca="1" si="107"/>
        <v>59.25160291218252</v>
      </c>
      <c r="EL56" s="36">
        <f t="shared" ca="1" si="107"/>
        <v>59.075192644128904</v>
      </c>
      <c r="EM56" s="36">
        <f t="shared" ca="1" si="107"/>
        <v>59.817184282061369</v>
      </c>
      <c r="EN56" s="36">
        <f t="shared" ca="1" si="107"/>
        <v>60.156973800235612</v>
      </c>
      <c r="EO56" s="36">
        <f t="shared" ca="1" si="107"/>
        <v>62.320492772107698</v>
      </c>
      <c r="EP56" s="36">
        <f t="shared" ca="1" si="107"/>
        <v>61.930713886831356</v>
      </c>
      <c r="EQ56" s="36">
        <f t="shared" ca="1" si="107"/>
        <v>62.737926256259101</v>
      </c>
      <c r="ER56" s="36">
        <f t="shared" ca="1" si="107"/>
        <v>62.043076526237421</v>
      </c>
      <c r="ES56" s="36">
        <f t="shared" ca="1" si="107"/>
        <v>61.525767612793892</v>
      </c>
      <c r="ET56" s="36">
        <f t="shared" ca="1" si="107"/>
        <v>60.908279113259816</v>
      </c>
      <c r="EU56" s="36">
        <f t="shared" ca="1" si="107"/>
        <v>60.690597285253268</v>
      </c>
      <c r="EV56" s="36">
        <f t="shared" ca="1" si="107"/>
        <v>60.703491999176336</v>
      </c>
      <c r="EW56" s="36">
        <f t="shared" ref="EW56" ca="1" si="133">EV56*EXP(($B$3-$B$4^2/2)*1+$B$4*_xlfn.NORM.S.INV(RAND()))</f>
        <v>62.236594238267472</v>
      </c>
      <c r="EX56" s="36">
        <f t="shared" ca="1" si="127"/>
        <v>62.047859986783422</v>
      </c>
      <c r="EY56" s="36">
        <f t="shared" ca="1" si="127"/>
        <v>63.542840303110069</v>
      </c>
      <c r="EZ56" s="36">
        <f t="shared" ca="1" si="127"/>
        <v>64.442022830375009</v>
      </c>
      <c r="FA56" s="36">
        <f t="shared" ca="1" si="127"/>
        <v>63.497124353132634</v>
      </c>
      <c r="FB56" s="36">
        <f t="shared" ca="1" si="127"/>
        <v>63.830928630694892</v>
      </c>
      <c r="FC56" s="36">
        <f t="shared" ca="1" si="127"/>
        <v>64.178908963994743</v>
      </c>
      <c r="FD56" s="36">
        <f t="shared" ca="1" si="127"/>
        <v>63.947346333284763</v>
      </c>
      <c r="FE56" s="36">
        <f t="shared" ca="1" si="127"/>
        <v>62.67447350835176</v>
      </c>
      <c r="FF56" s="36">
        <f t="shared" ca="1" si="127"/>
        <v>62.81026304102982</v>
      </c>
      <c r="FG56" s="36">
        <f t="shared" ca="1" si="127"/>
        <v>64.491727891863292</v>
      </c>
      <c r="FH56" s="36">
        <f t="shared" ca="1" si="127"/>
        <v>65.321571524818751</v>
      </c>
      <c r="FI56" s="36">
        <f t="shared" ca="1" si="127"/>
        <v>65.641054865748657</v>
      </c>
      <c r="FJ56" s="36">
        <f t="shared" ca="1" si="127"/>
        <v>65.506200537712459</v>
      </c>
      <c r="FK56" s="36">
        <f t="shared" ca="1" si="127"/>
        <v>66.990869417894089</v>
      </c>
      <c r="FL56" s="36">
        <f t="shared" ca="1" si="127"/>
        <v>67.494108421826084</v>
      </c>
      <c r="FM56" s="36">
        <f t="shared" ca="1" si="127"/>
        <v>67.873035207593489</v>
      </c>
      <c r="FN56" s="36">
        <f t="shared" ca="1" si="127"/>
        <v>67.256317857941198</v>
      </c>
      <c r="FO56" s="36">
        <f t="shared" ca="1" si="127"/>
        <v>66.624896217938684</v>
      </c>
      <c r="FP56" s="36">
        <f t="shared" ca="1" si="127"/>
        <v>64.791162610439244</v>
      </c>
      <c r="FQ56" s="36">
        <f t="shared" ca="1" si="127"/>
        <v>65.083456348434908</v>
      </c>
      <c r="FR56" s="36">
        <f t="shared" ca="1" si="127"/>
        <v>65.878865316183706</v>
      </c>
      <c r="FS56" s="36">
        <f t="shared" ca="1" si="127"/>
        <v>65.715643979988684</v>
      </c>
      <c r="FT56" s="36">
        <f t="shared" ca="1" si="127"/>
        <v>65.266422606806131</v>
      </c>
      <c r="FU56" s="36">
        <f t="shared" ca="1" si="127"/>
        <v>65.478687511947456</v>
      </c>
      <c r="FV56" s="36">
        <f t="shared" ca="1" si="127"/>
        <v>65.475304150666645</v>
      </c>
      <c r="FW56" s="36">
        <f t="shared" ca="1" si="127"/>
        <v>66.814826509668663</v>
      </c>
      <c r="FX56" s="36">
        <f t="shared" ca="1" si="127"/>
        <v>67.153364428855525</v>
      </c>
      <c r="FY56" s="36">
        <f t="shared" ca="1" si="127"/>
        <v>67.201623507427797</v>
      </c>
      <c r="FZ56" s="36">
        <f t="shared" ca="1" si="127"/>
        <v>66.939653778441553</v>
      </c>
      <c r="GA56" s="36">
        <f t="shared" ca="1" si="127"/>
        <v>66.74577212911052</v>
      </c>
      <c r="GB56" s="36">
        <f t="shared" ca="1" si="127"/>
        <v>66.115821833327672</v>
      </c>
      <c r="GC56" s="36">
        <f t="shared" ca="1" si="127"/>
        <v>65.465013382748012</v>
      </c>
      <c r="GD56" s="36">
        <f t="shared" ca="1" si="127"/>
        <v>64.788285323312692</v>
      </c>
      <c r="GE56" s="36">
        <f t="shared" ca="1" si="127"/>
        <v>65.363387486960406</v>
      </c>
      <c r="GF56" s="36">
        <f t="shared" ca="1" si="127"/>
        <v>64.933091254381878</v>
      </c>
      <c r="GG56" s="36">
        <f t="shared" ca="1" si="127"/>
        <v>65.174967037453172</v>
      </c>
      <c r="GH56" s="36">
        <f t="shared" ca="1" si="127"/>
        <v>65.261365403488767</v>
      </c>
      <c r="GI56" s="36">
        <f t="shared" ca="1" si="127"/>
        <v>64.234141955918119</v>
      </c>
      <c r="GJ56" s="36">
        <f t="shared" ca="1" si="127"/>
        <v>64.423150067842627</v>
      </c>
      <c r="GK56" s="36">
        <f t="shared" ca="1" si="127"/>
        <v>63.088119300819869</v>
      </c>
      <c r="GL56" s="36">
        <f t="shared" ca="1" si="127"/>
        <v>62.981286488962482</v>
      </c>
      <c r="GM56" s="36">
        <f t="shared" ca="1" si="127"/>
        <v>64.294332206208495</v>
      </c>
      <c r="GN56" s="36">
        <f t="shared" ca="1" si="127"/>
        <v>64.954706129076229</v>
      </c>
      <c r="GO56" s="36">
        <f t="shared" ca="1" si="127"/>
        <v>64.314373056809572</v>
      </c>
      <c r="GP56" s="36">
        <f t="shared" ca="1" si="127"/>
        <v>64.029666123015616</v>
      </c>
      <c r="GQ56" s="36">
        <f t="shared" ca="1" si="127"/>
        <v>65.508661907519397</v>
      </c>
      <c r="GR56" s="36">
        <f t="shared" ca="1" si="127"/>
        <v>65.712024594097301</v>
      </c>
      <c r="GS56" s="36">
        <f t="shared" ca="1" si="127"/>
        <v>66.842042096729443</v>
      </c>
      <c r="GT56" s="36">
        <f t="shared" ca="1" si="127"/>
        <v>66.339401201370677</v>
      </c>
      <c r="GU56" s="36">
        <f t="shared" ca="1" si="127"/>
        <v>65.928692397052771</v>
      </c>
      <c r="GV56" s="36">
        <f t="shared" ca="1" si="127"/>
        <v>65.64681496379491</v>
      </c>
      <c r="GW56" s="36">
        <f t="shared" ca="1" si="127"/>
        <v>65.093977549951376</v>
      </c>
      <c r="GX56" s="36">
        <f t="shared" ca="1" si="127"/>
        <v>64.071203639563237</v>
      </c>
      <c r="GY56" s="36">
        <f t="shared" ca="1" si="127"/>
        <v>63.28104807371259</v>
      </c>
      <c r="GZ56" s="36">
        <f t="shared" ca="1" si="127"/>
        <v>63.421972566419669</v>
      </c>
      <c r="HA56" s="36">
        <f t="shared" ca="1" si="127"/>
        <v>62.91600380467851</v>
      </c>
      <c r="HB56" s="36">
        <f t="shared" ca="1" si="127"/>
        <v>63.507389990900748</v>
      </c>
      <c r="HC56" s="36">
        <f t="shared" ca="1" si="127"/>
        <v>63.220054265990903</v>
      </c>
      <c r="HD56" s="36">
        <f t="shared" ca="1" si="127"/>
        <v>63.194413925903064</v>
      </c>
      <c r="HE56" s="36">
        <f t="shared" ca="1" si="127"/>
        <v>62.128457233135528</v>
      </c>
      <c r="HF56" s="36">
        <f t="shared" ca="1" si="127"/>
        <v>60.941208211489439</v>
      </c>
      <c r="HG56" s="36">
        <f t="shared" ca="1" si="127"/>
        <v>61.70991103175669</v>
      </c>
      <c r="HH56" s="36">
        <f t="shared" ca="1" si="127"/>
        <v>60.47580019427545</v>
      </c>
      <c r="HI56" s="36">
        <f t="shared" ca="1" si="128"/>
        <v>60.52051622151096</v>
      </c>
      <c r="HJ56" s="36">
        <f t="shared" ca="1" si="128"/>
        <v>59.596140476980146</v>
      </c>
      <c r="HK56" s="36">
        <f t="shared" ca="1" si="128"/>
        <v>60.30884421564577</v>
      </c>
      <c r="HL56" s="36">
        <f t="shared" ca="1" si="128"/>
        <v>61.657722691605507</v>
      </c>
      <c r="HM56" s="36">
        <f t="shared" ca="1" si="128"/>
        <v>61.410868255700713</v>
      </c>
      <c r="HN56" s="36">
        <f t="shared" ca="1" si="128"/>
        <v>62.761540335689766</v>
      </c>
      <c r="HO56" s="36">
        <f t="shared" ca="1" si="128"/>
        <v>62.771775348019602</v>
      </c>
      <c r="HP56" s="36">
        <f t="shared" ca="1" si="128"/>
        <v>62.925275845331591</v>
      </c>
      <c r="HQ56" s="36">
        <f t="shared" ca="1" si="128"/>
        <v>62.882936230809875</v>
      </c>
      <c r="HR56" s="36">
        <f t="shared" ca="1" si="128"/>
        <v>62.987274323770691</v>
      </c>
      <c r="HS56" s="36">
        <f t="shared" ca="1" si="128"/>
        <v>63.17308212182428</v>
      </c>
      <c r="HT56" s="36">
        <f t="shared" ca="1" si="128"/>
        <v>62.193470458639609</v>
      </c>
      <c r="HU56" s="36">
        <f t="shared" ca="1" si="128"/>
        <v>63.467898536202277</v>
      </c>
      <c r="HV56" s="36">
        <f t="shared" ca="1" si="128"/>
        <v>64.443671329425896</v>
      </c>
      <c r="HW56" s="36">
        <f t="shared" ca="1" si="128"/>
        <v>65.806892417257984</v>
      </c>
      <c r="HX56" s="36">
        <f t="shared" ca="1" si="128"/>
        <v>66.306609846712391</v>
      </c>
      <c r="HY56" s="36">
        <f t="shared" ca="1" si="129"/>
        <v>66.83936573923576</v>
      </c>
      <c r="HZ56" s="36">
        <f t="shared" ca="1" si="129"/>
        <v>66.666952927338286</v>
      </c>
      <c r="IA56" s="36">
        <f t="shared" ca="1" si="129"/>
        <v>66.392443744172866</v>
      </c>
      <c r="IB56" s="36">
        <f t="shared" ca="1" si="129"/>
        <v>67.888050176800348</v>
      </c>
      <c r="IC56" s="36">
        <f t="shared" ca="1" si="129"/>
        <v>68.756925936108914</v>
      </c>
      <c r="ID56" s="36">
        <f t="shared" ca="1" si="129"/>
        <v>69.949925898510486</v>
      </c>
      <c r="IE56" s="36">
        <f t="shared" ca="1" si="129"/>
        <v>70.068689228005297</v>
      </c>
      <c r="IF56" s="36">
        <f t="shared" ca="1" si="129"/>
        <v>70.50819657986176</v>
      </c>
      <c r="IG56" s="36">
        <f t="shared" ca="1" si="129"/>
        <v>69.531872598335923</v>
      </c>
      <c r="IH56" s="36">
        <f t="shared" ca="1" si="129"/>
        <v>70.066837100825907</v>
      </c>
      <c r="II56" s="36">
        <f t="shared" ca="1" si="129"/>
        <v>70.877178818213096</v>
      </c>
      <c r="IJ56" s="36">
        <f t="shared" ca="1" si="129"/>
        <v>71.352215361102878</v>
      </c>
      <c r="IK56" s="36">
        <f t="shared" ca="1" si="129"/>
        <v>71.602082576188707</v>
      </c>
      <c r="IL56" s="36">
        <f t="shared" ca="1" si="129"/>
        <v>70.776200260251144</v>
      </c>
      <c r="IM56" s="36">
        <f t="shared" ca="1" si="129"/>
        <v>71.361897219615358</v>
      </c>
      <c r="IN56" s="36">
        <f t="shared" ca="1" si="129"/>
        <v>72.045589307069477</v>
      </c>
      <c r="IO56" s="36">
        <f t="shared" ca="1" si="129"/>
        <v>71.588118186221323</v>
      </c>
      <c r="IP56" s="36">
        <f t="shared" ca="1" si="129"/>
        <v>71.663790927099711</v>
      </c>
      <c r="IQ56" s="36">
        <f t="shared" ca="1" si="129"/>
        <v>70.902329846781242</v>
      </c>
      <c r="IR56" s="36">
        <f t="shared" ca="1" si="129"/>
        <v>71.228482902029228</v>
      </c>
      <c r="IS56" s="36">
        <f t="shared" ca="1" si="129"/>
        <v>71.805226799420169</v>
      </c>
      <c r="IT56" s="36">
        <f t="shared" ca="1" si="129"/>
        <v>72.427864883714847</v>
      </c>
      <c r="IU56" s="36">
        <f t="shared" ca="1" si="129"/>
        <v>72.148784805225759</v>
      </c>
    </row>
    <row r="57" spans="1:255" x14ac:dyDescent="0.2">
      <c r="A57" s="36"/>
      <c r="B57">
        <v>47</v>
      </c>
      <c r="C57" s="36">
        <v>50</v>
      </c>
      <c r="D57" s="36">
        <f t="shared" ca="1" si="14"/>
        <v>49.920979245538483</v>
      </c>
      <c r="E57" s="36">
        <f t="shared" ca="1" si="14"/>
        <v>49.86995497049886</v>
      </c>
      <c r="F57" s="36">
        <f t="shared" ca="1" si="130"/>
        <v>50.153724709503656</v>
      </c>
      <c r="G57" s="36">
        <f t="shared" ca="1" si="130"/>
        <v>50.23503176786064</v>
      </c>
      <c r="H57" s="36">
        <f t="shared" ca="1" si="130"/>
        <v>50.727808902288032</v>
      </c>
      <c r="I57" s="36">
        <f t="shared" ca="1" si="130"/>
        <v>50.365982838345865</v>
      </c>
      <c r="J57" s="36">
        <f t="shared" ca="1" si="130"/>
        <v>50.815749472079169</v>
      </c>
      <c r="K57" s="36">
        <f t="shared" ca="1" si="130"/>
        <v>50.083616858393107</v>
      </c>
      <c r="L57" s="36">
        <f t="shared" ca="1" si="130"/>
        <v>49.863827527589528</v>
      </c>
      <c r="M57" s="36">
        <f t="shared" ca="1" si="130"/>
        <v>50.344066613056818</v>
      </c>
      <c r="N57" s="36">
        <f t="shared" ca="1" si="130"/>
        <v>50.355111385511549</v>
      </c>
      <c r="O57" s="36">
        <f t="shared" ca="1" si="130"/>
        <v>51.201031689289763</v>
      </c>
      <c r="P57" s="36">
        <f t="shared" ca="1" si="130"/>
        <v>50.960563941177234</v>
      </c>
      <c r="Q57" s="36">
        <f t="shared" ca="1" si="130"/>
        <v>50.329558485341344</v>
      </c>
      <c r="R57" s="36">
        <f t="shared" ca="1" si="130"/>
        <v>50.857919436083861</v>
      </c>
      <c r="S57" s="36">
        <f t="shared" ca="1" si="130"/>
        <v>50.846925340859187</v>
      </c>
      <c r="T57" s="36">
        <f t="shared" ca="1" si="130"/>
        <v>50.911060488482889</v>
      </c>
      <c r="U57" s="36">
        <f t="shared" ca="1" si="130"/>
        <v>50.87768772883949</v>
      </c>
      <c r="V57" s="36">
        <f t="shared" ca="1" si="130"/>
        <v>51.389297535856272</v>
      </c>
      <c r="W57" s="36">
        <f t="shared" ca="1" si="130"/>
        <v>52.117393757131282</v>
      </c>
      <c r="X57" s="36">
        <f t="shared" ca="1" si="130"/>
        <v>52.665485205322526</v>
      </c>
      <c r="Y57" s="36">
        <f t="shared" ca="1" si="130"/>
        <v>53.186188210819076</v>
      </c>
      <c r="Z57" s="36">
        <f t="shared" ca="1" si="130"/>
        <v>53.221280888277072</v>
      </c>
      <c r="AA57" s="36">
        <f t="shared" ca="1" si="130"/>
        <v>53.786233763513195</v>
      </c>
      <c r="AB57" s="36">
        <f t="shared" ca="1" si="130"/>
        <v>54.934530028936237</v>
      </c>
      <c r="AC57" s="36">
        <f t="shared" ca="1" si="130"/>
        <v>55.096691471478465</v>
      </c>
      <c r="AD57" s="36">
        <f t="shared" ca="1" si="130"/>
        <v>54.984476027715822</v>
      </c>
      <c r="AE57" s="36">
        <f t="shared" ca="1" si="130"/>
        <v>54.500049279748765</v>
      </c>
      <c r="AF57" s="36">
        <f t="shared" ca="1" si="130"/>
        <v>55.818575658310813</v>
      </c>
      <c r="AG57" s="36">
        <f t="shared" ca="1" si="130"/>
        <v>56.305451935543239</v>
      </c>
      <c r="AH57" s="36">
        <f t="shared" ca="1" si="130"/>
        <v>57.889979687265765</v>
      </c>
      <c r="AI57" s="36">
        <f t="shared" ca="1" si="130"/>
        <v>58.455590060051733</v>
      </c>
      <c r="AJ57" s="36">
        <f t="shared" ca="1" si="130"/>
        <v>58.068635083933771</v>
      </c>
      <c r="AK57" s="36">
        <f t="shared" ca="1" si="130"/>
        <v>57.708052869696004</v>
      </c>
      <c r="AL57" s="36">
        <f t="shared" ca="1" si="130"/>
        <v>58.291674001063427</v>
      </c>
      <c r="AM57" s="36">
        <f t="shared" ca="1" si="130"/>
        <v>59.656422873738663</v>
      </c>
      <c r="AN57" s="36">
        <f t="shared" ca="1" si="130"/>
        <v>59.933376367640378</v>
      </c>
      <c r="AO57" s="36">
        <f t="shared" ca="1" si="130"/>
        <v>59.797416204333885</v>
      </c>
      <c r="AP57" s="36">
        <f t="shared" ca="1" si="130"/>
        <v>60.567491701844602</v>
      </c>
      <c r="AQ57" s="36">
        <f t="shared" ca="1" si="130"/>
        <v>60.735444314987049</v>
      </c>
      <c r="AR57" s="36">
        <f t="shared" ca="1" si="130"/>
        <v>59.699640648580178</v>
      </c>
      <c r="AS57" s="36">
        <f t="shared" ca="1" si="130"/>
        <v>60.16627598780925</v>
      </c>
      <c r="AT57" s="36">
        <f t="shared" ca="1" si="130"/>
        <v>61.288744517321881</v>
      </c>
      <c r="AU57" s="36">
        <f t="shared" ca="1" si="130"/>
        <v>60.359395279246321</v>
      </c>
      <c r="AV57" s="36">
        <f t="shared" ca="1" si="130"/>
        <v>60.264997130510466</v>
      </c>
      <c r="AW57" s="36">
        <f t="shared" ca="1" si="130"/>
        <v>59.350883672978519</v>
      </c>
      <c r="AX57" s="36">
        <f t="shared" ca="1" si="130"/>
        <v>58.830012080732743</v>
      </c>
      <c r="AY57" s="36">
        <f t="shared" ca="1" si="130"/>
        <v>58.174849689728561</v>
      </c>
      <c r="AZ57" s="36">
        <f t="shared" ca="1" si="130"/>
        <v>59.39053959501662</v>
      </c>
      <c r="BA57" s="36">
        <f t="shared" ca="1" si="130"/>
        <v>58.161636151113349</v>
      </c>
      <c r="BB57" s="36">
        <f t="shared" ca="1" si="130"/>
        <v>57.719623854466136</v>
      </c>
      <c r="BC57" s="36">
        <f t="shared" ca="1" si="130"/>
        <v>58.599548708065875</v>
      </c>
      <c r="BD57" s="36">
        <f t="shared" ca="1" si="130"/>
        <v>59.015303395674401</v>
      </c>
      <c r="BE57" s="36">
        <f t="shared" ca="1" si="130"/>
        <v>61.23913197669544</v>
      </c>
      <c r="BF57" s="36">
        <f t="shared" ca="1" si="130"/>
        <v>62.474535952260929</v>
      </c>
      <c r="BG57" s="36">
        <f t="shared" ca="1" si="130"/>
        <v>63.523668380413191</v>
      </c>
      <c r="BH57" s="36">
        <f t="shared" ca="1" si="130"/>
        <v>64.323738430099894</v>
      </c>
      <c r="BI57" s="36">
        <f t="shared" ca="1" si="130"/>
        <v>64.276325943095571</v>
      </c>
      <c r="BJ57" s="36">
        <f t="shared" ca="1" si="130"/>
        <v>63.620838288843977</v>
      </c>
      <c r="BK57" s="36">
        <f t="shared" ca="1" si="130"/>
        <v>63.122934983401642</v>
      </c>
      <c r="BL57" s="36">
        <f t="shared" ca="1" si="130"/>
        <v>62.685468306503708</v>
      </c>
      <c r="BM57" s="36">
        <f t="shared" ca="1" si="130"/>
        <v>61.230085044980072</v>
      </c>
      <c r="BN57" s="36">
        <f t="shared" ca="1" si="130"/>
        <v>61.473960311407566</v>
      </c>
      <c r="BO57" s="36">
        <f t="shared" ca="1" si="130"/>
        <v>62.061225289700211</v>
      </c>
      <c r="BP57" s="36">
        <f t="shared" ca="1" si="130"/>
        <v>61.193048959779887</v>
      </c>
      <c r="BQ57" s="36">
        <f t="shared" ref="BQ57:EB60" ca="1" si="134">BP57*EXP(($B$3-$B$4^2/2)*1+$B$4*_xlfn.NORM.S.INV(RAND()))</f>
        <v>60.851615316741643</v>
      </c>
      <c r="BR57" s="36">
        <f t="shared" ca="1" si="134"/>
        <v>59.323054920733192</v>
      </c>
      <c r="BS57" s="36">
        <f t="shared" ca="1" si="134"/>
        <v>59.350506830585097</v>
      </c>
      <c r="BT57" s="36">
        <f t="shared" ca="1" si="134"/>
        <v>59.533773364156851</v>
      </c>
      <c r="BU57" s="36">
        <f t="shared" ca="1" si="134"/>
        <v>59.163610900570852</v>
      </c>
      <c r="BV57" s="36">
        <f t="shared" ca="1" si="134"/>
        <v>59.349966423773033</v>
      </c>
      <c r="BW57" s="36">
        <f t="shared" ca="1" si="134"/>
        <v>59.404697767278634</v>
      </c>
      <c r="BX57" s="36">
        <f t="shared" ca="1" si="134"/>
        <v>59.664588700998294</v>
      </c>
      <c r="BY57" s="36">
        <f t="shared" ca="1" si="134"/>
        <v>58.681725009106053</v>
      </c>
      <c r="BZ57" s="36">
        <f t="shared" ca="1" si="134"/>
        <v>58.940121773654262</v>
      </c>
      <c r="CA57" s="36">
        <f t="shared" ca="1" si="134"/>
        <v>59.85968522063046</v>
      </c>
      <c r="CB57" s="36">
        <f t="shared" ca="1" si="134"/>
        <v>59.808254253371196</v>
      </c>
      <c r="CC57" s="36">
        <f t="shared" ca="1" si="134"/>
        <v>59.232456687291645</v>
      </c>
      <c r="CD57" s="36">
        <f t="shared" ca="1" si="134"/>
        <v>59.165176743966271</v>
      </c>
      <c r="CE57" s="36">
        <f t="shared" ca="1" si="134"/>
        <v>59.390195123559224</v>
      </c>
      <c r="CF57" s="36">
        <f t="shared" ca="1" si="134"/>
        <v>58.970910649851255</v>
      </c>
      <c r="CG57" s="36">
        <f t="shared" ca="1" si="134"/>
        <v>58.983909430679361</v>
      </c>
      <c r="CH57" s="36">
        <f t="shared" ca="1" si="134"/>
        <v>60.64005338268057</v>
      </c>
      <c r="CI57" s="36">
        <f t="shared" ca="1" si="134"/>
        <v>61.906895596214902</v>
      </c>
      <c r="CJ57" s="36">
        <f t="shared" ca="1" si="134"/>
        <v>63.536509741064741</v>
      </c>
      <c r="CK57" s="36">
        <f t="shared" ca="1" si="134"/>
        <v>63.441584080913039</v>
      </c>
      <c r="CL57" s="36">
        <f t="shared" ca="1" si="134"/>
        <v>63.571691176868747</v>
      </c>
      <c r="CM57" s="36">
        <f t="shared" ca="1" si="134"/>
        <v>62.839271656909858</v>
      </c>
      <c r="CN57" s="36">
        <f t="shared" ca="1" si="134"/>
        <v>62.916265109852951</v>
      </c>
      <c r="CO57" s="36">
        <f t="shared" ca="1" si="134"/>
        <v>61.919884513217973</v>
      </c>
      <c r="CP57" s="36">
        <f t="shared" ca="1" si="134"/>
        <v>61.877415512878173</v>
      </c>
      <c r="CQ57" s="36">
        <f t="shared" ca="1" si="134"/>
        <v>60.759868042525575</v>
      </c>
      <c r="CR57" s="36">
        <f t="shared" ca="1" si="134"/>
        <v>60.743478175451671</v>
      </c>
      <c r="CS57" s="36">
        <f t="shared" ca="1" si="134"/>
        <v>61.245445760554553</v>
      </c>
      <c r="CT57" s="36">
        <f t="shared" ca="1" si="134"/>
        <v>61.621130910329384</v>
      </c>
      <c r="CU57" s="36">
        <f t="shared" ca="1" si="134"/>
        <v>61.914140860518771</v>
      </c>
      <c r="CV57" s="36">
        <f t="shared" ca="1" si="134"/>
        <v>61.417897711045988</v>
      </c>
      <c r="CW57" s="36">
        <f t="shared" ca="1" si="134"/>
        <v>60.682636030727636</v>
      </c>
      <c r="CX57" s="36">
        <f t="shared" ca="1" si="134"/>
        <v>60.549030465435443</v>
      </c>
      <c r="CY57" s="36">
        <f t="shared" ca="1" si="134"/>
        <v>59.777322469748675</v>
      </c>
      <c r="CZ57" s="36">
        <f t="shared" ca="1" si="134"/>
        <v>60.429150385284522</v>
      </c>
      <c r="DA57" s="36">
        <f t="shared" ca="1" si="134"/>
        <v>59.079743322233703</v>
      </c>
      <c r="DB57" s="36">
        <f t="shared" ca="1" si="134"/>
        <v>59.004791685467815</v>
      </c>
      <c r="DC57" s="36">
        <f t="shared" ca="1" si="134"/>
        <v>58.613578786288812</v>
      </c>
      <c r="DD57" s="36">
        <f t="shared" ca="1" si="134"/>
        <v>57.646878745726198</v>
      </c>
      <c r="DE57" s="36">
        <f t="shared" ca="1" si="134"/>
        <v>57.291020093008662</v>
      </c>
      <c r="DF57" s="36">
        <f t="shared" ca="1" si="134"/>
        <v>57.242868063769059</v>
      </c>
      <c r="DG57" s="36">
        <f t="shared" ca="1" si="134"/>
        <v>57.440144813570427</v>
      </c>
      <c r="DH57" s="36">
        <f t="shared" ca="1" si="134"/>
        <v>57.264725889268028</v>
      </c>
      <c r="DI57" s="36">
        <f t="shared" ca="1" si="134"/>
        <v>57.514597767580952</v>
      </c>
      <c r="DJ57" s="36">
        <f t="shared" ca="1" si="134"/>
        <v>58.362373044372845</v>
      </c>
      <c r="DK57" s="36">
        <f t="shared" ca="1" si="134"/>
        <v>59.340500978074189</v>
      </c>
      <c r="DL57" s="36">
        <f t="shared" ca="1" si="134"/>
        <v>60.200615198772432</v>
      </c>
      <c r="DM57" s="36">
        <f t="shared" ca="1" si="134"/>
        <v>60.022116062421716</v>
      </c>
      <c r="DN57" s="36">
        <f t="shared" ca="1" si="134"/>
        <v>59.587515232085138</v>
      </c>
      <c r="DO57" s="36">
        <f t="shared" ca="1" si="134"/>
        <v>59.661532547964981</v>
      </c>
      <c r="DP57" s="36">
        <f t="shared" ca="1" si="134"/>
        <v>60.272315841428323</v>
      </c>
      <c r="DQ57" s="36">
        <f t="shared" ca="1" si="134"/>
        <v>60.552302314186932</v>
      </c>
      <c r="DR57" s="36">
        <f t="shared" ca="1" si="134"/>
        <v>59.830683794211986</v>
      </c>
      <c r="DS57" s="36">
        <f t="shared" ca="1" si="134"/>
        <v>61.0371199879907</v>
      </c>
      <c r="DT57" s="36">
        <f t="shared" ca="1" si="134"/>
        <v>62.164168617932297</v>
      </c>
      <c r="DU57" s="36">
        <f t="shared" ca="1" si="134"/>
        <v>60.936333306116708</v>
      </c>
      <c r="DV57" s="36">
        <f t="shared" ca="1" si="134"/>
        <v>60.986314425399769</v>
      </c>
      <c r="DW57" s="36">
        <f t="shared" ca="1" si="134"/>
        <v>61.596836348142531</v>
      </c>
      <c r="DX57" s="36">
        <f t="shared" ca="1" si="134"/>
        <v>60.916929505158961</v>
      </c>
      <c r="DY57" s="36">
        <f t="shared" ca="1" si="134"/>
        <v>60.622063766170953</v>
      </c>
      <c r="DZ57" s="36">
        <f t="shared" ca="1" si="134"/>
        <v>62.718209975531423</v>
      </c>
      <c r="EA57" s="36">
        <f t="shared" ca="1" si="134"/>
        <v>62.769343250149319</v>
      </c>
      <c r="EB57" s="36">
        <f t="shared" ca="1" si="134"/>
        <v>65.248867885991956</v>
      </c>
      <c r="EC57" s="36">
        <f t="shared" ca="1" si="107"/>
        <v>63.582145771073819</v>
      </c>
      <c r="ED57" s="36">
        <f t="shared" ca="1" si="107"/>
        <v>62.706219992342582</v>
      </c>
      <c r="EE57" s="36">
        <f t="shared" ca="1" si="107"/>
        <v>62.627318962367553</v>
      </c>
      <c r="EF57" s="36">
        <f t="shared" ca="1" si="107"/>
        <v>62.617701549415607</v>
      </c>
      <c r="EG57" s="36">
        <f t="shared" ca="1" si="107"/>
        <v>61.936311659744277</v>
      </c>
      <c r="EH57" s="36">
        <f t="shared" ca="1" si="107"/>
        <v>62.661295728553988</v>
      </c>
      <c r="EI57" s="36">
        <f t="shared" ca="1" si="107"/>
        <v>64.866246618512847</v>
      </c>
      <c r="EJ57" s="36">
        <f t="shared" ca="1" si="107"/>
        <v>64.650090961856336</v>
      </c>
      <c r="EK57" s="36">
        <f t="shared" ca="1" si="107"/>
        <v>65.167115237943307</v>
      </c>
      <c r="EL57" s="36">
        <f t="shared" ca="1" si="107"/>
        <v>65.631260331362469</v>
      </c>
      <c r="EM57" s="36">
        <f t="shared" ca="1" si="107"/>
        <v>65.243741271346821</v>
      </c>
      <c r="EN57" s="36">
        <f t="shared" ca="1" si="107"/>
        <v>64.59283585684183</v>
      </c>
      <c r="EO57" s="36">
        <f t="shared" ca="1" si="107"/>
        <v>65.03254482204261</v>
      </c>
      <c r="EP57" s="36">
        <f t="shared" ca="1" si="107"/>
        <v>64.430357449362305</v>
      </c>
      <c r="EQ57" s="36">
        <f t="shared" ca="1" si="107"/>
        <v>64.376951907421656</v>
      </c>
      <c r="ER57" s="36">
        <f t="shared" ref="ER57:EW57" ca="1" si="135">EQ57*EXP(($B$3-$B$4^2/2)*1+$B$4*_xlfn.NORM.S.INV(RAND()))</f>
        <v>63.866250033920977</v>
      </c>
      <c r="ES57" s="36">
        <f t="shared" ca="1" si="135"/>
        <v>64.152913624423633</v>
      </c>
      <c r="ET57" s="36">
        <f t="shared" ca="1" si="135"/>
        <v>62.909945267492894</v>
      </c>
      <c r="EU57" s="36">
        <f t="shared" ca="1" si="135"/>
        <v>61.975656388275098</v>
      </c>
      <c r="EV57" s="36">
        <f t="shared" ca="1" si="135"/>
        <v>62.264598175775049</v>
      </c>
      <c r="EW57" s="36">
        <f t="shared" ca="1" si="135"/>
        <v>61.241581150540121</v>
      </c>
      <c r="EX57" s="36">
        <f t="shared" ca="1" si="127"/>
        <v>61.70000197984119</v>
      </c>
      <c r="EY57" s="36">
        <f t="shared" ca="1" si="127"/>
        <v>61.465772917976437</v>
      </c>
      <c r="EZ57" s="36">
        <f t="shared" ref="EZ57:HK60" ca="1" si="136">EY57*EXP(($B$3-$B$4^2/2)*1+$B$4*_xlfn.NORM.S.INV(RAND()))</f>
        <v>60.923526098783185</v>
      </c>
      <c r="FA57" s="36">
        <f t="shared" ca="1" si="136"/>
        <v>60.278653802812244</v>
      </c>
      <c r="FB57" s="36">
        <f t="shared" ca="1" si="136"/>
        <v>60.97143100744016</v>
      </c>
      <c r="FC57" s="36">
        <f t="shared" ca="1" si="136"/>
        <v>62.117263146179639</v>
      </c>
      <c r="FD57" s="36">
        <f t="shared" ca="1" si="136"/>
        <v>62.478093148397328</v>
      </c>
      <c r="FE57" s="36">
        <f t="shared" ca="1" si="136"/>
        <v>62.88356554966402</v>
      </c>
      <c r="FF57" s="36">
        <f t="shared" ca="1" si="136"/>
        <v>63.310187627807586</v>
      </c>
      <c r="FG57" s="36">
        <f t="shared" ca="1" si="136"/>
        <v>64.295482881319202</v>
      </c>
      <c r="FH57" s="36">
        <f t="shared" ca="1" si="136"/>
        <v>65.626024901749673</v>
      </c>
      <c r="FI57" s="36">
        <f t="shared" ca="1" si="136"/>
        <v>64.808817264961306</v>
      </c>
      <c r="FJ57" s="36">
        <f t="shared" ca="1" si="136"/>
        <v>65.203638192390883</v>
      </c>
      <c r="FK57" s="36">
        <f t="shared" ca="1" si="136"/>
        <v>65.699616357813099</v>
      </c>
      <c r="FL57" s="36">
        <f t="shared" ca="1" si="136"/>
        <v>65.565653436263304</v>
      </c>
      <c r="FM57" s="36">
        <f t="shared" ca="1" si="136"/>
        <v>65.723173141613316</v>
      </c>
      <c r="FN57" s="36">
        <f t="shared" ca="1" si="136"/>
        <v>66.556526905347866</v>
      </c>
      <c r="FO57" s="36">
        <f t="shared" ca="1" si="136"/>
        <v>66.364666050145033</v>
      </c>
      <c r="FP57" s="36">
        <f t="shared" ca="1" si="136"/>
        <v>67.871604374510909</v>
      </c>
      <c r="FQ57" s="36">
        <f t="shared" ca="1" si="136"/>
        <v>67.551564688517843</v>
      </c>
      <c r="FR57" s="36">
        <f t="shared" ca="1" si="136"/>
        <v>66.226616266737139</v>
      </c>
      <c r="FS57" s="36">
        <f t="shared" ca="1" si="136"/>
        <v>65.122631447282515</v>
      </c>
      <c r="FT57" s="36">
        <f t="shared" ca="1" si="136"/>
        <v>64.341153720665716</v>
      </c>
      <c r="FU57" s="36">
        <f t="shared" ca="1" si="136"/>
        <v>64.694644336636173</v>
      </c>
      <c r="FV57" s="36">
        <f t="shared" ca="1" si="136"/>
        <v>64.910747590650018</v>
      </c>
      <c r="FW57" s="36">
        <f t="shared" ca="1" si="136"/>
        <v>65.785076633443509</v>
      </c>
      <c r="FX57" s="36">
        <f t="shared" ca="1" si="136"/>
        <v>67.019212048774946</v>
      </c>
      <c r="FY57" s="36">
        <f t="shared" ca="1" si="136"/>
        <v>64.933897408859977</v>
      </c>
      <c r="FZ57" s="36">
        <f t="shared" ca="1" si="136"/>
        <v>64.970488368603029</v>
      </c>
      <c r="GA57" s="36">
        <f t="shared" ca="1" si="136"/>
        <v>65.811514707221846</v>
      </c>
      <c r="GB57" s="36">
        <f t="shared" ca="1" si="136"/>
        <v>66.938256950647869</v>
      </c>
      <c r="GC57" s="36">
        <f t="shared" ca="1" si="136"/>
        <v>66.022694684071411</v>
      </c>
      <c r="GD57" s="36">
        <f t="shared" ca="1" si="136"/>
        <v>66.508056860046338</v>
      </c>
      <c r="GE57" s="36">
        <f t="shared" ca="1" si="136"/>
        <v>65.46756811737157</v>
      </c>
      <c r="GF57" s="36">
        <f t="shared" ca="1" si="136"/>
        <v>64.436944220573722</v>
      </c>
      <c r="GG57" s="36">
        <f t="shared" ca="1" si="136"/>
        <v>64.327966681380033</v>
      </c>
      <c r="GH57" s="36">
        <f t="shared" ca="1" si="136"/>
        <v>65.225921135247106</v>
      </c>
      <c r="GI57" s="36">
        <f t="shared" ca="1" si="136"/>
        <v>66.715980437342452</v>
      </c>
      <c r="GJ57" s="36">
        <f t="shared" ca="1" si="136"/>
        <v>65.128656378486255</v>
      </c>
      <c r="GK57" s="36">
        <f t="shared" ca="1" si="136"/>
        <v>66.53000611745604</v>
      </c>
      <c r="GL57" s="36">
        <f t="shared" ca="1" si="136"/>
        <v>67.854145085442141</v>
      </c>
      <c r="GM57" s="36">
        <f t="shared" ca="1" si="136"/>
        <v>67.890940251671225</v>
      </c>
      <c r="GN57" s="36">
        <f t="shared" ca="1" si="136"/>
        <v>66.741408055203507</v>
      </c>
      <c r="GO57" s="36">
        <f t="shared" ca="1" si="136"/>
        <v>66.745860970383859</v>
      </c>
      <c r="GP57" s="36">
        <f t="shared" ca="1" si="136"/>
        <v>66.35570766041873</v>
      </c>
      <c r="GQ57" s="36">
        <f t="shared" ca="1" si="136"/>
        <v>67.338407513736968</v>
      </c>
      <c r="GR57" s="36">
        <f t="shared" ca="1" si="136"/>
        <v>67.671049917819147</v>
      </c>
      <c r="GS57" s="36">
        <f t="shared" ca="1" si="136"/>
        <v>67.88764546885777</v>
      </c>
      <c r="GT57" s="36">
        <f t="shared" ca="1" si="136"/>
        <v>68.638083119688318</v>
      </c>
      <c r="GU57" s="36">
        <f t="shared" ca="1" si="136"/>
        <v>68.322297618357496</v>
      </c>
      <c r="GV57" s="36">
        <f t="shared" ca="1" si="136"/>
        <v>68.602407790354846</v>
      </c>
      <c r="GW57" s="36">
        <f t="shared" ca="1" si="136"/>
        <v>68.594277878957826</v>
      </c>
      <c r="GX57" s="36">
        <f t="shared" ca="1" si="136"/>
        <v>67.838594172347612</v>
      </c>
      <c r="GY57" s="36">
        <f t="shared" ca="1" si="136"/>
        <v>68.765059309567135</v>
      </c>
      <c r="GZ57" s="36">
        <f t="shared" ca="1" si="136"/>
        <v>68.750014885289843</v>
      </c>
      <c r="HA57" s="36">
        <f t="shared" ca="1" si="136"/>
        <v>68.321146837879454</v>
      </c>
      <c r="HB57" s="36">
        <f t="shared" ca="1" si="136"/>
        <v>69.226462846227307</v>
      </c>
      <c r="HC57" s="36">
        <f t="shared" ca="1" si="136"/>
        <v>69.066123909365601</v>
      </c>
      <c r="HD57" s="36">
        <f t="shared" ca="1" si="136"/>
        <v>68.801144662328923</v>
      </c>
      <c r="HE57" s="36">
        <f t="shared" ca="1" si="136"/>
        <v>70.637639817995449</v>
      </c>
      <c r="HF57" s="36">
        <f t="shared" ca="1" si="136"/>
        <v>70.656297646128763</v>
      </c>
      <c r="HG57" s="36">
        <f t="shared" ca="1" si="136"/>
        <v>70.1765706576425</v>
      </c>
      <c r="HH57" s="36">
        <f t="shared" ca="1" si="136"/>
        <v>70.608748751811831</v>
      </c>
      <c r="HI57" s="36">
        <f t="shared" ca="1" si="136"/>
        <v>71.154225597284992</v>
      </c>
      <c r="HJ57" s="36">
        <f t="shared" ca="1" si="136"/>
        <v>71.65125196537771</v>
      </c>
      <c r="HK57" s="36">
        <f t="shared" ca="1" si="136"/>
        <v>72.908549247398909</v>
      </c>
      <c r="HL57" s="36">
        <f t="shared" ref="HL57:HT57" ca="1" si="137">HK57*EXP(($B$3-$B$4^2/2)*1+$B$4*_xlfn.NORM.S.INV(RAND()))</f>
        <v>72.270950825943387</v>
      </c>
      <c r="HM57" s="36">
        <f t="shared" ca="1" si="137"/>
        <v>72.109656721258702</v>
      </c>
      <c r="HN57" s="36">
        <f t="shared" ca="1" si="137"/>
        <v>73.229848981589129</v>
      </c>
      <c r="HO57" s="36">
        <f t="shared" ca="1" si="137"/>
        <v>72.344276207000348</v>
      </c>
      <c r="HP57" s="36">
        <f t="shared" ca="1" si="137"/>
        <v>71.320663945343355</v>
      </c>
      <c r="HQ57" s="36">
        <f t="shared" ca="1" si="137"/>
        <v>71.377638857399305</v>
      </c>
      <c r="HR57" s="36">
        <f t="shared" ca="1" si="137"/>
        <v>71.018423509886944</v>
      </c>
      <c r="HS57" s="36">
        <f t="shared" ca="1" si="137"/>
        <v>70.146022611372345</v>
      </c>
      <c r="HT57" s="36">
        <f t="shared" ca="1" si="137"/>
        <v>69.321350033087626</v>
      </c>
      <c r="HU57" s="36">
        <f t="shared" ca="1" si="128"/>
        <v>70.062148735160605</v>
      </c>
      <c r="HV57" s="36">
        <f t="shared" ca="1" si="128"/>
        <v>69.683908713347648</v>
      </c>
      <c r="HW57" s="36">
        <f t="shared" ca="1" si="128"/>
        <v>69.548512405555371</v>
      </c>
      <c r="HX57" s="36">
        <f t="shared" ca="1" si="128"/>
        <v>70.891785885663936</v>
      </c>
      <c r="HY57" s="36">
        <f t="shared" ca="1" si="129"/>
        <v>71.446935464301006</v>
      </c>
      <c r="HZ57" s="36">
        <f t="shared" ca="1" si="129"/>
        <v>71.014609311574389</v>
      </c>
      <c r="IA57" s="36">
        <f t="shared" ca="1" si="129"/>
        <v>70.681885024088899</v>
      </c>
      <c r="IB57" s="36">
        <f t="shared" ca="1" si="129"/>
        <v>70.042086215646279</v>
      </c>
      <c r="IC57" s="36">
        <f t="shared" ca="1" si="129"/>
        <v>69.054217881557051</v>
      </c>
      <c r="ID57" s="36">
        <f t="shared" ca="1" si="129"/>
        <v>68.838893064444136</v>
      </c>
      <c r="IE57" s="36">
        <f t="shared" ca="1" si="129"/>
        <v>67.768808102174077</v>
      </c>
      <c r="IF57" s="36">
        <f t="shared" ca="1" si="129"/>
        <v>67.455844426009776</v>
      </c>
      <c r="IG57" s="36">
        <f t="shared" ca="1" si="129"/>
        <v>66.649901146435468</v>
      </c>
      <c r="IH57" s="36">
        <f t="shared" ca="1" si="129"/>
        <v>67.31667860603747</v>
      </c>
      <c r="II57" s="36">
        <f t="shared" ca="1" si="129"/>
        <v>67.21384861813064</v>
      </c>
      <c r="IJ57" s="36">
        <f t="shared" ca="1" si="129"/>
        <v>66.698982436085913</v>
      </c>
      <c r="IK57" s="36">
        <f t="shared" ca="1" si="129"/>
        <v>66.94589048400158</v>
      </c>
      <c r="IL57" s="36">
        <f t="shared" ca="1" si="129"/>
        <v>67.23910430217812</v>
      </c>
      <c r="IM57" s="36">
        <f t="shared" ca="1" si="129"/>
        <v>67.474071231266592</v>
      </c>
      <c r="IN57" s="36">
        <f t="shared" ca="1" si="129"/>
        <v>66.960927628363322</v>
      </c>
      <c r="IO57" s="36">
        <f t="shared" ca="1" si="129"/>
        <v>66.819381275968951</v>
      </c>
      <c r="IP57" s="36">
        <f t="shared" ca="1" si="129"/>
        <v>64.955953831337823</v>
      </c>
      <c r="IQ57" s="36">
        <f t="shared" ca="1" si="129"/>
        <v>66.18187195762961</v>
      </c>
      <c r="IR57" s="36">
        <f t="shared" ca="1" si="129"/>
        <v>65.79118544161031</v>
      </c>
      <c r="IS57" s="36">
        <f t="shared" ca="1" si="129"/>
        <v>65.582274948593366</v>
      </c>
      <c r="IT57" s="36">
        <f t="shared" ca="1" si="129"/>
        <v>65.873622966436827</v>
      </c>
      <c r="IU57" s="36">
        <f t="shared" ca="1" si="129"/>
        <v>67.899198251210208</v>
      </c>
    </row>
    <row r="58" spans="1:255" x14ac:dyDescent="0.2">
      <c r="A58" s="36"/>
      <c r="B58">
        <v>48</v>
      </c>
      <c r="C58" s="36">
        <v>50</v>
      </c>
      <c r="D58" s="36">
        <f t="shared" ca="1" si="14"/>
        <v>49.374707214142241</v>
      </c>
      <c r="E58" s="36">
        <f t="shared" ca="1" si="14"/>
        <v>49.709615823726274</v>
      </c>
      <c r="F58" s="36">
        <f t="shared" ref="F58:BQ61" ca="1" si="138">E58*EXP(($B$3-$B$4^2/2)*1+$B$4*_xlfn.NORM.S.INV(RAND()))</f>
        <v>49.110166140626141</v>
      </c>
      <c r="G58" s="36">
        <f t="shared" ca="1" si="138"/>
        <v>49.606892200231179</v>
      </c>
      <c r="H58" s="36">
        <f t="shared" ca="1" si="138"/>
        <v>49.936442143450023</v>
      </c>
      <c r="I58" s="36">
        <f t="shared" ca="1" si="138"/>
        <v>48.659777628927635</v>
      </c>
      <c r="J58" s="36">
        <f t="shared" ca="1" si="138"/>
        <v>48.44869387572929</v>
      </c>
      <c r="K58" s="36">
        <f t="shared" ca="1" si="138"/>
        <v>48.044592040242485</v>
      </c>
      <c r="L58" s="36">
        <f t="shared" ca="1" si="138"/>
        <v>46.710289371567008</v>
      </c>
      <c r="M58" s="36">
        <f t="shared" ca="1" si="138"/>
        <v>45.892416960871863</v>
      </c>
      <c r="N58" s="36">
        <f t="shared" ca="1" si="138"/>
        <v>46.162578329993721</v>
      </c>
      <c r="O58" s="36">
        <f t="shared" ca="1" si="138"/>
        <v>46.072548278602405</v>
      </c>
      <c r="P58" s="36">
        <f t="shared" ca="1" si="138"/>
        <v>46.192826865419683</v>
      </c>
      <c r="Q58" s="36">
        <f t="shared" ca="1" si="138"/>
        <v>45.42657811552133</v>
      </c>
      <c r="R58" s="36">
        <f t="shared" ca="1" si="138"/>
        <v>44.989609392052259</v>
      </c>
      <c r="S58" s="36">
        <f t="shared" ca="1" si="138"/>
        <v>45.386359384462487</v>
      </c>
      <c r="T58" s="36">
        <f t="shared" ca="1" si="138"/>
        <v>45.885748012249408</v>
      </c>
      <c r="U58" s="36">
        <f t="shared" ca="1" si="138"/>
        <v>45.622649153458212</v>
      </c>
      <c r="V58" s="36">
        <f t="shared" ca="1" si="138"/>
        <v>45.724893486787664</v>
      </c>
      <c r="W58" s="36">
        <f t="shared" ca="1" si="138"/>
        <v>45.548502213728142</v>
      </c>
      <c r="X58" s="36">
        <f t="shared" ca="1" si="138"/>
        <v>45.439813070980556</v>
      </c>
      <c r="Y58" s="36">
        <f t="shared" ca="1" si="138"/>
        <v>46.171599210964295</v>
      </c>
      <c r="Z58" s="36">
        <f t="shared" ca="1" si="138"/>
        <v>46.474792245225402</v>
      </c>
      <c r="AA58" s="36">
        <f t="shared" ca="1" si="138"/>
        <v>47.017212956642908</v>
      </c>
      <c r="AB58" s="36">
        <f t="shared" ca="1" si="138"/>
        <v>47.268657592289081</v>
      </c>
      <c r="AC58" s="36">
        <f t="shared" ca="1" si="138"/>
        <v>47.203031513713128</v>
      </c>
      <c r="AD58" s="36">
        <f t="shared" ca="1" si="138"/>
        <v>46.719050883936745</v>
      </c>
      <c r="AE58" s="36">
        <f t="shared" ca="1" si="138"/>
        <v>46.70972787001574</v>
      </c>
      <c r="AF58" s="36">
        <f t="shared" ca="1" si="138"/>
        <v>45.193574260135108</v>
      </c>
      <c r="AG58" s="36">
        <f t="shared" ca="1" si="138"/>
        <v>44.632799993275512</v>
      </c>
      <c r="AH58" s="36">
        <f t="shared" ca="1" si="138"/>
        <v>45.053499280570939</v>
      </c>
      <c r="AI58" s="36">
        <f t="shared" ca="1" si="138"/>
        <v>45.262469005203315</v>
      </c>
      <c r="AJ58" s="36">
        <f t="shared" ca="1" si="138"/>
        <v>44.970802678722009</v>
      </c>
      <c r="AK58" s="36">
        <f t="shared" ca="1" si="138"/>
        <v>44.671341417225818</v>
      </c>
      <c r="AL58" s="36">
        <f t="shared" ca="1" si="138"/>
        <v>44.487340299966846</v>
      </c>
      <c r="AM58" s="36">
        <f t="shared" ca="1" si="138"/>
        <v>45.367809205591954</v>
      </c>
      <c r="AN58" s="36">
        <f t="shared" ca="1" si="138"/>
        <v>45.818744060333657</v>
      </c>
      <c r="AO58" s="36">
        <f t="shared" ca="1" si="138"/>
        <v>45.936306805607465</v>
      </c>
      <c r="AP58" s="36">
        <f t="shared" ca="1" si="138"/>
        <v>46.601388594794805</v>
      </c>
      <c r="AQ58" s="36">
        <f t="shared" ca="1" si="138"/>
        <v>46.940362111103383</v>
      </c>
      <c r="AR58" s="36">
        <f t="shared" ca="1" si="138"/>
        <v>47.845226307077226</v>
      </c>
      <c r="AS58" s="36">
        <f t="shared" ca="1" si="138"/>
        <v>46.902156923050484</v>
      </c>
      <c r="AT58" s="36">
        <f t="shared" ca="1" si="138"/>
        <v>47.52808790482301</v>
      </c>
      <c r="AU58" s="36">
        <f t="shared" ca="1" si="138"/>
        <v>48.438795827910319</v>
      </c>
      <c r="AV58" s="36">
        <f t="shared" ca="1" si="138"/>
        <v>48.85112615040574</v>
      </c>
      <c r="AW58" s="36">
        <f t="shared" ca="1" si="138"/>
        <v>49.458302921918232</v>
      </c>
      <c r="AX58" s="36">
        <f t="shared" ca="1" si="138"/>
        <v>50.011729295925633</v>
      </c>
      <c r="AY58" s="36">
        <f t="shared" ca="1" si="138"/>
        <v>51.091149574370391</v>
      </c>
      <c r="AZ58" s="36">
        <f t="shared" ca="1" si="138"/>
        <v>50.67439101727448</v>
      </c>
      <c r="BA58" s="36">
        <f t="shared" ca="1" si="138"/>
        <v>50.65814672878345</v>
      </c>
      <c r="BB58" s="36">
        <f t="shared" ca="1" si="138"/>
        <v>50.690415928375145</v>
      </c>
      <c r="BC58" s="36">
        <f t="shared" ca="1" si="138"/>
        <v>50.346984354867345</v>
      </c>
      <c r="BD58" s="36">
        <f t="shared" ca="1" si="138"/>
        <v>49.356188850848064</v>
      </c>
      <c r="BE58" s="36">
        <f t="shared" ca="1" si="138"/>
        <v>49.174274446444294</v>
      </c>
      <c r="BF58" s="36">
        <f t="shared" ca="1" si="138"/>
        <v>50.157462401171173</v>
      </c>
      <c r="BG58" s="36">
        <f t="shared" ca="1" si="138"/>
        <v>49.616042699334031</v>
      </c>
      <c r="BH58" s="36">
        <f t="shared" ca="1" si="138"/>
        <v>49.970107864340569</v>
      </c>
      <c r="BI58" s="36">
        <f t="shared" ca="1" si="138"/>
        <v>50.154013528471587</v>
      </c>
      <c r="BJ58" s="36">
        <f t="shared" ca="1" si="138"/>
        <v>50.742200364144686</v>
      </c>
      <c r="BK58" s="36">
        <f t="shared" ca="1" si="138"/>
        <v>50.831541923401097</v>
      </c>
      <c r="BL58" s="36">
        <f t="shared" ca="1" si="138"/>
        <v>50.32796572336175</v>
      </c>
      <c r="BM58" s="36">
        <f t="shared" ca="1" si="138"/>
        <v>50.335103775085187</v>
      </c>
      <c r="BN58" s="36">
        <f t="shared" ca="1" si="138"/>
        <v>51.506432102495459</v>
      </c>
      <c r="BO58" s="36">
        <f t="shared" ca="1" si="138"/>
        <v>50.211198760970547</v>
      </c>
      <c r="BP58" s="36">
        <f t="shared" ca="1" si="138"/>
        <v>50.319491776628908</v>
      </c>
      <c r="BQ58" s="36">
        <f t="shared" ca="1" si="138"/>
        <v>49.88218115338249</v>
      </c>
      <c r="BR58" s="36">
        <f t="shared" ca="1" si="134"/>
        <v>51.086740004152524</v>
      </c>
      <c r="BS58" s="36">
        <f t="shared" ca="1" si="134"/>
        <v>52.423616101404335</v>
      </c>
      <c r="BT58" s="36">
        <f t="shared" ca="1" si="134"/>
        <v>51.919811632825152</v>
      </c>
      <c r="BU58" s="36">
        <f t="shared" ca="1" si="134"/>
        <v>51.88420029478462</v>
      </c>
      <c r="BV58" s="36">
        <f t="shared" ca="1" si="134"/>
        <v>51.764701220394308</v>
      </c>
      <c r="BW58" s="36">
        <f t="shared" ca="1" si="134"/>
        <v>50.672105419784067</v>
      </c>
      <c r="BX58" s="36">
        <f t="shared" ca="1" si="134"/>
        <v>51.025102330085801</v>
      </c>
      <c r="BY58" s="36">
        <f t="shared" ca="1" si="134"/>
        <v>52.008138781017507</v>
      </c>
      <c r="BZ58" s="36">
        <f t="shared" ca="1" si="134"/>
        <v>52.556191101380399</v>
      </c>
      <c r="CA58" s="36">
        <f t="shared" ca="1" si="134"/>
        <v>52.770227005013382</v>
      </c>
      <c r="CB58" s="36">
        <f t="shared" ca="1" si="134"/>
        <v>52.944761730238397</v>
      </c>
      <c r="CC58" s="36">
        <f t="shared" ca="1" si="134"/>
        <v>53.291202074721348</v>
      </c>
      <c r="CD58" s="36">
        <f t="shared" ca="1" si="134"/>
        <v>52.476663754325564</v>
      </c>
      <c r="CE58" s="36">
        <f t="shared" ca="1" si="134"/>
        <v>51.685066394397275</v>
      </c>
      <c r="CF58" s="36">
        <f t="shared" ca="1" si="134"/>
        <v>50.339895065054677</v>
      </c>
      <c r="CG58" s="36">
        <f t="shared" ca="1" si="134"/>
        <v>49.759264621056893</v>
      </c>
      <c r="CH58" s="36">
        <f t="shared" ca="1" si="134"/>
        <v>48.826141102738113</v>
      </c>
      <c r="CI58" s="36">
        <f t="shared" ca="1" si="134"/>
        <v>47.398174175347606</v>
      </c>
      <c r="CJ58" s="36">
        <f t="shared" ca="1" si="134"/>
        <v>47.762048678703174</v>
      </c>
      <c r="CK58" s="36">
        <f t="shared" ca="1" si="134"/>
        <v>47.225310699915312</v>
      </c>
      <c r="CL58" s="36">
        <f t="shared" ca="1" si="134"/>
        <v>46.187474022056676</v>
      </c>
      <c r="CM58" s="36">
        <f t="shared" ca="1" si="134"/>
        <v>45.356744565448089</v>
      </c>
      <c r="CN58" s="36">
        <f t="shared" ca="1" si="134"/>
        <v>46.418941118170622</v>
      </c>
      <c r="CO58" s="36">
        <f t="shared" ca="1" si="134"/>
        <v>45.651118154406639</v>
      </c>
      <c r="CP58" s="36">
        <f t="shared" ca="1" si="134"/>
        <v>45.095298097758956</v>
      </c>
      <c r="CQ58" s="36">
        <f t="shared" ca="1" si="134"/>
        <v>45.139665832718826</v>
      </c>
      <c r="CR58" s="36">
        <f t="shared" ca="1" si="134"/>
        <v>46.041854093330215</v>
      </c>
      <c r="CS58" s="36">
        <f t="shared" ca="1" si="134"/>
        <v>45.408018527477608</v>
      </c>
      <c r="CT58" s="36">
        <f t="shared" ca="1" si="134"/>
        <v>46.513038399452512</v>
      </c>
      <c r="CU58" s="36">
        <f t="shared" ca="1" si="134"/>
        <v>46.090276828190959</v>
      </c>
      <c r="CV58" s="36">
        <f t="shared" ca="1" si="134"/>
        <v>45.661577555225684</v>
      </c>
      <c r="CW58" s="36">
        <f t="shared" ca="1" si="134"/>
        <v>46.345943289297892</v>
      </c>
      <c r="CX58" s="36">
        <f t="shared" ca="1" si="134"/>
        <v>46.95339049840247</v>
      </c>
      <c r="CY58" s="36">
        <f t="shared" ca="1" si="134"/>
        <v>46.149080966607272</v>
      </c>
      <c r="CZ58" s="36">
        <f t="shared" ca="1" si="134"/>
        <v>46.880683673512742</v>
      </c>
      <c r="DA58" s="36">
        <f t="shared" ca="1" si="134"/>
        <v>47.886798603194471</v>
      </c>
      <c r="DB58" s="36">
        <f t="shared" ca="1" si="134"/>
        <v>46.801794252385697</v>
      </c>
      <c r="DC58" s="36">
        <f t="shared" ca="1" si="134"/>
        <v>46.709809738466767</v>
      </c>
      <c r="DD58" s="36">
        <f t="shared" ca="1" si="134"/>
        <v>47.088897221272596</v>
      </c>
      <c r="DE58" s="36">
        <f t="shared" ca="1" si="134"/>
        <v>46.360838359437665</v>
      </c>
      <c r="DF58" s="36">
        <f t="shared" ca="1" si="134"/>
        <v>46.632163435867341</v>
      </c>
      <c r="DG58" s="36">
        <f t="shared" ca="1" si="134"/>
        <v>45.659601200254407</v>
      </c>
      <c r="DH58" s="36">
        <f t="shared" ca="1" si="134"/>
        <v>45.616661219280751</v>
      </c>
      <c r="DI58" s="36">
        <f t="shared" ca="1" si="134"/>
        <v>46.147822397883537</v>
      </c>
      <c r="DJ58" s="36">
        <f t="shared" ca="1" si="134"/>
        <v>45.491373199698295</v>
      </c>
      <c r="DK58" s="36">
        <f t="shared" ca="1" si="134"/>
        <v>45.156809386503028</v>
      </c>
      <c r="DL58" s="36">
        <f t="shared" ca="1" si="134"/>
        <v>46.232924281666691</v>
      </c>
      <c r="DM58" s="36">
        <f t="shared" ca="1" si="134"/>
        <v>46.556182802282201</v>
      </c>
      <c r="DN58" s="36">
        <f t="shared" ca="1" si="134"/>
        <v>46.576612594065502</v>
      </c>
      <c r="DO58" s="36">
        <f t="shared" ca="1" si="134"/>
        <v>47.049192755079254</v>
      </c>
      <c r="DP58" s="36">
        <f t="shared" ca="1" si="134"/>
        <v>47.290385714887158</v>
      </c>
      <c r="DQ58" s="36">
        <f t="shared" ca="1" si="134"/>
        <v>47.824586397216279</v>
      </c>
      <c r="DR58" s="36">
        <f t="shared" ca="1" si="134"/>
        <v>48.240291846740128</v>
      </c>
      <c r="DS58" s="36">
        <f t="shared" ca="1" si="134"/>
        <v>47.31914280249822</v>
      </c>
      <c r="DT58" s="36">
        <f t="shared" ca="1" si="134"/>
        <v>46.627437203383693</v>
      </c>
      <c r="DU58" s="36">
        <f t="shared" ca="1" si="134"/>
        <v>47.127147631140936</v>
      </c>
      <c r="DV58" s="36">
        <f t="shared" ca="1" si="134"/>
        <v>47.701170704492611</v>
      </c>
      <c r="DW58" s="36">
        <f t="shared" ca="1" si="134"/>
        <v>47.12275639248778</v>
      </c>
      <c r="DX58" s="36">
        <f t="shared" ca="1" si="134"/>
        <v>46.987585057185157</v>
      </c>
      <c r="DY58" s="36">
        <f t="shared" ca="1" si="134"/>
        <v>46.502457836456117</v>
      </c>
      <c r="DZ58" s="36">
        <f t="shared" ca="1" si="134"/>
        <v>47.251472554903771</v>
      </c>
      <c r="EA58" s="36">
        <f t="shared" ca="1" si="134"/>
        <v>46.344854782537716</v>
      </c>
      <c r="EB58" s="36">
        <f t="shared" ca="1" si="134"/>
        <v>46.666886396209819</v>
      </c>
      <c r="EC58" s="36">
        <f t="shared" ref="EC58:EV70" ca="1" si="139">EB58*EXP(($B$3-$B$4^2/2)*1+$B$4*_xlfn.NORM.S.INV(RAND()))</f>
        <v>47.382351677017695</v>
      </c>
      <c r="ED58" s="36">
        <f t="shared" ca="1" si="139"/>
        <v>46.406857766313628</v>
      </c>
      <c r="EE58" s="36">
        <f t="shared" ca="1" si="139"/>
        <v>46.76335372619905</v>
      </c>
      <c r="EF58" s="36">
        <f t="shared" ca="1" si="139"/>
        <v>47.870140641528295</v>
      </c>
      <c r="EG58" s="36">
        <f t="shared" ca="1" si="139"/>
        <v>47.427932303744775</v>
      </c>
      <c r="EH58" s="36">
        <f t="shared" ca="1" si="139"/>
        <v>47.627968157932081</v>
      </c>
      <c r="EI58" s="36">
        <f t="shared" ca="1" si="139"/>
        <v>47.561905175366739</v>
      </c>
      <c r="EJ58" s="36">
        <f t="shared" ca="1" si="139"/>
        <v>47.857497768712811</v>
      </c>
      <c r="EK58" s="36">
        <f t="shared" ca="1" si="139"/>
        <v>48.703380815405602</v>
      </c>
      <c r="EL58" s="36">
        <f t="shared" ca="1" si="139"/>
        <v>48.282130560781887</v>
      </c>
      <c r="EM58" s="36">
        <f t="shared" ca="1" si="139"/>
        <v>48.047698535096046</v>
      </c>
      <c r="EN58" s="36">
        <f t="shared" ca="1" si="139"/>
        <v>47.851651049105598</v>
      </c>
      <c r="EO58" s="36">
        <f t="shared" ca="1" si="139"/>
        <v>47.696364156946039</v>
      </c>
      <c r="EP58" s="36">
        <f t="shared" ca="1" si="139"/>
        <v>47.425820674889543</v>
      </c>
      <c r="EQ58" s="36">
        <f t="shared" ca="1" si="139"/>
        <v>47.439390384000873</v>
      </c>
      <c r="ER58" s="36">
        <f t="shared" ca="1" si="139"/>
        <v>48.166817539273268</v>
      </c>
      <c r="ES58" s="36">
        <f t="shared" ca="1" si="139"/>
        <v>48.398201160213773</v>
      </c>
      <c r="ET58" s="36">
        <f t="shared" ca="1" si="139"/>
        <v>48.140329652227841</v>
      </c>
      <c r="EU58" s="36">
        <f t="shared" ca="1" si="139"/>
        <v>47.550671801598291</v>
      </c>
      <c r="EV58" s="36">
        <f t="shared" ca="1" si="139"/>
        <v>47.781615504872441</v>
      </c>
      <c r="EW58" s="36">
        <f t="shared" ref="EW58:HH62" ca="1" si="140">EV58*EXP(($B$3-$B$4^2/2)*1+$B$4*_xlfn.NORM.S.INV(RAND()))</f>
        <v>46.794749828029595</v>
      </c>
      <c r="EX58" s="36">
        <f t="shared" ca="1" si="140"/>
        <v>47.00423472079332</v>
      </c>
      <c r="EY58" s="36">
        <f t="shared" ca="1" si="140"/>
        <v>46.862176108704695</v>
      </c>
      <c r="EZ58" s="36">
        <f t="shared" ca="1" si="140"/>
        <v>47.275172327189345</v>
      </c>
      <c r="FA58" s="36">
        <f t="shared" ca="1" si="140"/>
        <v>47.070699382413139</v>
      </c>
      <c r="FB58" s="36">
        <f t="shared" ca="1" si="140"/>
        <v>47.135552648847927</v>
      </c>
      <c r="FC58" s="36">
        <f t="shared" ca="1" si="140"/>
        <v>47.931190375901004</v>
      </c>
      <c r="FD58" s="36">
        <f t="shared" ca="1" si="140"/>
        <v>48.039237864147793</v>
      </c>
      <c r="FE58" s="36">
        <f t="shared" ca="1" si="140"/>
        <v>48.040414786244746</v>
      </c>
      <c r="FF58" s="36">
        <f t="shared" ca="1" si="140"/>
        <v>47.581414428265155</v>
      </c>
      <c r="FG58" s="36">
        <f t="shared" ca="1" si="140"/>
        <v>47.514087915887004</v>
      </c>
      <c r="FH58" s="36">
        <f t="shared" ca="1" si="140"/>
        <v>47.000586189551129</v>
      </c>
      <c r="FI58" s="36">
        <f t="shared" ca="1" si="140"/>
        <v>46.546211583588722</v>
      </c>
      <c r="FJ58" s="36">
        <f t="shared" ca="1" si="140"/>
        <v>46.249336082791892</v>
      </c>
      <c r="FK58" s="36">
        <f t="shared" ca="1" si="140"/>
        <v>46.973513167240753</v>
      </c>
      <c r="FL58" s="36">
        <f t="shared" ca="1" si="140"/>
        <v>46.94400693132944</v>
      </c>
      <c r="FM58" s="36">
        <f t="shared" ca="1" si="140"/>
        <v>47.186720637687806</v>
      </c>
      <c r="FN58" s="36">
        <f t="shared" ca="1" si="140"/>
        <v>47.026585636980982</v>
      </c>
      <c r="FO58" s="36">
        <f t="shared" ca="1" si="140"/>
        <v>47.383125868817892</v>
      </c>
      <c r="FP58" s="36">
        <f t="shared" ca="1" si="140"/>
        <v>46.531858526992011</v>
      </c>
      <c r="FQ58" s="36">
        <f t="shared" ca="1" si="140"/>
        <v>46.555921016633803</v>
      </c>
      <c r="FR58" s="36">
        <f t="shared" ca="1" si="140"/>
        <v>45.98822198270279</v>
      </c>
      <c r="FS58" s="36">
        <f t="shared" ca="1" si="140"/>
        <v>46.507758309891059</v>
      </c>
      <c r="FT58" s="36">
        <f t="shared" ca="1" si="140"/>
        <v>45.929861622730911</v>
      </c>
      <c r="FU58" s="36">
        <f t="shared" ca="1" si="140"/>
        <v>45.940028326956785</v>
      </c>
      <c r="FV58" s="36">
        <f t="shared" ca="1" si="140"/>
        <v>46.351848713423365</v>
      </c>
      <c r="FW58" s="36">
        <f t="shared" ca="1" si="140"/>
        <v>45.840111236348683</v>
      </c>
      <c r="FX58" s="36">
        <f t="shared" ca="1" si="140"/>
        <v>46.568243659670443</v>
      </c>
      <c r="FY58" s="36">
        <f t="shared" ca="1" si="140"/>
        <v>47.173654674091999</v>
      </c>
      <c r="FZ58" s="36">
        <f t="shared" ca="1" si="140"/>
        <v>47.156166616656357</v>
      </c>
      <c r="GA58" s="36">
        <f t="shared" ca="1" si="140"/>
        <v>47.159388921715554</v>
      </c>
      <c r="GB58" s="36">
        <f t="shared" ca="1" si="140"/>
        <v>46.008224757601461</v>
      </c>
      <c r="GC58" s="36">
        <f t="shared" ca="1" si="140"/>
        <v>46.06016450199678</v>
      </c>
      <c r="GD58" s="36">
        <f t="shared" ca="1" si="140"/>
        <v>46.060377936103798</v>
      </c>
      <c r="GE58" s="36">
        <f t="shared" ca="1" si="140"/>
        <v>44.962670373978057</v>
      </c>
      <c r="GF58" s="36">
        <f t="shared" ca="1" si="140"/>
        <v>44.492134467591406</v>
      </c>
      <c r="GG58" s="36">
        <f t="shared" ca="1" si="140"/>
        <v>44.617323125917679</v>
      </c>
      <c r="GH58" s="36">
        <f t="shared" ca="1" si="140"/>
        <v>44.475064298853908</v>
      </c>
      <c r="GI58" s="36">
        <f t="shared" ca="1" si="140"/>
        <v>43.876217039590607</v>
      </c>
      <c r="GJ58" s="36">
        <f t="shared" ca="1" si="140"/>
        <v>44.565991576179215</v>
      </c>
      <c r="GK58" s="36">
        <f t="shared" ca="1" si="140"/>
        <v>44.130183900070342</v>
      </c>
      <c r="GL58" s="36">
        <f t="shared" ca="1" si="140"/>
        <v>44.493044082649327</v>
      </c>
      <c r="GM58" s="36">
        <f t="shared" ca="1" si="140"/>
        <v>44.625757832969505</v>
      </c>
      <c r="GN58" s="36">
        <f t="shared" ca="1" si="140"/>
        <v>45.247929882491576</v>
      </c>
      <c r="GO58" s="36">
        <f t="shared" ca="1" si="140"/>
        <v>44.787988470043409</v>
      </c>
      <c r="GP58" s="36">
        <f t="shared" ca="1" si="140"/>
        <v>44.754069567117362</v>
      </c>
      <c r="GQ58" s="36">
        <f t="shared" ca="1" si="140"/>
        <v>44.637794236615761</v>
      </c>
      <c r="GR58" s="36">
        <f t="shared" ca="1" si="140"/>
        <v>45.318843083232473</v>
      </c>
      <c r="GS58" s="36">
        <f t="shared" ca="1" si="140"/>
        <v>44.677849482770178</v>
      </c>
      <c r="GT58" s="36">
        <f t="shared" ca="1" si="140"/>
        <v>44.311441755808907</v>
      </c>
      <c r="GU58" s="36">
        <f t="shared" ca="1" si="140"/>
        <v>43.453918695038972</v>
      </c>
      <c r="GV58" s="36">
        <f t="shared" ca="1" si="140"/>
        <v>44.635691982094386</v>
      </c>
      <c r="GW58" s="36">
        <f t="shared" ca="1" si="140"/>
        <v>44.289741304572928</v>
      </c>
      <c r="GX58" s="36">
        <f t="shared" ca="1" si="140"/>
        <v>44.237964461194792</v>
      </c>
      <c r="GY58" s="36">
        <f t="shared" ca="1" si="140"/>
        <v>44.836858034975684</v>
      </c>
      <c r="GZ58" s="36">
        <f t="shared" ca="1" si="140"/>
        <v>45.561467825458756</v>
      </c>
      <c r="HA58" s="36">
        <f t="shared" ca="1" si="140"/>
        <v>45.519912993814621</v>
      </c>
      <c r="HB58" s="36">
        <f t="shared" ca="1" si="140"/>
        <v>44.799027359499398</v>
      </c>
      <c r="HC58" s="36">
        <f t="shared" ca="1" si="140"/>
        <v>44.030559774160899</v>
      </c>
      <c r="HD58" s="36">
        <f t="shared" ca="1" si="140"/>
        <v>44.065044073776178</v>
      </c>
      <c r="HE58" s="36">
        <f t="shared" ca="1" si="140"/>
        <v>43.630851218575955</v>
      </c>
      <c r="HF58" s="36">
        <f t="shared" ca="1" si="140"/>
        <v>43.717581873122825</v>
      </c>
      <c r="HG58" s="36">
        <f t="shared" ca="1" si="140"/>
        <v>44.035463919418213</v>
      </c>
      <c r="HH58" s="36">
        <f t="shared" ca="1" si="140"/>
        <v>43.888471404942884</v>
      </c>
      <c r="HI58" s="36">
        <f t="shared" ca="1" si="136"/>
        <v>43.499179029142056</v>
      </c>
      <c r="HJ58" s="36">
        <f t="shared" ca="1" si="136"/>
        <v>44.243548166084466</v>
      </c>
      <c r="HK58" s="36">
        <f t="shared" ca="1" si="136"/>
        <v>43.940564004169687</v>
      </c>
      <c r="HL58" s="36">
        <f t="shared" ref="HL58:HT58" ca="1" si="141">HK58*EXP(($B$3-$B$4^2/2)*1+$B$4*_xlfn.NORM.S.INV(RAND()))</f>
        <v>45.284233394651068</v>
      </c>
      <c r="HM58" s="36">
        <f t="shared" ca="1" si="141"/>
        <v>45.798626263926018</v>
      </c>
      <c r="HN58" s="36">
        <f t="shared" ca="1" si="141"/>
        <v>45.12974954187046</v>
      </c>
      <c r="HO58" s="36">
        <f t="shared" ca="1" si="141"/>
        <v>45.637588433049423</v>
      </c>
      <c r="HP58" s="36">
        <f t="shared" ca="1" si="141"/>
        <v>44.670281866476174</v>
      </c>
      <c r="HQ58" s="36">
        <f t="shared" ca="1" si="141"/>
        <v>44.635380176980036</v>
      </c>
      <c r="HR58" s="36">
        <f t="shared" ca="1" si="141"/>
        <v>45.305494897571364</v>
      </c>
      <c r="HS58" s="36">
        <f t="shared" ca="1" si="141"/>
        <v>46.026008740776348</v>
      </c>
      <c r="HT58" s="36">
        <f t="shared" ca="1" si="141"/>
        <v>46.777981414560657</v>
      </c>
      <c r="HU58" s="36">
        <f t="shared" ca="1" si="128"/>
        <v>46.433690209824796</v>
      </c>
      <c r="HV58" s="36">
        <f t="shared" ca="1" si="128"/>
        <v>45.694812894098355</v>
      </c>
      <c r="HW58" s="36">
        <f t="shared" ca="1" si="128"/>
        <v>45.86155011482704</v>
      </c>
      <c r="HX58" s="36">
        <f t="shared" ca="1" si="128"/>
        <v>45.93224848978457</v>
      </c>
      <c r="HY58" s="36">
        <f t="shared" ca="1" si="129"/>
        <v>45.83371866858424</v>
      </c>
      <c r="HZ58" s="36">
        <f t="shared" ca="1" si="129"/>
        <v>46.043897573533442</v>
      </c>
      <c r="IA58" s="36">
        <f t="shared" ca="1" si="129"/>
        <v>45.566609016765788</v>
      </c>
      <c r="IB58" s="36">
        <f t="shared" ca="1" si="129"/>
        <v>46.34897853978169</v>
      </c>
      <c r="IC58" s="36">
        <f t="shared" ca="1" si="129"/>
        <v>46.18805425954136</v>
      </c>
      <c r="ID58" s="36">
        <f t="shared" ca="1" si="129"/>
        <v>45.372386621895743</v>
      </c>
      <c r="IE58" s="36">
        <f t="shared" ca="1" si="129"/>
        <v>45.357805175721381</v>
      </c>
      <c r="IF58" s="36">
        <f t="shared" ca="1" si="129"/>
        <v>45.843788363632498</v>
      </c>
      <c r="IG58" s="36">
        <f t="shared" ca="1" si="129"/>
        <v>45.424013287813736</v>
      </c>
      <c r="IH58" s="36">
        <f t="shared" ca="1" si="129"/>
        <v>46.141039979775357</v>
      </c>
      <c r="II58" s="36">
        <f t="shared" ca="1" si="129"/>
        <v>46.356630339369282</v>
      </c>
      <c r="IJ58" s="36">
        <f t="shared" ca="1" si="129"/>
        <v>47.595437725372662</v>
      </c>
      <c r="IK58" s="36">
        <f t="shared" ca="1" si="129"/>
        <v>47.633019989833507</v>
      </c>
      <c r="IL58" s="36">
        <f t="shared" ca="1" si="129"/>
        <v>48.093320203803714</v>
      </c>
      <c r="IM58" s="36">
        <f t="shared" ca="1" si="129"/>
        <v>48.406245445787036</v>
      </c>
      <c r="IN58" s="36">
        <f t="shared" ca="1" si="129"/>
        <v>48.153469566537957</v>
      </c>
      <c r="IO58" s="36">
        <f t="shared" ca="1" si="129"/>
        <v>48.134887287631827</v>
      </c>
      <c r="IP58" s="36">
        <f t="shared" ca="1" si="129"/>
        <v>47.211977463259338</v>
      </c>
      <c r="IQ58" s="36">
        <f t="shared" ca="1" si="129"/>
        <v>47.322277724897091</v>
      </c>
      <c r="IR58" s="36">
        <f t="shared" ca="1" si="129"/>
        <v>47.41588291899302</v>
      </c>
      <c r="IS58" s="36">
        <f t="shared" ca="1" si="129"/>
        <v>47.636318051598309</v>
      </c>
      <c r="IT58" s="36">
        <f t="shared" ca="1" si="129"/>
        <v>46.846757544817308</v>
      </c>
      <c r="IU58" s="36">
        <f t="shared" ca="1" si="129"/>
        <v>46.398106940021123</v>
      </c>
    </row>
    <row r="59" spans="1:255" x14ac:dyDescent="0.2">
      <c r="A59" s="36"/>
      <c r="B59">
        <v>49</v>
      </c>
      <c r="C59" s="36">
        <v>50</v>
      </c>
      <c r="D59" s="36">
        <f t="shared" ca="1" si="14"/>
        <v>51.234532818247068</v>
      </c>
      <c r="E59" s="36">
        <f t="shared" ca="1" si="14"/>
        <v>51.196716479776633</v>
      </c>
      <c r="F59" s="36">
        <f t="shared" ca="1" si="138"/>
        <v>51.021833427558121</v>
      </c>
      <c r="G59" s="36">
        <f t="shared" ca="1" si="138"/>
        <v>50.52186013622859</v>
      </c>
      <c r="H59" s="36">
        <f t="shared" ca="1" si="138"/>
        <v>50.628558486056299</v>
      </c>
      <c r="I59" s="36">
        <f t="shared" ca="1" si="138"/>
        <v>51.635508343882627</v>
      </c>
      <c r="J59" s="36">
        <f t="shared" ca="1" si="138"/>
        <v>51.452396328469611</v>
      </c>
      <c r="K59" s="36">
        <f t="shared" ca="1" si="138"/>
        <v>51.026546299037399</v>
      </c>
      <c r="L59" s="36">
        <f t="shared" ca="1" si="138"/>
        <v>51.301646937379225</v>
      </c>
      <c r="M59" s="36">
        <f t="shared" ca="1" si="138"/>
        <v>52.339264337118067</v>
      </c>
      <c r="N59" s="36">
        <f t="shared" ca="1" si="138"/>
        <v>52.582533798128615</v>
      </c>
      <c r="O59" s="36">
        <f t="shared" ca="1" si="138"/>
        <v>52.662330511028991</v>
      </c>
      <c r="P59" s="36">
        <f t="shared" ca="1" si="138"/>
        <v>52.901341846225179</v>
      </c>
      <c r="Q59" s="36">
        <f t="shared" ca="1" si="138"/>
        <v>52.581432320460308</v>
      </c>
      <c r="R59" s="36">
        <f t="shared" ca="1" si="138"/>
        <v>54.673265034236209</v>
      </c>
      <c r="S59" s="36">
        <f t="shared" ca="1" si="138"/>
        <v>54.629686886272474</v>
      </c>
      <c r="T59" s="36">
        <f t="shared" ca="1" si="138"/>
        <v>54.996345596803167</v>
      </c>
      <c r="U59" s="36">
        <f t="shared" ca="1" si="138"/>
        <v>56.277078748364879</v>
      </c>
      <c r="V59" s="36">
        <f t="shared" ca="1" si="138"/>
        <v>56.10527008669726</v>
      </c>
      <c r="W59" s="36">
        <f t="shared" ca="1" si="138"/>
        <v>56.101249068417609</v>
      </c>
      <c r="X59" s="36">
        <f t="shared" ca="1" si="138"/>
        <v>56.180927935030645</v>
      </c>
      <c r="Y59" s="36">
        <f t="shared" ca="1" si="138"/>
        <v>55.397439627049408</v>
      </c>
      <c r="Z59" s="36">
        <f t="shared" ca="1" si="138"/>
        <v>55.409885786360761</v>
      </c>
      <c r="AA59" s="36">
        <f t="shared" ca="1" si="138"/>
        <v>53.353574648203654</v>
      </c>
      <c r="AB59" s="36">
        <f t="shared" ca="1" si="138"/>
        <v>53.751574712540901</v>
      </c>
      <c r="AC59" s="36">
        <f t="shared" ca="1" si="138"/>
        <v>53.36518157281278</v>
      </c>
      <c r="AD59" s="36">
        <f t="shared" ca="1" si="138"/>
        <v>52.564530668686658</v>
      </c>
      <c r="AE59" s="36">
        <f t="shared" ca="1" si="138"/>
        <v>53.587733273833585</v>
      </c>
      <c r="AF59" s="36">
        <f t="shared" ca="1" si="138"/>
        <v>52.125354962538076</v>
      </c>
      <c r="AG59" s="36">
        <f t="shared" ca="1" si="138"/>
        <v>52.305692678394735</v>
      </c>
      <c r="AH59" s="36">
        <f t="shared" ca="1" si="138"/>
        <v>52.551947751736506</v>
      </c>
      <c r="AI59" s="36">
        <f t="shared" ca="1" si="138"/>
        <v>52.815186567398776</v>
      </c>
      <c r="AJ59" s="36">
        <f t="shared" ca="1" si="138"/>
        <v>53.20581356358062</v>
      </c>
      <c r="AK59" s="36">
        <f t="shared" ca="1" si="138"/>
        <v>54.336803249814324</v>
      </c>
      <c r="AL59" s="36">
        <f t="shared" ca="1" si="138"/>
        <v>54.05826671465158</v>
      </c>
      <c r="AM59" s="36">
        <f t="shared" ca="1" si="138"/>
        <v>53.779236369655763</v>
      </c>
      <c r="AN59" s="36">
        <f t="shared" ca="1" si="138"/>
        <v>53.639310513124848</v>
      </c>
      <c r="AO59" s="36">
        <f t="shared" ca="1" si="138"/>
        <v>53.723366873614516</v>
      </c>
      <c r="AP59" s="36">
        <f t="shared" ca="1" si="138"/>
        <v>52.164555423352844</v>
      </c>
      <c r="AQ59" s="36">
        <f t="shared" ca="1" si="138"/>
        <v>51.579225103743099</v>
      </c>
      <c r="AR59" s="36">
        <f t="shared" ca="1" si="138"/>
        <v>52.274092355130996</v>
      </c>
      <c r="AS59" s="36">
        <f t="shared" ca="1" si="138"/>
        <v>50.972072993749798</v>
      </c>
      <c r="AT59" s="36">
        <f t="shared" ca="1" si="138"/>
        <v>51.279675736341943</v>
      </c>
      <c r="AU59" s="36">
        <f t="shared" ca="1" si="138"/>
        <v>51.515001694914631</v>
      </c>
      <c r="AV59" s="36">
        <f t="shared" ca="1" si="138"/>
        <v>52.569545733236822</v>
      </c>
      <c r="AW59" s="36">
        <f t="shared" ca="1" si="138"/>
        <v>51.9074851126624</v>
      </c>
      <c r="AX59" s="36">
        <f t="shared" ca="1" si="138"/>
        <v>51.822127724231059</v>
      </c>
      <c r="AY59" s="36">
        <f t="shared" ca="1" si="138"/>
        <v>50.934631303046089</v>
      </c>
      <c r="AZ59" s="36">
        <f t="shared" ca="1" si="138"/>
        <v>52.212403788500779</v>
      </c>
      <c r="BA59" s="36">
        <f t="shared" ca="1" si="138"/>
        <v>52.543755129094855</v>
      </c>
      <c r="BB59" s="36">
        <f t="shared" ca="1" si="138"/>
        <v>52.416084525019485</v>
      </c>
      <c r="BC59" s="36">
        <f t="shared" ca="1" si="138"/>
        <v>52.895218687814236</v>
      </c>
      <c r="BD59" s="36">
        <f t="shared" ca="1" si="138"/>
        <v>52.578044857124617</v>
      </c>
      <c r="BE59" s="36">
        <f t="shared" ca="1" si="138"/>
        <v>51.913109532364942</v>
      </c>
      <c r="BF59" s="36">
        <f t="shared" ca="1" si="138"/>
        <v>51.770432854641399</v>
      </c>
      <c r="BG59" s="36">
        <f t="shared" ca="1" si="138"/>
        <v>51.671872884797409</v>
      </c>
      <c r="BH59" s="36">
        <f t="shared" ca="1" si="138"/>
        <v>51.683238793129171</v>
      </c>
      <c r="BI59" s="36">
        <f t="shared" ca="1" si="138"/>
        <v>50.681420766001473</v>
      </c>
      <c r="BJ59" s="36">
        <f t="shared" ca="1" si="138"/>
        <v>51.830399543980825</v>
      </c>
      <c r="BK59" s="36">
        <f t="shared" ca="1" si="138"/>
        <v>51.429746363863195</v>
      </c>
      <c r="BL59" s="36">
        <f t="shared" ca="1" si="138"/>
        <v>51.243950006240901</v>
      </c>
      <c r="BM59" s="36">
        <f t="shared" ca="1" si="138"/>
        <v>51.149428619820533</v>
      </c>
      <c r="BN59" s="36">
        <f t="shared" ca="1" si="138"/>
        <v>51.428699796677172</v>
      </c>
      <c r="BO59" s="36">
        <f t="shared" ca="1" si="138"/>
        <v>51.496306962352939</v>
      </c>
      <c r="BP59" s="36">
        <f t="shared" ca="1" si="138"/>
        <v>51.26224610727791</v>
      </c>
      <c r="BQ59" s="36">
        <f t="shared" ca="1" si="138"/>
        <v>50.641765933033177</v>
      </c>
      <c r="BR59" s="36">
        <f t="shared" ca="1" si="134"/>
        <v>50.783278410871254</v>
      </c>
      <c r="BS59" s="36">
        <f t="shared" ca="1" si="134"/>
        <v>52.3570532069674</v>
      </c>
      <c r="BT59" s="36">
        <f t="shared" ca="1" si="134"/>
        <v>52.5578944576258</v>
      </c>
      <c r="BU59" s="36">
        <f t="shared" ca="1" si="134"/>
        <v>53.095332253592737</v>
      </c>
      <c r="BV59" s="36">
        <f t="shared" ca="1" si="134"/>
        <v>51.505366137540761</v>
      </c>
      <c r="BW59" s="36">
        <f t="shared" ca="1" si="134"/>
        <v>51.783190466213533</v>
      </c>
      <c r="BX59" s="36">
        <f t="shared" ca="1" si="134"/>
        <v>51.329746610960207</v>
      </c>
      <c r="BY59" s="36">
        <f t="shared" ca="1" si="134"/>
        <v>51.763833872393462</v>
      </c>
      <c r="BZ59" s="36">
        <f t="shared" ca="1" si="134"/>
        <v>50.717195033573049</v>
      </c>
      <c r="CA59" s="36">
        <f t="shared" ca="1" si="134"/>
        <v>50.484170331893388</v>
      </c>
      <c r="CB59" s="36">
        <f t="shared" ca="1" si="134"/>
        <v>51.261538044876005</v>
      </c>
      <c r="CC59" s="36">
        <f t="shared" ca="1" si="134"/>
        <v>51.428478198773092</v>
      </c>
      <c r="CD59" s="36">
        <f t="shared" ca="1" si="134"/>
        <v>51.056217577241341</v>
      </c>
      <c r="CE59" s="36">
        <f t="shared" ca="1" si="134"/>
        <v>50.640795928357718</v>
      </c>
      <c r="CF59" s="36">
        <f t="shared" ca="1" si="134"/>
        <v>49.88712769109474</v>
      </c>
      <c r="CG59" s="36">
        <f t="shared" ca="1" si="134"/>
        <v>49.728074732857763</v>
      </c>
      <c r="CH59" s="36">
        <f t="shared" ca="1" si="134"/>
        <v>49.488284449591731</v>
      </c>
      <c r="CI59" s="36">
        <f t="shared" ca="1" si="134"/>
        <v>48.998193644565262</v>
      </c>
      <c r="CJ59" s="36">
        <f t="shared" ca="1" si="134"/>
        <v>49.043075056928259</v>
      </c>
      <c r="CK59" s="36">
        <f t="shared" ca="1" si="134"/>
        <v>49.669690534463328</v>
      </c>
      <c r="CL59" s="36">
        <f t="shared" ca="1" si="134"/>
        <v>50.030356618960063</v>
      </c>
      <c r="CM59" s="36">
        <f t="shared" ca="1" si="134"/>
        <v>50.222248430068305</v>
      </c>
      <c r="CN59" s="36">
        <f t="shared" ca="1" si="134"/>
        <v>50.113395043292819</v>
      </c>
      <c r="CO59" s="36">
        <f t="shared" ca="1" si="134"/>
        <v>50.274890632429283</v>
      </c>
      <c r="CP59" s="36">
        <f t="shared" ca="1" si="134"/>
        <v>49.611060770120169</v>
      </c>
      <c r="CQ59" s="36">
        <f t="shared" ca="1" si="134"/>
        <v>49.537980937812542</v>
      </c>
      <c r="CR59" s="36">
        <f t="shared" ca="1" si="134"/>
        <v>50.177148783369972</v>
      </c>
      <c r="CS59" s="36">
        <f t="shared" ca="1" si="134"/>
        <v>50.371232683199608</v>
      </c>
      <c r="CT59" s="36">
        <f t="shared" ca="1" si="134"/>
        <v>49.857930861193068</v>
      </c>
      <c r="CU59" s="36">
        <f t="shared" ca="1" si="134"/>
        <v>49.304141821310211</v>
      </c>
      <c r="CV59" s="36">
        <f t="shared" ca="1" si="134"/>
        <v>49.137657443665731</v>
      </c>
      <c r="CW59" s="36">
        <f t="shared" ca="1" si="134"/>
        <v>49.048079741475355</v>
      </c>
      <c r="CX59" s="36">
        <f t="shared" ca="1" si="134"/>
        <v>48.145562643753266</v>
      </c>
      <c r="CY59" s="36">
        <f t="shared" ca="1" si="134"/>
        <v>47.084640273729249</v>
      </c>
      <c r="CZ59" s="36">
        <f t="shared" ca="1" si="134"/>
        <v>47.513090161207906</v>
      </c>
      <c r="DA59" s="36">
        <f t="shared" ca="1" si="134"/>
        <v>46.978906699015909</v>
      </c>
      <c r="DB59" s="36">
        <f t="shared" ca="1" si="134"/>
        <v>47.512017944138094</v>
      </c>
      <c r="DC59" s="36">
        <f t="shared" ca="1" si="134"/>
        <v>47.193684515826071</v>
      </c>
      <c r="DD59" s="36">
        <f t="shared" ca="1" si="134"/>
        <v>47.827771841057412</v>
      </c>
      <c r="DE59" s="36">
        <f t="shared" ca="1" si="134"/>
        <v>48.000285156458858</v>
      </c>
      <c r="DF59" s="36">
        <f t="shared" ca="1" si="134"/>
        <v>47.788447729112171</v>
      </c>
      <c r="DG59" s="36">
        <f t="shared" ca="1" si="134"/>
        <v>46.355994529118576</v>
      </c>
      <c r="DH59" s="36">
        <f t="shared" ca="1" si="134"/>
        <v>46.439220474641708</v>
      </c>
      <c r="DI59" s="36">
        <f t="shared" ca="1" si="134"/>
        <v>45.700343448878911</v>
      </c>
      <c r="DJ59" s="36">
        <f t="shared" ca="1" si="134"/>
        <v>45.928945459194793</v>
      </c>
      <c r="DK59" s="36">
        <f t="shared" ca="1" si="134"/>
        <v>45.453122449046695</v>
      </c>
      <c r="DL59" s="36">
        <f t="shared" ca="1" si="134"/>
        <v>44.545541962861954</v>
      </c>
      <c r="DM59" s="36">
        <f t="shared" ca="1" si="134"/>
        <v>44.307355153942368</v>
      </c>
      <c r="DN59" s="36">
        <f t="shared" ca="1" si="134"/>
        <v>43.818472228869041</v>
      </c>
      <c r="DO59" s="36">
        <f t="shared" ca="1" si="134"/>
        <v>44.911416705540795</v>
      </c>
      <c r="DP59" s="36">
        <f t="shared" ca="1" si="134"/>
        <v>43.809528881425294</v>
      </c>
      <c r="DQ59" s="36">
        <f t="shared" ca="1" si="134"/>
        <v>43.224216641893513</v>
      </c>
      <c r="DR59" s="36">
        <f t="shared" ca="1" si="134"/>
        <v>42.629215311282437</v>
      </c>
      <c r="DS59" s="36">
        <f t="shared" ca="1" si="134"/>
        <v>41.347172132208584</v>
      </c>
      <c r="DT59" s="36">
        <f t="shared" ca="1" si="134"/>
        <v>41.445570992555076</v>
      </c>
      <c r="DU59" s="36">
        <f t="shared" ca="1" si="134"/>
        <v>41.517952275428939</v>
      </c>
      <c r="DV59" s="36">
        <f t="shared" ca="1" si="134"/>
        <v>41.852923499863543</v>
      </c>
      <c r="DW59" s="36">
        <f t="shared" ca="1" si="134"/>
        <v>42.321286734919795</v>
      </c>
      <c r="DX59" s="36">
        <f t="shared" ca="1" si="134"/>
        <v>42.238900830325257</v>
      </c>
      <c r="DY59" s="36">
        <f t="shared" ca="1" si="134"/>
        <v>41.898111628698658</v>
      </c>
      <c r="DZ59" s="36">
        <f t="shared" ca="1" si="134"/>
        <v>41.726873795221017</v>
      </c>
      <c r="EA59" s="36">
        <f t="shared" ca="1" si="134"/>
        <v>42.784372504612868</v>
      </c>
      <c r="EB59" s="36">
        <f t="shared" ca="1" si="134"/>
        <v>42.488210222433771</v>
      </c>
      <c r="EC59" s="36">
        <f t="shared" ca="1" si="139"/>
        <v>42.520534812357454</v>
      </c>
      <c r="ED59" s="36">
        <f t="shared" ca="1" si="139"/>
        <v>41.497789542229839</v>
      </c>
      <c r="EE59" s="36">
        <f t="shared" ca="1" si="139"/>
        <v>41.266603240255286</v>
      </c>
      <c r="EF59" s="36">
        <f t="shared" ca="1" si="139"/>
        <v>42.189174432101233</v>
      </c>
      <c r="EG59" s="36">
        <f t="shared" ca="1" si="139"/>
        <v>41.844054630488813</v>
      </c>
      <c r="EH59" s="36">
        <f t="shared" ca="1" si="139"/>
        <v>43.225284650683633</v>
      </c>
      <c r="EI59" s="36">
        <f t="shared" ca="1" si="139"/>
        <v>43.030605254574517</v>
      </c>
      <c r="EJ59" s="36">
        <f t="shared" ca="1" si="139"/>
        <v>42.355691057382543</v>
      </c>
      <c r="EK59" s="36">
        <f t="shared" ca="1" si="139"/>
        <v>41.97831098061453</v>
      </c>
      <c r="EL59" s="36">
        <f t="shared" ca="1" si="139"/>
        <v>41.857102465186784</v>
      </c>
      <c r="EM59" s="36">
        <f t="shared" ca="1" si="139"/>
        <v>42.033746925205278</v>
      </c>
      <c r="EN59" s="36">
        <f t="shared" ca="1" si="139"/>
        <v>42.107231717963536</v>
      </c>
      <c r="EO59" s="36">
        <f t="shared" ca="1" si="139"/>
        <v>41.708279612135222</v>
      </c>
      <c r="EP59" s="36">
        <f t="shared" ca="1" si="139"/>
        <v>41.813533458044517</v>
      </c>
      <c r="EQ59" s="36">
        <f t="shared" ca="1" si="139"/>
        <v>41.086376288400515</v>
      </c>
      <c r="ER59" s="36">
        <f t="shared" ca="1" si="139"/>
        <v>42.047418867833102</v>
      </c>
      <c r="ES59" s="36">
        <f t="shared" ca="1" si="139"/>
        <v>41.695500859270531</v>
      </c>
      <c r="ET59" s="36">
        <f t="shared" ca="1" si="139"/>
        <v>41.472060046458012</v>
      </c>
      <c r="EU59" s="36">
        <f t="shared" ca="1" si="139"/>
        <v>42.32667476546969</v>
      </c>
      <c r="EV59" s="36">
        <f t="shared" ca="1" si="139"/>
        <v>42.780069586661483</v>
      </c>
      <c r="EW59" s="36">
        <f t="shared" ref="EW59" ca="1" si="142">EV59*EXP(($B$3-$B$4^2/2)*1+$B$4*_xlfn.NORM.S.INV(RAND()))</f>
        <v>42.557659149662982</v>
      </c>
      <c r="EX59" s="36">
        <f t="shared" ca="1" si="140"/>
        <v>43.261628706943398</v>
      </c>
      <c r="EY59" s="36">
        <f t="shared" ca="1" si="140"/>
        <v>43.652944546581445</v>
      </c>
      <c r="EZ59" s="36">
        <f t="shared" ca="1" si="140"/>
        <v>43.413077539185522</v>
      </c>
      <c r="FA59" s="36">
        <f t="shared" ca="1" si="140"/>
        <v>43.881520466265528</v>
      </c>
      <c r="FB59" s="36">
        <f t="shared" ca="1" si="140"/>
        <v>43.845394429565161</v>
      </c>
      <c r="FC59" s="36">
        <f t="shared" ca="1" si="140"/>
        <v>43.542962485351531</v>
      </c>
      <c r="FD59" s="36">
        <f t="shared" ca="1" si="140"/>
        <v>43.332813635385484</v>
      </c>
      <c r="FE59" s="36">
        <f t="shared" ca="1" si="140"/>
        <v>43.46197251406408</v>
      </c>
      <c r="FF59" s="36">
        <f t="shared" ca="1" si="140"/>
        <v>42.138357426128856</v>
      </c>
      <c r="FG59" s="36">
        <f t="shared" ca="1" si="140"/>
        <v>43.103790152507138</v>
      </c>
      <c r="FH59" s="36">
        <f t="shared" ca="1" si="140"/>
        <v>42.811778788705169</v>
      </c>
      <c r="FI59" s="36">
        <f t="shared" ca="1" si="140"/>
        <v>43.21729902210344</v>
      </c>
      <c r="FJ59" s="36">
        <f t="shared" ca="1" si="140"/>
        <v>43.331696486262985</v>
      </c>
      <c r="FK59" s="36">
        <f t="shared" ca="1" si="140"/>
        <v>43.792529012774985</v>
      </c>
      <c r="FL59" s="36">
        <f t="shared" ca="1" si="140"/>
        <v>44.656081314112299</v>
      </c>
      <c r="FM59" s="36">
        <f t="shared" ca="1" si="140"/>
        <v>45.162184479686189</v>
      </c>
      <c r="FN59" s="36">
        <f t="shared" ca="1" si="140"/>
        <v>45.91474924830657</v>
      </c>
      <c r="FO59" s="36">
        <f t="shared" ca="1" si="140"/>
        <v>46.728319333744345</v>
      </c>
      <c r="FP59" s="36">
        <f t="shared" ca="1" si="140"/>
        <v>46.407609126192931</v>
      </c>
      <c r="FQ59" s="36">
        <f t="shared" ca="1" si="140"/>
        <v>44.99492763903708</v>
      </c>
      <c r="FR59" s="36">
        <f t="shared" ca="1" si="140"/>
        <v>45.803982433136994</v>
      </c>
      <c r="FS59" s="36">
        <f t="shared" ca="1" si="140"/>
        <v>46.305440287244849</v>
      </c>
      <c r="FT59" s="36">
        <f t="shared" ca="1" si="140"/>
        <v>46.5288635288804</v>
      </c>
      <c r="FU59" s="36">
        <f t="shared" ca="1" si="140"/>
        <v>47.510947829542872</v>
      </c>
      <c r="FV59" s="36">
        <f t="shared" ca="1" si="140"/>
        <v>47.902390356151962</v>
      </c>
      <c r="FW59" s="36">
        <f t="shared" ca="1" si="140"/>
        <v>48.00157632695533</v>
      </c>
      <c r="FX59" s="36">
        <f t="shared" ca="1" si="140"/>
        <v>47.819220382190231</v>
      </c>
      <c r="FY59" s="36">
        <f t="shared" ca="1" si="140"/>
        <v>47.147738926353291</v>
      </c>
      <c r="FZ59" s="36">
        <f t="shared" ca="1" si="140"/>
        <v>47.971248185259014</v>
      </c>
      <c r="GA59" s="36">
        <f t="shared" ca="1" si="140"/>
        <v>47.043844966041497</v>
      </c>
      <c r="GB59" s="36">
        <f t="shared" ca="1" si="140"/>
        <v>47.568868920923833</v>
      </c>
      <c r="GC59" s="36">
        <f t="shared" ca="1" si="140"/>
        <v>48.348538258014656</v>
      </c>
      <c r="GD59" s="36">
        <f t="shared" ca="1" si="140"/>
        <v>48.034381211032823</v>
      </c>
      <c r="GE59" s="36">
        <f t="shared" ca="1" si="140"/>
        <v>48.001443229417923</v>
      </c>
      <c r="GF59" s="36">
        <f t="shared" ca="1" si="140"/>
        <v>46.857684674659808</v>
      </c>
      <c r="GG59" s="36">
        <f t="shared" ca="1" si="140"/>
        <v>46.391608330656823</v>
      </c>
      <c r="GH59" s="36">
        <f t="shared" ca="1" si="140"/>
        <v>46.642863741254857</v>
      </c>
      <c r="GI59" s="36">
        <f t="shared" ca="1" si="140"/>
        <v>46.2608619635878</v>
      </c>
      <c r="GJ59" s="36">
        <f t="shared" ca="1" si="140"/>
        <v>45.507373119112458</v>
      </c>
      <c r="GK59" s="36">
        <f t="shared" ca="1" si="140"/>
        <v>45.211599885894891</v>
      </c>
      <c r="GL59" s="36">
        <f t="shared" ca="1" si="140"/>
        <v>45.565642651400822</v>
      </c>
      <c r="GM59" s="36">
        <f t="shared" ca="1" si="140"/>
        <v>45.117160067112032</v>
      </c>
      <c r="GN59" s="36">
        <f t="shared" ca="1" si="140"/>
        <v>44.900365510842455</v>
      </c>
      <c r="GO59" s="36">
        <f t="shared" ca="1" si="140"/>
        <v>44.241106644488013</v>
      </c>
      <c r="GP59" s="36">
        <f t="shared" ca="1" si="140"/>
        <v>44.570997672988945</v>
      </c>
      <c r="GQ59" s="36">
        <f t="shared" ca="1" si="140"/>
        <v>45.485752076305474</v>
      </c>
      <c r="GR59" s="36">
        <f t="shared" ca="1" si="140"/>
        <v>45.535192298202709</v>
      </c>
      <c r="GS59" s="36">
        <f t="shared" ca="1" si="140"/>
        <v>46.021390611618934</v>
      </c>
      <c r="GT59" s="36">
        <f t="shared" ca="1" si="140"/>
        <v>45.605614140966317</v>
      </c>
      <c r="GU59" s="36">
        <f t="shared" ca="1" si="140"/>
        <v>46.115990739078185</v>
      </c>
      <c r="GV59" s="36">
        <f t="shared" ca="1" si="140"/>
        <v>44.383244916413936</v>
      </c>
      <c r="GW59" s="36">
        <f t="shared" ca="1" si="140"/>
        <v>44.355774243766128</v>
      </c>
      <c r="GX59" s="36">
        <f t="shared" ca="1" si="140"/>
        <v>44.159901476575584</v>
      </c>
      <c r="GY59" s="36">
        <f t="shared" ca="1" si="140"/>
        <v>44.363145916795581</v>
      </c>
      <c r="GZ59" s="36">
        <f t="shared" ca="1" si="140"/>
        <v>44.13725831534866</v>
      </c>
      <c r="HA59" s="36">
        <f t="shared" ca="1" si="140"/>
        <v>44.163552927335715</v>
      </c>
      <c r="HB59" s="36">
        <f t="shared" ca="1" si="140"/>
        <v>43.846813580267423</v>
      </c>
      <c r="HC59" s="36">
        <f t="shared" ca="1" si="140"/>
        <v>43.553733536437328</v>
      </c>
      <c r="HD59" s="36">
        <f t="shared" ca="1" si="140"/>
        <v>43.924696375664674</v>
      </c>
      <c r="HE59" s="36">
        <f t="shared" ca="1" si="140"/>
        <v>43.279299498007262</v>
      </c>
      <c r="HF59" s="36">
        <f t="shared" ca="1" si="140"/>
        <v>42.91738149765488</v>
      </c>
      <c r="HG59" s="36">
        <f t="shared" ca="1" si="140"/>
        <v>42.406707739767384</v>
      </c>
      <c r="HH59" s="36">
        <f t="shared" ca="1" si="140"/>
        <v>42.123425550761226</v>
      </c>
      <c r="HI59" s="36">
        <f t="shared" ca="1" si="136"/>
        <v>42.629567492890203</v>
      </c>
      <c r="HJ59" s="36">
        <f t="shared" ca="1" si="136"/>
        <v>44.143985279876787</v>
      </c>
      <c r="HK59" s="36">
        <f t="shared" ca="1" si="136"/>
        <v>44.221016564913675</v>
      </c>
      <c r="HL59" s="36">
        <f t="shared" ref="HL59:HT59" ca="1" si="143">HK59*EXP(($B$3-$B$4^2/2)*1+$B$4*_xlfn.NORM.S.INV(RAND()))</f>
        <v>43.430552132952791</v>
      </c>
      <c r="HM59" s="36">
        <f t="shared" ca="1" si="143"/>
        <v>42.519819194780375</v>
      </c>
      <c r="HN59" s="36">
        <f t="shared" ca="1" si="143"/>
        <v>42.26158355060381</v>
      </c>
      <c r="HO59" s="36">
        <f t="shared" ca="1" si="143"/>
        <v>42.43418608888112</v>
      </c>
      <c r="HP59" s="36">
        <f t="shared" ca="1" si="143"/>
        <v>43.084933823059465</v>
      </c>
      <c r="HQ59" s="36">
        <f t="shared" ca="1" si="143"/>
        <v>42.774140945370156</v>
      </c>
      <c r="HR59" s="36">
        <f t="shared" ca="1" si="143"/>
        <v>43.008851110596439</v>
      </c>
      <c r="HS59" s="36">
        <f t="shared" ca="1" si="143"/>
        <v>43.030583834661307</v>
      </c>
      <c r="HT59" s="36">
        <f t="shared" ca="1" si="143"/>
        <v>43.051204967045592</v>
      </c>
      <c r="HU59" s="36">
        <f t="shared" ca="1" si="128"/>
        <v>42.452761465211942</v>
      </c>
      <c r="HV59" s="36">
        <f t="shared" ca="1" si="128"/>
        <v>42.595491043648281</v>
      </c>
      <c r="HW59" s="36">
        <f t="shared" ca="1" si="128"/>
        <v>42.459247087146764</v>
      </c>
      <c r="HX59" s="36">
        <f t="shared" ca="1" si="128"/>
        <v>42.663155318327021</v>
      </c>
      <c r="HY59" s="36">
        <f t="shared" ca="1" si="129"/>
        <v>43.246988946532873</v>
      </c>
      <c r="HZ59" s="36">
        <f t="shared" ca="1" si="129"/>
        <v>43.131683667053686</v>
      </c>
      <c r="IA59" s="36">
        <f t="shared" ca="1" si="129"/>
        <v>42.168844788914832</v>
      </c>
      <c r="IB59" s="36">
        <f t="shared" ca="1" si="129"/>
        <v>41.884086430505661</v>
      </c>
      <c r="IC59" s="36">
        <f t="shared" ca="1" si="129"/>
        <v>41.668350890625341</v>
      </c>
      <c r="ID59" s="36">
        <f t="shared" ca="1" si="129"/>
        <v>42.062946066610024</v>
      </c>
      <c r="IE59" s="36">
        <f t="shared" ca="1" si="129"/>
        <v>43.498126811629469</v>
      </c>
      <c r="IF59" s="36">
        <f t="shared" ca="1" si="129"/>
        <v>42.881735759975136</v>
      </c>
      <c r="IG59" s="36">
        <f t="shared" ca="1" si="129"/>
        <v>42.473450864571397</v>
      </c>
      <c r="IH59" s="36">
        <f t="shared" ca="1" si="129"/>
        <v>42.955238808250897</v>
      </c>
      <c r="II59" s="36">
        <f t="shared" ca="1" si="129"/>
        <v>43.360079452758001</v>
      </c>
      <c r="IJ59" s="36">
        <f t="shared" ca="1" si="129"/>
        <v>42.035117440894716</v>
      </c>
      <c r="IK59" s="36">
        <f t="shared" ca="1" si="129"/>
        <v>42.408017698357249</v>
      </c>
      <c r="IL59" s="36">
        <f t="shared" ca="1" si="129"/>
        <v>43.003721329192238</v>
      </c>
      <c r="IM59" s="36">
        <f t="shared" ca="1" si="129"/>
        <v>43.524399887208787</v>
      </c>
      <c r="IN59" s="36">
        <f t="shared" ca="1" si="129"/>
        <v>43.077939815637819</v>
      </c>
      <c r="IO59" s="36">
        <f t="shared" ca="1" si="129"/>
        <v>43.211882511787302</v>
      </c>
      <c r="IP59" s="36">
        <f t="shared" ca="1" si="129"/>
        <v>42.796538910987373</v>
      </c>
      <c r="IQ59" s="36">
        <f t="shared" ca="1" si="129"/>
        <v>42.323383768885101</v>
      </c>
      <c r="IR59" s="36">
        <f t="shared" ca="1" si="129"/>
        <v>42.656274627441221</v>
      </c>
      <c r="IS59" s="36">
        <f t="shared" ca="1" si="129"/>
        <v>43.27417636982026</v>
      </c>
      <c r="IT59" s="36">
        <f t="shared" ca="1" si="129"/>
        <v>43.71372568187617</v>
      </c>
      <c r="IU59" s="36">
        <f t="shared" ca="1" si="129"/>
        <v>43.271009555433004</v>
      </c>
    </row>
    <row r="60" spans="1:255" x14ac:dyDescent="0.2">
      <c r="A60" s="36"/>
      <c r="B60">
        <v>50</v>
      </c>
      <c r="C60" s="36">
        <v>50</v>
      </c>
      <c r="D60" s="36">
        <f t="shared" ca="1" si="14"/>
        <v>50.66891531402986</v>
      </c>
      <c r="E60" s="36">
        <f t="shared" ca="1" si="14"/>
        <v>49.180210737773599</v>
      </c>
      <c r="F60" s="36">
        <f t="shared" ca="1" si="138"/>
        <v>48.814890556916346</v>
      </c>
      <c r="G60" s="36">
        <f t="shared" ca="1" si="138"/>
        <v>49.001477718269811</v>
      </c>
      <c r="H60" s="36">
        <f t="shared" ca="1" si="138"/>
        <v>48.740629135112975</v>
      </c>
      <c r="I60" s="36">
        <f t="shared" ca="1" si="138"/>
        <v>48.375675535857432</v>
      </c>
      <c r="J60" s="36">
        <f t="shared" ca="1" si="138"/>
        <v>48.670192160355114</v>
      </c>
      <c r="K60" s="36">
        <f t="shared" ca="1" si="138"/>
        <v>49.001187170536753</v>
      </c>
      <c r="L60" s="36">
        <f t="shared" ca="1" si="138"/>
        <v>49.954114717545103</v>
      </c>
      <c r="M60" s="36">
        <f t="shared" ca="1" si="138"/>
        <v>49.508047603099698</v>
      </c>
      <c r="N60" s="36">
        <f t="shared" ca="1" si="138"/>
        <v>49.753576967423072</v>
      </c>
      <c r="O60" s="36">
        <f t="shared" ca="1" si="138"/>
        <v>49.78370039928943</v>
      </c>
      <c r="P60" s="36">
        <f t="shared" ca="1" si="138"/>
        <v>49.021445538975811</v>
      </c>
      <c r="Q60" s="36">
        <f t="shared" ca="1" si="138"/>
        <v>49.31225647480025</v>
      </c>
      <c r="R60" s="36">
        <f t="shared" ca="1" si="138"/>
        <v>49.265103589979432</v>
      </c>
      <c r="S60" s="36">
        <f t="shared" ca="1" si="138"/>
        <v>49.494549432274624</v>
      </c>
      <c r="T60" s="36">
        <f t="shared" ca="1" si="138"/>
        <v>49.213171394168285</v>
      </c>
      <c r="U60" s="36">
        <f t="shared" ca="1" si="138"/>
        <v>50.181633542773298</v>
      </c>
      <c r="V60" s="36">
        <f t="shared" ca="1" si="138"/>
        <v>49.705742789975936</v>
      </c>
      <c r="W60" s="36">
        <f t="shared" ca="1" si="138"/>
        <v>49.674131969655647</v>
      </c>
      <c r="X60" s="36">
        <f t="shared" ca="1" si="138"/>
        <v>50.316777670841425</v>
      </c>
      <c r="Y60" s="36">
        <f t="shared" ca="1" si="138"/>
        <v>50.22090894221872</v>
      </c>
      <c r="Z60" s="36">
        <f t="shared" ca="1" si="138"/>
        <v>51.147917257087428</v>
      </c>
      <c r="AA60" s="36">
        <f t="shared" ca="1" si="138"/>
        <v>51.50582632554444</v>
      </c>
      <c r="AB60" s="36">
        <f t="shared" ca="1" si="138"/>
        <v>52.911275758350335</v>
      </c>
      <c r="AC60" s="36">
        <f t="shared" ca="1" si="138"/>
        <v>52.177065024847799</v>
      </c>
      <c r="AD60" s="36">
        <f t="shared" ca="1" si="138"/>
        <v>52.315200026795594</v>
      </c>
      <c r="AE60" s="36">
        <f t="shared" ca="1" si="138"/>
        <v>52.937670196432123</v>
      </c>
      <c r="AF60" s="36">
        <f t="shared" ca="1" si="138"/>
        <v>52.484033374888448</v>
      </c>
      <c r="AG60" s="36">
        <f t="shared" ca="1" si="138"/>
        <v>52.049738382562758</v>
      </c>
      <c r="AH60" s="36">
        <f t="shared" ca="1" si="138"/>
        <v>52.737717549998607</v>
      </c>
      <c r="AI60" s="36">
        <f t="shared" ca="1" si="138"/>
        <v>52.04253355011727</v>
      </c>
      <c r="AJ60" s="36">
        <f t="shared" ca="1" si="138"/>
        <v>52.6236856924073</v>
      </c>
      <c r="AK60" s="36">
        <f t="shared" ca="1" si="138"/>
        <v>51.977967201094486</v>
      </c>
      <c r="AL60" s="36">
        <f t="shared" ca="1" si="138"/>
        <v>51.888387416374322</v>
      </c>
      <c r="AM60" s="36">
        <f t="shared" ca="1" si="138"/>
        <v>51.661490725803709</v>
      </c>
      <c r="AN60" s="36">
        <f t="shared" ca="1" si="138"/>
        <v>51.809909139541517</v>
      </c>
      <c r="AO60" s="36">
        <f t="shared" ca="1" si="138"/>
        <v>50.863504234483941</v>
      </c>
      <c r="AP60" s="36">
        <f t="shared" ca="1" si="138"/>
        <v>50.552541825192755</v>
      </c>
      <c r="AQ60" s="36">
        <f t="shared" ca="1" si="138"/>
        <v>51.329185750013806</v>
      </c>
      <c r="AR60" s="36">
        <f t="shared" ca="1" si="138"/>
        <v>50.248788871266086</v>
      </c>
      <c r="AS60" s="36">
        <f t="shared" ca="1" si="138"/>
        <v>50.724475215927484</v>
      </c>
      <c r="AT60" s="36">
        <f t="shared" ca="1" si="138"/>
        <v>51.184825337954564</v>
      </c>
      <c r="AU60" s="36">
        <f t="shared" ca="1" si="138"/>
        <v>50.662692527324232</v>
      </c>
      <c r="AV60" s="36">
        <f t="shared" ca="1" si="138"/>
        <v>50.934429159950014</v>
      </c>
      <c r="AW60" s="36">
        <f t="shared" ca="1" si="138"/>
        <v>52.003028617138902</v>
      </c>
      <c r="AX60" s="36">
        <f t="shared" ca="1" si="138"/>
        <v>52.485160802016175</v>
      </c>
      <c r="AY60" s="36">
        <f t="shared" ca="1" si="138"/>
        <v>52.392808819140981</v>
      </c>
      <c r="AZ60" s="36">
        <f t="shared" ca="1" si="138"/>
        <v>52.496255268108989</v>
      </c>
      <c r="BA60" s="36">
        <f t="shared" ca="1" si="138"/>
        <v>52.346350455075942</v>
      </c>
      <c r="BB60" s="36">
        <f t="shared" ca="1" si="138"/>
        <v>51.399002138510944</v>
      </c>
      <c r="BC60" s="36">
        <f t="shared" ca="1" si="138"/>
        <v>51.470654385903288</v>
      </c>
      <c r="BD60" s="36">
        <f t="shared" ca="1" si="138"/>
        <v>51.549204283000883</v>
      </c>
      <c r="BE60" s="36">
        <f t="shared" ca="1" si="138"/>
        <v>51.613863080772042</v>
      </c>
      <c r="BF60" s="36">
        <f t="shared" ca="1" si="138"/>
        <v>51.812342850527472</v>
      </c>
      <c r="BG60" s="36">
        <f t="shared" ca="1" si="138"/>
        <v>51.815967984826088</v>
      </c>
      <c r="BH60" s="36">
        <f t="shared" ca="1" si="138"/>
        <v>50.423069996593028</v>
      </c>
      <c r="BI60" s="36">
        <f t="shared" ca="1" si="138"/>
        <v>50.820964311414322</v>
      </c>
      <c r="BJ60" s="36">
        <f t="shared" ca="1" si="138"/>
        <v>50.57637307477826</v>
      </c>
      <c r="BK60" s="36">
        <f t="shared" ca="1" si="138"/>
        <v>50.423598117133942</v>
      </c>
      <c r="BL60" s="36">
        <f t="shared" ca="1" si="138"/>
        <v>50.553070321620538</v>
      </c>
      <c r="BM60" s="36">
        <f t="shared" ca="1" si="138"/>
        <v>50.065388503455388</v>
      </c>
      <c r="BN60" s="36">
        <f t="shared" ca="1" si="138"/>
        <v>51.016581247684996</v>
      </c>
      <c r="BO60" s="36">
        <f t="shared" ca="1" si="138"/>
        <v>50.436180110685193</v>
      </c>
      <c r="BP60" s="36">
        <f t="shared" ca="1" si="138"/>
        <v>50.841647554623549</v>
      </c>
      <c r="BQ60" s="36">
        <f t="shared" ca="1" si="138"/>
        <v>50.169358427901685</v>
      </c>
      <c r="BR60" s="36">
        <f t="shared" ca="1" si="134"/>
        <v>50.892851672335354</v>
      </c>
      <c r="BS60" s="36">
        <f t="shared" ca="1" si="134"/>
        <v>50.253070972844633</v>
      </c>
      <c r="BT60" s="36">
        <f t="shared" ca="1" si="134"/>
        <v>51.451167666907608</v>
      </c>
      <c r="BU60" s="36">
        <f t="shared" ca="1" si="134"/>
        <v>51.336640083569968</v>
      </c>
      <c r="BV60" s="36">
        <f t="shared" ca="1" si="134"/>
        <v>51.679996927632587</v>
      </c>
      <c r="BW60" s="36">
        <f t="shared" ca="1" si="134"/>
        <v>52.301582903057053</v>
      </c>
      <c r="BX60" s="36">
        <f t="shared" ca="1" si="134"/>
        <v>52.815865519239196</v>
      </c>
      <c r="BY60" s="36">
        <f t="shared" ca="1" si="134"/>
        <v>53.201883319143136</v>
      </c>
      <c r="BZ60" s="36">
        <f t="shared" ca="1" si="134"/>
        <v>53.355150677740568</v>
      </c>
      <c r="CA60" s="36">
        <f t="shared" ca="1" si="134"/>
        <v>53.842536007281623</v>
      </c>
      <c r="CB60" s="36">
        <f t="shared" ca="1" si="134"/>
        <v>53.68951329721672</v>
      </c>
      <c r="CC60" s="36">
        <f t="shared" ca="1" si="134"/>
        <v>54.224869365597449</v>
      </c>
      <c r="CD60" s="36">
        <f t="shared" ca="1" si="134"/>
        <v>53.25990693787999</v>
      </c>
      <c r="CE60" s="36">
        <f t="shared" ca="1" si="134"/>
        <v>53.187383132404229</v>
      </c>
      <c r="CF60" s="36">
        <f t="shared" ca="1" si="134"/>
        <v>52.401939451767326</v>
      </c>
      <c r="CG60" s="36">
        <f t="shared" ca="1" si="134"/>
        <v>53.071230134281471</v>
      </c>
      <c r="CH60" s="36">
        <f t="shared" ca="1" si="134"/>
        <v>53.306249675066866</v>
      </c>
      <c r="CI60" s="36">
        <f t="shared" ca="1" si="134"/>
        <v>53.385433476032247</v>
      </c>
      <c r="CJ60" s="36">
        <f t="shared" ca="1" si="134"/>
        <v>54.495949152747713</v>
      </c>
      <c r="CK60" s="36">
        <f t="shared" ca="1" si="134"/>
        <v>55.225087354873132</v>
      </c>
      <c r="CL60" s="36">
        <f t="shared" ca="1" si="134"/>
        <v>55.285886641052542</v>
      </c>
      <c r="CM60" s="36">
        <f t="shared" ca="1" si="134"/>
        <v>55.583655275214703</v>
      </c>
      <c r="CN60" s="36">
        <f t="shared" ca="1" si="134"/>
        <v>54.960241592918699</v>
      </c>
      <c r="CO60" s="36">
        <f t="shared" ca="1" si="134"/>
        <v>56.907416509254375</v>
      </c>
      <c r="CP60" s="36">
        <f t="shared" ca="1" si="134"/>
        <v>56.851776251097888</v>
      </c>
      <c r="CQ60" s="36">
        <f t="shared" ca="1" si="134"/>
        <v>56.459183120593686</v>
      </c>
      <c r="CR60" s="36">
        <f t="shared" ca="1" si="134"/>
        <v>56.637337636633049</v>
      </c>
      <c r="CS60" s="36">
        <f t="shared" ca="1" si="134"/>
        <v>57.299608042216192</v>
      </c>
      <c r="CT60" s="36">
        <f t="shared" ca="1" si="134"/>
        <v>57.086172029768122</v>
      </c>
      <c r="CU60" s="36">
        <f t="shared" ca="1" si="134"/>
        <v>56.177845201085368</v>
      </c>
      <c r="CV60" s="36">
        <f t="shared" ca="1" si="134"/>
        <v>54.857715802952626</v>
      </c>
      <c r="CW60" s="36">
        <f t="shared" ca="1" si="134"/>
        <v>54.832733899728886</v>
      </c>
      <c r="CX60" s="36">
        <f t="shared" ca="1" si="134"/>
        <v>55.006110926130432</v>
      </c>
      <c r="CY60" s="36">
        <f t="shared" ca="1" si="134"/>
        <v>54.717390062052651</v>
      </c>
      <c r="CZ60" s="36">
        <f t="shared" ca="1" si="134"/>
        <v>55.118985951688089</v>
      </c>
      <c r="DA60" s="36">
        <f t="shared" ca="1" si="134"/>
        <v>55.154243636486093</v>
      </c>
      <c r="DB60" s="36">
        <f t="shared" ca="1" si="134"/>
        <v>55.458725122695974</v>
      </c>
      <c r="DC60" s="36">
        <f t="shared" ca="1" si="134"/>
        <v>55.140642169243733</v>
      </c>
      <c r="DD60" s="36">
        <f t="shared" ca="1" si="134"/>
        <v>55.387900989795291</v>
      </c>
      <c r="DE60" s="36">
        <f t="shared" ca="1" si="134"/>
        <v>54.481351624542498</v>
      </c>
      <c r="DF60" s="36">
        <f t="shared" ca="1" si="134"/>
        <v>54.729495282243001</v>
      </c>
      <c r="DG60" s="36">
        <f t="shared" ca="1" si="134"/>
        <v>54.501083768089508</v>
      </c>
      <c r="DH60" s="36">
        <f t="shared" ca="1" si="134"/>
        <v>54.061218851655333</v>
      </c>
      <c r="DI60" s="36">
        <f t="shared" ca="1" si="134"/>
        <v>54.111070791960593</v>
      </c>
      <c r="DJ60" s="36">
        <f t="shared" ca="1" si="134"/>
        <v>53.667504728301083</v>
      </c>
      <c r="DK60" s="36">
        <f t="shared" ca="1" si="134"/>
        <v>54.84180251605693</v>
      </c>
      <c r="DL60" s="36">
        <f t="shared" ca="1" si="134"/>
        <v>54.258497085573147</v>
      </c>
      <c r="DM60" s="36">
        <f t="shared" ca="1" si="134"/>
        <v>54.882260188959442</v>
      </c>
      <c r="DN60" s="36">
        <f t="shared" ca="1" si="134"/>
        <v>54.516416988066361</v>
      </c>
      <c r="DO60" s="36">
        <f t="shared" ca="1" si="134"/>
        <v>53.820453158849752</v>
      </c>
      <c r="DP60" s="36">
        <f t="shared" ca="1" si="134"/>
        <v>53.962141613470266</v>
      </c>
      <c r="DQ60" s="36">
        <f t="shared" ca="1" si="134"/>
        <v>54.444277178541256</v>
      </c>
      <c r="DR60" s="36">
        <f t="shared" ca="1" si="134"/>
        <v>53.87348989721837</v>
      </c>
      <c r="DS60" s="36">
        <f t="shared" ca="1" si="134"/>
        <v>54.110792345808342</v>
      </c>
      <c r="DT60" s="36">
        <f t="shared" ca="1" si="134"/>
        <v>54.301603579830285</v>
      </c>
      <c r="DU60" s="36">
        <f t="shared" ca="1" si="134"/>
        <v>52.682770175040794</v>
      </c>
      <c r="DV60" s="36">
        <f t="shared" ca="1" si="134"/>
        <v>52.722023992611398</v>
      </c>
      <c r="DW60" s="36">
        <f t="shared" ca="1" si="134"/>
        <v>52.96015632305361</v>
      </c>
      <c r="DX60" s="36">
        <f t="shared" ca="1" si="134"/>
        <v>52.717819454768225</v>
      </c>
      <c r="DY60" s="36">
        <f t="shared" ca="1" si="134"/>
        <v>52.901877676029585</v>
      </c>
      <c r="DZ60" s="36">
        <f t="shared" ca="1" si="134"/>
        <v>51.688187940742303</v>
      </c>
      <c r="EA60" s="36">
        <f t="shared" ca="1" si="134"/>
        <v>50.472025935693068</v>
      </c>
      <c r="EB60" s="36">
        <f t="shared" ca="1" si="134"/>
        <v>50.095517975915421</v>
      </c>
      <c r="EC60" s="36">
        <f t="shared" ca="1" si="139"/>
        <v>50.102278734064825</v>
      </c>
      <c r="ED60" s="36">
        <f t="shared" ca="1" si="139"/>
        <v>48.883100337559981</v>
      </c>
      <c r="EE60" s="36">
        <f t="shared" ca="1" si="139"/>
        <v>48.409901296419832</v>
      </c>
      <c r="EF60" s="36">
        <f t="shared" ca="1" si="139"/>
        <v>48.392095180630953</v>
      </c>
      <c r="EG60" s="36">
        <f t="shared" ca="1" si="139"/>
        <v>47.699302858956457</v>
      </c>
      <c r="EH60" s="36">
        <f t="shared" ca="1" si="139"/>
        <v>48.383078393498586</v>
      </c>
      <c r="EI60" s="36">
        <f t="shared" ca="1" si="139"/>
        <v>48.709506043427822</v>
      </c>
      <c r="EJ60" s="36">
        <f t="shared" ca="1" si="139"/>
        <v>48.654887232786443</v>
      </c>
      <c r="EK60" s="36">
        <f t="shared" ca="1" si="139"/>
        <v>49.430729526651689</v>
      </c>
      <c r="EL60" s="36">
        <f t="shared" ca="1" si="139"/>
        <v>50.146820543934247</v>
      </c>
      <c r="EM60" s="36">
        <f t="shared" ca="1" si="139"/>
        <v>50.535882328294669</v>
      </c>
      <c r="EN60" s="36">
        <f t="shared" ca="1" si="139"/>
        <v>50.685839016247193</v>
      </c>
      <c r="EO60" s="36">
        <f t="shared" ca="1" si="139"/>
        <v>50.809565923607011</v>
      </c>
      <c r="EP60" s="36">
        <f t="shared" ca="1" si="139"/>
        <v>50.173526181072198</v>
      </c>
      <c r="EQ60" s="36">
        <f t="shared" ca="1" si="139"/>
        <v>51.088755530234209</v>
      </c>
      <c r="ER60" s="36">
        <f t="shared" ca="1" si="139"/>
        <v>50.813729890437962</v>
      </c>
      <c r="ES60" s="36">
        <f t="shared" ca="1" si="139"/>
        <v>49.281149748856301</v>
      </c>
      <c r="ET60" s="36">
        <f t="shared" ca="1" si="139"/>
        <v>48.617083913248329</v>
      </c>
      <c r="EU60" s="36">
        <f t="shared" ca="1" si="139"/>
        <v>49.020145907926512</v>
      </c>
      <c r="EV60" s="36">
        <f t="shared" ca="1" si="139"/>
        <v>48.609747987491474</v>
      </c>
      <c r="EW60" s="36">
        <f t="shared" ref="EW60" ca="1" si="144">EV60*EXP(($B$3-$B$4^2/2)*1+$B$4*_xlfn.NORM.S.INV(RAND()))</f>
        <v>48.168761236749361</v>
      </c>
      <c r="EX60" s="36">
        <f t="shared" ca="1" si="140"/>
        <v>47.798873666754545</v>
      </c>
      <c r="EY60" s="36">
        <f t="shared" ca="1" si="140"/>
        <v>47.918905410155716</v>
      </c>
      <c r="EZ60" s="36">
        <f t="shared" ca="1" si="140"/>
        <v>48.09737409642235</v>
      </c>
      <c r="FA60" s="36">
        <f t="shared" ca="1" si="140"/>
        <v>48.471779104761559</v>
      </c>
      <c r="FB60" s="36">
        <f t="shared" ca="1" si="140"/>
        <v>48.428470203928335</v>
      </c>
      <c r="FC60" s="36">
        <f t="shared" ca="1" si="140"/>
        <v>48.96076811075492</v>
      </c>
      <c r="FD60" s="36">
        <f t="shared" ca="1" si="140"/>
        <v>49.081265380412162</v>
      </c>
      <c r="FE60" s="36">
        <f t="shared" ca="1" si="140"/>
        <v>49.956952789521637</v>
      </c>
      <c r="FF60" s="36">
        <f t="shared" ca="1" si="140"/>
        <v>51.095538453086682</v>
      </c>
      <c r="FG60" s="36">
        <f t="shared" ca="1" si="140"/>
        <v>51.707074030310139</v>
      </c>
      <c r="FH60" s="36">
        <f t="shared" ca="1" si="140"/>
        <v>51.414878540685748</v>
      </c>
      <c r="FI60" s="36">
        <f t="shared" ca="1" si="140"/>
        <v>52.688255103167606</v>
      </c>
      <c r="FJ60" s="36">
        <f t="shared" ca="1" si="140"/>
        <v>52.625155118198016</v>
      </c>
      <c r="FK60" s="36">
        <f t="shared" ca="1" si="140"/>
        <v>52.720784705561265</v>
      </c>
      <c r="FL60" s="36">
        <f t="shared" ca="1" si="140"/>
        <v>52.317852705558707</v>
      </c>
      <c r="FM60" s="36">
        <f t="shared" ca="1" si="140"/>
        <v>52.613460763318159</v>
      </c>
      <c r="FN60" s="36">
        <f t="shared" ca="1" si="140"/>
        <v>52.007290146452512</v>
      </c>
      <c r="FO60" s="36">
        <f t="shared" ca="1" si="140"/>
        <v>52.442593973129931</v>
      </c>
      <c r="FP60" s="36">
        <f t="shared" ca="1" si="140"/>
        <v>53.473164088786994</v>
      </c>
      <c r="FQ60" s="36">
        <f t="shared" ca="1" si="140"/>
        <v>53.562482004062048</v>
      </c>
      <c r="FR60" s="36">
        <f t="shared" ca="1" si="140"/>
        <v>52.796518783774829</v>
      </c>
      <c r="FS60" s="36">
        <f t="shared" ca="1" si="140"/>
        <v>52.800885830125175</v>
      </c>
      <c r="FT60" s="36">
        <f t="shared" ca="1" si="140"/>
        <v>51.950788859783344</v>
      </c>
      <c r="FU60" s="36">
        <f t="shared" ca="1" si="140"/>
        <v>51.611600350706027</v>
      </c>
      <c r="FV60" s="36">
        <f t="shared" ca="1" si="140"/>
        <v>52.330834469927666</v>
      </c>
      <c r="FW60" s="36">
        <f t="shared" ca="1" si="140"/>
        <v>51.828860919775515</v>
      </c>
      <c r="FX60" s="36">
        <f t="shared" ca="1" si="140"/>
        <v>51.495013161576935</v>
      </c>
      <c r="FY60" s="36">
        <f t="shared" ca="1" si="140"/>
        <v>51.445136171629109</v>
      </c>
      <c r="FZ60" s="36">
        <f t="shared" ca="1" si="140"/>
        <v>52.001146676327274</v>
      </c>
      <c r="GA60" s="36">
        <f t="shared" ca="1" si="140"/>
        <v>53.763208339402297</v>
      </c>
      <c r="GB60" s="36">
        <f t="shared" ca="1" si="140"/>
        <v>54.323824543037496</v>
      </c>
      <c r="GC60" s="36">
        <f t="shared" ca="1" si="140"/>
        <v>54.421199369524487</v>
      </c>
      <c r="GD60" s="36">
        <f t="shared" ca="1" si="140"/>
        <v>52.704007409005285</v>
      </c>
      <c r="GE60" s="36">
        <f t="shared" ca="1" si="140"/>
        <v>52.250997567275689</v>
      </c>
      <c r="GF60" s="36">
        <f t="shared" ca="1" si="140"/>
        <v>52.125685160970455</v>
      </c>
      <c r="GG60" s="36">
        <f t="shared" ca="1" si="140"/>
        <v>52.4453600086851</v>
      </c>
      <c r="GH60" s="36">
        <f t="shared" ca="1" si="140"/>
        <v>51.516394551706554</v>
      </c>
      <c r="GI60" s="36">
        <f t="shared" ca="1" si="140"/>
        <v>51.124209401587471</v>
      </c>
      <c r="GJ60" s="36">
        <f t="shared" ca="1" si="140"/>
        <v>51.584722895000425</v>
      </c>
      <c r="GK60" s="36">
        <f t="shared" ca="1" si="140"/>
        <v>51.300534111349087</v>
      </c>
      <c r="GL60" s="36">
        <f t="shared" ca="1" si="140"/>
        <v>52.207456883573677</v>
      </c>
      <c r="GM60" s="36">
        <f t="shared" ca="1" si="140"/>
        <v>52.34149518007419</v>
      </c>
      <c r="GN60" s="36">
        <f t="shared" ca="1" si="140"/>
        <v>53.12590010299084</v>
      </c>
      <c r="GO60" s="36">
        <f t="shared" ca="1" si="140"/>
        <v>53.403278678167041</v>
      </c>
      <c r="GP60" s="36">
        <f t="shared" ca="1" si="140"/>
        <v>54.34460774824214</v>
      </c>
      <c r="GQ60" s="36">
        <f t="shared" ca="1" si="140"/>
        <v>53.692912793255829</v>
      </c>
      <c r="GR60" s="36">
        <f t="shared" ca="1" si="140"/>
        <v>53.820429100604699</v>
      </c>
      <c r="GS60" s="36">
        <f t="shared" ca="1" si="140"/>
        <v>52.902604115412977</v>
      </c>
      <c r="GT60" s="36">
        <f t="shared" ca="1" si="140"/>
        <v>53.443790441235635</v>
      </c>
      <c r="GU60" s="36">
        <f t="shared" ca="1" si="140"/>
        <v>52.051911348973903</v>
      </c>
      <c r="GV60" s="36">
        <f t="shared" ca="1" si="140"/>
        <v>51.908825465026389</v>
      </c>
      <c r="GW60" s="36">
        <f t="shared" ca="1" si="140"/>
        <v>52.665790113203123</v>
      </c>
      <c r="GX60" s="36">
        <f t="shared" ca="1" si="140"/>
        <v>52.506990002714559</v>
      </c>
      <c r="GY60" s="36">
        <f t="shared" ca="1" si="140"/>
        <v>52.368987295922381</v>
      </c>
      <c r="GZ60" s="36">
        <f t="shared" ca="1" si="140"/>
        <v>52.658989687658213</v>
      </c>
      <c r="HA60" s="36">
        <f t="shared" ca="1" si="140"/>
        <v>52.039432249179669</v>
      </c>
      <c r="HB60" s="36">
        <f t="shared" ca="1" si="140"/>
        <v>52.517576783675104</v>
      </c>
      <c r="HC60" s="36">
        <f t="shared" ca="1" si="140"/>
        <v>52.738689096009502</v>
      </c>
      <c r="HD60" s="36">
        <f t="shared" ca="1" si="140"/>
        <v>53.669073791844973</v>
      </c>
      <c r="HE60" s="36">
        <f t="shared" ca="1" si="140"/>
        <v>54.475245202458389</v>
      </c>
      <c r="HF60" s="36">
        <f t="shared" ca="1" si="140"/>
        <v>54.230152380316383</v>
      </c>
      <c r="HG60" s="36">
        <f t="shared" ca="1" si="140"/>
        <v>53.438165794880256</v>
      </c>
      <c r="HH60" s="36">
        <f t="shared" ca="1" si="140"/>
        <v>52.671152596611719</v>
      </c>
      <c r="HI60" s="36">
        <f t="shared" ca="1" si="136"/>
        <v>52.808580828585661</v>
      </c>
      <c r="HJ60" s="36">
        <f t="shared" ca="1" si="136"/>
        <v>51.857632299653169</v>
      </c>
      <c r="HK60" s="36">
        <f t="shared" ca="1" si="136"/>
        <v>51.92139983543499</v>
      </c>
      <c r="HL60" s="36">
        <f t="shared" ref="HL60:HT60" ca="1" si="145">HK60*EXP(($B$3-$B$4^2/2)*1+$B$4*_xlfn.NORM.S.INV(RAND()))</f>
        <v>52.487391385666385</v>
      </c>
      <c r="HM60" s="36">
        <f t="shared" ca="1" si="145"/>
        <v>52.911911528537082</v>
      </c>
      <c r="HN60" s="36">
        <f t="shared" ca="1" si="145"/>
        <v>52.835610556076659</v>
      </c>
      <c r="HO60" s="36">
        <f t="shared" ca="1" si="145"/>
        <v>51.901590487545043</v>
      </c>
      <c r="HP60" s="36">
        <f t="shared" ca="1" si="145"/>
        <v>51.642047489824726</v>
      </c>
      <c r="HQ60" s="36">
        <f t="shared" ca="1" si="145"/>
        <v>51.032870922949208</v>
      </c>
      <c r="HR60" s="36">
        <f t="shared" ca="1" si="145"/>
        <v>50.279615000233726</v>
      </c>
      <c r="HS60" s="36">
        <f t="shared" ca="1" si="145"/>
        <v>49.527936547639506</v>
      </c>
      <c r="HT60" s="36">
        <f t="shared" ca="1" si="145"/>
        <v>49.311817106967659</v>
      </c>
      <c r="HU60" s="36">
        <f t="shared" ca="1" si="128"/>
        <v>49.95545953921102</v>
      </c>
      <c r="HV60" s="36">
        <f t="shared" ca="1" si="128"/>
        <v>50.821461833462465</v>
      </c>
      <c r="HW60" s="36">
        <f t="shared" ca="1" si="128"/>
        <v>51.805853941147625</v>
      </c>
      <c r="HX60" s="36">
        <f t="shared" ca="1" si="128"/>
        <v>51.920292147635955</v>
      </c>
      <c r="HY60" s="36">
        <f t="shared" ca="1" si="129"/>
        <v>53.655166764312206</v>
      </c>
      <c r="HZ60" s="36">
        <f t="shared" ca="1" si="129"/>
        <v>55.019182753980417</v>
      </c>
      <c r="IA60" s="36">
        <f t="shared" ca="1" si="129"/>
        <v>56.015566881901293</v>
      </c>
      <c r="IB60" s="36">
        <f t="shared" ca="1" si="129"/>
        <v>56.390005863633007</v>
      </c>
      <c r="IC60" s="36">
        <f t="shared" ca="1" si="129"/>
        <v>55.906471500976664</v>
      </c>
      <c r="ID60" s="36">
        <f t="shared" ca="1" si="129"/>
        <v>55.846856717117802</v>
      </c>
      <c r="IE60" s="36">
        <f t="shared" ca="1" si="129"/>
        <v>55.265112764726908</v>
      </c>
      <c r="IF60" s="36">
        <f t="shared" ca="1" si="129"/>
        <v>55.106610114641356</v>
      </c>
      <c r="IG60" s="36">
        <f t="shared" ca="1" si="129"/>
        <v>54.707886604140008</v>
      </c>
      <c r="IH60" s="36">
        <f t="shared" ca="1" si="129"/>
        <v>53.527058840239214</v>
      </c>
      <c r="II60" s="36">
        <f t="shared" ca="1" si="129"/>
        <v>53.725939739103985</v>
      </c>
      <c r="IJ60" s="36">
        <f t="shared" ca="1" si="129"/>
        <v>54.102554514396651</v>
      </c>
      <c r="IK60" s="36">
        <f t="shared" ca="1" si="129"/>
        <v>54.029223201269353</v>
      </c>
      <c r="IL60" s="36">
        <f t="shared" ca="1" si="129"/>
        <v>55.186912492154228</v>
      </c>
      <c r="IM60" s="36">
        <f t="shared" ca="1" si="129"/>
        <v>55.42144461692429</v>
      </c>
      <c r="IN60" s="36">
        <f t="shared" ca="1" si="129"/>
        <v>56.28941963740035</v>
      </c>
      <c r="IO60" s="36">
        <f t="shared" ca="1" si="129"/>
        <v>56.201874631203374</v>
      </c>
      <c r="IP60" s="36">
        <f t="shared" ca="1" si="129"/>
        <v>57.351260833683469</v>
      </c>
      <c r="IQ60" s="36">
        <f t="shared" ca="1" si="129"/>
        <v>57.187300517683539</v>
      </c>
      <c r="IR60" s="36">
        <f t="shared" ca="1" si="129"/>
        <v>57.546327013737859</v>
      </c>
      <c r="IS60" s="36">
        <f t="shared" ca="1" si="129"/>
        <v>56.892328000355342</v>
      </c>
      <c r="IT60" s="36">
        <f t="shared" ca="1" si="129"/>
        <v>56.282443875181791</v>
      </c>
      <c r="IU60" s="36">
        <f t="shared" ca="1" si="129"/>
        <v>56.448861387737765</v>
      </c>
    </row>
    <row r="61" spans="1:255" x14ac:dyDescent="0.2">
      <c r="A61" s="36"/>
      <c r="B61">
        <v>51</v>
      </c>
      <c r="C61" s="36">
        <v>50</v>
      </c>
      <c r="D61" s="36">
        <f t="shared" ca="1" si="14"/>
        <v>50.168068891330279</v>
      </c>
      <c r="E61" s="36">
        <f t="shared" ca="1" si="14"/>
        <v>50.510474189098289</v>
      </c>
      <c r="F61" s="36">
        <f t="shared" ca="1" si="138"/>
        <v>50.002450257551835</v>
      </c>
      <c r="G61" s="36">
        <f t="shared" ca="1" si="138"/>
        <v>49.019888302083942</v>
      </c>
      <c r="H61" s="36">
        <f t="shared" ca="1" si="138"/>
        <v>49.221487027270221</v>
      </c>
      <c r="I61" s="36">
        <f t="shared" ca="1" si="138"/>
        <v>48.633989828943633</v>
      </c>
      <c r="J61" s="36">
        <f t="shared" ca="1" si="138"/>
        <v>48.465226496905309</v>
      </c>
      <c r="K61" s="36">
        <f t="shared" ca="1" si="138"/>
        <v>49.45874615833312</v>
      </c>
      <c r="L61" s="36">
        <f t="shared" ca="1" si="138"/>
        <v>49.538496341975943</v>
      </c>
      <c r="M61" s="36">
        <f t="shared" ca="1" si="138"/>
        <v>49.917859849161346</v>
      </c>
      <c r="N61" s="36">
        <f t="shared" ca="1" si="138"/>
        <v>49.906504556759515</v>
      </c>
      <c r="O61" s="36">
        <f t="shared" ca="1" si="138"/>
        <v>50.148527671883812</v>
      </c>
      <c r="P61" s="36">
        <f t="shared" ca="1" si="138"/>
        <v>50.071736584566352</v>
      </c>
      <c r="Q61" s="36">
        <f t="shared" ca="1" si="138"/>
        <v>50.924610935122601</v>
      </c>
      <c r="R61" s="36">
        <f t="shared" ca="1" si="138"/>
        <v>50.761240362399349</v>
      </c>
      <c r="S61" s="36">
        <f t="shared" ca="1" si="138"/>
        <v>50.585891007966865</v>
      </c>
      <c r="T61" s="36">
        <f t="shared" ca="1" si="138"/>
        <v>50.240619984223628</v>
      </c>
      <c r="U61" s="36">
        <f t="shared" ca="1" si="138"/>
        <v>51.102364387569011</v>
      </c>
      <c r="V61" s="36">
        <f t="shared" ca="1" si="138"/>
        <v>51.243328044945009</v>
      </c>
      <c r="W61" s="36">
        <f t="shared" ca="1" si="138"/>
        <v>51.098197345869472</v>
      </c>
      <c r="X61" s="36">
        <f t="shared" ca="1" si="138"/>
        <v>50.335624661247628</v>
      </c>
      <c r="Y61" s="36">
        <f t="shared" ca="1" si="138"/>
        <v>49.99190807053845</v>
      </c>
      <c r="Z61" s="36">
        <f t="shared" ca="1" si="138"/>
        <v>50.496893313315354</v>
      </c>
      <c r="AA61" s="36">
        <f t="shared" ca="1" si="138"/>
        <v>51.666127014050033</v>
      </c>
      <c r="AB61" s="36">
        <f t="shared" ca="1" si="138"/>
        <v>50.844534029575222</v>
      </c>
      <c r="AC61" s="36">
        <f t="shared" ca="1" si="138"/>
        <v>50.691482634722881</v>
      </c>
      <c r="AD61" s="36">
        <f t="shared" ca="1" si="138"/>
        <v>51.260027143717942</v>
      </c>
      <c r="AE61" s="36">
        <f t="shared" ca="1" si="138"/>
        <v>50.71167805790769</v>
      </c>
      <c r="AF61" s="36">
        <f t="shared" ca="1" si="138"/>
        <v>50.190965463562236</v>
      </c>
      <c r="AG61" s="36">
        <f t="shared" ca="1" si="138"/>
        <v>50.17783922148319</v>
      </c>
      <c r="AH61" s="36">
        <f t="shared" ca="1" si="138"/>
        <v>51.831942825910048</v>
      </c>
      <c r="AI61" s="36">
        <f t="shared" ca="1" si="138"/>
        <v>50.746847250378011</v>
      </c>
      <c r="AJ61" s="36">
        <f t="shared" ca="1" si="138"/>
        <v>51.273828820632062</v>
      </c>
      <c r="AK61" s="36">
        <f t="shared" ca="1" si="138"/>
        <v>52.363638618957161</v>
      </c>
      <c r="AL61" s="36">
        <f t="shared" ca="1" si="138"/>
        <v>51.853808331259337</v>
      </c>
      <c r="AM61" s="36">
        <f t="shared" ca="1" si="138"/>
        <v>51.927217254760201</v>
      </c>
      <c r="AN61" s="36">
        <f t="shared" ca="1" si="138"/>
        <v>50.846442952224706</v>
      </c>
      <c r="AO61" s="36">
        <f t="shared" ca="1" si="138"/>
        <v>51.161995262181982</v>
      </c>
      <c r="AP61" s="36">
        <f t="shared" ca="1" si="138"/>
        <v>51.036205843205956</v>
      </c>
      <c r="AQ61" s="36">
        <f t="shared" ca="1" si="138"/>
        <v>51.450201889747561</v>
      </c>
      <c r="AR61" s="36">
        <f t="shared" ca="1" si="138"/>
        <v>50.503705894978516</v>
      </c>
      <c r="AS61" s="36">
        <f t="shared" ca="1" si="138"/>
        <v>50.867319497862404</v>
      </c>
      <c r="AT61" s="36">
        <f t="shared" ca="1" si="138"/>
        <v>50.963732946597254</v>
      </c>
      <c r="AU61" s="36">
        <f t="shared" ca="1" si="138"/>
        <v>50.786927687300462</v>
      </c>
      <c r="AV61" s="36">
        <f t="shared" ca="1" si="138"/>
        <v>49.104614868683768</v>
      </c>
      <c r="AW61" s="36">
        <f t="shared" ca="1" si="138"/>
        <v>49.360268715211255</v>
      </c>
      <c r="AX61" s="36">
        <f t="shared" ca="1" si="138"/>
        <v>48.896868716357467</v>
      </c>
      <c r="AY61" s="36">
        <f t="shared" ca="1" si="138"/>
        <v>49.51670569687024</v>
      </c>
      <c r="AZ61" s="36">
        <f t="shared" ca="1" si="138"/>
        <v>50.263354418875714</v>
      </c>
      <c r="BA61" s="36">
        <f t="shared" ca="1" si="138"/>
        <v>51.001235195859394</v>
      </c>
      <c r="BB61" s="36">
        <f t="shared" ca="1" si="138"/>
        <v>51.838295454543939</v>
      </c>
      <c r="BC61" s="36">
        <f t="shared" ca="1" si="138"/>
        <v>53.05827749779791</v>
      </c>
      <c r="BD61" s="36">
        <f t="shared" ca="1" si="138"/>
        <v>53.66780763030701</v>
      </c>
      <c r="BE61" s="36">
        <f t="shared" ca="1" si="138"/>
        <v>53.369284918726962</v>
      </c>
      <c r="BF61" s="36">
        <f t="shared" ca="1" si="138"/>
        <v>53.578233353493957</v>
      </c>
      <c r="BG61" s="36">
        <f t="shared" ca="1" si="138"/>
        <v>53.326539172747871</v>
      </c>
      <c r="BH61" s="36">
        <f t="shared" ca="1" si="138"/>
        <v>53.835305519911302</v>
      </c>
      <c r="BI61" s="36">
        <f t="shared" ca="1" si="138"/>
        <v>53.805522298440678</v>
      </c>
      <c r="BJ61" s="36">
        <f t="shared" ca="1" si="138"/>
        <v>53.89974750626962</v>
      </c>
      <c r="BK61" s="36">
        <f t="shared" ca="1" si="138"/>
        <v>53.487071969834069</v>
      </c>
      <c r="BL61" s="36">
        <f t="shared" ca="1" si="138"/>
        <v>52.852966105108294</v>
      </c>
      <c r="BM61" s="36">
        <f t="shared" ca="1" si="138"/>
        <v>53.03815211868001</v>
      </c>
      <c r="BN61" s="36">
        <f t="shared" ca="1" si="138"/>
        <v>52.998825375628002</v>
      </c>
      <c r="BO61" s="36">
        <f t="shared" ca="1" si="138"/>
        <v>54.202611618136778</v>
      </c>
      <c r="BP61" s="36">
        <f t="shared" ca="1" si="138"/>
        <v>53.776389927025704</v>
      </c>
      <c r="BQ61" s="36">
        <f t="shared" ref="BQ61:EB64" ca="1" si="146">BP61*EXP(($B$3-$B$4^2/2)*1+$B$4*_xlfn.NORM.S.INV(RAND()))</f>
        <v>53.934487767486303</v>
      </c>
      <c r="BR61" s="36">
        <f t="shared" ca="1" si="146"/>
        <v>54.164291043238059</v>
      </c>
      <c r="BS61" s="36">
        <f t="shared" ca="1" si="146"/>
        <v>54.212224716247214</v>
      </c>
      <c r="BT61" s="36">
        <f t="shared" ca="1" si="146"/>
        <v>54.623662786366801</v>
      </c>
      <c r="BU61" s="36">
        <f t="shared" ca="1" si="146"/>
        <v>55.048995250039489</v>
      </c>
      <c r="BV61" s="36">
        <f t="shared" ca="1" si="146"/>
        <v>54.662498851766863</v>
      </c>
      <c r="BW61" s="36">
        <f t="shared" ca="1" si="146"/>
        <v>53.603832881361406</v>
      </c>
      <c r="BX61" s="36">
        <f t="shared" ca="1" si="146"/>
        <v>52.92906241007281</v>
      </c>
      <c r="BY61" s="36">
        <f t="shared" ca="1" si="146"/>
        <v>52.147602594767712</v>
      </c>
      <c r="BZ61" s="36">
        <f t="shared" ca="1" si="146"/>
        <v>52.421896481780607</v>
      </c>
      <c r="CA61" s="36">
        <f t="shared" ca="1" si="146"/>
        <v>52.216904994448655</v>
      </c>
      <c r="CB61" s="36">
        <f t="shared" ca="1" si="146"/>
        <v>52.637165151155706</v>
      </c>
      <c r="CC61" s="36">
        <f t="shared" ca="1" si="146"/>
        <v>52.915348331766438</v>
      </c>
      <c r="CD61" s="36">
        <f t="shared" ca="1" si="146"/>
        <v>52.597906430015762</v>
      </c>
      <c r="CE61" s="36">
        <f t="shared" ca="1" si="146"/>
        <v>52.946065545277598</v>
      </c>
      <c r="CF61" s="36">
        <f t="shared" ca="1" si="146"/>
        <v>52.981520842923558</v>
      </c>
      <c r="CG61" s="36">
        <f t="shared" ca="1" si="146"/>
        <v>53.704366781463051</v>
      </c>
      <c r="CH61" s="36">
        <f t="shared" ca="1" si="146"/>
        <v>53.471337763844822</v>
      </c>
      <c r="CI61" s="36">
        <f t="shared" ca="1" si="146"/>
        <v>52.76648382612607</v>
      </c>
      <c r="CJ61" s="36">
        <f t="shared" ca="1" si="146"/>
        <v>52.456630485905535</v>
      </c>
      <c r="CK61" s="36">
        <f t="shared" ca="1" si="146"/>
        <v>52.18108394478898</v>
      </c>
      <c r="CL61" s="36">
        <f t="shared" ca="1" si="146"/>
        <v>53.54839350003742</v>
      </c>
      <c r="CM61" s="36">
        <f t="shared" ca="1" si="146"/>
        <v>53.75927246773626</v>
      </c>
      <c r="CN61" s="36">
        <f t="shared" ca="1" si="146"/>
        <v>52.672610609357896</v>
      </c>
      <c r="CO61" s="36">
        <f t="shared" ca="1" si="146"/>
        <v>52.748932129079272</v>
      </c>
      <c r="CP61" s="36">
        <f t="shared" ca="1" si="146"/>
        <v>53.04304885848186</v>
      </c>
      <c r="CQ61" s="36">
        <f t="shared" ca="1" si="146"/>
        <v>52.065386346543754</v>
      </c>
      <c r="CR61" s="36">
        <f t="shared" ca="1" si="146"/>
        <v>52.325287801074424</v>
      </c>
      <c r="CS61" s="36">
        <f t="shared" ca="1" si="146"/>
        <v>52.396612532611336</v>
      </c>
      <c r="CT61" s="36">
        <f t="shared" ca="1" si="146"/>
        <v>52.024133289663801</v>
      </c>
      <c r="CU61" s="36">
        <f t="shared" ca="1" si="146"/>
        <v>51.989951137979041</v>
      </c>
      <c r="CV61" s="36">
        <f t="shared" ca="1" si="146"/>
        <v>50.49843916492047</v>
      </c>
      <c r="CW61" s="36">
        <f t="shared" ca="1" si="146"/>
        <v>51.696567947708495</v>
      </c>
      <c r="CX61" s="36">
        <f t="shared" ca="1" si="146"/>
        <v>51.283041678017689</v>
      </c>
      <c r="CY61" s="36">
        <f t="shared" ca="1" si="146"/>
        <v>50.596570901317826</v>
      </c>
      <c r="CZ61" s="36">
        <f t="shared" ca="1" si="146"/>
        <v>51.538001407367283</v>
      </c>
      <c r="DA61" s="36">
        <f t="shared" ca="1" si="146"/>
        <v>51.218603315104119</v>
      </c>
      <c r="DB61" s="36">
        <f t="shared" ca="1" si="146"/>
        <v>50.818123265325788</v>
      </c>
      <c r="DC61" s="36">
        <f t="shared" ca="1" si="146"/>
        <v>51.949539255797561</v>
      </c>
      <c r="DD61" s="36">
        <f t="shared" ca="1" si="146"/>
        <v>52.992389283041717</v>
      </c>
      <c r="DE61" s="36">
        <f t="shared" ca="1" si="146"/>
        <v>54.134617503581843</v>
      </c>
      <c r="DF61" s="36">
        <f t="shared" ca="1" si="146"/>
        <v>54.822712045792763</v>
      </c>
      <c r="DG61" s="36">
        <f t="shared" ca="1" si="146"/>
        <v>54.139107298114432</v>
      </c>
      <c r="DH61" s="36">
        <f t="shared" ca="1" si="146"/>
        <v>52.978025609222627</v>
      </c>
      <c r="DI61" s="36">
        <f t="shared" ca="1" si="146"/>
        <v>50.939940378263898</v>
      </c>
      <c r="DJ61" s="36">
        <f t="shared" ca="1" si="146"/>
        <v>50.807381352977607</v>
      </c>
      <c r="DK61" s="36">
        <f t="shared" ca="1" si="146"/>
        <v>51.199285856644565</v>
      </c>
      <c r="DL61" s="36">
        <f t="shared" ca="1" si="146"/>
        <v>51.542386940016733</v>
      </c>
      <c r="DM61" s="36">
        <f t="shared" ca="1" si="146"/>
        <v>49.503933718463507</v>
      </c>
      <c r="DN61" s="36">
        <f t="shared" ca="1" si="146"/>
        <v>50.216996263024868</v>
      </c>
      <c r="DO61" s="36">
        <f t="shared" ca="1" si="146"/>
        <v>50.548680881651883</v>
      </c>
      <c r="DP61" s="36">
        <f t="shared" ca="1" si="146"/>
        <v>51.130075994092721</v>
      </c>
      <c r="DQ61" s="36">
        <f t="shared" ca="1" si="146"/>
        <v>50.86534779409125</v>
      </c>
      <c r="DR61" s="36">
        <f t="shared" ca="1" si="146"/>
        <v>50.689692250016861</v>
      </c>
      <c r="DS61" s="36">
        <f t="shared" ca="1" si="146"/>
        <v>50.219656953205053</v>
      </c>
      <c r="DT61" s="36">
        <f t="shared" ca="1" si="146"/>
        <v>49.86307004097953</v>
      </c>
      <c r="DU61" s="36">
        <f t="shared" ca="1" si="146"/>
        <v>50.693163530952987</v>
      </c>
      <c r="DV61" s="36">
        <f t="shared" ca="1" si="146"/>
        <v>51.432858370446887</v>
      </c>
      <c r="DW61" s="36">
        <f t="shared" ca="1" si="146"/>
        <v>51.257949172272397</v>
      </c>
      <c r="DX61" s="36">
        <f t="shared" ca="1" si="146"/>
        <v>51.04737562157694</v>
      </c>
      <c r="DY61" s="36">
        <f t="shared" ca="1" si="146"/>
        <v>51.55239472428007</v>
      </c>
      <c r="DZ61" s="36">
        <f t="shared" ca="1" si="146"/>
        <v>51.709213574218751</v>
      </c>
      <c r="EA61" s="36">
        <f t="shared" ca="1" si="146"/>
        <v>50.262790677434467</v>
      </c>
      <c r="EB61" s="36">
        <f t="shared" ca="1" si="146"/>
        <v>49.406002316714478</v>
      </c>
      <c r="EC61" s="36">
        <f t="shared" ca="1" si="139"/>
        <v>51.055871139557517</v>
      </c>
      <c r="ED61" s="36">
        <f t="shared" ca="1" si="139"/>
        <v>51.375987077458575</v>
      </c>
      <c r="EE61" s="36">
        <f t="shared" ca="1" si="139"/>
        <v>51.259397178810801</v>
      </c>
      <c r="EF61" s="36">
        <f t="shared" ca="1" si="139"/>
        <v>52.480891274915066</v>
      </c>
      <c r="EG61" s="36">
        <f t="shared" ca="1" si="139"/>
        <v>52.535255117119263</v>
      </c>
      <c r="EH61" s="36">
        <f t="shared" ca="1" si="139"/>
        <v>51.660369718028811</v>
      </c>
      <c r="EI61" s="36">
        <f t="shared" ca="1" si="139"/>
        <v>51.275205977384189</v>
      </c>
      <c r="EJ61" s="36">
        <f t="shared" ca="1" si="139"/>
        <v>51.788272107322889</v>
      </c>
      <c r="EK61" s="36">
        <f t="shared" ca="1" si="139"/>
        <v>52.281794382400555</v>
      </c>
      <c r="EL61" s="36">
        <f t="shared" ca="1" si="139"/>
        <v>52.753470108406482</v>
      </c>
      <c r="EM61" s="36">
        <f t="shared" ca="1" si="139"/>
        <v>52.933354314284401</v>
      </c>
      <c r="EN61" s="36">
        <f t="shared" ca="1" si="139"/>
        <v>53.589886540152605</v>
      </c>
      <c r="EO61" s="36">
        <f t="shared" ca="1" si="139"/>
        <v>54.546215395749577</v>
      </c>
      <c r="EP61" s="36">
        <f t="shared" ca="1" si="139"/>
        <v>55.411633609769396</v>
      </c>
      <c r="EQ61" s="36">
        <f t="shared" ca="1" si="139"/>
        <v>55.380272390561643</v>
      </c>
      <c r="ER61" s="36">
        <f t="shared" ca="1" si="139"/>
        <v>55.183218730439023</v>
      </c>
      <c r="ES61" s="36">
        <f t="shared" ca="1" si="139"/>
        <v>54.975801773059729</v>
      </c>
      <c r="ET61" s="36">
        <f t="shared" ca="1" si="139"/>
        <v>54.698209279002199</v>
      </c>
      <c r="EU61" s="36">
        <f t="shared" ca="1" si="139"/>
        <v>55.834663632176245</v>
      </c>
      <c r="EV61" s="36">
        <f t="shared" ca="1" si="139"/>
        <v>55.869716664133747</v>
      </c>
      <c r="EW61" s="36">
        <f t="shared" ref="EW61" ca="1" si="147">EV61*EXP(($B$3-$B$4^2/2)*1+$B$4*_xlfn.NORM.S.INV(RAND()))</f>
        <v>56.425212072043557</v>
      </c>
      <c r="EX61" s="36">
        <f t="shared" ca="1" si="140"/>
        <v>56.302597142428759</v>
      </c>
      <c r="EY61" s="36">
        <f t="shared" ca="1" si="140"/>
        <v>54.987034520888116</v>
      </c>
      <c r="EZ61" s="36">
        <f t="shared" ca="1" si="140"/>
        <v>55.611472865325837</v>
      </c>
      <c r="FA61" s="36">
        <f t="shared" ca="1" si="140"/>
        <v>56.729623419480191</v>
      </c>
      <c r="FB61" s="36">
        <f t="shared" ca="1" si="140"/>
        <v>55.919886348142157</v>
      </c>
      <c r="FC61" s="36">
        <f t="shared" ca="1" si="140"/>
        <v>55.351557858550457</v>
      </c>
      <c r="FD61" s="36">
        <f t="shared" ca="1" si="140"/>
        <v>55.129127465343977</v>
      </c>
      <c r="FE61" s="36">
        <f t="shared" ca="1" si="140"/>
        <v>53.78031935400562</v>
      </c>
      <c r="FF61" s="36">
        <f t="shared" ca="1" si="140"/>
        <v>53.737858655400473</v>
      </c>
      <c r="FG61" s="36">
        <f t="shared" ca="1" si="140"/>
        <v>53.517354047352541</v>
      </c>
      <c r="FH61" s="36">
        <f t="shared" ca="1" si="140"/>
        <v>54.66882822674097</v>
      </c>
      <c r="FI61" s="36">
        <f t="shared" ca="1" si="140"/>
        <v>53.910949665220066</v>
      </c>
      <c r="FJ61" s="36">
        <f t="shared" ca="1" si="140"/>
        <v>54.118451079464116</v>
      </c>
      <c r="FK61" s="36">
        <f t="shared" ca="1" si="140"/>
        <v>54.589947477631902</v>
      </c>
      <c r="FL61" s="36">
        <f t="shared" ca="1" si="140"/>
        <v>55.561179825385594</v>
      </c>
      <c r="FM61" s="36">
        <f t="shared" ca="1" si="140"/>
        <v>55.872794838943513</v>
      </c>
      <c r="FN61" s="36">
        <f t="shared" ca="1" si="140"/>
        <v>56.897761838361674</v>
      </c>
      <c r="FO61" s="36">
        <f t="shared" ca="1" si="140"/>
        <v>56.57498494347211</v>
      </c>
      <c r="FP61" s="36">
        <f t="shared" ca="1" si="140"/>
        <v>57.132813461861154</v>
      </c>
      <c r="FQ61" s="36">
        <f t="shared" ca="1" si="140"/>
        <v>57.417399106427233</v>
      </c>
      <c r="FR61" s="36">
        <f t="shared" ca="1" si="140"/>
        <v>58.338734250689853</v>
      </c>
      <c r="FS61" s="36">
        <f t="shared" ca="1" si="140"/>
        <v>58.699118119792821</v>
      </c>
      <c r="FT61" s="36">
        <f t="shared" ca="1" si="140"/>
        <v>58.780293588054839</v>
      </c>
      <c r="FU61" s="36">
        <f t="shared" ca="1" si="140"/>
        <v>57.93013083267828</v>
      </c>
      <c r="FV61" s="36">
        <f t="shared" ca="1" si="140"/>
        <v>57.656891837877062</v>
      </c>
      <c r="FW61" s="36">
        <f t="shared" ca="1" si="140"/>
        <v>57.141469667296064</v>
      </c>
      <c r="FX61" s="36">
        <f t="shared" ca="1" si="140"/>
        <v>56.63622729042973</v>
      </c>
      <c r="FY61" s="36">
        <f t="shared" ca="1" si="140"/>
        <v>57.274793530400324</v>
      </c>
      <c r="FZ61" s="36">
        <f t="shared" ca="1" si="140"/>
        <v>56.851196550797859</v>
      </c>
      <c r="GA61" s="36">
        <f t="shared" ca="1" si="140"/>
        <v>57.414398828577838</v>
      </c>
      <c r="GB61" s="36">
        <f t="shared" ca="1" si="140"/>
        <v>56.720619506191788</v>
      </c>
      <c r="GC61" s="36">
        <f t="shared" ca="1" si="140"/>
        <v>56.528972651915453</v>
      </c>
      <c r="GD61" s="36">
        <f t="shared" ca="1" si="140"/>
        <v>57.023683557537751</v>
      </c>
      <c r="GE61" s="36">
        <f t="shared" ca="1" si="140"/>
        <v>56.544972910234499</v>
      </c>
      <c r="GF61" s="36">
        <f t="shared" ca="1" si="140"/>
        <v>56.619567918945897</v>
      </c>
      <c r="GG61" s="36">
        <f t="shared" ca="1" si="140"/>
        <v>56.874597734930447</v>
      </c>
      <c r="GH61" s="36">
        <f t="shared" ca="1" si="140"/>
        <v>57.025350940721886</v>
      </c>
      <c r="GI61" s="36">
        <f t="shared" ca="1" si="140"/>
        <v>56.423603607083024</v>
      </c>
      <c r="GJ61" s="36">
        <f t="shared" ca="1" si="140"/>
        <v>55.803660929605336</v>
      </c>
      <c r="GK61" s="36">
        <f t="shared" ca="1" si="140"/>
        <v>55.952515115223356</v>
      </c>
      <c r="GL61" s="36">
        <f t="shared" ca="1" si="140"/>
        <v>56.918961795130357</v>
      </c>
      <c r="GM61" s="36">
        <f t="shared" ca="1" si="140"/>
        <v>56.862995470161543</v>
      </c>
      <c r="GN61" s="36">
        <f t="shared" ca="1" si="140"/>
        <v>57.356536965268702</v>
      </c>
      <c r="GO61" s="36">
        <f t="shared" ca="1" si="140"/>
        <v>57.085002626235323</v>
      </c>
      <c r="GP61" s="36">
        <f t="shared" ca="1" si="140"/>
        <v>57.259461333090471</v>
      </c>
      <c r="GQ61" s="36">
        <f t="shared" ca="1" si="140"/>
        <v>57.54387210002028</v>
      </c>
      <c r="GR61" s="36">
        <f t="shared" ca="1" si="140"/>
        <v>56.499369916504136</v>
      </c>
      <c r="GS61" s="36">
        <f t="shared" ca="1" si="140"/>
        <v>56.458294168083476</v>
      </c>
      <c r="GT61" s="36">
        <f t="shared" ca="1" si="140"/>
        <v>55.358812742379271</v>
      </c>
      <c r="GU61" s="36">
        <f t="shared" ca="1" si="140"/>
        <v>55.460300557283126</v>
      </c>
      <c r="GV61" s="36">
        <f t="shared" ca="1" si="140"/>
        <v>57.071910456151429</v>
      </c>
      <c r="GW61" s="36">
        <f t="shared" ca="1" si="140"/>
        <v>57.739092886477465</v>
      </c>
      <c r="GX61" s="36">
        <f t="shared" ca="1" si="140"/>
        <v>58.314583235280665</v>
      </c>
      <c r="GY61" s="36">
        <f t="shared" ca="1" si="140"/>
        <v>57.720489158356706</v>
      </c>
      <c r="GZ61" s="36">
        <f t="shared" ca="1" si="140"/>
        <v>58.371087105501886</v>
      </c>
      <c r="HA61" s="36">
        <f t="shared" ca="1" si="140"/>
        <v>59.335433604714886</v>
      </c>
      <c r="HB61" s="36">
        <f t="shared" ca="1" si="140"/>
        <v>58.655560516403632</v>
      </c>
      <c r="HC61" s="36">
        <f t="shared" ca="1" si="140"/>
        <v>58.793340086448488</v>
      </c>
      <c r="HD61" s="36">
        <f t="shared" ca="1" si="140"/>
        <v>58.736858355469778</v>
      </c>
      <c r="HE61" s="36">
        <f t="shared" ca="1" si="140"/>
        <v>58.139809013574187</v>
      </c>
      <c r="HF61" s="36">
        <f t="shared" ca="1" si="140"/>
        <v>58.084288455202994</v>
      </c>
      <c r="HG61" s="36">
        <f t="shared" ca="1" si="140"/>
        <v>57.753682686148082</v>
      </c>
      <c r="HH61" s="36">
        <f t="shared" ca="1" si="140"/>
        <v>57.611060065038288</v>
      </c>
      <c r="HI61" s="36">
        <f t="shared" ref="HI61:HT61" ca="1" si="148">HH61*EXP(($B$3-$B$4^2/2)*1+$B$4*_xlfn.NORM.S.INV(RAND()))</f>
        <v>56.388655932668115</v>
      </c>
      <c r="HJ61" s="36">
        <f t="shared" ca="1" si="148"/>
        <v>54.90052498602936</v>
      </c>
      <c r="HK61" s="36">
        <f t="shared" ca="1" si="148"/>
        <v>53.753177417978151</v>
      </c>
      <c r="HL61" s="36">
        <f t="shared" ca="1" si="148"/>
        <v>54.100365420182001</v>
      </c>
      <c r="HM61" s="36">
        <f t="shared" ca="1" si="148"/>
        <v>53.731153368955546</v>
      </c>
      <c r="HN61" s="36">
        <f t="shared" ca="1" si="148"/>
        <v>53.360499901381445</v>
      </c>
      <c r="HO61" s="36">
        <f t="shared" ca="1" si="148"/>
        <v>53.815342114801041</v>
      </c>
      <c r="HP61" s="36">
        <f t="shared" ca="1" si="148"/>
        <v>53.163579502091437</v>
      </c>
      <c r="HQ61" s="36">
        <f t="shared" ca="1" si="148"/>
        <v>53.71074240337753</v>
      </c>
      <c r="HR61" s="36">
        <f t="shared" ca="1" si="148"/>
        <v>54.43726854059387</v>
      </c>
      <c r="HS61" s="36">
        <f t="shared" ca="1" si="148"/>
        <v>54.746993731850971</v>
      </c>
      <c r="HT61" s="36">
        <f t="shared" ca="1" si="148"/>
        <v>55.770361021142733</v>
      </c>
      <c r="HU61" s="36">
        <f t="shared" ca="1" si="128"/>
        <v>55.64144111693399</v>
      </c>
      <c r="HV61" s="36">
        <f t="shared" ca="1" si="128"/>
        <v>55.259901024530031</v>
      </c>
      <c r="HW61" s="36">
        <f t="shared" ca="1" si="128"/>
        <v>55.212034490554444</v>
      </c>
      <c r="HX61" s="36">
        <f t="shared" ca="1" si="128"/>
        <v>54.249126083918767</v>
      </c>
      <c r="HY61" s="36">
        <f t="shared" ca="1" si="129"/>
        <v>53.857158951404344</v>
      </c>
      <c r="HZ61" s="36">
        <f t="shared" ca="1" si="129"/>
        <v>54.473316578032119</v>
      </c>
      <c r="IA61" s="36">
        <f t="shared" ca="1" si="129"/>
        <v>55.237908432462703</v>
      </c>
      <c r="IB61" s="36">
        <f t="shared" ca="1" si="129"/>
        <v>54.428866753176486</v>
      </c>
      <c r="IC61" s="36">
        <f t="shared" ca="1" si="129"/>
        <v>54.885929915214639</v>
      </c>
      <c r="ID61" s="36">
        <f t="shared" ca="1" si="129"/>
        <v>54.068746740031131</v>
      </c>
      <c r="IE61" s="36">
        <f t="shared" ca="1" si="129"/>
        <v>54.218544777212855</v>
      </c>
      <c r="IF61" s="36">
        <f t="shared" ca="1" si="129"/>
        <v>54.662693430840044</v>
      </c>
      <c r="IG61" s="36">
        <f t="shared" ca="1" si="129"/>
        <v>53.926838167121645</v>
      </c>
      <c r="IH61" s="36">
        <f t="shared" ca="1" si="129"/>
        <v>54.622083877939488</v>
      </c>
      <c r="II61" s="36">
        <f t="shared" ca="1" si="129"/>
        <v>55.678077117165145</v>
      </c>
      <c r="IJ61" s="36">
        <f t="shared" ca="1" si="129"/>
        <v>55.867883401346205</v>
      </c>
      <c r="IK61" s="36">
        <f t="shared" ca="1" si="129"/>
        <v>57.380461086747182</v>
      </c>
      <c r="IL61" s="36">
        <f t="shared" ca="1" si="129"/>
        <v>57.067387384778065</v>
      </c>
      <c r="IM61" s="36">
        <f t="shared" ca="1" si="129"/>
        <v>57.694389971218939</v>
      </c>
      <c r="IN61" s="36">
        <f t="shared" ca="1" si="129"/>
        <v>57.573771061299581</v>
      </c>
      <c r="IO61" s="36">
        <f t="shared" ca="1" si="129"/>
        <v>58.225825886017184</v>
      </c>
      <c r="IP61" s="36">
        <f t="shared" ca="1" si="129"/>
        <v>58.011928006343616</v>
      </c>
      <c r="IQ61" s="36">
        <f t="shared" ca="1" si="129"/>
        <v>57.378192754596633</v>
      </c>
      <c r="IR61" s="36">
        <f t="shared" ca="1" si="129"/>
        <v>56.54448327578023</v>
      </c>
      <c r="IS61" s="36">
        <f t="shared" ca="1" si="129"/>
        <v>56.467801454917613</v>
      </c>
      <c r="IT61" s="36">
        <f t="shared" ca="1" si="129"/>
        <v>57.597854785190798</v>
      </c>
      <c r="IU61" s="36">
        <f t="shared" ca="1" si="129"/>
        <v>57.462347332194824</v>
      </c>
    </row>
    <row r="62" spans="1:255" x14ac:dyDescent="0.2">
      <c r="A62" s="36"/>
      <c r="B62">
        <v>52</v>
      </c>
      <c r="C62" s="36">
        <v>50</v>
      </c>
      <c r="D62" s="36">
        <f t="shared" ca="1" si="14"/>
        <v>50.345402506522049</v>
      </c>
      <c r="E62" s="36">
        <f t="shared" ca="1" si="14"/>
        <v>49.629358751964446</v>
      </c>
      <c r="F62" s="36">
        <f t="shared" ref="F62:BQ65" ca="1" si="149">E62*EXP(($B$3-$B$4^2/2)*1+$B$4*_xlfn.NORM.S.INV(RAND()))</f>
        <v>49.986991343187455</v>
      </c>
      <c r="G62" s="36">
        <f t="shared" ca="1" si="149"/>
        <v>48.999363486358902</v>
      </c>
      <c r="H62" s="36">
        <f t="shared" ca="1" si="149"/>
        <v>48.265913558772702</v>
      </c>
      <c r="I62" s="36">
        <f t="shared" ca="1" si="149"/>
        <v>47.712392523224601</v>
      </c>
      <c r="J62" s="36">
        <f t="shared" ca="1" si="149"/>
        <v>47.8630439063907</v>
      </c>
      <c r="K62" s="36">
        <f t="shared" ca="1" si="149"/>
        <v>47.024508504545736</v>
      </c>
      <c r="L62" s="36">
        <f t="shared" ca="1" si="149"/>
        <v>46.931169710742836</v>
      </c>
      <c r="M62" s="36">
        <f t="shared" ca="1" si="149"/>
        <v>46.91253949491017</v>
      </c>
      <c r="N62" s="36">
        <f t="shared" ca="1" si="149"/>
        <v>47.577623871007276</v>
      </c>
      <c r="O62" s="36">
        <f t="shared" ca="1" si="149"/>
        <v>46.357178577381958</v>
      </c>
      <c r="P62" s="36">
        <f t="shared" ca="1" si="149"/>
        <v>46.489408081575618</v>
      </c>
      <c r="Q62" s="36">
        <f t="shared" ca="1" si="149"/>
        <v>46.502387782390052</v>
      </c>
      <c r="R62" s="36">
        <f t="shared" ca="1" si="149"/>
        <v>46.449268360399934</v>
      </c>
      <c r="S62" s="36">
        <f t="shared" ca="1" si="149"/>
        <v>46.70875154721697</v>
      </c>
      <c r="T62" s="36">
        <f t="shared" ca="1" si="149"/>
        <v>46.231587050733999</v>
      </c>
      <c r="U62" s="36">
        <f t="shared" ca="1" si="149"/>
        <v>46.031257079086274</v>
      </c>
      <c r="V62" s="36">
        <f t="shared" ca="1" si="149"/>
        <v>45.668304691970484</v>
      </c>
      <c r="W62" s="36">
        <f t="shared" ca="1" si="149"/>
        <v>45.774637609348844</v>
      </c>
      <c r="X62" s="36">
        <f t="shared" ca="1" si="149"/>
        <v>44.783257367883017</v>
      </c>
      <c r="Y62" s="36">
        <f t="shared" ca="1" si="149"/>
        <v>44.433496438882287</v>
      </c>
      <c r="Z62" s="36">
        <f t="shared" ca="1" si="149"/>
        <v>44.064496265466772</v>
      </c>
      <c r="AA62" s="36">
        <f t="shared" ca="1" si="149"/>
        <v>43.538761386330457</v>
      </c>
      <c r="AB62" s="36">
        <f t="shared" ca="1" si="149"/>
        <v>44.16818792399043</v>
      </c>
      <c r="AC62" s="36">
        <f t="shared" ca="1" si="149"/>
        <v>43.817022027604558</v>
      </c>
      <c r="AD62" s="36">
        <f t="shared" ca="1" si="149"/>
        <v>44.91880977515045</v>
      </c>
      <c r="AE62" s="36">
        <f t="shared" ca="1" si="149"/>
        <v>45.532697975507922</v>
      </c>
      <c r="AF62" s="36">
        <f t="shared" ca="1" si="149"/>
        <v>45.816993395683703</v>
      </c>
      <c r="AG62" s="36">
        <f t="shared" ca="1" si="149"/>
        <v>45.913251979831728</v>
      </c>
      <c r="AH62" s="36">
        <f t="shared" ca="1" si="149"/>
        <v>45.618023536231689</v>
      </c>
      <c r="AI62" s="36">
        <f t="shared" ca="1" si="149"/>
        <v>44.887255790651643</v>
      </c>
      <c r="AJ62" s="36">
        <f t="shared" ca="1" si="149"/>
        <v>43.309505120393318</v>
      </c>
      <c r="AK62" s="36">
        <f t="shared" ca="1" si="149"/>
        <v>42.803316353016193</v>
      </c>
      <c r="AL62" s="36">
        <f t="shared" ca="1" si="149"/>
        <v>42.555252918214748</v>
      </c>
      <c r="AM62" s="36">
        <f t="shared" ca="1" si="149"/>
        <v>42.952235629771955</v>
      </c>
      <c r="AN62" s="36">
        <f t="shared" ca="1" si="149"/>
        <v>42.153602486054204</v>
      </c>
      <c r="AO62" s="36">
        <f t="shared" ca="1" si="149"/>
        <v>41.658029126553167</v>
      </c>
      <c r="AP62" s="36">
        <f t="shared" ca="1" si="149"/>
        <v>42.409545441142527</v>
      </c>
      <c r="AQ62" s="36">
        <f t="shared" ca="1" si="149"/>
        <v>41.850144511202004</v>
      </c>
      <c r="AR62" s="36">
        <f t="shared" ca="1" si="149"/>
        <v>41.743581167761633</v>
      </c>
      <c r="AS62" s="36">
        <f t="shared" ca="1" si="149"/>
        <v>41.642121308628937</v>
      </c>
      <c r="AT62" s="36">
        <f t="shared" ca="1" si="149"/>
        <v>40.848026046961998</v>
      </c>
      <c r="AU62" s="36">
        <f t="shared" ca="1" si="149"/>
        <v>41.831766278732758</v>
      </c>
      <c r="AV62" s="36">
        <f t="shared" ca="1" si="149"/>
        <v>41.804379767077215</v>
      </c>
      <c r="AW62" s="36">
        <f t="shared" ca="1" si="149"/>
        <v>42.279690201183669</v>
      </c>
      <c r="AX62" s="36">
        <f t="shared" ca="1" si="149"/>
        <v>42.250212801729148</v>
      </c>
      <c r="AY62" s="36">
        <f t="shared" ca="1" si="149"/>
        <v>42.738343040579103</v>
      </c>
      <c r="AZ62" s="36">
        <f t="shared" ca="1" si="149"/>
        <v>43.170752548430606</v>
      </c>
      <c r="BA62" s="36">
        <f t="shared" ca="1" si="149"/>
        <v>43.541945357955932</v>
      </c>
      <c r="BB62" s="36">
        <f t="shared" ca="1" si="149"/>
        <v>44.233942935970717</v>
      </c>
      <c r="BC62" s="36">
        <f t="shared" ca="1" si="149"/>
        <v>44.559814423730593</v>
      </c>
      <c r="BD62" s="36">
        <f t="shared" ca="1" si="149"/>
        <v>45.422815230299499</v>
      </c>
      <c r="BE62" s="36">
        <f t="shared" ca="1" si="149"/>
        <v>45.331986515055995</v>
      </c>
      <c r="BF62" s="36">
        <f t="shared" ca="1" si="149"/>
        <v>45.866553523043628</v>
      </c>
      <c r="BG62" s="36">
        <f t="shared" ca="1" si="149"/>
        <v>47.739226152880875</v>
      </c>
      <c r="BH62" s="36">
        <f t="shared" ca="1" si="149"/>
        <v>47.778124840743061</v>
      </c>
      <c r="BI62" s="36">
        <f t="shared" ca="1" si="149"/>
        <v>47.569263028491697</v>
      </c>
      <c r="BJ62" s="36">
        <f t="shared" ca="1" si="149"/>
        <v>47.69988591896044</v>
      </c>
      <c r="BK62" s="36">
        <f t="shared" ca="1" si="149"/>
        <v>47.319226897424954</v>
      </c>
      <c r="BL62" s="36">
        <f t="shared" ca="1" si="149"/>
        <v>46.393160989934728</v>
      </c>
      <c r="BM62" s="36">
        <f t="shared" ca="1" si="149"/>
        <v>45.637192717222234</v>
      </c>
      <c r="BN62" s="36">
        <f t="shared" ca="1" si="149"/>
        <v>45.371463384367246</v>
      </c>
      <c r="BO62" s="36">
        <f t="shared" ca="1" si="149"/>
        <v>44.609185604120412</v>
      </c>
      <c r="BP62" s="36">
        <f t="shared" ca="1" si="149"/>
        <v>44.976139597086757</v>
      </c>
      <c r="BQ62" s="36">
        <f t="shared" ca="1" si="149"/>
        <v>45.715866667133376</v>
      </c>
      <c r="BR62" s="36">
        <f t="shared" ca="1" si="146"/>
        <v>46.020405796552268</v>
      </c>
      <c r="BS62" s="36">
        <f t="shared" ca="1" si="146"/>
        <v>46.73872092312461</v>
      </c>
      <c r="BT62" s="36">
        <f t="shared" ca="1" si="146"/>
        <v>47.020025677520785</v>
      </c>
      <c r="BU62" s="36">
        <f t="shared" ca="1" si="146"/>
        <v>46.670216384438561</v>
      </c>
      <c r="BV62" s="36">
        <f t="shared" ca="1" si="146"/>
        <v>47.043281498676137</v>
      </c>
      <c r="BW62" s="36">
        <f t="shared" ca="1" si="146"/>
        <v>46.959762208112089</v>
      </c>
      <c r="BX62" s="36">
        <f t="shared" ca="1" si="146"/>
        <v>47.875303651721431</v>
      </c>
      <c r="BY62" s="36">
        <f t="shared" ca="1" si="146"/>
        <v>47.263700666851157</v>
      </c>
      <c r="BZ62" s="36">
        <f t="shared" ca="1" si="146"/>
        <v>48.031854829962953</v>
      </c>
      <c r="CA62" s="36">
        <f t="shared" ca="1" si="146"/>
        <v>48.857445475074215</v>
      </c>
      <c r="CB62" s="36">
        <f t="shared" ca="1" si="146"/>
        <v>48.724550422695671</v>
      </c>
      <c r="CC62" s="36">
        <f t="shared" ca="1" si="146"/>
        <v>48.536749648245724</v>
      </c>
      <c r="CD62" s="36">
        <f t="shared" ca="1" si="146"/>
        <v>48.447573377666572</v>
      </c>
      <c r="CE62" s="36">
        <f t="shared" ca="1" si="146"/>
        <v>49.39995809096979</v>
      </c>
      <c r="CF62" s="36">
        <f t="shared" ca="1" si="146"/>
        <v>49.607823602782553</v>
      </c>
      <c r="CG62" s="36">
        <f t="shared" ca="1" si="146"/>
        <v>49.411596584358563</v>
      </c>
      <c r="CH62" s="36">
        <f t="shared" ca="1" si="146"/>
        <v>49.618755144871493</v>
      </c>
      <c r="CI62" s="36">
        <f t="shared" ca="1" si="146"/>
        <v>50.710118594073379</v>
      </c>
      <c r="CJ62" s="36">
        <f t="shared" ca="1" si="146"/>
        <v>50.087525408918061</v>
      </c>
      <c r="CK62" s="36">
        <f t="shared" ca="1" si="146"/>
        <v>50.238761544315516</v>
      </c>
      <c r="CL62" s="36">
        <f t="shared" ca="1" si="146"/>
        <v>49.608971426074511</v>
      </c>
      <c r="CM62" s="36">
        <f t="shared" ca="1" si="146"/>
        <v>48.568031986728457</v>
      </c>
      <c r="CN62" s="36">
        <f t="shared" ca="1" si="146"/>
        <v>48.419727824742075</v>
      </c>
      <c r="CO62" s="36">
        <f t="shared" ca="1" si="146"/>
        <v>48.260982790702485</v>
      </c>
      <c r="CP62" s="36">
        <f t="shared" ca="1" si="146"/>
        <v>48.838980429674052</v>
      </c>
      <c r="CQ62" s="36">
        <f t="shared" ca="1" si="146"/>
        <v>47.796037776984079</v>
      </c>
      <c r="CR62" s="36">
        <f t="shared" ca="1" si="146"/>
        <v>47.788051357600104</v>
      </c>
      <c r="CS62" s="36">
        <f t="shared" ca="1" si="146"/>
        <v>47.253959887494275</v>
      </c>
      <c r="CT62" s="36">
        <f t="shared" ca="1" si="146"/>
        <v>47.400512551244795</v>
      </c>
      <c r="CU62" s="36">
        <f t="shared" ca="1" si="146"/>
        <v>47.885517955452528</v>
      </c>
      <c r="CV62" s="36">
        <f t="shared" ca="1" si="146"/>
        <v>48.299477134921055</v>
      </c>
      <c r="CW62" s="36">
        <f t="shared" ca="1" si="146"/>
        <v>48.528635401454231</v>
      </c>
      <c r="CX62" s="36">
        <f t="shared" ca="1" si="146"/>
        <v>48.858363452874521</v>
      </c>
      <c r="CY62" s="36">
        <f t="shared" ca="1" si="146"/>
        <v>48.474146205773394</v>
      </c>
      <c r="CZ62" s="36">
        <f t="shared" ca="1" si="146"/>
        <v>48.599402142146545</v>
      </c>
      <c r="DA62" s="36">
        <f t="shared" ca="1" si="146"/>
        <v>48.822750172611727</v>
      </c>
      <c r="DB62" s="36">
        <f t="shared" ca="1" si="146"/>
        <v>48.541406756137526</v>
      </c>
      <c r="DC62" s="36">
        <f t="shared" ca="1" si="146"/>
        <v>48.56519082490675</v>
      </c>
      <c r="DD62" s="36">
        <f t="shared" ca="1" si="146"/>
        <v>47.756472491843468</v>
      </c>
      <c r="DE62" s="36">
        <f t="shared" ca="1" si="146"/>
        <v>47.753772661902588</v>
      </c>
      <c r="DF62" s="36">
        <f t="shared" ca="1" si="146"/>
        <v>48.61768543788623</v>
      </c>
      <c r="DG62" s="36">
        <f t="shared" ca="1" si="146"/>
        <v>47.58980770659376</v>
      </c>
      <c r="DH62" s="36">
        <f t="shared" ca="1" si="146"/>
        <v>47.439874469624193</v>
      </c>
      <c r="DI62" s="36">
        <f t="shared" ca="1" si="146"/>
        <v>46.920064068681071</v>
      </c>
      <c r="DJ62" s="36">
        <f t="shared" ca="1" si="146"/>
        <v>47.191067614339531</v>
      </c>
      <c r="DK62" s="36">
        <f t="shared" ca="1" si="146"/>
        <v>47.43811430551456</v>
      </c>
      <c r="DL62" s="36">
        <f t="shared" ca="1" si="146"/>
        <v>46.893051829783786</v>
      </c>
      <c r="DM62" s="36">
        <f t="shared" ca="1" si="146"/>
        <v>46.61083166497319</v>
      </c>
      <c r="DN62" s="36">
        <f t="shared" ca="1" si="146"/>
        <v>45.92969674984888</v>
      </c>
      <c r="DO62" s="36">
        <f t="shared" ca="1" si="146"/>
        <v>46.696209008896048</v>
      </c>
      <c r="DP62" s="36">
        <f t="shared" ca="1" si="146"/>
        <v>46.491785478093298</v>
      </c>
      <c r="DQ62" s="36">
        <f t="shared" ca="1" si="146"/>
        <v>45.28434319726685</v>
      </c>
      <c r="DR62" s="36">
        <f t="shared" ca="1" si="146"/>
        <v>45.906086269610661</v>
      </c>
      <c r="DS62" s="36">
        <f t="shared" ca="1" si="146"/>
        <v>45.22234772838415</v>
      </c>
      <c r="DT62" s="36">
        <f t="shared" ca="1" si="146"/>
        <v>45.405708910044233</v>
      </c>
      <c r="DU62" s="36">
        <f t="shared" ca="1" si="146"/>
        <v>45.829432974128686</v>
      </c>
      <c r="DV62" s="36">
        <f t="shared" ca="1" si="146"/>
        <v>46.855545471357438</v>
      </c>
      <c r="DW62" s="36">
        <f t="shared" ca="1" si="146"/>
        <v>46.839069535805166</v>
      </c>
      <c r="DX62" s="36">
        <f t="shared" ca="1" si="146"/>
        <v>47.053231134780603</v>
      </c>
      <c r="DY62" s="36">
        <f t="shared" ca="1" si="146"/>
        <v>46.822822756604452</v>
      </c>
      <c r="DZ62" s="36">
        <f t="shared" ca="1" si="146"/>
        <v>47.074558928134728</v>
      </c>
      <c r="EA62" s="36">
        <f t="shared" ca="1" si="146"/>
        <v>47.41924262192753</v>
      </c>
      <c r="EB62" s="36">
        <f t="shared" ca="1" si="146"/>
        <v>46.709812617313247</v>
      </c>
      <c r="EC62" s="36">
        <f t="shared" ca="1" si="139"/>
        <v>46.340098211442339</v>
      </c>
      <c r="ED62" s="36">
        <f t="shared" ca="1" si="139"/>
        <v>47.221853430390667</v>
      </c>
      <c r="EE62" s="36">
        <f t="shared" ca="1" si="139"/>
        <v>46.600556658568728</v>
      </c>
      <c r="EF62" s="36">
        <f t="shared" ca="1" si="139"/>
        <v>48.049383022022873</v>
      </c>
      <c r="EG62" s="36">
        <f t="shared" ca="1" si="139"/>
        <v>48.538728016763763</v>
      </c>
      <c r="EH62" s="36">
        <f t="shared" ca="1" si="139"/>
        <v>48.465430370935074</v>
      </c>
      <c r="EI62" s="36">
        <f t="shared" ca="1" si="139"/>
        <v>47.511104477419032</v>
      </c>
      <c r="EJ62" s="36">
        <f t="shared" ca="1" si="139"/>
        <v>46.450592706319725</v>
      </c>
      <c r="EK62" s="36">
        <f t="shared" ca="1" si="139"/>
        <v>46.334427010191327</v>
      </c>
      <c r="EL62" s="36">
        <f t="shared" ca="1" si="139"/>
        <v>45.739092277517251</v>
      </c>
      <c r="EM62" s="36">
        <f t="shared" ca="1" si="139"/>
        <v>46.430646748994299</v>
      </c>
      <c r="EN62" s="36">
        <f t="shared" ca="1" si="139"/>
        <v>47.502813140549485</v>
      </c>
      <c r="EO62" s="36">
        <f t="shared" ca="1" si="139"/>
        <v>48.08770556170586</v>
      </c>
      <c r="EP62" s="36">
        <f t="shared" ca="1" si="139"/>
        <v>47.990964559406727</v>
      </c>
      <c r="EQ62" s="36">
        <f t="shared" ca="1" si="139"/>
        <v>48.488891925467207</v>
      </c>
      <c r="ER62" s="36">
        <f t="shared" ca="1" si="139"/>
        <v>47.275670363774509</v>
      </c>
      <c r="ES62" s="36">
        <f t="shared" ca="1" si="139"/>
        <v>46.873764033373142</v>
      </c>
      <c r="ET62" s="36">
        <f t="shared" ca="1" si="139"/>
        <v>46.681645559409326</v>
      </c>
      <c r="EU62" s="36">
        <f t="shared" ca="1" si="139"/>
        <v>45.731606293493677</v>
      </c>
      <c r="EV62" s="36">
        <f t="shared" ca="1" si="139"/>
        <v>46.312395164620156</v>
      </c>
      <c r="EW62" s="36">
        <f t="shared" ref="EW62" ca="1" si="150">EV62*EXP(($B$3-$B$4^2/2)*1+$B$4*_xlfn.NORM.S.INV(RAND()))</f>
        <v>46.239145320778029</v>
      </c>
      <c r="EX62" s="36">
        <f t="shared" ca="1" si="140"/>
        <v>47.188626861644046</v>
      </c>
      <c r="EY62" s="36">
        <f t="shared" ca="1" si="140"/>
        <v>47.466102461306029</v>
      </c>
      <c r="EZ62" s="36">
        <f t="shared" ref="EZ62:HK64" ca="1" si="151">EY62*EXP(($B$3-$B$4^2/2)*1+$B$4*_xlfn.NORM.S.INV(RAND()))</f>
        <v>47.923483089388519</v>
      </c>
      <c r="FA62" s="36">
        <f t="shared" ca="1" si="151"/>
        <v>47.737115050202931</v>
      </c>
      <c r="FB62" s="36">
        <f t="shared" ca="1" si="151"/>
        <v>47.34012507677793</v>
      </c>
      <c r="FC62" s="36">
        <f t="shared" ca="1" si="151"/>
        <v>48.049580841452155</v>
      </c>
      <c r="FD62" s="36">
        <f t="shared" ca="1" si="151"/>
        <v>48.327583302062422</v>
      </c>
      <c r="FE62" s="36">
        <f t="shared" ca="1" si="151"/>
        <v>48.602183086826642</v>
      </c>
      <c r="FF62" s="36">
        <f t="shared" ca="1" si="151"/>
        <v>49.122435418716208</v>
      </c>
      <c r="FG62" s="36">
        <f t="shared" ca="1" si="151"/>
        <v>49.101696130201013</v>
      </c>
      <c r="FH62" s="36">
        <f t="shared" ca="1" si="151"/>
        <v>50.245325673144265</v>
      </c>
      <c r="FI62" s="36">
        <f t="shared" ca="1" si="151"/>
        <v>50.49446515274122</v>
      </c>
      <c r="FJ62" s="36">
        <f t="shared" ca="1" si="151"/>
        <v>51.430857632787109</v>
      </c>
      <c r="FK62" s="36">
        <f t="shared" ca="1" si="151"/>
        <v>51.912844250370171</v>
      </c>
      <c r="FL62" s="36">
        <f t="shared" ca="1" si="151"/>
        <v>51.861621990567535</v>
      </c>
      <c r="FM62" s="36">
        <f t="shared" ca="1" si="151"/>
        <v>50.990019790228459</v>
      </c>
      <c r="FN62" s="36">
        <f t="shared" ca="1" si="151"/>
        <v>51.19273630192626</v>
      </c>
      <c r="FO62" s="36">
        <f t="shared" ca="1" si="151"/>
        <v>51.356326345745366</v>
      </c>
      <c r="FP62" s="36">
        <f t="shared" ca="1" si="151"/>
        <v>51.098619505807441</v>
      </c>
      <c r="FQ62" s="36">
        <f t="shared" ca="1" si="151"/>
        <v>51.274713125524329</v>
      </c>
      <c r="FR62" s="36">
        <f t="shared" ca="1" si="151"/>
        <v>51.740964055973286</v>
      </c>
      <c r="FS62" s="36">
        <f t="shared" ca="1" si="151"/>
        <v>51.978185715774629</v>
      </c>
      <c r="FT62" s="36">
        <f t="shared" ca="1" si="151"/>
        <v>52.325366387910584</v>
      </c>
      <c r="FU62" s="36">
        <f t="shared" ca="1" si="151"/>
        <v>52.845236881926965</v>
      </c>
      <c r="FV62" s="36">
        <f t="shared" ca="1" si="151"/>
        <v>52.767296723905645</v>
      </c>
      <c r="FW62" s="36">
        <f t="shared" ca="1" si="151"/>
        <v>52.986932358993037</v>
      </c>
      <c r="FX62" s="36">
        <f t="shared" ca="1" si="151"/>
        <v>53.477559987578815</v>
      </c>
      <c r="FY62" s="36">
        <f t="shared" ca="1" si="151"/>
        <v>54.319820217343043</v>
      </c>
      <c r="FZ62" s="36">
        <f t="shared" ca="1" si="151"/>
        <v>53.975186573838734</v>
      </c>
      <c r="GA62" s="36">
        <f t="shared" ca="1" si="151"/>
        <v>54.492561567768959</v>
      </c>
      <c r="GB62" s="36">
        <f t="shared" ca="1" si="151"/>
        <v>54.984561785196107</v>
      </c>
      <c r="GC62" s="36">
        <f t="shared" ca="1" si="151"/>
        <v>54.873092503042322</v>
      </c>
      <c r="GD62" s="36">
        <f t="shared" ca="1" si="151"/>
        <v>55.254556274443352</v>
      </c>
      <c r="GE62" s="36">
        <f t="shared" ca="1" si="151"/>
        <v>56.29135984469692</v>
      </c>
      <c r="GF62" s="36">
        <f t="shared" ca="1" si="151"/>
        <v>56.041151113670132</v>
      </c>
      <c r="GG62" s="36">
        <f t="shared" ca="1" si="151"/>
        <v>56.208015152614948</v>
      </c>
      <c r="GH62" s="36">
        <f t="shared" ca="1" si="151"/>
        <v>55.822368983491124</v>
      </c>
      <c r="GI62" s="36">
        <f t="shared" ca="1" si="151"/>
        <v>56.218725916063548</v>
      </c>
      <c r="GJ62" s="36">
        <f t="shared" ca="1" si="151"/>
        <v>55.750647846678085</v>
      </c>
      <c r="GK62" s="36">
        <f t="shared" ca="1" si="151"/>
        <v>56.192491213500958</v>
      </c>
      <c r="GL62" s="36">
        <f t="shared" ca="1" si="151"/>
        <v>55.303099608656957</v>
      </c>
      <c r="GM62" s="36">
        <f t="shared" ca="1" si="151"/>
        <v>55.785132341516423</v>
      </c>
      <c r="GN62" s="36">
        <f t="shared" ca="1" si="151"/>
        <v>55.974215331739202</v>
      </c>
      <c r="GO62" s="36">
        <f t="shared" ca="1" si="151"/>
        <v>54.688380152954267</v>
      </c>
      <c r="GP62" s="36">
        <f t="shared" ca="1" si="151"/>
        <v>55.759715321259371</v>
      </c>
      <c r="GQ62" s="36">
        <f t="shared" ca="1" si="151"/>
        <v>55.914158547547395</v>
      </c>
      <c r="GR62" s="36">
        <f t="shared" ca="1" si="151"/>
        <v>56.052250440998328</v>
      </c>
      <c r="GS62" s="36">
        <f t="shared" ca="1" si="151"/>
        <v>56.213340282710647</v>
      </c>
      <c r="GT62" s="36">
        <f t="shared" ca="1" si="151"/>
        <v>56.462317282408435</v>
      </c>
      <c r="GU62" s="36">
        <f t="shared" ca="1" si="151"/>
        <v>57.831523336544166</v>
      </c>
      <c r="GV62" s="36">
        <f t="shared" ca="1" si="151"/>
        <v>58.45634428375638</v>
      </c>
      <c r="GW62" s="36">
        <f t="shared" ca="1" si="151"/>
        <v>57.99736089877586</v>
      </c>
      <c r="GX62" s="36">
        <f t="shared" ca="1" si="151"/>
        <v>59.322360496174539</v>
      </c>
      <c r="GY62" s="36">
        <f t="shared" ca="1" si="151"/>
        <v>60.659205847220505</v>
      </c>
      <c r="GZ62" s="36">
        <f t="shared" ca="1" si="151"/>
        <v>60.541054427787479</v>
      </c>
      <c r="HA62" s="36">
        <f t="shared" ca="1" si="151"/>
        <v>61.65614245460803</v>
      </c>
      <c r="HB62" s="36">
        <f t="shared" ca="1" si="151"/>
        <v>61.600276456221678</v>
      </c>
      <c r="HC62" s="36">
        <f t="shared" ca="1" si="151"/>
        <v>62.210655998853767</v>
      </c>
      <c r="HD62" s="36">
        <f t="shared" ca="1" si="151"/>
        <v>62.544122805287451</v>
      </c>
      <c r="HE62" s="36">
        <f t="shared" ca="1" si="151"/>
        <v>61.988485840621919</v>
      </c>
      <c r="HF62" s="36">
        <f t="shared" ca="1" si="151"/>
        <v>61.749550742707832</v>
      </c>
      <c r="HG62" s="36">
        <f t="shared" ca="1" si="151"/>
        <v>62.142505660021193</v>
      </c>
      <c r="HH62" s="36">
        <f t="shared" ca="1" si="151"/>
        <v>63.795287510704426</v>
      </c>
      <c r="HI62" s="36">
        <f t="shared" ca="1" si="151"/>
        <v>63.018290750928408</v>
      </c>
      <c r="HJ62" s="36">
        <f t="shared" ca="1" si="151"/>
        <v>63.637543781317639</v>
      </c>
      <c r="HK62" s="36">
        <f t="shared" ca="1" si="151"/>
        <v>63.657376899411446</v>
      </c>
      <c r="HL62" s="36">
        <f t="shared" ref="HL62:HT62" ca="1" si="152">HK62*EXP(($B$3-$B$4^2/2)*1+$B$4*_xlfn.NORM.S.INV(RAND()))</f>
        <v>62.472344572237596</v>
      </c>
      <c r="HM62" s="36">
        <f t="shared" ca="1" si="152"/>
        <v>63.414232293327181</v>
      </c>
      <c r="HN62" s="36">
        <f t="shared" ca="1" si="152"/>
        <v>63.625367887003065</v>
      </c>
      <c r="HO62" s="36">
        <f t="shared" ca="1" si="152"/>
        <v>64.564610140168497</v>
      </c>
      <c r="HP62" s="36">
        <f t="shared" ca="1" si="152"/>
        <v>65.631065348454854</v>
      </c>
      <c r="HQ62" s="36">
        <f t="shared" ca="1" si="152"/>
        <v>65.195889833886739</v>
      </c>
      <c r="HR62" s="36">
        <f t="shared" ca="1" si="152"/>
        <v>64.81942462858639</v>
      </c>
      <c r="HS62" s="36">
        <f t="shared" ca="1" si="152"/>
        <v>65.806388434817634</v>
      </c>
      <c r="HT62" s="36">
        <f t="shared" ca="1" si="152"/>
        <v>65.759051445986927</v>
      </c>
      <c r="HU62" s="36">
        <f t="shared" ca="1" si="128"/>
        <v>65.239246805739398</v>
      </c>
      <c r="HV62" s="36">
        <f t="shared" ca="1" si="128"/>
        <v>65.463669406117589</v>
      </c>
      <c r="HW62" s="36">
        <f t="shared" ca="1" si="128"/>
        <v>65.928928413688354</v>
      </c>
      <c r="HX62" s="36">
        <f t="shared" ca="1" si="128"/>
        <v>65.418710331434824</v>
      </c>
      <c r="HY62" s="36">
        <f t="shared" ca="1" si="129"/>
        <v>65.532853893687275</v>
      </c>
      <c r="HZ62" s="36">
        <f t="shared" ca="1" si="129"/>
        <v>64.234794277285602</v>
      </c>
      <c r="IA62" s="36">
        <f t="shared" ca="1" si="129"/>
        <v>64.180525261215891</v>
      </c>
      <c r="IB62" s="36">
        <f t="shared" ca="1" si="129"/>
        <v>65.034822077390018</v>
      </c>
      <c r="IC62" s="36">
        <f t="shared" ca="1" si="129"/>
        <v>64.407698256130288</v>
      </c>
      <c r="ID62" s="36">
        <f t="shared" ca="1" si="129"/>
        <v>63.041201283189615</v>
      </c>
      <c r="IE62" s="36">
        <f t="shared" ca="1" si="129"/>
        <v>63.828215624594861</v>
      </c>
      <c r="IF62" s="36">
        <f t="shared" ca="1" si="129"/>
        <v>63.159665031303383</v>
      </c>
      <c r="IG62" s="36">
        <f t="shared" ca="1" si="129"/>
        <v>62.555939050117139</v>
      </c>
      <c r="IH62" s="36">
        <f t="shared" ca="1" si="129"/>
        <v>62.612821341507889</v>
      </c>
      <c r="II62" s="36">
        <f t="shared" ca="1" si="129"/>
        <v>62.439981565775945</v>
      </c>
      <c r="IJ62" s="36">
        <f t="shared" ca="1" si="129"/>
        <v>62.094987347168839</v>
      </c>
      <c r="IK62" s="36">
        <f t="shared" ca="1" si="129"/>
        <v>61.342447597822108</v>
      </c>
      <c r="IL62" s="36">
        <f t="shared" ca="1" si="129"/>
        <v>61.69699828758727</v>
      </c>
      <c r="IM62" s="36">
        <f t="shared" ca="1" si="129"/>
        <v>62.162638764013685</v>
      </c>
      <c r="IN62" s="36">
        <f t="shared" ca="1" si="129"/>
        <v>60.901465821262178</v>
      </c>
      <c r="IO62" s="36">
        <f t="shared" ca="1" si="129"/>
        <v>61.251043945529169</v>
      </c>
      <c r="IP62" s="36">
        <f t="shared" ca="1" si="129"/>
        <v>59.538229923610601</v>
      </c>
      <c r="IQ62" s="36">
        <f t="shared" ca="1" si="129"/>
        <v>60.190156166939929</v>
      </c>
      <c r="IR62" s="36">
        <f t="shared" ca="1" si="129"/>
        <v>61.080279043729846</v>
      </c>
      <c r="IS62" s="36">
        <f t="shared" ca="1" si="129"/>
        <v>60.535005005366202</v>
      </c>
      <c r="IT62" s="36">
        <f t="shared" ca="1" si="129"/>
        <v>59.649073089062369</v>
      </c>
      <c r="IU62" s="36">
        <f t="shared" ca="1" si="129"/>
        <v>59.058465040885451</v>
      </c>
    </row>
    <row r="63" spans="1:255" x14ac:dyDescent="0.2">
      <c r="A63" s="36"/>
      <c r="B63">
        <v>53</v>
      </c>
      <c r="C63" s="36">
        <v>50</v>
      </c>
      <c r="D63" s="36">
        <f t="shared" ca="1" si="14"/>
        <v>50.956161347833188</v>
      </c>
      <c r="E63" s="36">
        <f t="shared" ca="1" si="14"/>
        <v>49.792753709726732</v>
      </c>
      <c r="F63" s="36">
        <f t="shared" ca="1" si="149"/>
        <v>49.628999728046495</v>
      </c>
      <c r="G63" s="36">
        <f t="shared" ca="1" si="149"/>
        <v>49.038291167765173</v>
      </c>
      <c r="H63" s="36">
        <f t="shared" ca="1" si="149"/>
        <v>49.543451694999838</v>
      </c>
      <c r="I63" s="36">
        <f t="shared" ca="1" si="149"/>
        <v>49.716535181452429</v>
      </c>
      <c r="J63" s="36">
        <f t="shared" ca="1" si="149"/>
        <v>48.598899874250073</v>
      </c>
      <c r="K63" s="36">
        <f t="shared" ca="1" si="149"/>
        <v>49.462094661559753</v>
      </c>
      <c r="L63" s="36">
        <f t="shared" ca="1" si="149"/>
        <v>48.418763189324153</v>
      </c>
      <c r="M63" s="36">
        <f t="shared" ca="1" si="149"/>
        <v>48.106527390617231</v>
      </c>
      <c r="N63" s="36">
        <f t="shared" ca="1" si="149"/>
        <v>48.088347325820699</v>
      </c>
      <c r="O63" s="36">
        <f t="shared" ca="1" si="149"/>
        <v>48.605246847730214</v>
      </c>
      <c r="P63" s="36">
        <f t="shared" ca="1" si="149"/>
        <v>48.241687561078308</v>
      </c>
      <c r="Q63" s="36">
        <f t="shared" ca="1" si="149"/>
        <v>47.49462090062228</v>
      </c>
      <c r="R63" s="36">
        <f t="shared" ca="1" si="149"/>
        <v>47.202950015565463</v>
      </c>
      <c r="S63" s="36">
        <f t="shared" ca="1" si="149"/>
        <v>47.432279735493552</v>
      </c>
      <c r="T63" s="36">
        <f t="shared" ca="1" si="149"/>
        <v>47.45468332822162</v>
      </c>
      <c r="U63" s="36">
        <f t="shared" ca="1" si="149"/>
        <v>46.135757637392317</v>
      </c>
      <c r="V63" s="36">
        <f t="shared" ca="1" si="149"/>
        <v>46.803368903879843</v>
      </c>
      <c r="W63" s="36">
        <f t="shared" ca="1" si="149"/>
        <v>47.167252453553729</v>
      </c>
      <c r="X63" s="36">
        <f t="shared" ca="1" si="149"/>
        <v>47.628835920434007</v>
      </c>
      <c r="Y63" s="36">
        <f t="shared" ca="1" si="149"/>
        <v>48.089646590862493</v>
      </c>
      <c r="Z63" s="36">
        <f t="shared" ca="1" si="149"/>
        <v>48.333210846123862</v>
      </c>
      <c r="AA63" s="36">
        <f t="shared" ca="1" si="149"/>
        <v>49.377319966659996</v>
      </c>
      <c r="AB63" s="36">
        <f t="shared" ca="1" si="149"/>
        <v>49.670833413332325</v>
      </c>
      <c r="AC63" s="36">
        <f t="shared" ca="1" si="149"/>
        <v>50.709165948540324</v>
      </c>
      <c r="AD63" s="36">
        <f t="shared" ca="1" si="149"/>
        <v>49.516533562226272</v>
      </c>
      <c r="AE63" s="36">
        <f t="shared" ca="1" si="149"/>
        <v>50.329540897355422</v>
      </c>
      <c r="AF63" s="36">
        <f t="shared" ca="1" si="149"/>
        <v>50.302825017150944</v>
      </c>
      <c r="AG63" s="36">
        <f t="shared" ca="1" si="149"/>
        <v>49.514320074159414</v>
      </c>
      <c r="AH63" s="36">
        <f t="shared" ca="1" si="149"/>
        <v>49.968902343987494</v>
      </c>
      <c r="AI63" s="36">
        <f t="shared" ca="1" si="149"/>
        <v>49.682136848879395</v>
      </c>
      <c r="AJ63" s="36">
        <f t="shared" ca="1" si="149"/>
        <v>49.540804290214652</v>
      </c>
      <c r="AK63" s="36">
        <f t="shared" ca="1" si="149"/>
        <v>49.254906247164669</v>
      </c>
      <c r="AL63" s="36">
        <f t="shared" ca="1" si="149"/>
        <v>49.621355757663991</v>
      </c>
      <c r="AM63" s="36">
        <f t="shared" ca="1" si="149"/>
        <v>49.070195189043844</v>
      </c>
      <c r="AN63" s="36">
        <f t="shared" ca="1" si="149"/>
        <v>49.265526374464038</v>
      </c>
      <c r="AO63" s="36">
        <f t="shared" ca="1" si="149"/>
        <v>48.675306039963651</v>
      </c>
      <c r="AP63" s="36">
        <f t="shared" ca="1" si="149"/>
        <v>49.694423454150339</v>
      </c>
      <c r="AQ63" s="36">
        <f t="shared" ca="1" si="149"/>
        <v>50.314360560798448</v>
      </c>
      <c r="AR63" s="36">
        <f t="shared" ca="1" si="149"/>
        <v>51.068816004311131</v>
      </c>
      <c r="AS63" s="36">
        <f t="shared" ca="1" si="149"/>
        <v>50.947470015190255</v>
      </c>
      <c r="AT63" s="36">
        <f t="shared" ca="1" si="149"/>
        <v>49.656967692218501</v>
      </c>
      <c r="AU63" s="36">
        <f t="shared" ca="1" si="149"/>
        <v>49.034844936361814</v>
      </c>
      <c r="AV63" s="36">
        <f t="shared" ca="1" si="149"/>
        <v>49.152432945956228</v>
      </c>
      <c r="AW63" s="36">
        <f t="shared" ca="1" si="149"/>
        <v>49.28506012152004</v>
      </c>
      <c r="AX63" s="36">
        <f t="shared" ca="1" si="149"/>
        <v>49.658355892162263</v>
      </c>
      <c r="AY63" s="36">
        <f t="shared" ca="1" si="149"/>
        <v>50.328060270558062</v>
      </c>
      <c r="AZ63" s="36">
        <f t="shared" ca="1" si="149"/>
        <v>51.747033189571361</v>
      </c>
      <c r="BA63" s="36">
        <f t="shared" ca="1" si="149"/>
        <v>52.598354724774971</v>
      </c>
      <c r="BB63" s="36">
        <f t="shared" ca="1" si="149"/>
        <v>52.128694377243121</v>
      </c>
      <c r="BC63" s="36">
        <f t="shared" ca="1" si="149"/>
        <v>51.922937227864978</v>
      </c>
      <c r="BD63" s="36">
        <f t="shared" ca="1" si="149"/>
        <v>51.864129289730066</v>
      </c>
      <c r="BE63" s="36">
        <f t="shared" ca="1" si="149"/>
        <v>51.201941943227631</v>
      </c>
      <c r="BF63" s="36">
        <f t="shared" ca="1" si="149"/>
        <v>51.052147287355403</v>
      </c>
      <c r="BG63" s="36">
        <f t="shared" ca="1" si="149"/>
        <v>52.500474938396749</v>
      </c>
      <c r="BH63" s="36">
        <f t="shared" ca="1" si="149"/>
        <v>51.557705827173379</v>
      </c>
      <c r="BI63" s="36">
        <f t="shared" ca="1" si="149"/>
        <v>52.012675797838789</v>
      </c>
      <c r="BJ63" s="36">
        <f t="shared" ca="1" si="149"/>
        <v>52.359533790540851</v>
      </c>
      <c r="BK63" s="36">
        <f t="shared" ca="1" si="149"/>
        <v>52.398139863064053</v>
      </c>
      <c r="BL63" s="36">
        <f t="shared" ca="1" si="149"/>
        <v>51.741029619172735</v>
      </c>
      <c r="BM63" s="36">
        <f t="shared" ca="1" si="149"/>
        <v>52.153536811837995</v>
      </c>
      <c r="BN63" s="36">
        <f t="shared" ca="1" si="149"/>
        <v>52.080720389457817</v>
      </c>
      <c r="BO63" s="36">
        <f t="shared" ca="1" si="149"/>
        <v>52.596982652979143</v>
      </c>
      <c r="BP63" s="36">
        <f t="shared" ca="1" si="149"/>
        <v>52.278202389915485</v>
      </c>
      <c r="BQ63" s="36">
        <f t="shared" ca="1" si="149"/>
        <v>51.469499181210132</v>
      </c>
      <c r="BR63" s="36">
        <f t="shared" ca="1" si="146"/>
        <v>51.482157244436863</v>
      </c>
      <c r="BS63" s="36">
        <f t="shared" ca="1" si="146"/>
        <v>52.264772838243644</v>
      </c>
      <c r="BT63" s="36">
        <f t="shared" ca="1" si="146"/>
        <v>52.975275051655053</v>
      </c>
      <c r="BU63" s="36">
        <f t="shared" ca="1" si="146"/>
        <v>53.081627252804566</v>
      </c>
      <c r="BV63" s="36">
        <f t="shared" ca="1" si="146"/>
        <v>52.807863392392946</v>
      </c>
      <c r="BW63" s="36">
        <f t="shared" ca="1" si="146"/>
        <v>52.747895273510451</v>
      </c>
      <c r="BX63" s="36">
        <f t="shared" ca="1" si="146"/>
        <v>53.976181580296739</v>
      </c>
      <c r="BY63" s="36">
        <f t="shared" ca="1" si="146"/>
        <v>53.828607193979522</v>
      </c>
      <c r="BZ63" s="36">
        <f t="shared" ca="1" si="146"/>
        <v>54.669191717372435</v>
      </c>
      <c r="CA63" s="36">
        <f t="shared" ca="1" si="146"/>
        <v>53.50673936937266</v>
      </c>
      <c r="CB63" s="36">
        <f t="shared" ca="1" si="146"/>
        <v>54.147935734695771</v>
      </c>
      <c r="CC63" s="36">
        <f t="shared" ca="1" si="146"/>
        <v>54.105990687391255</v>
      </c>
      <c r="CD63" s="36">
        <f t="shared" ca="1" si="146"/>
        <v>53.481387288691899</v>
      </c>
      <c r="CE63" s="36">
        <f t="shared" ca="1" si="146"/>
        <v>53.507837241534929</v>
      </c>
      <c r="CF63" s="36">
        <f t="shared" ca="1" si="146"/>
        <v>54.345417735549844</v>
      </c>
      <c r="CG63" s="36">
        <f t="shared" ca="1" si="146"/>
        <v>54.028052530374339</v>
      </c>
      <c r="CH63" s="36">
        <f t="shared" ca="1" si="146"/>
        <v>53.175500367256141</v>
      </c>
      <c r="CI63" s="36">
        <f t="shared" ca="1" si="146"/>
        <v>53.130213612481498</v>
      </c>
      <c r="CJ63" s="36">
        <f t="shared" ca="1" si="146"/>
        <v>53.281537691164083</v>
      </c>
      <c r="CK63" s="36">
        <f t="shared" ca="1" si="146"/>
        <v>52.375384075596102</v>
      </c>
      <c r="CL63" s="36">
        <f t="shared" ca="1" si="146"/>
        <v>52.630328681008102</v>
      </c>
      <c r="CM63" s="36">
        <f t="shared" ca="1" si="146"/>
        <v>52.492053470357767</v>
      </c>
      <c r="CN63" s="36">
        <f t="shared" ca="1" si="146"/>
        <v>53.180874908822574</v>
      </c>
      <c r="CO63" s="36">
        <f t="shared" ca="1" si="146"/>
        <v>53.355301532607314</v>
      </c>
      <c r="CP63" s="36">
        <f t="shared" ca="1" si="146"/>
        <v>52.270530229429887</v>
      </c>
      <c r="CQ63" s="36">
        <f t="shared" ca="1" si="146"/>
        <v>52.885732105740971</v>
      </c>
      <c r="CR63" s="36">
        <f t="shared" ca="1" si="146"/>
        <v>52.207812419278333</v>
      </c>
      <c r="CS63" s="36">
        <f t="shared" ca="1" si="146"/>
        <v>52.658927360494374</v>
      </c>
      <c r="CT63" s="36">
        <f t="shared" ca="1" si="146"/>
        <v>53.742245058009559</v>
      </c>
      <c r="CU63" s="36">
        <f t="shared" ca="1" si="146"/>
        <v>53.369842442228716</v>
      </c>
      <c r="CV63" s="36">
        <f t="shared" ca="1" si="146"/>
        <v>52.417956284417265</v>
      </c>
      <c r="CW63" s="36">
        <f t="shared" ca="1" si="146"/>
        <v>52.414254777938488</v>
      </c>
      <c r="CX63" s="36">
        <f t="shared" ca="1" si="146"/>
        <v>51.878635134694555</v>
      </c>
      <c r="CY63" s="36">
        <f t="shared" ca="1" si="146"/>
        <v>50.991451711216378</v>
      </c>
      <c r="CZ63" s="36">
        <f t="shared" ca="1" si="146"/>
        <v>51.527370033623924</v>
      </c>
      <c r="DA63" s="36">
        <f t="shared" ca="1" si="146"/>
        <v>51.157280622466565</v>
      </c>
      <c r="DB63" s="36">
        <f t="shared" ca="1" si="146"/>
        <v>50.015075172305828</v>
      </c>
      <c r="DC63" s="36">
        <f t="shared" ca="1" si="146"/>
        <v>50.523044286598342</v>
      </c>
      <c r="DD63" s="36">
        <f t="shared" ca="1" si="146"/>
        <v>51.160983476564731</v>
      </c>
      <c r="DE63" s="36">
        <f t="shared" ca="1" si="146"/>
        <v>51.358863582322435</v>
      </c>
      <c r="DF63" s="36">
        <f t="shared" ca="1" si="146"/>
        <v>50.79504312651958</v>
      </c>
      <c r="DG63" s="36">
        <f t="shared" ca="1" si="146"/>
        <v>51.545145971466034</v>
      </c>
      <c r="DH63" s="36">
        <f t="shared" ca="1" si="146"/>
        <v>50.44860824969772</v>
      </c>
      <c r="DI63" s="36">
        <f t="shared" ca="1" si="146"/>
        <v>49.710566629139862</v>
      </c>
      <c r="DJ63" s="36">
        <f t="shared" ca="1" si="146"/>
        <v>49.624580990207761</v>
      </c>
      <c r="DK63" s="36">
        <f t="shared" ca="1" si="146"/>
        <v>49.624270375102896</v>
      </c>
      <c r="DL63" s="36">
        <f t="shared" ca="1" si="146"/>
        <v>49.067081317963201</v>
      </c>
      <c r="DM63" s="36">
        <f t="shared" ca="1" si="146"/>
        <v>47.755307759086485</v>
      </c>
      <c r="DN63" s="36">
        <f t="shared" ca="1" si="146"/>
        <v>48.067878453148396</v>
      </c>
      <c r="DO63" s="36">
        <f t="shared" ca="1" si="146"/>
        <v>47.899697775496705</v>
      </c>
      <c r="DP63" s="36">
        <f t="shared" ca="1" si="146"/>
        <v>46.874121415640047</v>
      </c>
      <c r="DQ63" s="36">
        <f t="shared" ca="1" si="146"/>
        <v>46.531690736941364</v>
      </c>
      <c r="DR63" s="36">
        <f t="shared" ca="1" si="146"/>
        <v>46.718960293751394</v>
      </c>
      <c r="DS63" s="36">
        <f t="shared" ca="1" si="146"/>
        <v>46.022187915436923</v>
      </c>
      <c r="DT63" s="36">
        <f t="shared" ca="1" si="146"/>
        <v>45.702414982489309</v>
      </c>
      <c r="DU63" s="36">
        <f t="shared" ca="1" si="146"/>
        <v>46.806344841447171</v>
      </c>
      <c r="DV63" s="36">
        <f t="shared" ca="1" si="146"/>
        <v>46.930670323973672</v>
      </c>
      <c r="DW63" s="36">
        <f t="shared" ca="1" si="146"/>
        <v>45.796515219743306</v>
      </c>
      <c r="DX63" s="36">
        <f t="shared" ca="1" si="146"/>
        <v>46.874038168736675</v>
      </c>
      <c r="DY63" s="36">
        <f t="shared" ca="1" si="146"/>
        <v>46.634198867517725</v>
      </c>
      <c r="DZ63" s="36">
        <f t="shared" ca="1" si="146"/>
        <v>46.771134896219088</v>
      </c>
      <c r="EA63" s="36">
        <f t="shared" ca="1" si="146"/>
        <v>46.953512340077019</v>
      </c>
      <c r="EB63" s="36">
        <f t="shared" ca="1" si="146"/>
        <v>46.906338710423498</v>
      </c>
      <c r="EC63" s="36">
        <f t="shared" ca="1" si="139"/>
        <v>46.488812531751492</v>
      </c>
      <c r="ED63" s="36">
        <f t="shared" ca="1" si="139"/>
        <v>46.001035971640711</v>
      </c>
      <c r="EE63" s="36">
        <f t="shared" ca="1" si="139"/>
        <v>45.521142697241395</v>
      </c>
      <c r="EF63" s="36">
        <f t="shared" ca="1" si="139"/>
        <v>45.875546856616737</v>
      </c>
      <c r="EG63" s="36">
        <f t="shared" ca="1" si="139"/>
        <v>46.305936092025931</v>
      </c>
      <c r="EH63" s="36">
        <f t="shared" ca="1" si="139"/>
        <v>46.555007830831563</v>
      </c>
      <c r="EI63" s="36">
        <f t="shared" ca="1" si="139"/>
        <v>46.438788575332488</v>
      </c>
      <c r="EJ63" s="36">
        <f t="shared" ca="1" si="139"/>
        <v>46.956100767385792</v>
      </c>
      <c r="EK63" s="36">
        <f t="shared" ca="1" si="139"/>
        <v>47.006205047254852</v>
      </c>
      <c r="EL63" s="36">
        <f t="shared" ca="1" si="139"/>
        <v>47.139123023674742</v>
      </c>
      <c r="EM63" s="36">
        <f t="shared" ca="1" si="139"/>
        <v>47.287750957311864</v>
      </c>
      <c r="EN63" s="36">
        <f t="shared" ca="1" si="139"/>
        <v>47.421654367808898</v>
      </c>
      <c r="EO63" s="36">
        <f t="shared" ca="1" si="139"/>
        <v>47.452354928415161</v>
      </c>
      <c r="EP63" s="36">
        <f t="shared" ca="1" si="139"/>
        <v>47.093197006600619</v>
      </c>
      <c r="EQ63" s="36">
        <f t="shared" ca="1" si="139"/>
        <v>46.962929549634751</v>
      </c>
      <c r="ER63" s="36">
        <f t="shared" ca="1" si="139"/>
        <v>47.787216196987835</v>
      </c>
      <c r="ES63" s="36">
        <f t="shared" ca="1" si="139"/>
        <v>48.629069833163037</v>
      </c>
      <c r="ET63" s="36">
        <f t="shared" ca="1" si="139"/>
        <v>48.540200780909039</v>
      </c>
      <c r="EU63" s="36">
        <f t="shared" ca="1" si="139"/>
        <v>49.234062976431737</v>
      </c>
      <c r="EV63" s="36">
        <f t="shared" ca="1" si="139"/>
        <v>48.338553935599464</v>
      </c>
      <c r="EW63" s="36">
        <f t="shared" ref="EW63:HH67" ca="1" si="153">EV63*EXP(($B$3-$B$4^2/2)*1+$B$4*_xlfn.NORM.S.INV(RAND()))</f>
        <v>48.207508462843386</v>
      </c>
      <c r="EX63" s="36">
        <f t="shared" ca="1" si="153"/>
        <v>47.393528851736917</v>
      </c>
      <c r="EY63" s="36">
        <f t="shared" ca="1" si="153"/>
        <v>47.452399496179581</v>
      </c>
      <c r="EZ63" s="36">
        <f t="shared" ca="1" si="153"/>
        <v>47.019209441962559</v>
      </c>
      <c r="FA63" s="36">
        <f t="shared" ca="1" si="153"/>
        <v>46.505564574449579</v>
      </c>
      <c r="FB63" s="36">
        <f t="shared" ca="1" si="153"/>
        <v>45.66248998294833</v>
      </c>
      <c r="FC63" s="36">
        <f t="shared" ca="1" si="153"/>
        <v>46.889906008218865</v>
      </c>
      <c r="FD63" s="36">
        <f t="shared" ca="1" si="153"/>
        <v>47.215545804386259</v>
      </c>
      <c r="FE63" s="36">
        <f t="shared" ca="1" si="153"/>
        <v>47.426665095317922</v>
      </c>
      <c r="FF63" s="36">
        <f t="shared" ca="1" si="153"/>
        <v>46.868955480650904</v>
      </c>
      <c r="FG63" s="36">
        <f t="shared" ca="1" si="153"/>
        <v>47.015149538377237</v>
      </c>
      <c r="FH63" s="36">
        <f t="shared" ca="1" si="153"/>
        <v>47.437649906707861</v>
      </c>
      <c r="FI63" s="36">
        <f t="shared" ca="1" si="153"/>
        <v>48.446769024878222</v>
      </c>
      <c r="FJ63" s="36">
        <f t="shared" ca="1" si="153"/>
        <v>48.098457755212074</v>
      </c>
      <c r="FK63" s="36">
        <f t="shared" ca="1" si="153"/>
        <v>47.539687357832378</v>
      </c>
      <c r="FL63" s="36">
        <f t="shared" ca="1" si="153"/>
        <v>48.112247553355246</v>
      </c>
      <c r="FM63" s="36">
        <f t="shared" ca="1" si="153"/>
        <v>48.866380106779168</v>
      </c>
      <c r="FN63" s="36">
        <f t="shared" ca="1" si="153"/>
        <v>48.591541254542776</v>
      </c>
      <c r="FO63" s="36">
        <f t="shared" ca="1" si="153"/>
        <v>49.962868708541713</v>
      </c>
      <c r="FP63" s="36">
        <f t="shared" ca="1" si="153"/>
        <v>50.730765229258211</v>
      </c>
      <c r="FQ63" s="36">
        <f t="shared" ca="1" si="153"/>
        <v>50.831478086557055</v>
      </c>
      <c r="FR63" s="36">
        <f t="shared" ca="1" si="153"/>
        <v>50.804995230789849</v>
      </c>
      <c r="FS63" s="36">
        <f t="shared" ca="1" si="153"/>
        <v>51.4147992271579</v>
      </c>
      <c r="FT63" s="36">
        <f t="shared" ca="1" si="153"/>
        <v>51.762115084274427</v>
      </c>
      <c r="FU63" s="36">
        <f t="shared" ca="1" si="153"/>
        <v>51.784366489757467</v>
      </c>
      <c r="FV63" s="36">
        <f t="shared" ca="1" si="153"/>
        <v>50.867002981539372</v>
      </c>
      <c r="FW63" s="36">
        <f t="shared" ca="1" si="153"/>
        <v>51.922317774265601</v>
      </c>
      <c r="FX63" s="36">
        <f t="shared" ca="1" si="153"/>
        <v>52.550568464453242</v>
      </c>
      <c r="FY63" s="36">
        <f t="shared" ca="1" si="153"/>
        <v>52.516067751683138</v>
      </c>
      <c r="FZ63" s="36">
        <f t="shared" ca="1" si="153"/>
        <v>54.2336836078997</v>
      </c>
      <c r="GA63" s="36">
        <f t="shared" ca="1" si="153"/>
        <v>53.205144940680739</v>
      </c>
      <c r="GB63" s="36">
        <f t="shared" ca="1" si="153"/>
        <v>53.937583298343235</v>
      </c>
      <c r="GC63" s="36">
        <f t="shared" ca="1" si="153"/>
        <v>53.065121178314435</v>
      </c>
      <c r="GD63" s="36">
        <f t="shared" ca="1" si="153"/>
        <v>52.614858063572804</v>
      </c>
      <c r="GE63" s="36">
        <f t="shared" ca="1" si="153"/>
        <v>52.684627798913951</v>
      </c>
      <c r="GF63" s="36">
        <f t="shared" ca="1" si="153"/>
        <v>52.02357058240181</v>
      </c>
      <c r="GG63" s="36">
        <f t="shared" ca="1" si="153"/>
        <v>52.899312016324487</v>
      </c>
      <c r="GH63" s="36">
        <f t="shared" ca="1" si="153"/>
        <v>52.975701721091845</v>
      </c>
      <c r="GI63" s="36">
        <f t="shared" ca="1" si="153"/>
        <v>52.735578262626554</v>
      </c>
      <c r="GJ63" s="36">
        <f t="shared" ca="1" si="153"/>
        <v>52.384880786822968</v>
      </c>
      <c r="GK63" s="36">
        <f t="shared" ca="1" si="153"/>
        <v>52.138063887729501</v>
      </c>
      <c r="GL63" s="36">
        <f t="shared" ca="1" si="153"/>
        <v>51.389278831738018</v>
      </c>
      <c r="GM63" s="36">
        <f t="shared" ca="1" si="153"/>
        <v>51.955130991298454</v>
      </c>
      <c r="GN63" s="36">
        <f t="shared" ca="1" si="153"/>
        <v>51.935313674550628</v>
      </c>
      <c r="GO63" s="36">
        <f t="shared" ca="1" si="153"/>
        <v>52.931136953854732</v>
      </c>
      <c r="GP63" s="36">
        <f t="shared" ca="1" si="153"/>
        <v>52.216149229960706</v>
      </c>
      <c r="GQ63" s="36">
        <f t="shared" ca="1" si="153"/>
        <v>51.872591895574381</v>
      </c>
      <c r="GR63" s="36">
        <f t="shared" ca="1" si="153"/>
        <v>51.326040346751832</v>
      </c>
      <c r="GS63" s="36">
        <f t="shared" ca="1" si="153"/>
        <v>51.074833861174461</v>
      </c>
      <c r="GT63" s="36">
        <f t="shared" ca="1" si="153"/>
        <v>50.859515959975127</v>
      </c>
      <c r="GU63" s="36">
        <f t="shared" ca="1" si="153"/>
        <v>50.777723286012701</v>
      </c>
      <c r="GV63" s="36">
        <f t="shared" ca="1" si="153"/>
        <v>51.156420664707781</v>
      </c>
      <c r="GW63" s="36">
        <f t="shared" ca="1" si="153"/>
        <v>51.012635967512004</v>
      </c>
      <c r="GX63" s="36">
        <f t="shared" ca="1" si="153"/>
        <v>50.145279510505183</v>
      </c>
      <c r="GY63" s="36">
        <f t="shared" ca="1" si="153"/>
        <v>48.874608759738742</v>
      </c>
      <c r="GZ63" s="36">
        <f t="shared" ca="1" si="153"/>
        <v>48.771208875267796</v>
      </c>
      <c r="HA63" s="36">
        <f t="shared" ca="1" si="153"/>
        <v>48.66938401925534</v>
      </c>
      <c r="HB63" s="36">
        <f t="shared" ca="1" si="153"/>
        <v>48.692168161883053</v>
      </c>
      <c r="HC63" s="36">
        <f t="shared" ca="1" si="153"/>
        <v>48.073682721206005</v>
      </c>
      <c r="HD63" s="36">
        <f t="shared" ca="1" si="153"/>
        <v>48.517666935335868</v>
      </c>
      <c r="HE63" s="36">
        <f t="shared" ca="1" si="153"/>
        <v>47.949842156448817</v>
      </c>
      <c r="HF63" s="36">
        <f t="shared" ca="1" si="153"/>
        <v>47.968204069716478</v>
      </c>
      <c r="HG63" s="36">
        <f t="shared" ca="1" si="153"/>
        <v>48.226280917730811</v>
      </c>
      <c r="HH63" s="36">
        <f t="shared" ca="1" si="153"/>
        <v>48.581591861442774</v>
      </c>
      <c r="HI63" s="36">
        <f t="shared" ca="1" si="151"/>
        <v>49.060613760088422</v>
      </c>
      <c r="HJ63" s="36">
        <f t="shared" ca="1" si="151"/>
        <v>49.613521736792073</v>
      </c>
      <c r="HK63" s="36">
        <f t="shared" ca="1" si="151"/>
        <v>50.232644546522636</v>
      </c>
      <c r="HL63" s="36">
        <f t="shared" ref="HL63:HT63" ca="1" si="154">HK63*EXP(($B$3-$B$4^2/2)*1+$B$4*_xlfn.NORM.S.INV(RAND()))</f>
        <v>49.92325094800465</v>
      </c>
      <c r="HM63" s="36">
        <f t="shared" ca="1" si="154"/>
        <v>50.34520317600618</v>
      </c>
      <c r="HN63" s="36">
        <f t="shared" ca="1" si="154"/>
        <v>49.663273268826693</v>
      </c>
      <c r="HO63" s="36">
        <f t="shared" ca="1" si="154"/>
        <v>49.661571859272833</v>
      </c>
      <c r="HP63" s="36">
        <f t="shared" ca="1" si="154"/>
        <v>50.251858688551813</v>
      </c>
      <c r="HQ63" s="36">
        <f t="shared" ca="1" si="154"/>
        <v>50.44124889829132</v>
      </c>
      <c r="HR63" s="36">
        <f t="shared" ca="1" si="154"/>
        <v>51.043296619393409</v>
      </c>
      <c r="HS63" s="36">
        <f t="shared" ca="1" si="154"/>
        <v>49.887428146033812</v>
      </c>
      <c r="HT63" s="36">
        <f t="shared" ca="1" si="154"/>
        <v>50.595322861784908</v>
      </c>
      <c r="HU63" s="36">
        <f t="shared" ca="1" si="128"/>
        <v>51.064052318704441</v>
      </c>
      <c r="HV63" s="36">
        <f t="shared" ca="1" si="128"/>
        <v>50.744639132432276</v>
      </c>
      <c r="HW63" s="36">
        <f t="shared" ca="1" si="128"/>
        <v>50.963183122779</v>
      </c>
      <c r="HX63" s="36">
        <f t="shared" ca="1" si="128"/>
        <v>50.871193723300841</v>
      </c>
      <c r="HY63" s="36">
        <f t="shared" ca="1" si="129"/>
        <v>50.744980334950185</v>
      </c>
      <c r="HZ63" s="36">
        <f t="shared" ca="1" si="129"/>
        <v>50.325537851524025</v>
      </c>
      <c r="IA63" s="36">
        <f t="shared" ca="1" si="129"/>
        <v>49.554490860474871</v>
      </c>
      <c r="IB63" s="36">
        <f t="shared" ca="1" si="129"/>
        <v>50.674922408792995</v>
      </c>
      <c r="IC63" s="36">
        <f t="shared" ca="1" si="129"/>
        <v>50.509249988580272</v>
      </c>
      <c r="ID63" s="36">
        <f t="shared" ca="1" si="129"/>
        <v>50.264551374085904</v>
      </c>
      <c r="IE63" s="36">
        <f t="shared" ca="1" si="129"/>
        <v>49.743919991936657</v>
      </c>
      <c r="IF63" s="36">
        <f t="shared" ca="1" si="129"/>
        <v>50.22444140932776</v>
      </c>
      <c r="IG63" s="36">
        <f t="shared" ca="1" si="129"/>
        <v>49.393088171829383</v>
      </c>
      <c r="IH63" s="36">
        <f t="shared" ca="1" si="129"/>
        <v>48.439145651290154</v>
      </c>
      <c r="II63" s="36">
        <f t="shared" ca="1" si="129"/>
        <v>47.71178974861553</v>
      </c>
      <c r="IJ63" s="36">
        <f t="shared" ca="1" si="129"/>
        <v>47.260751091078966</v>
      </c>
      <c r="IK63" s="36">
        <f t="shared" ca="1" si="129"/>
        <v>47.409531601217324</v>
      </c>
      <c r="IL63" s="36">
        <f t="shared" ca="1" si="129"/>
        <v>46.837506157998519</v>
      </c>
      <c r="IM63" s="36">
        <f t="shared" ca="1" si="129"/>
        <v>46.989296199440993</v>
      </c>
      <c r="IN63" s="36">
        <f t="shared" ca="1" si="129"/>
        <v>46.656378149076239</v>
      </c>
      <c r="IO63" s="36">
        <f t="shared" ca="1" si="129"/>
        <v>47.38127513643331</v>
      </c>
      <c r="IP63" s="36">
        <f t="shared" ca="1" si="129"/>
        <v>48.160018980965567</v>
      </c>
      <c r="IQ63" s="36">
        <f t="shared" ca="1" si="129"/>
        <v>48.346686153707019</v>
      </c>
      <c r="IR63" s="36">
        <f t="shared" ca="1" si="129"/>
        <v>48.450666947003235</v>
      </c>
      <c r="IS63" s="36">
        <f t="shared" ca="1" si="129"/>
        <v>48.441087414691864</v>
      </c>
      <c r="IT63" s="36">
        <f t="shared" ca="1" si="129"/>
        <v>49.129231517671528</v>
      </c>
      <c r="IU63" s="36">
        <f t="shared" ca="1" si="129"/>
        <v>48.554785535729906</v>
      </c>
    </row>
    <row r="64" spans="1:255" x14ac:dyDescent="0.2">
      <c r="A64" s="36"/>
      <c r="B64">
        <v>54</v>
      </c>
      <c r="C64" s="36">
        <v>50</v>
      </c>
      <c r="D64" s="36">
        <f t="shared" ca="1" si="14"/>
        <v>50.50169868379998</v>
      </c>
      <c r="E64" s="36">
        <f t="shared" ca="1" si="14"/>
        <v>50.465651109575866</v>
      </c>
      <c r="F64" s="36">
        <f t="shared" ca="1" si="149"/>
        <v>49.969103608824398</v>
      </c>
      <c r="G64" s="36">
        <f t="shared" ca="1" si="149"/>
        <v>50.039657231384304</v>
      </c>
      <c r="H64" s="36">
        <f t="shared" ca="1" si="149"/>
        <v>49.703678425567375</v>
      </c>
      <c r="I64" s="36">
        <f t="shared" ca="1" si="149"/>
        <v>48.984528387186579</v>
      </c>
      <c r="J64" s="36">
        <f t="shared" ca="1" si="149"/>
        <v>49.385362607991709</v>
      </c>
      <c r="K64" s="36">
        <f t="shared" ca="1" si="149"/>
        <v>49.682274704978518</v>
      </c>
      <c r="L64" s="36">
        <f t="shared" ca="1" si="149"/>
        <v>49.439190508599246</v>
      </c>
      <c r="M64" s="36">
        <f t="shared" ca="1" si="149"/>
        <v>49.135516727496928</v>
      </c>
      <c r="N64" s="36">
        <f t="shared" ca="1" si="149"/>
        <v>49.202870010459833</v>
      </c>
      <c r="O64" s="36">
        <f t="shared" ca="1" si="149"/>
        <v>49.790572745026722</v>
      </c>
      <c r="P64" s="36">
        <f t="shared" ca="1" si="149"/>
        <v>49.199854484544247</v>
      </c>
      <c r="Q64" s="36">
        <f t="shared" ca="1" si="149"/>
        <v>48.516121832165311</v>
      </c>
      <c r="R64" s="36">
        <f t="shared" ca="1" si="149"/>
        <v>48.443158387865367</v>
      </c>
      <c r="S64" s="36">
        <f t="shared" ca="1" si="149"/>
        <v>47.904982475107381</v>
      </c>
      <c r="T64" s="36">
        <f t="shared" ca="1" si="149"/>
        <v>47.771114872126915</v>
      </c>
      <c r="U64" s="36">
        <f t="shared" ca="1" si="149"/>
        <v>47.837697031300934</v>
      </c>
      <c r="V64" s="36">
        <f t="shared" ca="1" si="149"/>
        <v>47.401392414712653</v>
      </c>
      <c r="W64" s="36">
        <f t="shared" ca="1" si="149"/>
        <v>47.5380416651658</v>
      </c>
      <c r="X64" s="36">
        <f t="shared" ca="1" si="149"/>
        <v>47.890601090736865</v>
      </c>
      <c r="Y64" s="36">
        <f t="shared" ca="1" si="149"/>
        <v>47.996638602917706</v>
      </c>
      <c r="Z64" s="36">
        <f t="shared" ca="1" si="149"/>
        <v>47.540237966228524</v>
      </c>
      <c r="AA64" s="36">
        <f t="shared" ca="1" si="149"/>
        <v>47.430427526876414</v>
      </c>
      <c r="AB64" s="36">
        <f t="shared" ca="1" si="149"/>
        <v>47.271599917465799</v>
      </c>
      <c r="AC64" s="36">
        <f t="shared" ca="1" si="149"/>
        <v>46.908245027168782</v>
      </c>
      <c r="AD64" s="36">
        <f t="shared" ca="1" si="149"/>
        <v>48.007379752986935</v>
      </c>
      <c r="AE64" s="36">
        <f t="shared" ca="1" si="149"/>
        <v>48.114085486910469</v>
      </c>
      <c r="AF64" s="36">
        <f t="shared" ca="1" si="149"/>
        <v>48.784713650140276</v>
      </c>
      <c r="AG64" s="36">
        <f t="shared" ca="1" si="149"/>
        <v>48.946417630554286</v>
      </c>
      <c r="AH64" s="36">
        <f t="shared" ca="1" si="149"/>
        <v>49.928683733009017</v>
      </c>
      <c r="AI64" s="36">
        <f t="shared" ca="1" si="149"/>
        <v>50.603662112588431</v>
      </c>
      <c r="AJ64" s="36">
        <f t="shared" ca="1" si="149"/>
        <v>51.041189488999599</v>
      </c>
      <c r="AK64" s="36">
        <f t="shared" ca="1" si="149"/>
        <v>51.220508123433568</v>
      </c>
      <c r="AL64" s="36">
        <f t="shared" ca="1" si="149"/>
        <v>51.538715720771734</v>
      </c>
      <c r="AM64" s="36">
        <f t="shared" ca="1" si="149"/>
        <v>52.750613500551118</v>
      </c>
      <c r="AN64" s="36">
        <f t="shared" ca="1" si="149"/>
        <v>51.843501582768603</v>
      </c>
      <c r="AO64" s="36">
        <f t="shared" ca="1" si="149"/>
        <v>52.943606809927743</v>
      </c>
      <c r="AP64" s="36">
        <f t="shared" ca="1" si="149"/>
        <v>53.710599561055659</v>
      </c>
      <c r="AQ64" s="36">
        <f t="shared" ca="1" si="149"/>
        <v>53.980664762485127</v>
      </c>
      <c r="AR64" s="36">
        <f t="shared" ca="1" si="149"/>
        <v>54.156251418298197</v>
      </c>
      <c r="AS64" s="36">
        <f t="shared" ca="1" si="149"/>
        <v>53.304988873604479</v>
      </c>
      <c r="AT64" s="36">
        <f t="shared" ca="1" si="149"/>
        <v>53.057018738923524</v>
      </c>
      <c r="AU64" s="36">
        <f t="shared" ca="1" si="149"/>
        <v>53.443063165615037</v>
      </c>
      <c r="AV64" s="36">
        <f t="shared" ca="1" si="149"/>
        <v>54.966511358796026</v>
      </c>
      <c r="AW64" s="36">
        <f t="shared" ca="1" si="149"/>
        <v>55.27526346064424</v>
      </c>
      <c r="AX64" s="36">
        <f t="shared" ca="1" si="149"/>
        <v>55.248721172325013</v>
      </c>
      <c r="AY64" s="36">
        <f t="shared" ca="1" si="149"/>
        <v>54.727922565080327</v>
      </c>
      <c r="AZ64" s="36">
        <f t="shared" ca="1" si="149"/>
        <v>54.49176137829263</v>
      </c>
      <c r="BA64" s="36">
        <f t="shared" ca="1" si="149"/>
        <v>54.507486374084365</v>
      </c>
      <c r="BB64" s="36">
        <f t="shared" ca="1" si="149"/>
        <v>55.624562927713626</v>
      </c>
      <c r="BC64" s="36">
        <f t="shared" ca="1" si="149"/>
        <v>56.793783428824746</v>
      </c>
      <c r="BD64" s="36">
        <f t="shared" ca="1" si="149"/>
        <v>58.122156668411193</v>
      </c>
      <c r="BE64" s="36">
        <f t="shared" ca="1" si="149"/>
        <v>57.762262186596089</v>
      </c>
      <c r="BF64" s="36">
        <f t="shared" ca="1" si="149"/>
        <v>56.922943942673626</v>
      </c>
      <c r="BG64" s="36">
        <f t="shared" ca="1" si="149"/>
        <v>56.513812378679333</v>
      </c>
      <c r="BH64" s="36">
        <f t="shared" ca="1" si="149"/>
        <v>56.861108747077573</v>
      </c>
      <c r="BI64" s="36">
        <f t="shared" ca="1" si="149"/>
        <v>57.756794693315022</v>
      </c>
      <c r="BJ64" s="36">
        <f t="shared" ca="1" si="149"/>
        <v>58.127462886216172</v>
      </c>
      <c r="BK64" s="36">
        <f t="shared" ca="1" si="149"/>
        <v>57.310026212478725</v>
      </c>
      <c r="BL64" s="36">
        <f t="shared" ca="1" si="149"/>
        <v>56.802178600783883</v>
      </c>
      <c r="BM64" s="36">
        <f t="shared" ca="1" si="149"/>
        <v>55.154273891135652</v>
      </c>
      <c r="BN64" s="36">
        <f t="shared" ca="1" si="149"/>
        <v>54.171732010392802</v>
      </c>
      <c r="BO64" s="36">
        <f t="shared" ca="1" si="149"/>
        <v>54.109233327877462</v>
      </c>
      <c r="BP64" s="36">
        <f t="shared" ca="1" si="149"/>
        <v>54.704135264275912</v>
      </c>
      <c r="BQ64" s="36">
        <f t="shared" ca="1" si="149"/>
        <v>55.55064170454758</v>
      </c>
      <c r="BR64" s="36">
        <f t="shared" ca="1" si="146"/>
        <v>57.755253407171949</v>
      </c>
      <c r="BS64" s="36">
        <f t="shared" ca="1" si="146"/>
        <v>58.670585085976739</v>
      </c>
      <c r="BT64" s="36">
        <f t="shared" ca="1" si="146"/>
        <v>58.209837653035954</v>
      </c>
      <c r="BU64" s="36">
        <f t="shared" ca="1" si="146"/>
        <v>57.763182287908947</v>
      </c>
      <c r="BV64" s="36">
        <f t="shared" ca="1" si="146"/>
        <v>57.928094418641244</v>
      </c>
      <c r="BW64" s="36">
        <f t="shared" ca="1" si="146"/>
        <v>58.044809712998635</v>
      </c>
      <c r="BX64" s="36">
        <f t="shared" ca="1" si="146"/>
        <v>57.405048368137784</v>
      </c>
      <c r="BY64" s="36">
        <f t="shared" ca="1" si="146"/>
        <v>57.657377920965182</v>
      </c>
      <c r="BZ64" s="36">
        <f t="shared" ca="1" si="146"/>
        <v>58.153053191072402</v>
      </c>
      <c r="CA64" s="36">
        <f t="shared" ca="1" si="146"/>
        <v>58.430740243348673</v>
      </c>
      <c r="CB64" s="36">
        <f t="shared" ca="1" si="146"/>
        <v>59.114542615707663</v>
      </c>
      <c r="CC64" s="36">
        <f t="shared" ca="1" si="146"/>
        <v>58.733237241966691</v>
      </c>
      <c r="CD64" s="36">
        <f t="shared" ca="1" si="146"/>
        <v>58.728569187540749</v>
      </c>
      <c r="CE64" s="36">
        <f t="shared" ca="1" si="146"/>
        <v>58.297898206258395</v>
      </c>
      <c r="CF64" s="36">
        <f t="shared" ca="1" si="146"/>
        <v>58.660760793856987</v>
      </c>
      <c r="CG64" s="36">
        <f t="shared" ca="1" si="146"/>
        <v>58.098526238063172</v>
      </c>
      <c r="CH64" s="36">
        <f t="shared" ca="1" si="146"/>
        <v>58.950657774364828</v>
      </c>
      <c r="CI64" s="36">
        <f t="shared" ca="1" si="146"/>
        <v>59.136416884376487</v>
      </c>
      <c r="CJ64" s="36">
        <f t="shared" ca="1" si="146"/>
        <v>58.23944174409624</v>
      </c>
      <c r="CK64" s="36">
        <f t="shared" ca="1" si="146"/>
        <v>58.198913654129534</v>
      </c>
      <c r="CL64" s="36">
        <f t="shared" ca="1" si="146"/>
        <v>57.897653636212198</v>
      </c>
      <c r="CM64" s="36">
        <f t="shared" ca="1" si="146"/>
        <v>56.894899566269252</v>
      </c>
      <c r="CN64" s="36">
        <f t="shared" ca="1" si="146"/>
        <v>57.071214250538013</v>
      </c>
      <c r="CO64" s="36">
        <f t="shared" ca="1" si="146"/>
        <v>57.368044534833125</v>
      </c>
      <c r="CP64" s="36">
        <f t="shared" ca="1" si="146"/>
        <v>57.5280450382769</v>
      </c>
      <c r="CQ64" s="36">
        <f t="shared" ca="1" si="146"/>
        <v>58.474117134639869</v>
      </c>
      <c r="CR64" s="36">
        <f t="shared" ca="1" si="146"/>
        <v>56.367435385750632</v>
      </c>
      <c r="CS64" s="36">
        <f t="shared" ca="1" si="146"/>
        <v>56.623241997489913</v>
      </c>
      <c r="CT64" s="36">
        <f t="shared" ca="1" si="146"/>
        <v>56.513664346466669</v>
      </c>
      <c r="CU64" s="36">
        <f t="shared" ca="1" si="146"/>
        <v>56.60914041537864</v>
      </c>
      <c r="CV64" s="36">
        <f t="shared" ca="1" si="146"/>
        <v>57.648130786953544</v>
      </c>
      <c r="CW64" s="36">
        <f t="shared" ca="1" si="146"/>
        <v>58.353701732082023</v>
      </c>
      <c r="CX64" s="36">
        <f t="shared" ca="1" si="146"/>
        <v>56.46895771516099</v>
      </c>
      <c r="CY64" s="36">
        <f t="shared" ca="1" si="146"/>
        <v>56.807737347586489</v>
      </c>
      <c r="CZ64" s="36">
        <f t="shared" ca="1" si="146"/>
        <v>55.672865995171257</v>
      </c>
      <c r="DA64" s="36">
        <f t="shared" ca="1" si="146"/>
        <v>56.182790915045715</v>
      </c>
      <c r="DB64" s="36">
        <f t="shared" ca="1" si="146"/>
        <v>56.430641351132124</v>
      </c>
      <c r="DC64" s="36">
        <f t="shared" ca="1" si="146"/>
        <v>56.431839039007421</v>
      </c>
      <c r="DD64" s="36">
        <f t="shared" ca="1" si="146"/>
        <v>57.16206560278421</v>
      </c>
      <c r="DE64" s="36">
        <f t="shared" ca="1" si="146"/>
        <v>57.385043394188173</v>
      </c>
      <c r="DF64" s="36">
        <f t="shared" ca="1" si="146"/>
        <v>57.46935261006476</v>
      </c>
      <c r="DG64" s="36">
        <f t="shared" ca="1" si="146"/>
        <v>58.486330496735015</v>
      </c>
      <c r="DH64" s="36">
        <f t="shared" ca="1" si="146"/>
        <v>58.535842858064591</v>
      </c>
      <c r="DI64" s="36">
        <f t="shared" ca="1" si="146"/>
        <v>58.23742818919839</v>
      </c>
      <c r="DJ64" s="36">
        <f t="shared" ca="1" si="146"/>
        <v>58.224466187652411</v>
      </c>
      <c r="DK64" s="36">
        <f t="shared" ca="1" si="146"/>
        <v>58.835280435648514</v>
      </c>
      <c r="DL64" s="36">
        <f t="shared" ca="1" si="146"/>
        <v>58.788343566083689</v>
      </c>
      <c r="DM64" s="36">
        <f t="shared" ca="1" si="146"/>
        <v>58.617308582263327</v>
      </c>
      <c r="DN64" s="36">
        <f t="shared" ca="1" si="146"/>
        <v>58.29294994147341</v>
      </c>
      <c r="DO64" s="36">
        <f t="shared" ca="1" si="146"/>
        <v>59.311876988345269</v>
      </c>
      <c r="DP64" s="36">
        <f t="shared" ca="1" si="146"/>
        <v>58.845747417239693</v>
      </c>
      <c r="DQ64" s="36">
        <f t="shared" ca="1" si="146"/>
        <v>59.612906926612979</v>
      </c>
      <c r="DR64" s="36">
        <f t="shared" ca="1" si="146"/>
        <v>60.057597483691843</v>
      </c>
      <c r="DS64" s="36">
        <f t="shared" ca="1" si="146"/>
        <v>60.839994858445003</v>
      </c>
      <c r="DT64" s="36">
        <f t="shared" ca="1" si="146"/>
        <v>59.679467599736292</v>
      </c>
      <c r="DU64" s="36">
        <f t="shared" ca="1" si="146"/>
        <v>60.76186294331783</v>
      </c>
      <c r="DV64" s="36">
        <f t="shared" ca="1" si="146"/>
        <v>61.277555560089908</v>
      </c>
      <c r="DW64" s="36">
        <f t="shared" ca="1" si="146"/>
        <v>59.977237320349303</v>
      </c>
      <c r="DX64" s="36">
        <f t="shared" ca="1" si="146"/>
        <v>60.607741322773485</v>
      </c>
      <c r="DY64" s="36">
        <f t="shared" ca="1" si="146"/>
        <v>60.237087461711901</v>
      </c>
      <c r="DZ64" s="36">
        <f t="shared" ca="1" si="146"/>
        <v>59.749900085261523</v>
      </c>
      <c r="EA64" s="36">
        <f t="shared" ca="1" si="146"/>
        <v>59.538988970291314</v>
      </c>
      <c r="EB64" s="36">
        <f t="shared" ca="1" si="146"/>
        <v>59.630192011459883</v>
      </c>
      <c r="EC64" s="36">
        <f t="shared" ca="1" si="139"/>
        <v>58.963583085906272</v>
      </c>
      <c r="ED64" s="36">
        <f t="shared" ca="1" si="139"/>
        <v>59.43063847856763</v>
      </c>
      <c r="EE64" s="36">
        <f t="shared" ca="1" si="139"/>
        <v>60.674615895041732</v>
      </c>
      <c r="EF64" s="36">
        <f t="shared" ca="1" si="139"/>
        <v>61.449584438031181</v>
      </c>
      <c r="EG64" s="36">
        <f t="shared" ca="1" si="139"/>
        <v>60.128176204882863</v>
      </c>
      <c r="EH64" s="36">
        <f t="shared" ca="1" si="139"/>
        <v>58.612272595510596</v>
      </c>
      <c r="EI64" s="36">
        <f t="shared" ca="1" si="139"/>
        <v>57.610003521825774</v>
      </c>
      <c r="EJ64" s="36">
        <f t="shared" ca="1" si="139"/>
        <v>57.11365148057201</v>
      </c>
      <c r="EK64" s="36">
        <f t="shared" ca="1" si="139"/>
        <v>57.201795575929317</v>
      </c>
      <c r="EL64" s="36">
        <f t="shared" ca="1" si="139"/>
        <v>56.819035212305621</v>
      </c>
      <c r="EM64" s="36">
        <f t="shared" ca="1" si="139"/>
        <v>57.71643431764619</v>
      </c>
      <c r="EN64" s="36">
        <f t="shared" ca="1" si="139"/>
        <v>58.127623037089684</v>
      </c>
      <c r="EO64" s="36">
        <f t="shared" ca="1" si="139"/>
        <v>58.503291565638463</v>
      </c>
      <c r="EP64" s="36">
        <f t="shared" ca="1" si="139"/>
        <v>58.291249681580318</v>
      </c>
      <c r="EQ64" s="36">
        <f t="shared" ca="1" si="139"/>
        <v>58.9607183853484</v>
      </c>
      <c r="ER64" s="36">
        <f t="shared" ca="1" si="139"/>
        <v>59.813964260541503</v>
      </c>
      <c r="ES64" s="36">
        <f t="shared" ca="1" si="139"/>
        <v>59.839677902667596</v>
      </c>
      <c r="ET64" s="36">
        <f t="shared" ca="1" si="139"/>
        <v>59.303916123531813</v>
      </c>
      <c r="EU64" s="36">
        <f t="shared" ca="1" si="139"/>
        <v>58.442479078746295</v>
      </c>
      <c r="EV64" s="36">
        <f t="shared" ca="1" si="139"/>
        <v>59.140035293017775</v>
      </c>
      <c r="EW64" s="36">
        <f t="shared" ref="EW64" ca="1" si="155">EV64*EXP(($B$3-$B$4^2/2)*1+$B$4*_xlfn.NORM.S.INV(RAND()))</f>
        <v>59.704669817063284</v>
      </c>
      <c r="EX64" s="36">
        <f t="shared" ca="1" si="153"/>
        <v>58.138448266873397</v>
      </c>
      <c r="EY64" s="36">
        <f t="shared" ca="1" si="153"/>
        <v>58.751111617061419</v>
      </c>
      <c r="EZ64" s="36">
        <f t="shared" ca="1" si="153"/>
        <v>59.073616988502103</v>
      </c>
      <c r="FA64" s="36">
        <f t="shared" ca="1" si="153"/>
        <v>59.851631750013304</v>
      </c>
      <c r="FB64" s="36">
        <f t="shared" ca="1" si="153"/>
        <v>61.007762382481431</v>
      </c>
      <c r="FC64" s="36">
        <f t="shared" ca="1" si="153"/>
        <v>60.40498579285326</v>
      </c>
      <c r="FD64" s="36">
        <f t="shared" ca="1" si="153"/>
        <v>59.237030381985988</v>
      </c>
      <c r="FE64" s="36">
        <f t="shared" ca="1" si="153"/>
        <v>59.297121145041771</v>
      </c>
      <c r="FF64" s="36">
        <f t="shared" ca="1" si="153"/>
        <v>60.39091701088617</v>
      </c>
      <c r="FG64" s="36">
        <f t="shared" ca="1" si="153"/>
        <v>60.651570067824217</v>
      </c>
      <c r="FH64" s="36">
        <f t="shared" ca="1" si="153"/>
        <v>60.409683365346247</v>
      </c>
      <c r="FI64" s="36">
        <f t="shared" ca="1" si="153"/>
        <v>59.892499717239176</v>
      </c>
      <c r="FJ64" s="36">
        <f t="shared" ca="1" si="153"/>
        <v>58.39873228500533</v>
      </c>
      <c r="FK64" s="36">
        <f t="shared" ca="1" si="153"/>
        <v>58.350446793052704</v>
      </c>
      <c r="FL64" s="36">
        <f t="shared" ca="1" si="153"/>
        <v>57.343517138915956</v>
      </c>
      <c r="FM64" s="36">
        <f t="shared" ca="1" si="153"/>
        <v>56.86355062760579</v>
      </c>
      <c r="FN64" s="36">
        <f t="shared" ca="1" si="153"/>
        <v>55.884478387467063</v>
      </c>
      <c r="FO64" s="36">
        <f t="shared" ca="1" si="153"/>
        <v>55.564644104805289</v>
      </c>
      <c r="FP64" s="36">
        <f t="shared" ca="1" si="153"/>
        <v>55.886437461357957</v>
      </c>
      <c r="FQ64" s="36">
        <f t="shared" ca="1" si="153"/>
        <v>55.705455656087317</v>
      </c>
      <c r="FR64" s="36">
        <f t="shared" ca="1" si="153"/>
        <v>55.227006987061053</v>
      </c>
      <c r="FS64" s="36">
        <f t="shared" ca="1" si="153"/>
        <v>54.085202785746894</v>
      </c>
      <c r="FT64" s="36">
        <f t="shared" ca="1" si="153"/>
        <v>54.109881385034598</v>
      </c>
      <c r="FU64" s="36">
        <f t="shared" ca="1" si="153"/>
        <v>53.925796299820348</v>
      </c>
      <c r="FV64" s="36">
        <f t="shared" ca="1" si="153"/>
        <v>53.209647474222201</v>
      </c>
      <c r="FW64" s="36">
        <f t="shared" ca="1" si="153"/>
        <v>52.830541540115277</v>
      </c>
      <c r="FX64" s="36">
        <f t="shared" ca="1" si="153"/>
        <v>53.371045046801648</v>
      </c>
      <c r="FY64" s="36">
        <f t="shared" ca="1" si="153"/>
        <v>53.564581077607869</v>
      </c>
      <c r="FZ64" s="36">
        <f t="shared" ca="1" si="153"/>
        <v>53.67598809337818</v>
      </c>
      <c r="GA64" s="36">
        <f t="shared" ca="1" si="153"/>
        <v>54.723541943153919</v>
      </c>
      <c r="GB64" s="36">
        <f t="shared" ca="1" si="153"/>
        <v>54.131093073472272</v>
      </c>
      <c r="GC64" s="36">
        <f t="shared" ca="1" si="153"/>
        <v>54.328276378614504</v>
      </c>
      <c r="GD64" s="36">
        <f t="shared" ca="1" si="153"/>
        <v>55.320224308393321</v>
      </c>
      <c r="GE64" s="36">
        <f t="shared" ca="1" si="153"/>
        <v>54.207277996645821</v>
      </c>
      <c r="GF64" s="36">
        <f t="shared" ca="1" si="153"/>
        <v>53.038649661828906</v>
      </c>
      <c r="GG64" s="36">
        <f t="shared" ca="1" si="153"/>
        <v>52.915711941905485</v>
      </c>
      <c r="GH64" s="36">
        <f t="shared" ca="1" si="153"/>
        <v>53.071759028347095</v>
      </c>
      <c r="GI64" s="36">
        <f t="shared" ca="1" si="153"/>
        <v>53.335992656076535</v>
      </c>
      <c r="GJ64" s="36">
        <f t="shared" ca="1" si="153"/>
        <v>53.085919985270948</v>
      </c>
      <c r="GK64" s="36">
        <f t="shared" ca="1" si="153"/>
        <v>53.223214798409863</v>
      </c>
      <c r="GL64" s="36">
        <f t="shared" ca="1" si="153"/>
        <v>53.844173534776608</v>
      </c>
      <c r="GM64" s="36">
        <f t="shared" ca="1" si="153"/>
        <v>54.004536521796069</v>
      </c>
      <c r="GN64" s="36">
        <f t="shared" ca="1" si="153"/>
        <v>53.375243785520681</v>
      </c>
      <c r="GO64" s="36">
        <f t="shared" ca="1" si="153"/>
        <v>53.792443268852765</v>
      </c>
      <c r="GP64" s="36">
        <f t="shared" ca="1" si="153"/>
        <v>53.555803448472368</v>
      </c>
      <c r="GQ64" s="36">
        <f t="shared" ca="1" si="153"/>
        <v>52.506098234580364</v>
      </c>
      <c r="GR64" s="36">
        <f t="shared" ca="1" si="153"/>
        <v>52.106242676214578</v>
      </c>
      <c r="GS64" s="36">
        <f t="shared" ca="1" si="153"/>
        <v>52.341414595355509</v>
      </c>
      <c r="GT64" s="36">
        <f t="shared" ca="1" si="153"/>
        <v>52.674509391596899</v>
      </c>
      <c r="GU64" s="36">
        <f t="shared" ca="1" si="153"/>
        <v>51.968934755978971</v>
      </c>
      <c r="GV64" s="36">
        <f t="shared" ca="1" si="153"/>
        <v>51.828739334133552</v>
      </c>
      <c r="GW64" s="36">
        <f t="shared" ca="1" si="153"/>
        <v>51.86138056319453</v>
      </c>
      <c r="GX64" s="36">
        <f t="shared" ca="1" si="153"/>
        <v>51.26776763529616</v>
      </c>
      <c r="GY64" s="36">
        <f t="shared" ca="1" si="153"/>
        <v>50.597914386703529</v>
      </c>
      <c r="GZ64" s="36">
        <f t="shared" ca="1" si="153"/>
        <v>51.037199743946566</v>
      </c>
      <c r="HA64" s="36">
        <f t="shared" ca="1" si="153"/>
        <v>52.787530050411625</v>
      </c>
      <c r="HB64" s="36">
        <f t="shared" ca="1" si="153"/>
        <v>53.429241657395153</v>
      </c>
      <c r="HC64" s="36">
        <f t="shared" ca="1" si="153"/>
        <v>53.746337738226146</v>
      </c>
      <c r="HD64" s="36">
        <f t="shared" ca="1" si="153"/>
        <v>53.159496460114461</v>
      </c>
      <c r="HE64" s="36">
        <f t="shared" ca="1" si="153"/>
        <v>53.433288039917144</v>
      </c>
      <c r="HF64" s="36">
        <f t="shared" ca="1" si="153"/>
        <v>53.481104069853728</v>
      </c>
      <c r="HG64" s="36">
        <f t="shared" ca="1" si="153"/>
        <v>52.86898058830905</v>
      </c>
      <c r="HH64" s="36">
        <f t="shared" ca="1" si="153"/>
        <v>52.585750298312952</v>
      </c>
      <c r="HI64" s="36">
        <f t="shared" ca="1" si="151"/>
        <v>52.78969124882672</v>
      </c>
      <c r="HJ64" s="36">
        <f t="shared" ca="1" si="151"/>
        <v>52.731298593455563</v>
      </c>
      <c r="HK64" s="36">
        <f t="shared" ca="1" si="151"/>
        <v>53.677965396905364</v>
      </c>
      <c r="HL64" s="36">
        <f t="shared" ref="HL64:HT64" ca="1" si="156">HK64*EXP(($B$3-$B$4^2/2)*1+$B$4*_xlfn.NORM.S.INV(RAND()))</f>
        <v>53.504540410206651</v>
      </c>
      <c r="HM64" s="36">
        <f t="shared" ca="1" si="156"/>
        <v>52.391620553974235</v>
      </c>
      <c r="HN64" s="36">
        <f t="shared" ca="1" si="156"/>
        <v>51.558673700209653</v>
      </c>
      <c r="HO64" s="36">
        <f t="shared" ca="1" si="156"/>
        <v>51.056859476236632</v>
      </c>
      <c r="HP64" s="36">
        <f t="shared" ca="1" si="156"/>
        <v>51.51139698181197</v>
      </c>
      <c r="HQ64" s="36">
        <f t="shared" ca="1" si="156"/>
        <v>50.825797013333002</v>
      </c>
      <c r="HR64" s="36">
        <f t="shared" ca="1" si="156"/>
        <v>51.989953813837708</v>
      </c>
      <c r="HS64" s="36">
        <f t="shared" ca="1" si="156"/>
        <v>52.180646580758776</v>
      </c>
      <c r="HT64" s="36">
        <f t="shared" ca="1" si="156"/>
        <v>52.79070955648092</v>
      </c>
      <c r="HU64" s="36">
        <f t="shared" ca="1" si="128"/>
        <v>53.163247713258428</v>
      </c>
      <c r="HV64" s="36">
        <f t="shared" ca="1" si="128"/>
        <v>52.856614936666922</v>
      </c>
      <c r="HW64" s="36">
        <f t="shared" ca="1" si="128"/>
        <v>53.615219185733906</v>
      </c>
      <c r="HX64" s="36">
        <f t="shared" ca="1" si="128"/>
        <v>53.238305363118158</v>
      </c>
      <c r="HY64" s="36">
        <f t="shared" ca="1" si="129"/>
        <v>53.492450295505712</v>
      </c>
      <c r="HZ64" s="36">
        <f t="shared" ca="1" si="129"/>
        <v>53.586589675152162</v>
      </c>
      <c r="IA64" s="36">
        <f t="shared" ref="HU64:IU73" ca="1" si="157">HZ64*EXP(($B$3-$B$4^2/2)*1+$B$4*_xlfn.NORM.S.INV(RAND()))</f>
        <v>52.702969474086771</v>
      </c>
      <c r="IB64" s="36">
        <f t="shared" ca="1" si="157"/>
        <v>52.453955864467517</v>
      </c>
      <c r="IC64" s="36">
        <f t="shared" ca="1" si="157"/>
        <v>52.220320991322652</v>
      </c>
      <c r="ID64" s="36">
        <f t="shared" ca="1" si="157"/>
        <v>52.387323968290275</v>
      </c>
      <c r="IE64" s="36">
        <f t="shared" ca="1" si="157"/>
        <v>52.115779643204789</v>
      </c>
      <c r="IF64" s="36">
        <f t="shared" ca="1" si="157"/>
        <v>51.313693470462105</v>
      </c>
      <c r="IG64" s="36">
        <f t="shared" ca="1" si="157"/>
        <v>52.064406417311623</v>
      </c>
      <c r="IH64" s="36">
        <f t="shared" ca="1" si="157"/>
        <v>51.554217660548368</v>
      </c>
      <c r="II64" s="36">
        <f t="shared" ca="1" si="157"/>
        <v>51.734137912037525</v>
      </c>
      <c r="IJ64" s="36">
        <f t="shared" ca="1" si="157"/>
        <v>52.106868020220034</v>
      </c>
      <c r="IK64" s="36">
        <f t="shared" ca="1" si="157"/>
        <v>53.00885207548852</v>
      </c>
      <c r="IL64" s="36">
        <f t="shared" ca="1" si="157"/>
        <v>53.063049238746913</v>
      </c>
      <c r="IM64" s="36">
        <f t="shared" ca="1" si="157"/>
        <v>52.611116240265993</v>
      </c>
      <c r="IN64" s="36">
        <f t="shared" ca="1" si="157"/>
        <v>52.483745028680467</v>
      </c>
      <c r="IO64" s="36">
        <f t="shared" ca="1" si="157"/>
        <v>51.910583080191714</v>
      </c>
      <c r="IP64" s="36">
        <f t="shared" ca="1" si="157"/>
        <v>51.10771572097071</v>
      </c>
      <c r="IQ64" s="36">
        <f t="shared" ca="1" si="157"/>
        <v>51.236477156721236</v>
      </c>
      <c r="IR64" s="36">
        <f t="shared" ca="1" si="157"/>
        <v>52.146727072387208</v>
      </c>
      <c r="IS64" s="36">
        <f t="shared" ca="1" si="157"/>
        <v>52.069062364432121</v>
      </c>
      <c r="IT64" s="36">
        <f t="shared" ca="1" si="157"/>
        <v>50.774118511541197</v>
      </c>
      <c r="IU64" s="36">
        <f t="shared" ca="1" si="157"/>
        <v>49.929435689857634</v>
      </c>
    </row>
    <row r="65" spans="1:255" x14ac:dyDescent="0.2">
      <c r="A65" s="36"/>
      <c r="B65">
        <v>55</v>
      </c>
      <c r="C65" s="36">
        <v>50</v>
      </c>
      <c r="D65" s="36">
        <f t="shared" ca="1" si="14"/>
        <v>49.848392446761459</v>
      </c>
      <c r="E65" s="36">
        <f t="shared" ca="1" si="14"/>
        <v>50.07256174756705</v>
      </c>
      <c r="F65" s="36">
        <f t="shared" ca="1" si="149"/>
        <v>49.5524729803439</v>
      </c>
      <c r="G65" s="36">
        <f t="shared" ca="1" si="149"/>
        <v>50.212055490050076</v>
      </c>
      <c r="H65" s="36">
        <f t="shared" ca="1" si="149"/>
        <v>51.247444087546278</v>
      </c>
      <c r="I65" s="36">
        <f t="shared" ca="1" si="149"/>
        <v>51.197661958567956</v>
      </c>
      <c r="J65" s="36">
        <f t="shared" ca="1" si="149"/>
        <v>49.808396206595368</v>
      </c>
      <c r="K65" s="36">
        <f t="shared" ca="1" si="149"/>
        <v>50.214241102523488</v>
      </c>
      <c r="L65" s="36">
        <f t="shared" ca="1" si="149"/>
        <v>50.171856034745623</v>
      </c>
      <c r="M65" s="36">
        <f t="shared" ca="1" si="149"/>
        <v>49.64308275331291</v>
      </c>
      <c r="N65" s="36">
        <f t="shared" ca="1" si="149"/>
        <v>49.825111296550631</v>
      </c>
      <c r="O65" s="36">
        <f t="shared" ca="1" si="149"/>
        <v>49.899004311209168</v>
      </c>
      <c r="P65" s="36">
        <f t="shared" ca="1" si="149"/>
        <v>49.931440919378829</v>
      </c>
      <c r="Q65" s="36">
        <f t="shared" ca="1" si="149"/>
        <v>50.145256049210985</v>
      </c>
      <c r="R65" s="36">
        <f t="shared" ca="1" si="149"/>
        <v>51.797274349893584</v>
      </c>
      <c r="S65" s="36">
        <f t="shared" ca="1" si="149"/>
        <v>51.752591715927167</v>
      </c>
      <c r="T65" s="36">
        <f t="shared" ca="1" si="149"/>
        <v>51.124732844360011</v>
      </c>
      <c r="U65" s="36">
        <f t="shared" ca="1" si="149"/>
        <v>51.363255140921638</v>
      </c>
      <c r="V65" s="36">
        <f t="shared" ca="1" si="149"/>
        <v>49.521732983441332</v>
      </c>
      <c r="W65" s="36">
        <f t="shared" ca="1" si="149"/>
        <v>49.590699858255554</v>
      </c>
      <c r="X65" s="36">
        <f t="shared" ca="1" si="149"/>
        <v>49.174470095508894</v>
      </c>
      <c r="Y65" s="36">
        <f t="shared" ca="1" si="149"/>
        <v>48.931084337923991</v>
      </c>
      <c r="Z65" s="36">
        <f t="shared" ca="1" si="149"/>
        <v>49.645814653857897</v>
      </c>
      <c r="AA65" s="36">
        <f t="shared" ca="1" si="149"/>
        <v>49.09339602948625</v>
      </c>
      <c r="AB65" s="36">
        <f t="shared" ca="1" si="149"/>
        <v>48.874827753378447</v>
      </c>
      <c r="AC65" s="36">
        <f t="shared" ca="1" si="149"/>
        <v>48.729891290735615</v>
      </c>
      <c r="AD65" s="36">
        <f t="shared" ca="1" si="149"/>
        <v>48.336296895082349</v>
      </c>
      <c r="AE65" s="36">
        <f t="shared" ca="1" si="149"/>
        <v>48.610708472627515</v>
      </c>
      <c r="AF65" s="36">
        <f t="shared" ca="1" si="149"/>
        <v>47.906257932713942</v>
      </c>
      <c r="AG65" s="36">
        <f t="shared" ca="1" si="149"/>
        <v>48.012431627182949</v>
      </c>
      <c r="AH65" s="36">
        <f t="shared" ca="1" si="149"/>
        <v>48.45609212905692</v>
      </c>
      <c r="AI65" s="36">
        <f t="shared" ca="1" si="149"/>
        <v>48.643318101591703</v>
      </c>
      <c r="AJ65" s="36">
        <f t="shared" ca="1" si="149"/>
        <v>48.496552088520772</v>
      </c>
      <c r="AK65" s="36">
        <f t="shared" ca="1" si="149"/>
        <v>47.85738824940308</v>
      </c>
      <c r="AL65" s="36">
        <f t="shared" ca="1" si="149"/>
        <v>48.021587446134653</v>
      </c>
      <c r="AM65" s="36">
        <f t="shared" ca="1" si="149"/>
        <v>47.769820966800914</v>
      </c>
      <c r="AN65" s="36">
        <f t="shared" ca="1" si="149"/>
        <v>48.452137752335467</v>
      </c>
      <c r="AO65" s="36">
        <f t="shared" ca="1" si="149"/>
        <v>47.985594455600726</v>
      </c>
      <c r="AP65" s="36">
        <f t="shared" ca="1" si="149"/>
        <v>46.868893980348076</v>
      </c>
      <c r="AQ65" s="36">
        <f t="shared" ca="1" si="149"/>
        <v>48.169814292258849</v>
      </c>
      <c r="AR65" s="36">
        <f t="shared" ca="1" si="149"/>
        <v>48.371306708414963</v>
      </c>
      <c r="AS65" s="36">
        <f t="shared" ca="1" si="149"/>
        <v>48.246972149405174</v>
      </c>
      <c r="AT65" s="36">
        <f t="shared" ca="1" si="149"/>
        <v>48.563623834333349</v>
      </c>
      <c r="AU65" s="36">
        <f t="shared" ca="1" si="149"/>
        <v>48.932084193571555</v>
      </c>
      <c r="AV65" s="36">
        <f t="shared" ca="1" si="149"/>
        <v>49.273619094170193</v>
      </c>
      <c r="AW65" s="36">
        <f t="shared" ca="1" si="149"/>
        <v>48.808856121939442</v>
      </c>
      <c r="AX65" s="36">
        <f t="shared" ca="1" si="149"/>
        <v>47.783381696215223</v>
      </c>
      <c r="AY65" s="36">
        <f t="shared" ca="1" si="149"/>
        <v>46.830258600643106</v>
      </c>
      <c r="AZ65" s="36">
        <f t="shared" ca="1" si="149"/>
        <v>47.129906593782039</v>
      </c>
      <c r="BA65" s="36">
        <f t="shared" ca="1" si="149"/>
        <v>46.059111486925893</v>
      </c>
      <c r="BB65" s="36">
        <f t="shared" ca="1" si="149"/>
        <v>47.079377622243577</v>
      </c>
      <c r="BC65" s="36">
        <f t="shared" ca="1" si="149"/>
        <v>46.848093006463877</v>
      </c>
      <c r="BD65" s="36">
        <f t="shared" ca="1" si="149"/>
        <v>47.476554903548141</v>
      </c>
      <c r="BE65" s="36">
        <f t="shared" ca="1" si="149"/>
        <v>47.438984281639136</v>
      </c>
      <c r="BF65" s="36">
        <f t="shared" ca="1" si="149"/>
        <v>47.768018347451289</v>
      </c>
      <c r="BG65" s="36">
        <f t="shared" ca="1" si="149"/>
        <v>47.498575391688732</v>
      </c>
      <c r="BH65" s="36">
        <f t="shared" ca="1" si="149"/>
        <v>47.446322339240453</v>
      </c>
      <c r="BI65" s="36">
        <f t="shared" ca="1" si="149"/>
        <v>47.724372779219998</v>
      </c>
      <c r="BJ65" s="36">
        <f t="shared" ca="1" si="149"/>
        <v>48.561609213730243</v>
      </c>
      <c r="BK65" s="36">
        <f t="shared" ca="1" si="149"/>
        <v>48.628528970461893</v>
      </c>
      <c r="BL65" s="36">
        <f t="shared" ca="1" si="149"/>
        <v>47.899756090881318</v>
      </c>
      <c r="BM65" s="36">
        <f t="shared" ca="1" si="149"/>
        <v>47.342649237823153</v>
      </c>
      <c r="BN65" s="36">
        <f t="shared" ca="1" si="149"/>
        <v>46.938507888146205</v>
      </c>
      <c r="BO65" s="36">
        <f t="shared" ca="1" si="149"/>
        <v>47.620234053627769</v>
      </c>
      <c r="BP65" s="36">
        <f t="shared" ca="1" si="149"/>
        <v>47.819496903559745</v>
      </c>
      <c r="BQ65" s="36">
        <f t="shared" ref="BQ65:EB68" ca="1" si="158">BP65*EXP(($B$3-$B$4^2/2)*1+$B$4*_xlfn.NORM.S.INV(RAND()))</f>
        <v>47.866267770331049</v>
      </c>
      <c r="BR65" s="36">
        <f t="shared" ca="1" si="158"/>
        <v>47.62300807534146</v>
      </c>
      <c r="BS65" s="36">
        <f t="shared" ca="1" si="158"/>
        <v>47.480081069076824</v>
      </c>
      <c r="BT65" s="36">
        <f t="shared" ca="1" si="158"/>
        <v>47.240165692409832</v>
      </c>
      <c r="BU65" s="36">
        <f t="shared" ca="1" si="158"/>
        <v>47.507552128426106</v>
      </c>
      <c r="BV65" s="36">
        <f t="shared" ca="1" si="158"/>
        <v>48.240743828175532</v>
      </c>
      <c r="BW65" s="36">
        <f t="shared" ca="1" si="158"/>
        <v>48.599781916167252</v>
      </c>
      <c r="BX65" s="36">
        <f t="shared" ca="1" si="158"/>
        <v>49.161318187820505</v>
      </c>
      <c r="BY65" s="36">
        <f t="shared" ca="1" si="158"/>
        <v>48.467724769167333</v>
      </c>
      <c r="BZ65" s="36">
        <f t="shared" ca="1" si="158"/>
        <v>47.801980230712793</v>
      </c>
      <c r="CA65" s="36">
        <f t="shared" ca="1" si="158"/>
        <v>48.179433186480594</v>
      </c>
      <c r="CB65" s="36">
        <f t="shared" ca="1" si="158"/>
        <v>48.062723650069259</v>
      </c>
      <c r="CC65" s="36">
        <f t="shared" ca="1" si="158"/>
        <v>46.425759569317322</v>
      </c>
      <c r="CD65" s="36">
        <f t="shared" ca="1" si="158"/>
        <v>46.651697665487106</v>
      </c>
      <c r="CE65" s="36">
        <f t="shared" ca="1" si="158"/>
        <v>47.569220704949522</v>
      </c>
      <c r="CF65" s="36">
        <f t="shared" ca="1" si="158"/>
        <v>48.212947169642071</v>
      </c>
      <c r="CG65" s="36">
        <f t="shared" ca="1" si="158"/>
        <v>48.954577657437156</v>
      </c>
      <c r="CH65" s="36">
        <f t="shared" ca="1" si="158"/>
        <v>48.500184321129147</v>
      </c>
      <c r="CI65" s="36">
        <f t="shared" ca="1" si="158"/>
        <v>48.229288800591803</v>
      </c>
      <c r="CJ65" s="36">
        <f t="shared" ca="1" si="158"/>
        <v>47.416067134250106</v>
      </c>
      <c r="CK65" s="36">
        <f t="shared" ca="1" si="158"/>
        <v>47.789084558330799</v>
      </c>
      <c r="CL65" s="36">
        <f t="shared" ca="1" si="158"/>
        <v>49.419758891955617</v>
      </c>
      <c r="CM65" s="36">
        <f t="shared" ca="1" si="158"/>
        <v>49.409217550573786</v>
      </c>
      <c r="CN65" s="36">
        <f t="shared" ca="1" si="158"/>
        <v>49.402811843424693</v>
      </c>
      <c r="CO65" s="36">
        <f t="shared" ca="1" si="158"/>
        <v>48.408061614627172</v>
      </c>
      <c r="CP65" s="36">
        <f t="shared" ca="1" si="158"/>
        <v>48.224104107246049</v>
      </c>
      <c r="CQ65" s="36">
        <f t="shared" ca="1" si="158"/>
        <v>48.993097869003101</v>
      </c>
      <c r="CR65" s="36">
        <f t="shared" ca="1" si="158"/>
        <v>48.682131859415136</v>
      </c>
      <c r="CS65" s="36">
        <f t="shared" ca="1" si="158"/>
        <v>48.957864007181584</v>
      </c>
      <c r="CT65" s="36">
        <f t="shared" ca="1" si="158"/>
        <v>48.405200843099138</v>
      </c>
      <c r="CU65" s="36">
        <f t="shared" ca="1" si="158"/>
        <v>48.269692813535407</v>
      </c>
      <c r="CV65" s="36">
        <f t="shared" ca="1" si="158"/>
        <v>47.918305853576108</v>
      </c>
      <c r="CW65" s="36">
        <f t="shared" ca="1" si="158"/>
        <v>47.070387690330364</v>
      </c>
      <c r="CX65" s="36">
        <f t="shared" ca="1" si="158"/>
        <v>46.4808399558611</v>
      </c>
      <c r="CY65" s="36">
        <f t="shared" ca="1" si="158"/>
        <v>46.895272763315305</v>
      </c>
      <c r="CZ65" s="36">
        <f t="shared" ca="1" si="158"/>
        <v>47.010517987640959</v>
      </c>
      <c r="DA65" s="36">
        <f t="shared" ca="1" si="158"/>
        <v>47.716103728766079</v>
      </c>
      <c r="DB65" s="36">
        <f t="shared" ca="1" si="158"/>
        <v>47.169491516288012</v>
      </c>
      <c r="DC65" s="36">
        <f t="shared" ca="1" si="158"/>
        <v>48.061266446360818</v>
      </c>
      <c r="DD65" s="36">
        <f t="shared" ca="1" si="158"/>
        <v>47.76000882923605</v>
      </c>
      <c r="DE65" s="36">
        <f t="shared" ca="1" si="158"/>
        <v>47.698248472769876</v>
      </c>
      <c r="DF65" s="36">
        <f t="shared" ca="1" si="158"/>
        <v>47.357410401402817</v>
      </c>
      <c r="DG65" s="36">
        <f t="shared" ca="1" si="158"/>
        <v>46.682785540442303</v>
      </c>
      <c r="DH65" s="36">
        <f t="shared" ca="1" si="158"/>
        <v>46.116871295691858</v>
      </c>
      <c r="DI65" s="36">
        <f t="shared" ca="1" si="158"/>
        <v>45.534916616146234</v>
      </c>
      <c r="DJ65" s="36">
        <f t="shared" ca="1" si="158"/>
        <v>46.071906400056896</v>
      </c>
      <c r="DK65" s="36">
        <f t="shared" ca="1" si="158"/>
        <v>45.39286056194662</v>
      </c>
      <c r="DL65" s="36">
        <f t="shared" ca="1" si="158"/>
        <v>45.064059129176549</v>
      </c>
      <c r="DM65" s="36">
        <f t="shared" ca="1" si="158"/>
        <v>44.68108345591245</v>
      </c>
      <c r="DN65" s="36">
        <f t="shared" ca="1" si="158"/>
        <v>44.963352792619702</v>
      </c>
      <c r="DO65" s="36">
        <f t="shared" ca="1" si="158"/>
        <v>43.802381568702152</v>
      </c>
      <c r="DP65" s="36">
        <f t="shared" ca="1" si="158"/>
        <v>43.552888351086843</v>
      </c>
      <c r="DQ65" s="36">
        <f t="shared" ca="1" si="158"/>
        <v>42.423923764361092</v>
      </c>
      <c r="DR65" s="36">
        <f t="shared" ca="1" si="158"/>
        <v>42.841952428110254</v>
      </c>
      <c r="DS65" s="36">
        <f t="shared" ca="1" si="158"/>
        <v>43.473295191969363</v>
      </c>
      <c r="DT65" s="36">
        <f t="shared" ca="1" si="158"/>
        <v>43.385371603457607</v>
      </c>
      <c r="DU65" s="36">
        <f t="shared" ca="1" si="158"/>
        <v>43.794999201176033</v>
      </c>
      <c r="DV65" s="36">
        <f t="shared" ca="1" si="158"/>
        <v>43.981890630349909</v>
      </c>
      <c r="DW65" s="36">
        <f t="shared" ca="1" si="158"/>
        <v>44.814231834061779</v>
      </c>
      <c r="DX65" s="36">
        <f t="shared" ca="1" si="158"/>
        <v>44.094520938473195</v>
      </c>
      <c r="DY65" s="36">
        <f t="shared" ca="1" si="158"/>
        <v>44.12167082048024</v>
      </c>
      <c r="DZ65" s="36">
        <f t="shared" ca="1" si="158"/>
        <v>43.68112704929657</v>
      </c>
      <c r="EA65" s="36">
        <f t="shared" ca="1" si="158"/>
        <v>43.081028361895292</v>
      </c>
      <c r="EB65" s="36">
        <f t="shared" ca="1" si="158"/>
        <v>42.592620390403134</v>
      </c>
      <c r="EC65" s="36">
        <f t="shared" ca="1" si="139"/>
        <v>42.446947076279265</v>
      </c>
      <c r="ED65" s="36">
        <f t="shared" ca="1" si="139"/>
        <v>42.820494413545553</v>
      </c>
      <c r="EE65" s="36">
        <f t="shared" ca="1" si="139"/>
        <v>43.77213115997818</v>
      </c>
      <c r="EF65" s="36">
        <f t="shared" ca="1" si="139"/>
        <v>43.538214610164211</v>
      </c>
      <c r="EG65" s="36">
        <f t="shared" ca="1" si="139"/>
        <v>43.589825282138356</v>
      </c>
      <c r="EH65" s="36">
        <f t="shared" ca="1" si="139"/>
        <v>43.85818108293104</v>
      </c>
      <c r="EI65" s="36">
        <f t="shared" ca="1" si="139"/>
        <v>43.259620637010713</v>
      </c>
      <c r="EJ65" s="36">
        <f t="shared" ca="1" si="139"/>
        <v>43.625649089062541</v>
      </c>
      <c r="EK65" s="36">
        <f t="shared" ca="1" si="139"/>
        <v>43.476168566450745</v>
      </c>
      <c r="EL65" s="36">
        <f t="shared" ca="1" si="139"/>
        <v>42.8486507393972</v>
      </c>
      <c r="EM65" s="36">
        <f t="shared" ca="1" si="139"/>
        <v>43.444835922102214</v>
      </c>
      <c r="EN65" s="36">
        <f t="shared" ca="1" si="139"/>
        <v>43.084771781765454</v>
      </c>
      <c r="EO65" s="36">
        <f t="shared" ca="1" si="139"/>
        <v>42.557613727951761</v>
      </c>
      <c r="EP65" s="36">
        <f t="shared" ca="1" si="139"/>
        <v>42.48912596164638</v>
      </c>
      <c r="EQ65" s="36">
        <f t="shared" ca="1" si="139"/>
        <v>42.78293548944842</v>
      </c>
      <c r="ER65" s="36">
        <f t="shared" ca="1" si="139"/>
        <v>42.804992256373453</v>
      </c>
      <c r="ES65" s="36">
        <f t="shared" ca="1" si="139"/>
        <v>42.621776756342634</v>
      </c>
      <c r="ET65" s="36">
        <f t="shared" ca="1" si="139"/>
        <v>43.119301103965945</v>
      </c>
      <c r="EU65" s="36">
        <f t="shared" ca="1" si="139"/>
        <v>43.813314691807136</v>
      </c>
      <c r="EV65" s="36">
        <f t="shared" ca="1" si="139"/>
        <v>43.96368487419894</v>
      </c>
      <c r="EW65" s="36">
        <f t="shared" ref="EW65" ca="1" si="159">EV65*EXP(($B$3-$B$4^2/2)*1+$B$4*_xlfn.NORM.S.INV(RAND()))</f>
        <v>44.240927571129653</v>
      </c>
      <c r="EX65" s="36">
        <f t="shared" ca="1" si="153"/>
        <v>44.628026358526149</v>
      </c>
      <c r="EY65" s="36">
        <f t="shared" ca="1" si="153"/>
        <v>44.787689485936184</v>
      </c>
      <c r="EZ65" s="36">
        <f t="shared" ca="1" si="153"/>
        <v>45.522553045950318</v>
      </c>
      <c r="FA65" s="36">
        <f t="shared" ca="1" si="153"/>
        <v>46.052509787823396</v>
      </c>
      <c r="FB65" s="36">
        <f t="shared" ca="1" si="153"/>
        <v>46.23407502677572</v>
      </c>
      <c r="FC65" s="36">
        <f t="shared" ca="1" si="153"/>
        <v>46.475376065483957</v>
      </c>
      <c r="FD65" s="36">
        <f t="shared" ca="1" si="153"/>
        <v>45.36640231173098</v>
      </c>
      <c r="FE65" s="36">
        <f t="shared" ca="1" si="153"/>
        <v>45.91952171600321</v>
      </c>
      <c r="FF65" s="36">
        <f t="shared" ca="1" si="153"/>
        <v>45.844265471628347</v>
      </c>
      <c r="FG65" s="36">
        <f t="shared" ca="1" si="153"/>
        <v>45.528734667712321</v>
      </c>
      <c r="FH65" s="36">
        <f t="shared" ca="1" si="153"/>
        <v>45.164454274511556</v>
      </c>
      <c r="FI65" s="36">
        <f t="shared" ca="1" si="153"/>
        <v>44.935964126222117</v>
      </c>
      <c r="FJ65" s="36">
        <f t="shared" ca="1" si="153"/>
        <v>45.502690733147453</v>
      </c>
      <c r="FK65" s="36">
        <f t="shared" ca="1" si="153"/>
        <v>45.814511143183637</v>
      </c>
      <c r="FL65" s="36">
        <f t="shared" ca="1" si="153"/>
        <v>46.249084590949089</v>
      </c>
      <c r="FM65" s="36">
        <f t="shared" ca="1" si="153"/>
        <v>45.894953350230431</v>
      </c>
      <c r="FN65" s="36">
        <f t="shared" ca="1" si="153"/>
        <v>46.093512476163916</v>
      </c>
      <c r="FO65" s="36">
        <f t="shared" ca="1" si="153"/>
        <v>47.435414361409144</v>
      </c>
      <c r="FP65" s="36">
        <f t="shared" ca="1" si="153"/>
        <v>48.033798258708622</v>
      </c>
      <c r="FQ65" s="36">
        <f t="shared" ca="1" si="153"/>
        <v>47.601552140667387</v>
      </c>
      <c r="FR65" s="36">
        <f t="shared" ca="1" si="153"/>
        <v>48.107195608232026</v>
      </c>
      <c r="FS65" s="36">
        <f t="shared" ca="1" si="153"/>
        <v>47.04973220436414</v>
      </c>
      <c r="FT65" s="36">
        <f t="shared" ca="1" si="153"/>
        <v>47.140948697082244</v>
      </c>
      <c r="FU65" s="36">
        <f t="shared" ca="1" si="153"/>
        <v>47.621970980486367</v>
      </c>
      <c r="FV65" s="36">
        <f t="shared" ca="1" si="153"/>
        <v>47.720744632519775</v>
      </c>
      <c r="FW65" s="36">
        <f t="shared" ca="1" si="153"/>
        <v>48.609878127398758</v>
      </c>
      <c r="FX65" s="36">
        <f t="shared" ca="1" si="153"/>
        <v>49.139903923090166</v>
      </c>
      <c r="FY65" s="36">
        <f t="shared" ca="1" si="153"/>
        <v>48.658207171334098</v>
      </c>
      <c r="FZ65" s="36">
        <f t="shared" ca="1" si="153"/>
        <v>49.000826756367459</v>
      </c>
      <c r="GA65" s="36">
        <f t="shared" ca="1" si="153"/>
        <v>48.017942839400384</v>
      </c>
      <c r="GB65" s="36">
        <f t="shared" ca="1" si="153"/>
        <v>47.834459410137228</v>
      </c>
      <c r="GC65" s="36">
        <f t="shared" ca="1" si="153"/>
        <v>47.691680239561634</v>
      </c>
      <c r="GD65" s="36">
        <f t="shared" ca="1" si="153"/>
        <v>48.699014836772072</v>
      </c>
      <c r="GE65" s="36">
        <f t="shared" ca="1" si="153"/>
        <v>48.880752068835903</v>
      </c>
      <c r="GF65" s="36">
        <f t="shared" ca="1" si="153"/>
        <v>49.052254959039026</v>
      </c>
      <c r="GG65" s="36">
        <f t="shared" ca="1" si="153"/>
        <v>49.953702038531631</v>
      </c>
      <c r="GH65" s="36">
        <f t="shared" ca="1" si="153"/>
        <v>49.81095864541313</v>
      </c>
      <c r="GI65" s="36">
        <f t="shared" ca="1" si="153"/>
        <v>49.561464963916478</v>
      </c>
      <c r="GJ65" s="36">
        <f t="shared" ca="1" si="153"/>
        <v>49.598368310489882</v>
      </c>
      <c r="GK65" s="36">
        <f t="shared" ca="1" si="153"/>
        <v>49.403660084041697</v>
      </c>
      <c r="GL65" s="36">
        <f t="shared" ca="1" si="153"/>
        <v>50.261153216774062</v>
      </c>
      <c r="GM65" s="36">
        <f t="shared" ca="1" si="153"/>
        <v>49.600121589885816</v>
      </c>
      <c r="GN65" s="36">
        <f t="shared" ca="1" si="153"/>
        <v>49.90420467406522</v>
      </c>
      <c r="GO65" s="36">
        <f t="shared" ca="1" si="153"/>
        <v>49.779460745723107</v>
      </c>
      <c r="GP65" s="36">
        <f t="shared" ca="1" si="153"/>
        <v>49.092685287850692</v>
      </c>
      <c r="GQ65" s="36">
        <f t="shared" ca="1" si="153"/>
        <v>49.284284728196042</v>
      </c>
      <c r="GR65" s="36">
        <f t="shared" ca="1" si="153"/>
        <v>48.891891564273159</v>
      </c>
      <c r="GS65" s="36">
        <f t="shared" ca="1" si="153"/>
        <v>49.916011628887688</v>
      </c>
      <c r="GT65" s="36">
        <f t="shared" ca="1" si="153"/>
        <v>50.721073890715317</v>
      </c>
      <c r="GU65" s="36">
        <f t="shared" ca="1" si="153"/>
        <v>51.472744203686354</v>
      </c>
      <c r="GV65" s="36">
        <f t="shared" ca="1" si="153"/>
        <v>52.268292348441271</v>
      </c>
      <c r="GW65" s="36">
        <f t="shared" ca="1" si="153"/>
        <v>52.653215670325913</v>
      </c>
      <c r="GX65" s="36">
        <f t="shared" ca="1" si="153"/>
        <v>52.135487261954111</v>
      </c>
      <c r="GY65" s="36">
        <f t="shared" ca="1" si="153"/>
        <v>52.851679773173281</v>
      </c>
      <c r="GZ65" s="36">
        <f t="shared" ca="1" si="153"/>
        <v>53.035297809192343</v>
      </c>
      <c r="HA65" s="36">
        <f t="shared" ca="1" si="153"/>
        <v>52.258940087137852</v>
      </c>
      <c r="HB65" s="36">
        <f t="shared" ca="1" si="153"/>
        <v>53.199464941485012</v>
      </c>
      <c r="HC65" s="36">
        <f t="shared" ca="1" si="153"/>
        <v>53.510029936254661</v>
      </c>
      <c r="HD65" s="36">
        <f t="shared" ca="1" si="153"/>
        <v>53.419889163409408</v>
      </c>
      <c r="HE65" s="36">
        <f t="shared" ca="1" si="153"/>
        <v>52.660993381287042</v>
      </c>
      <c r="HF65" s="36">
        <f t="shared" ca="1" si="153"/>
        <v>51.343678178471109</v>
      </c>
      <c r="HG65" s="36">
        <f t="shared" ca="1" si="153"/>
        <v>50.667400451319587</v>
      </c>
      <c r="HH65" s="36">
        <f t="shared" ca="1" si="153"/>
        <v>50.651251895336145</v>
      </c>
      <c r="HI65" s="36">
        <f t="shared" ref="HI65:HT66" ca="1" si="160">HH65*EXP(($B$3-$B$4^2/2)*1+$B$4*_xlfn.NORM.S.INV(RAND()))</f>
        <v>50.190050037977606</v>
      </c>
      <c r="HJ65" s="36">
        <f t="shared" ca="1" si="160"/>
        <v>49.793945228019368</v>
      </c>
      <c r="HK65" s="36">
        <f t="shared" ca="1" si="160"/>
        <v>49.454312120036583</v>
      </c>
      <c r="HL65" s="36">
        <f t="shared" ca="1" si="160"/>
        <v>48.635780880640482</v>
      </c>
      <c r="HM65" s="36">
        <f t="shared" ca="1" si="160"/>
        <v>49.595984141216697</v>
      </c>
      <c r="HN65" s="36">
        <f t="shared" ca="1" si="160"/>
        <v>49.54394118127076</v>
      </c>
      <c r="HO65" s="36">
        <f t="shared" ca="1" si="160"/>
        <v>48.90583051849918</v>
      </c>
      <c r="HP65" s="36">
        <f t="shared" ca="1" si="160"/>
        <v>48.169589194043724</v>
      </c>
      <c r="HQ65" s="36">
        <f t="shared" ca="1" si="160"/>
        <v>48.573563619184903</v>
      </c>
      <c r="HR65" s="36">
        <f t="shared" ca="1" si="160"/>
        <v>48.642634980751957</v>
      </c>
      <c r="HS65" s="36">
        <f t="shared" ca="1" si="160"/>
        <v>48.468982430791634</v>
      </c>
      <c r="HT65" s="36">
        <f t="shared" ca="1" si="160"/>
        <v>47.659193610711348</v>
      </c>
      <c r="HU65" s="36">
        <f t="shared" ca="1" si="157"/>
        <v>47.333277525160149</v>
      </c>
      <c r="HV65" s="36">
        <f t="shared" ca="1" si="157"/>
        <v>47.032784923693995</v>
      </c>
      <c r="HW65" s="36">
        <f t="shared" ca="1" si="157"/>
        <v>47.705955568236298</v>
      </c>
      <c r="HX65" s="36">
        <f t="shared" ca="1" si="157"/>
        <v>47.927299814117788</v>
      </c>
      <c r="HY65" s="36">
        <f t="shared" ca="1" si="157"/>
        <v>47.103815342105328</v>
      </c>
      <c r="HZ65" s="36">
        <f t="shared" ca="1" si="157"/>
        <v>46.423350987465568</v>
      </c>
      <c r="IA65" s="36">
        <f t="shared" ca="1" si="157"/>
        <v>46.016949530753905</v>
      </c>
      <c r="IB65" s="36">
        <f t="shared" ca="1" si="157"/>
        <v>45.827092507403115</v>
      </c>
      <c r="IC65" s="36">
        <f t="shared" ca="1" si="157"/>
        <v>46.305471027220193</v>
      </c>
      <c r="ID65" s="36">
        <f t="shared" ca="1" si="157"/>
        <v>46.955925044182329</v>
      </c>
      <c r="IE65" s="36">
        <f t="shared" ca="1" si="157"/>
        <v>47.270925940000538</v>
      </c>
      <c r="IF65" s="36">
        <f t="shared" ca="1" si="157"/>
        <v>46.746248660953249</v>
      </c>
      <c r="IG65" s="36">
        <f t="shared" ca="1" si="157"/>
        <v>46.438322466663813</v>
      </c>
      <c r="IH65" s="36">
        <f t="shared" ca="1" si="157"/>
        <v>47.245355621810035</v>
      </c>
      <c r="II65" s="36">
        <f t="shared" ca="1" si="157"/>
        <v>47.545765720711493</v>
      </c>
      <c r="IJ65" s="36">
        <f t="shared" ca="1" si="157"/>
        <v>46.503932656763347</v>
      </c>
      <c r="IK65" s="36">
        <f t="shared" ca="1" si="157"/>
        <v>45.048116638446203</v>
      </c>
      <c r="IL65" s="36">
        <f t="shared" ca="1" si="157"/>
        <v>46.33506168920794</v>
      </c>
      <c r="IM65" s="36">
        <f t="shared" ca="1" si="157"/>
        <v>46.783244437660976</v>
      </c>
      <c r="IN65" s="36">
        <f t="shared" ca="1" si="157"/>
        <v>46.460757538645694</v>
      </c>
      <c r="IO65" s="36">
        <f t="shared" ca="1" si="157"/>
        <v>47.008201020057093</v>
      </c>
      <c r="IP65" s="36">
        <f t="shared" ca="1" si="157"/>
        <v>46.543756686500409</v>
      </c>
      <c r="IQ65" s="36">
        <f t="shared" ca="1" si="157"/>
        <v>46.682305627370482</v>
      </c>
      <c r="IR65" s="36">
        <f t="shared" ca="1" si="157"/>
        <v>45.83423343884516</v>
      </c>
      <c r="IS65" s="36">
        <f t="shared" ca="1" si="157"/>
        <v>46.795652180881689</v>
      </c>
      <c r="IT65" s="36">
        <f t="shared" ca="1" si="157"/>
        <v>46.446222534149953</v>
      </c>
      <c r="IU65" s="36">
        <f t="shared" ca="1" si="157"/>
        <v>46.272447800216334</v>
      </c>
    </row>
    <row r="66" spans="1:255" x14ac:dyDescent="0.2">
      <c r="A66" s="36"/>
      <c r="B66">
        <v>56</v>
      </c>
      <c r="C66" s="36">
        <v>50</v>
      </c>
      <c r="D66" s="36">
        <f t="shared" ca="1" si="14"/>
        <v>49.548998022878713</v>
      </c>
      <c r="E66" s="36">
        <f t="shared" ca="1" si="14"/>
        <v>49.98116844665838</v>
      </c>
      <c r="F66" s="36">
        <f t="shared" ref="F66:BQ69" ca="1" si="161">E66*EXP(($B$3-$B$4^2/2)*1+$B$4*_xlfn.NORM.S.INV(RAND()))</f>
        <v>49.890808432989573</v>
      </c>
      <c r="G66" s="36">
        <f t="shared" ca="1" si="161"/>
        <v>49.716331173806374</v>
      </c>
      <c r="H66" s="36">
        <f t="shared" ca="1" si="161"/>
        <v>49.199323613104994</v>
      </c>
      <c r="I66" s="36">
        <f t="shared" ca="1" si="161"/>
        <v>49.306804048733916</v>
      </c>
      <c r="J66" s="36">
        <f t="shared" ca="1" si="161"/>
        <v>49.563404969172559</v>
      </c>
      <c r="K66" s="36">
        <f t="shared" ca="1" si="161"/>
        <v>49.019787096757454</v>
      </c>
      <c r="L66" s="36">
        <f t="shared" ca="1" si="161"/>
        <v>49.531472368160735</v>
      </c>
      <c r="M66" s="36">
        <f t="shared" ca="1" si="161"/>
        <v>50.493037780219268</v>
      </c>
      <c r="N66" s="36">
        <f t="shared" ca="1" si="161"/>
        <v>50.997343286267309</v>
      </c>
      <c r="O66" s="36">
        <f t="shared" ca="1" si="161"/>
        <v>50.692432943333372</v>
      </c>
      <c r="P66" s="36">
        <f t="shared" ca="1" si="161"/>
        <v>50.127655554173259</v>
      </c>
      <c r="Q66" s="36">
        <f t="shared" ca="1" si="161"/>
        <v>49.606416096323727</v>
      </c>
      <c r="R66" s="36">
        <f t="shared" ca="1" si="161"/>
        <v>49.598783800928345</v>
      </c>
      <c r="S66" s="36">
        <f t="shared" ca="1" si="161"/>
        <v>49.682536197580646</v>
      </c>
      <c r="T66" s="36">
        <f t="shared" ca="1" si="161"/>
        <v>50.381089033569829</v>
      </c>
      <c r="U66" s="36">
        <f t="shared" ca="1" si="161"/>
        <v>50.392193449927859</v>
      </c>
      <c r="V66" s="36">
        <f t="shared" ca="1" si="161"/>
        <v>49.996502621816809</v>
      </c>
      <c r="W66" s="36">
        <f t="shared" ca="1" si="161"/>
        <v>50.450762794548545</v>
      </c>
      <c r="X66" s="36">
        <f t="shared" ca="1" si="161"/>
        <v>51.300343357150638</v>
      </c>
      <c r="Y66" s="36">
        <f t="shared" ca="1" si="161"/>
        <v>51.662633169243279</v>
      </c>
      <c r="Z66" s="36">
        <f t="shared" ca="1" si="161"/>
        <v>49.516727817121371</v>
      </c>
      <c r="AA66" s="36">
        <f t="shared" ca="1" si="161"/>
        <v>50.265059577378807</v>
      </c>
      <c r="AB66" s="36">
        <f t="shared" ca="1" si="161"/>
        <v>49.753055259784524</v>
      </c>
      <c r="AC66" s="36">
        <f t="shared" ca="1" si="161"/>
        <v>50.029275541142056</v>
      </c>
      <c r="AD66" s="36">
        <f t="shared" ca="1" si="161"/>
        <v>50.901492759435172</v>
      </c>
      <c r="AE66" s="36">
        <f t="shared" ca="1" si="161"/>
        <v>50.834633002160579</v>
      </c>
      <c r="AF66" s="36">
        <f t="shared" ca="1" si="161"/>
        <v>51.05652539503032</v>
      </c>
      <c r="AG66" s="36">
        <f t="shared" ca="1" si="161"/>
        <v>51.875957443950334</v>
      </c>
      <c r="AH66" s="36">
        <f t="shared" ca="1" si="161"/>
        <v>52.223044052441566</v>
      </c>
      <c r="AI66" s="36">
        <f t="shared" ca="1" si="161"/>
        <v>53.36096574086929</v>
      </c>
      <c r="AJ66" s="36">
        <f t="shared" ca="1" si="161"/>
        <v>51.535848514679749</v>
      </c>
      <c r="AK66" s="36">
        <f t="shared" ca="1" si="161"/>
        <v>51.7314312868738</v>
      </c>
      <c r="AL66" s="36">
        <f t="shared" ca="1" si="161"/>
        <v>51.655772468963384</v>
      </c>
      <c r="AM66" s="36">
        <f t="shared" ca="1" si="161"/>
        <v>51.764887569672787</v>
      </c>
      <c r="AN66" s="36">
        <f t="shared" ca="1" si="161"/>
        <v>51.871271662539939</v>
      </c>
      <c r="AO66" s="36">
        <f t="shared" ca="1" si="161"/>
        <v>52.017683954763001</v>
      </c>
      <c r="AP66" s="36">
        <f t="shared" ca="1" si="161"/>
        <v>52.33220986786057</v>
      </c>
      <c r="AQ66" s="36">
        <f t="shared" ca="1" si="161"/>
        <v>51.120144931248475</v>
      </c>
      <c r="AR66" s="36">
        <f t="shared" ca="1" si="161"/>
        <v>50.540959121829616</v>
      </c>
      <c r="AS66" s="36">
        <f t="shared" ca="1" si="161"/>
        <v>51.118945764404387</v>
      </c>
      <c r="AT66" s="36">
        <f t="shared" ca="1" si="161"/>
        <v>50.502119798795775</v>
      </c>
      <c r="AU66" s="36">
        <f t="shared" ca="1" si="161"/>
        <v>49.890857514449159</v>
      </c>
      <c r="AV66" s="36">
        <f t="shared" ca="1" si="161"/>
        <v>50.577144745787066</v>
      </c>
      <c r="AW66" s="36">
        <f t="shared" ca="1" si="161"/>
        <v>49.711646626151733</v>
      </c>
      <c r="AX66" s="36">
        <f t="shared" ca="1" si="161"/>
        <v>50.026506532580257</v>
      </c>
      <c r="AY66" s="36">
        <f t="shared" ca="1" si="161"/>
        <v>49.943923857957927</v>
      </c>
      <c r="AZ66" s="36">
        <f t="shared" ca="1" si="161"/>
        <v>50.000953198896958</v>
      </c>
      <c r="BA66" s="36">
        <f t="shared" ca="1" si="161"/>
        <v>50.239979430796971</v>
      </c>
      <c r="BB66" s="36">
        <f t="shared" ca="1" si="161"/>
        <v>49.862692157960637</v>
      </c>
      <c r="BC66" s="36">
        <f t="shared" ca="1" si="161"/>
        <v>49.656809326103541</v>
      </c>
      <c r="BD66" s="36">
        <f t="shared" ca="1" si="161"/>
        <v>50.058579112757933</v>
      </c>
      <c r="BE66" s="36">
        <f t="shared" ca="1" si="161"/>
        <v>49.194962855231921</v>
      </c>
      <c r="BF66" s="36">
        <f t="shared" ca="1" si="161"/>
        <v>48.835316584256461</v>
      </c>
      <c r="BG66" s="36">
        <f t="shared" ca="1" si="161"/>
        <v>48.299425695731273</v>
      </c>
      <c r="BH66" s="36">
        <f t="shared" ca="1" si="161"/>
        <v>47.562241866973793</v>
      </c>
      <c r="BI66" s="36">
        <f t="shared" ca="1" si="161"/>
        <v>47.360800295014322</v>
      </c>
      <c r="BJ66" s="36">
        <f t="shared" ca="1" si="161"/>
        <v>46.595578672320507</v>
      </c>
      <c r="BK66" s="36">
        <f t="shared" ca="1" si="161"/>
        <v>46.4088395907145</v>
      </c>
      <c r="BL66" s="36">
        <f t="shared" ca="1" si="161"/>
        <v>45.259174529889762</v>
      </c>
      <c r="BM66" s="36">
        <f t="shared" ca="1" si="161"/>
        <v>44.812951243328271</v>
      </c>
      <c r="BN66" s="36">
        <f t="shared" ca="1" si="161"/>
        <v>44.853593170537259</v>
      </c>
      <c r="BO66" s="36">
        <f t="shared" ca="1" si="161"/>
        <v>44.295502050586634</v>
      </c>
      <c r="BP66" s="36">
        <f t="shared" ca="1" si="161"/>
        <v>44.085629823663879</v>
      </c>
      <c r="BQ66" s="36">
        <f t="shared" ca="1" si="161"/>
        <v>44.28099061143665</v>
      </c>
      <c r="BR66" s="36">
        <f t="shared" ca="1" si="158"/>
        <v>44.115161209164945</v>
      </c>
      <c r="BS66" s="36">
        <f t="shared" ca="1" si="158"/>
        <v>43.963400917195621</v>
      </c>
      <c r="BT66" s="36">
        <f t="shared" ca="1" si="158"/>
        <v>43.205259544736883</v>
      </c>
      <c r="BU66" s="36">
        <f t="shared" ca="1" si="158"/>
        <v>42.526249843436908</v>
      </c>
      <c r="BV66" s="36">
        <f t="shared" ca="1" si="158"/>
        <v>42.200289657731268</v>
      </c>
      <c r="BW66" s="36">
        <f t="shared" ca="1" si="158"/>
        <v>41.797805654615921</v>
      </c>
      <c r="BX66" s="36">
        <f t="shared" ca="1" si="158"/>
        <v>42.275322076604823</v>
      </c>
      <c r="BY66" s="36">
        <f t="shared" ca="1" si="158"/>
        <v>42.487439193646686</v>
      </c>
      <c r="BZ66" s="36">
        <f t="shared" ca="1" si="158"/>
        <v>42.846519605531292</v>
      </c>
      <c r="CA66" s="36">
        <f t="shared" ca="1" si="158"/>
        <v>43.03138055100694</v>
      </c>
      <c r="CB66" s="36">
        <f t="shared" ca="1" si="158"/>
        <v>44.023401717412</v>
      </c>
      <c r="CC66" s="36">
        <f t="shared" ca="1" si="158"/>
        <v>43.755215670261364</v>
      </c>
      <c r="CD66" s="36">
        <f t="shared" ca="1" si="158"/>
        <v>43.792212147783907</v>
      </c>
      <c r="CE66" s="36">
        <f t="shared" ca="1" si="158"/>
        <v>43.228796863567567</v>
      </c>
      <c r="CF66" s="36">
        <f t="shared" ca="1" si="158"/>
        <v>42.898972439589706</v>
      </c>
      <c r="CG66" s="36">
        <f t="shared" ca="1" si="158"/>
        <v>42.536960535796325</v>
      </c>
      <c r="CH66" s="36">
        <f t="shared" ca="1" si="158"/>
        <v>42.182290036252333</v>
      </c>
      <c r="CI66" s="36">
        <f t="shared" ca="1" si="158"/>
        <v>42.043482966370235</v>
      </c>
      <c r="CJ66" s="36">
        <f t="shared" ca="1" si="158"/>
        <v>42.585794835217733</v>
      </c>
      <c r="CK66" s="36">
        <f t="shared" ca="1" si="158"/>
        <v>42.399921352684899</v>
      </c>
      <c r="CL66" s="36">
        <f t="shared" ca="1" si="158"/>
        <v>41.967810313548974</v>
      </c>
      <c r="CM66" s="36">
        <f t="shared" ca="1" si="158"/>
        <v>42.677111692464358</v>
      </c>
      <c r="CN66" s="36">
        <f t="shared" ca="1" si="158"/>
        <v>42.917598456497274</v>
      </c>
      <c r="CO66" s="36">
        <f t="shared" ca="1" si="158"/>
        <v>42.711199117163204</v>
      </c>
      <c r="CP66" s="36">
        <f t="shared" ca="1" si="158"/>
        <v>42.825025911819516</v>
      </c>
      <c r="CQ66" s="36">
        <f t="shared" ca="1" si="158"/>
        <v>42.455399369066313</v>
      </c>
      <c r="CR66" s="36">
        <f t="shared" ca="1" si="158"/>
        <v>42.768229620702613</v>
      </c>
      <c r="CS66" s="36">
        <f t="shared" ca="1" si="158"/>
        <v>42.381596184621444</v>
      </c>
      <c r="CT66" s="36">
        <f t="shared" ca="1" si="158"/>
        <v>42.070413834837034</v>
      </c>
      <c r="CU66" s="36">
        <f t="shared" ca="1" si="158"/>
        <v>42.119806196789028</v>
      </c>
      <c r="CV66" s="36">
        <f t="shared" ca="1" si="158"/>
        <v>42.400414837103853</v>
      </c>
      <c r="CW66" s="36">
        <f t="shared" ca="1" si="158"/>
        <v>41.332820909783251</v>
      </c>
      <c r="CX66" s="36">
        <f t="shared" ca="1" si="158"/>
        <v>41.975413772808167</v>
      </c>
      <c r="CY66" s="36">
        <f t="shared" ca="1" si="158"/>
        <v>42.626075445577719</v>
      </c>
      <c r="CZ66" s="36">
        <f t="shared" ca="1" si="158"/>
        <v>42.542094790824464</v>
      </c>
      <c r="DA66" s="36">
        <f t="shared" ca="1" si="158"/>
        <v>42.268324932503774</v>
      </c>
      <c r="DB66" s="36">
        <f t="shared" ca="1" si="158"/>
        <v>41.957114291720011</v>
      </c>
      <c r="DC66" s="36">
        <f t="shared" ca="1" si="158"/>
        <v>41.684348313724819</v>
      </c>
      <c r="DD66" s="36">
        <f t="shared" ca="1" si="158"/>
        <v>42.187594854926942</v>
      </c>
      <c r="DE66" s="36">
        <f t="shared" ca="1" si="158"/>
        <v>42.712203102944656</v>
      </c>
      <c r="DF66" s="36">
        <f t="shared" ca="1" si="158"/>
        <v>42.619657704677138</v>
      </c>
      <c r="DG66" s="36">
        <f t="shared" ca="1" si="158"/>
        <v>41.490245014275608</v>
      </c>
      <c r="DH66" s="36">
        <f t="shared" ca="1" si="158"/>
        <v>41.033575966646175</v>
      </c>
      <c r="DI66" s="36">
        <f t="shared" ca="1" si="158"/>
        <v>40.897201627951958</v>
      </c>
      <c r="DJ66" s="36">
        <f t="shared" ca="1" si="158"/>
        <v>41.642654252888732</v>
      </c>
      <c r="DK66" s="36">
        <f t="shared" ca="1" si="158"/>
        <v>41.042182980793257</v>
      </c>
      <c r="DL66" s="36">
        <f t="shared" ca="1" si="158"/>
        <v>41.944143608229062</v>
      </c>
      <c r="DM66" s="36">
        <f t="shared" ca="1" si="158"/>
        <v>41.705908528702174</v>
      </c>
      <c r="DN66" s="36">
        <f t="shared" ca="1" si="158"/>
        <v>42.178754486663479</v>
      </c>
      <c r="DO66" s="36">
        <f t="shared" ca="1" si="158"/>
        <v>41.448498609563046</v>
      </c>
      <c r="DP66" s="36">
        <f t="shared" ca="1" si="158"/>
        <v>41.898477051487149</v>
      </c>
      <c r="DQ66" s="36">
        <f t="shared" ca="1" si="158"/>
        <v>42.110234397245449</v>
      </c>
      <c r="DR66" s="36">
        <f t="shared" ca="1" si="158"/>
        <v>41.903906008662062</v>
      </c>
      <c r="DS66" s="36">
        <f t="shared" ca="1" si="158"/>
        <v>41.784438537382407</v>
      </c>
      <c r="DT66" s="36">
        <f t="shared" ca="1" si="158"/>
        <v>42.101184426081701</v>
      </c>
      <c r="DU66" s="36">
        <f t="shared" ca="1" si="158"/>
        <v>42.773857391504038</v>
      </c>
      <c r="DV66" s="36">
        <f t="shared" ca="1" si="158"/>
        <v>42.56909880936746</v>
      </c>
      <c r="DW66" s="36">
        <f t="shared" ca="1" si="158"/>
        <v>43.332562581505208</v>
      </c>
      <c r="DX66" s="36">
        <f t="shared" ca="1" si="158"/>
        <v>44.647550975307027</v>
      </c>
      <c r="DY66" s="36">
        <f t="shared" ca="1" si="158"/>
        <v>44.475533095505966</v>
      </c>
      <c r="DZ66" s="36">
        <f t="shared" ca="1" si="158"/>
        <v>45.314962472134013</v>
      </c>
      <c r="EA66" s="36">
        <f t="shared" ca="1" si="158"/>
        <v>45.713948129777421</v>
      </c>
      <c r="EB66" s="36">
        <f t="shared" ca="1" si="158"/>
        <v>46.267030898628214</v>
      </c>
      <c r="EC66" s="36">
        <f t="shared" ca="1" si="139"/>
        <v>46.516691229579017</v>
      </c>
      <c r="ED66" s="36">
        <f t="shared" ca="1" si="139"/>
        <v>46.489358454870995</v>
      </c>
      <c r="EE66" s="36">
        <f t="shared" ca="1" si="139"/>
        <v>46.314854477390689</v>
      </c>
      <c r="EF66" s="36">
        <f t="shared" ca="1" si="139"/>
        <v>47.25242968530123</v>
      </c>
      <c r="EG66" s="36">
        <f t="shared" ca="1" si="139"/>
        <v>46.408549455446874</v>
      </c>
      <c r="EH66" s="36">
        <f t="shared" ca="1" si="139"/>
        <v>47.199260849479643</v>
      </c>
      <c r="EI66" s="36">
        <f t="shared" ca="1" si="139"/>
        <v>47.77695353700468</v>
      </c>
      <c r="EJ66" s="36">
        <f t="shared" ca="1" si="139"/>
        <v>47.862672549414121</v>
      </c>
      <c r="EK66" s="36">
        <f t="shared" ca="1" si="139"/>
        <v>47.540603931070585</v>
      </c>
      <c r="EL66" s="36">
        <f t="shared" ca="1" si="139"/>
        <v>47.865537511376047</v>
      </c>
      <c r="EM66" s="36">
        <f t="shared" ca="1" si="139"/>
        <v>47.462257305626331</v>
      </c>
      <c r="EN66" s="36">
        <f t="shared" ca="1" si="139"/>
        <v>47.034335859870069</v>
      </c>
      <c r="EO66" s="36">
        <f t="shared" ca="1" si="139"/>
        <v>47.365030430041379</v>
      </c>
      <c r="EP66" s="36">
        <f t="shared" ca="1" si="139"/>
        <v>47.557133376540932</v>
      </c>
      <c r="EQ66" s="36">
        <f t="shared" ca="1" si="139"/>
        <v>46.823360657318361</v>
      </c>
      <c r="ER66" s="36">
        <f t="shared" ca="1" si="139"/>
        <v>46.908480414895784</v>
      </c>
      <c r="ES66" s="36">
        <f t="shared" ca="1" si="139"/>
        <v>46.870821806494703</v>
      </c>
      <c r="ET66" s="36">
        <f t="shared" ca="1" si="139"/>
        <v>46.648419238613982</v>
      </c>
      <c r="EU66" s="36">
        <f t="shared" ca="1" si="139"/>
        <v>47.033096720928924</v>
      </c>
      <c r="EV66" s="36">
        <f t="shared" ca="1" si="139"/>
        <v>47.776504951833402</v>
      </c>
      <c r="EW66" s="36">
        <f t="shared" ref="EW66" ca="1" si="162">EV66*EXP(($B$3-$B$4^2/2)*1+$B$4*_xlfn.NORM.S.INV(RAND()))</f>
        <v>47.659220851795574</v>
      </c>
      <c r="EX66" s="36">
        <f t="shared" ca="1" si="153"/>
        <v>48.614311376975159</v>
      </c>
      <c r="EY66" s="36">
        <f t="shared" ca="1" si="153"/>
        <v>48.914532605247608</v>
      </c>
      <c r="EZ66" s="36">
        <f t="shared" ca="1" si="153"/>
        <v>48.536410225432938</v>
      </c>
      <c r="FA66" s="36">
        <f t="shared" ca="1" si="153"/>
        <v>48.869565716736602</v>
      </c>
      <c r="FB66" s="36">
        <f t="shared" ca="1" si="153"/>
        <v>48.102429034256062</v>
      </c>
      <c r="FC66" s="36">
        <f t="shared" ca="1" si="153"/>
        <v>47.079624226362704</v>
      </c>
      <c r="FD66" s="36">
        <f t="shared" ca="1" si="153"/>
        <v>46.709433799020566</v>
      </c>
      <c r="FE66" s="36">
        <f t="shared" ca="1" si="153"/>
        <v>47.302530532957604</v>
      </c>
      <c r="FF66" s="36">
        <f t="shared" ca="1" si="153"/>
        <v>48.028485823207149</v>
      </c>
      <c r="FG66" s="36">
        <f t="shared" ca="1" si="153"/>
        <v>47.141403043327735</v>
      </c>
      <c r="FH66" s="36">
        <f t="shared" ca="1" si="153"/>
        <v>48.278147123324871</v>
      </c>
      <c r="FI66" s="36">
        <f t="shared" ca="1" si="153"/>
        <v>47.928100656204471</v>
      </c>
      <c r="FJ66" s="36">
        <f t="shared" ca="1" si="153"/>
        <v>47.76313138427242</v>
      </c>
      <c r="FK66" s="36">
        <f t="shared" ca="1" si="153"/>
        <v>47.430981068351933</v>
      </c>
      <c r="FL66" s="36">
        <f t="shared" ca="1" si="153"/>
        <v>47.956675741919113</v>
      </c>
      <c r="FM66" s="36">
        <f t="shared" ca="1" si="153"/>
        <v>48.177053322397647</v>
      </c>
      <c r="FN66" s="36">
        <f t="shared" ca="1" si="153"/>
        <v>47.405393642460623</v>
      </c>
      <c r="FO66" s="36">
        <f t="shared" ca="1" si="153"/>
        <v>47.511569098609058</v>
      </c>
      <c r="FP66" s="36">
        <f t="shared" ca="1" si="153"/>
        <v>47.709488596894595</v>
      </c>
      <c r="FQ66" s="36">
        <f t="shared" ca="1" si="153"/>
        <v>48.141806676601284</v>
      </c>
      <c r="FR66" s="36">
        <f t="shared" ca="1" si="153"/>
        <v>47.265174664334566</v>
      </c>
      <c r="FS66" s="36">
        <f t="shared" ca="1" si="153"/>
        <v>47.301090463424252</v>
      </c>
      <c r="FT66" s="36">
        <f t="shared" ca="1" si="153"/>
        <v>46.7699248116866</v>
      </c>
      <c r="FU66" s="36">
        <f t="shared" ca="1" si="153"/>
        <v>45.301666242071029</v>
      </c>
      <c r="FV66" s="36">
        <f t="shared" ca="1" si="153"/>
        <v>46.22567976077903</v>
      </c>
      <c r="FW66" s="36">
        <f t="shared" ca="1" si="153"/>
        <v>45.448701127189928</v>
      </c>
      <c r="FX66" s="36">
        <f t="shared" ca="1" si="153"/>
        <v>46.592816961250826</v>
      </c>
      <c r="FY66" s="36">
        <f t="shared" ca="1" si="153"/>
        <v>46.532958534035401</v>
      </c>
      <c r="FZ66" s="36">
        <f t="shared" ca="1" si="153"/>
        <v>45.842468361757994</v>
      </c>
      <c r="GA66" s="36">
        <f t="shared" ca="1" si="153"/>
        <v>46.762345306845226</v>
      </c>
      <c r="GB66" s="36">
        <f t="shared" ca="1" si="153"/>
        <v>46.044282509516506</v>
      </c>
      <c r="GC66" s="36">
        <f t="shared" ca="1" si="153"/>
        <v>46.285496114574229</v>
      </c>
      <c r="GD66" s="36">
        <f t="shared" ca="1" si="153"/>
        <v>46.984921134916391</v>
      </c>
      <c r="GE66" s="36">
        <f t="shared" ca="1" si="153"/>
        <v>47.912855332880866</v>
      </c>
      <c r="GF66" s="36">
        <f t="shared" ca="1" si="153"/>
        <v>48.074930840891462</v>
      </c>
      <c r="GG66" s="36">
        <f t="shared" ca="1" si="153"/>
        <v>49.139284190187304</v>
      </c>
      <c r="GH66" s="36">
        <f t="shared" ca="1" si="153"/>
        <v>49.695456380161318</v>
      </c>
      <c r="GI66" s="36">
        <f t="shared" ca="1" si="153"/>
        <v>49.965195874575969</v>
      </c>
      <c r="GJ66" s="36">
        <f t="shared" ca="1" si="153"/>
        <v>50.232652722870988</v>
      </c>
      <c r="GK66" s="36">
        <f t="shared" ca="1" si="153"/>
        <v>50.258491681888408</v>
      </c>
      <c r="GL66" s="36">
        <f t="shared" ca="1" si="153"/>
        <v>50.898218930801349</v>
      </c>
      <c r="GM66" s="36">
        <f t="shared" ca="1" si="153"/>
        <v>51.032913538362315</v>
      </c>
      <c r="GN66" s="36">
        <f t="shared" ca="1" si="153"/>
        <v>51.498753037514817</v>
      </c>
      <c r="GO66" s="36">
        <f t="shared" ca="1" si="153"/>
        <v>51.095103612701827</v>
      </c>
      <c r="GP66" s="36">
        <f t="shared" ca="1" si="153"/>
        <v>52.291998956531749</v>
      </c>
      <c r="GQ66" s="36">
        <f t="shared" ca="1" si="153"/>
        <v>51.807825611339908</v>
      </c>
      <c r="GR66" s="36">
        <f t="shared" ca="1" si="153"/>
        <v>50.846836917475663</v>
      </c>
      <c r="GS66" s="36">
        <f t="shared" ca="1" si="153"/>
        <v>50.030422276397516</v>
      </c>
      <c r="GT66" s="36">
        <f t="shared" ca="1" si="153"/>
        <v>50.20988193367269</v>
      </c>
      <c r="GU66" s="36">
        <f t="shared" ca="1" si="153"/>
        <v>51.417823400056946</v>
      </c>
      <c r="GV66" s="36">
        <f t="shared" ca="1" si="153"/>
        <v>52.305919896952119</v>
      </c>
      <c r="GW66" s="36">
        <f t="shared" ca="1" si="153"/>
        <v>52.107653915378101</v>
      </c>
      <c r="GX66" s="36">
        <f t="shared" ca="1" si="153"/>
        <v>50.922516956448369</v>
      </c>
      <c r="GY66" s="36">
        <f t="shared" ca="1" si="153"/>
        <v>50.480469436094303</v>
      </c>
      <c r="GZ66" s="36">
        <f t="shared" ca="1" si="153"/>
        <v>51.08139782029285</v>
      </c>
      <c r="HA66" s="36">
        <f t="shared" ca="1" si="153"/>
        <v>52.539198032139204</v>
      </c>
      <c r="HB66" s="36">
        <f t="shared" ca="1" si="153"/>
        <v>52.063299931508183</v>
      </c>
      <c r="HC66" s="36">
        <f t="shared" ca="1" si="153"/>
        <v>52.605325316539563</v>
      </c>
      <c r="HD66" s="36">
        <f t="shared" ca="1" si="153"/>
        <v>53.286670830327324</v>
      </c>
      <c r="HE66" s="36">
        <f t="shared" ca="1" si="153"/>
        <v>52.872937061709607</v>
      </c>
      <c r="HF66" s="36">
        <f t="shared" ca="1" si="153"/>
        <v>52.311048229613235</v>
      </c>
      <c r="HG66" s="36">
        <f t="shared" ca="1" si="153"/>
        <v>52.978199444310242</v>
      </c>
      <c r="HH66" s="36">
        <f t="shared" ca="1" si="153"/>
        <v>53.146742615080065</v>
      </c>
      <c r="HI66" s="36">
        <f t="shared" ca="1" si="160"/>
        <v>54.971042410445961</v>
      </c>
      <c r="HJ66" s="36">
        <f t="shared" ca="1" si="160"/>
        <v>55.211598803702209</v>
      </c>
      <c r="HK66" s="36">
        <f t="shared" ca="1" si="160"/>
        <v>55.572741652413193</v>
      </c>
      <c r="HL66" s="36">
        <f t="shared" ca="1" si="160"/>
        <v>55.470067189679455</v>
      </c>
      <c r="HM66" s="36">
        <f t="shared" ca="1" si="160"/>
        <v>55.334813275926592</v>
      </c>
      <c r="HN66" s="36">
        <f t="shared" ca="1" si="160"/>
        <v>54.772391600916237</v>
      </c>
      <c r="HO66" s="36">
        <f t="shared" ca="1" si="160"/>
        <v>54.4879884701066</v>
      </c>
      <c r="HP66" s="36">
        <f t="shared" ca="1" si="160"/>
        <v>54.064628632327604</v>
      </c>
      <c r="HQ66" s="36">
        <f t="shared" ca="1" si="160"/>
        <v>54.729018890745657</v>
      </c>
      <c r="HR66" s="36">
        <f t="shared" ca="1" si="160"/>
        <v>55.856975838127731</v>
      </c>
      <c r="HS66" s="36">
        <f t="shared" ca="1" si="160"/>
        <v>56.219680451631447</v>
      </c>
      <c r="HT66" s="36">
        <f t="shared" ca="1" si="160"/>
        <v>55.791064768916925</v>
      </c>
      <c r="HU66" s="36">
        <f t="shared" ca="1" si="157"/>
        <v>55.435081256433413</v>
      </c>
      <c r="HV66" s="36">
        <f t="shared" ca="1" si="157"/>
        <v>54.308476131003133</v>
      </c>
      <c r="HW66" s="36">
        <f t="shared" ca="1" si="157"/>
        <v>54.511592374524263</v>
      </c>
      <c r="HX66" s="36">
        <f t="shared" ca="1" si="157"/>
        <v>54.303741765732163</v>
      </c>
      <c r="HY66" s="36">
        <f t="shared" ca="1" si="157"/>
        <v>54.563507754102503</v>
      </c>
      <c r="HZ66" s="36">
        <f t="shared" ca="1" si="157"/>
        <v>55.304607104186722</v>
      </c>
      <c r="IA66" s="36">
        <f t="shared" ca="1" si="157"/>
        <v>53.637087966444206</v>
      </c>
      <c r="IB66" s="36">
        <f t="shared" ca="1" si="157"/>
        <v>52.965472084289019</v>
      </c>
      <c r="IC66" s="36">
        <f t="shared" ca="1" si="157"/>
        <v>53.954108955603786</v>
      </c>
      <c r="ID66" s="36">
        <f t="shared" ca="1" si="157"/>
        <v>54.225449336892297</v>
      </c>
      <c r="IE66" s="36">
        <f t="shared" ca="1" si="157"/>
        <v>55.040535520085356</v>
      </c>
      <c r="IF66" s="36">
        <f t="shared" ca="1" si="157"/>
        <v>55.999259793439769</v>
      </c>
      <c r="IG66" s="36">
        <f t="shared" ca="1" si="157"/>
        <v>55.640616288891117</v>
      </c>
      <c r="IH66" s="36">
        <f t="shared" ca="1" si="157"/>
        <v>55.843838805977036</v>
      </c>
      <c r="II66" s="36">
        <f t="shared" ca="1" si="157"/>
        <v>56.418997460391942</v>
      </c>
      <c r="IJ66" s="36">
        <f t="shared" ca="1" si="157"/>
        <v>55.527841870012843</v>
      </c>
      <c r="IK66" s="36">
        <f t="shared" ca="1" si="157"/>
        <v>55.412156817004615</v>
      </c>
      <c r="IL66" s="36">
        <f t="shared" ca="1" si="157"/>
        <v>54.434875718225179</v>
      </c>
      <c r="IM66" s="36">
        <f t="shared" ca="1" si="157"/>
        <v>54.134966716068213</v>
      </c>
      <c r="IN66" s="36">
        <f t="shared" ca="1" si="157"/>
        <v>54.890502409037531</v>
      </c>
      <c r="IO66" s="36">
        <f t="shared" ca="1" si="157"/>
        <v>55.937436276337714</v>
      </c>
      <c r="IP66" s="36">
        <f t="shared" ca="1" si="157"/>
        <v>55.547527258619162</v>
      </c>
      <c r="IQ66" s="36">
        <f t="shared" ca="1" si="157"/>
        <v>54.627689805605861</v>
      </c>
      <c r="IR66" s="36">
        <f t="shared" ca="1" si="157"/>
        <v>54.40980496502047</v>
      </c>
      <c r="IS66" s="36">
        <f t="shared" ca="1" si="157"/>
        <v>54.326069530010194</v>
      </c>
      <c r="IT66" s="36">
        <f t="shared" ca="1" si="157"/>
        <v>53.470861808844333</v>
      </c>
      <c r="IU66" s="36">
        <f t="shared" ca="1" si="157"/>
        <v>53.899687338433552</v>
      </c>
    </row>
    <row r="67" spans="1:255" x14ac:dyDescent="0.2">
      <c r="A67" s="36"/>
      <c r="B67">
        <v>57</v>
      </c>
      <c r="C67" s="36">
        <v>50</v>
      </c>
      <c r="D67" s="36">
        <f t="shared" ca="1" si="14"/>
        <v>50.304372570797526</v>
      </c>
      <c r="E67" s="36">
        <f t="shared" ca="1" si="14"/>
        <v>49.917955071000435</v>
      </c>
      <c r="F67" s="36">
        <f t="shared" ca="1" si="161"/>
        <v>51.369766881077609</v>
      </c>
      <c r="G67" s="36">
        <f t="shared" ca="1" si="161"/>
        <v>51.982017348281786</v>
      </c>
      <c r="H67" s="36">
        <f t="shared" ca="1" si="161"/>
        <v>51.694491019887593</v>
      </c>
      <c r="I67" s="36">
        <f t="shared" ca="1" si="161"/>
        <v>51.732404907616328</v>
      </c>
      <c r="J67" s="36">
        <f t="shared" ca="1" si="161"/>
        <v>50.963865583393627</v>
      </c>
      <c r="K67" s="36">
        <f t="shared" ca="1" si="161"/>
        <v>52.082304293975177</v>
      </c>
      <c r="L67" s="36">
        <f t="shared" ca="1" si="161"/>
        <v>51.818684075091831</v>
      </c>
      <c r="M67" s="36">
        <f t="shared" ca="1" si="161"/>
        <v>51.88421344863994</v>
      </c>
      <c r="N67" s="36">
        <f t="shared" ca="1" si="161"/>
        <v>51.908697937887233</v>
      </c>
      <c r="O67" s="36">
        <f t="shared" ca="1" si="161"/>
        <v>51.642417520727541</v>
      </c>
      <c r="P67" s="36">
        <f t="shared" ca="1" si="161"/>
        <v>52.222472404734468</v>
      </c>
      <c r="Q67" s="36">
        <f t="shared" ca="1" si="161"/>
        <v>51.655573386939594</v>
      </c>
      <c r="R67" s="36">
        <f t="shared" ca="1" si="161"/>
        <v>51.986206293509888</v>
      </c>
      <c r="S67" s="36">
        <f t="shared" ca="1" si="161"/>
        <v>52.962292503580009</v>
      </c>
      <c r="T67" s="36">
        <f t="shared" ca="1" si="161"/>
        <v>53.306911710572201</v>
      </c>
      <c r="U67" s="36">
        <f t="shared" ca="1" si="161"/>
        <v>53.690091985145664</v>
      </c>
      <c r="V67" s="36">
        <f t="shared" ca="1" si="161"/>
        <v>53.587637922761523</v>
      </c>
      <c r="W67" s="36">
        <f t="shared" ca="1" si="161"/>
        <v>53.666600576254893</v>
      </c>
      <c r="X67" s="36">
        <f t="shared" ca="1" si="161"/>
        <v>53.83865538410604</v>
      </c>
      <c r="Y67" s="36">
        <f t="shared" ca="1" si="161"/>
        <v>53.212986989284381</v>
      </c>
      <c r="Z67" s="36">
        <f t="shared" ca="1" si="161"/>
        <v>54.08016782759961</v>
      </c>
      <c r="AA67" s="36">
        <f t="shared" ca="1" si="161"/>
        <v>54.2704309822958</v>
      </c>
      <c r="AB67" s="36">
        <f t="shared" ca="1" si="161"/>
        <v>54.522940549129409</v>
      </c>
      <c r="AC67" s="36">
        <f t="shared" ca="1" si="161"/>
        <v>54.01269114907187</v>
      </c>
      <c r="AD67" s="36">
        <f t="shared" ca="1" si="161"/>
        <v>54.390826080462631</v>
      </c>
      <c r="AE67" s="36">
        <f t="shared" ca="1" si="161"/>
        <v>54.171088363058061</v>
      </c>
      <c r="AF67" s="36">
        <f t="shared" ca="1" si="161"/>
        <v>54.357509656909158</v>
      </c>
      <c r="AG67" s="36">
        <f t="shared" ca="1" si="161"/>
        <v>54.296045816207354</v>
      </c>
      <c r="AH67" s="36">
        <f t="shared" ca="1" si="161"/>
        <v>53.87023174956137</v>
      </c>
      <c r="AI67" s="36">
        <f t="shared" ca="1" si="161"/>
        <v>54.492525996533317</v>
      </c>
      <c r="AJ67" s="36">
        <f t="shared" ca="1" si="161"/>
        <v>54.866873500305282</v>
      </c>
      <c r="AK67" s="36">
        <f t="shared" ca="1" si="161"/>
        <v>55.36889300056685</v>
      </c>
      <c r="AL67" s="36">
        <f t="shared" ca="1" si="161"/>
        <v>55.667039334935637</v>
      </c>
      <c r="AM67" s="36">
        <f t="shared" ca="1" si="161"/>
        <v>54.953012599683944</v>
      </c>
      <c r="AN67" s="36">
        <f t="shared" ca="1" si="161"/>
        <v>54.71193823980235</v>
      </c>
      <c r="AO67" s="36">
        <f t="shared" ca="1" si="161"/>
        <v>54.333624702586881</v>
      </c>
      <c r="AP67" s="36">
        <f t="shared" ca="1" si="161"/>
        <v>54.695048520225036</v>
      </c>
      <c r="AQ67" s="36">
        <f t="shared" ca="1" si="161"/>
        <v>55.3769423598971</v>
      </c>
      <c r="AR67" s="36">
        <f t="shared" ca="1" si="161"/>
        <v>54.648374637183387</v>
      </c>
      <c r="AS67" s="36">
        <f t="shared" ca="1" si="161"/>
        <v>54.880408079849907</v>
      </c>
      <c r="AT67" s="36">
        <f t="shared" ca="1" si="161"/>
        <v>54.732436503153288</v>
      </c>
      <c r="AU67" s="36">
        <f t="shared" ca="1" si="161"/>
        <v>54.235813049935096</v>
      </c>
      <c r="AV67" s="36">
        <f t="shared" ca="1" si="161"/>
        <v>54.669519887454385</v>
      </c>
      <c r="AW67" s="36">
        <f t="shared" ca="1" si="161"/>
        <v>54.426502376954723</v>
      </c>
      <c r="AX67" s="36">
        <f t="shared" ca="1" si="161"/>
        <v>54.456999605968605</v>
      </c>
      <c r="AY67" s="36">
        <f t="shared" ca="1" si="161"/>
        <v>55.20404165825709</v>
      </c>
      <c r="AZ67" s="36">
        <f t="shared" ca="1" si="161"/>
        <v>55.013020851592195</v>
      </c>
      <c r="BA67" s="36">
        <f t="shared" ca="1" si="161"/>
        <v>57.038591674366721</v>
      </c>
      <c r="BB67" s="36">
        <f t="shared" ca="1" si="161"/>
        <v>56.482533803010583</v>
      </c>
      <c r="BC67" s="36">
        <f t="shared" ca="1" si="161"/>
        <v>57.715129853650581</v>
      </c>
      <c r="BD67" s="36">
        <f t="shared" ca="1" si="161"/>
        <v>57.828820776588309</v>
      </c>
      <c r="BE67" s="36">
        <f t="shared" ca="1" si="161"/>
        <v>58.268259722950809</v>
      </c>
      <c r="BF67" s="36">
        <f t="shared" ca="1" si="161"/>
        <v>58.760772772341348</v>
      </c>
      <c r="BG67" s="36">
        <f t="shared" ca="1" si="161"/>
        <v>58.962802873366392</v>
      </c>
      <c r="BH67" s="36">
        <f t="shared" ca="1" si="161"/>
        <v>59.356360961541753</v>
      </c>
      <c r="BI67" s="36">
        <f t="shared" ca="1" si="161"/>
        <v>59.503592472941783</v>
      </c>
      <c r="BJ67" s="36">
        <f t="shared" ca="1" si="161"/>
        <v>60.256000061916374</v>
      </c>
      <c r="BK67" s="36">
        <f t="shared" ca="1" si="161"/>
        <v>60.236874066605459</v>
      </c>
      <c r="BL67" s="36">
        <f t="shared" ca="1" si="161"/>
        <v>59.602703428322528</v>
      </c>
      <c r="BM67" s="36">
        <f t="shared" ca="1" si="161"/>
        <v>60.477530264295488</v>
      </c>
      <c r="BN67" s="36">
        <f t="shared" ca="1" si="161"/>
        <v>59.961767858450685</v>
      </c>
      <c r="BO67" s="36">
        <f t="shared" ca="1" si="161"/>
        <v>60.306784734134276</v>
      </c>
      <c r="BP67" s="36">
        <f t="shared" ca="1" si="161"/>
        <v>60.630727739614137</v>
      </c>
      <c r="BQ67" s="36">
        <f t="shared" ca="1" si="161"/>
        <v>62.151390848699876</v>
      </c>
      <c r="BR67" s="36">
        <f t="shared" ca="1" si="158"/>
        <v>60.903198921276285</v>
      </c>
      <c r="BS67" s="36">
        <f t="shared" ca="1" si="158"/>
        <v>61.201819430046413</v>
      </c>
      <c r="BT67" s="36">
        <f t="shared" ca="1" si="158"/>
        <v>61.547126449278124</v>
      </c>
      <c r="BU67" s="36">
        <f t="shared" ca="1" si="158"/>
        <v>60.998639866603227</v>
      </c>
      <c r="BV67" s="36">
        <f t="shared" ca="1" si="158"/>
        <v>61.209642637299922</v>
      </c>
      <c r="BW67" s="36">
        <f t="shared" ca="1" si="158"/>
        <v>61.318891873143713</v>
      </c>
      <c r="BX67" s="36">
        <f t="shared" ca="1" si="158"/>
        <v>61.157781897569805</v>
      </c>
      <c r="BY67" s="36">
        <f t="shared" ca="1" si="158"/>
        <v>60.711922349120108</v>
      </c>
      <c r="BZ67" s="36">
        <f t="shared" ca="1" si="158"/>
        <v>60.701547717502343</v>
      </c>
      <c r="CA67" s="36">
        <f t="shared" ca="1" si="158"/>
        <v>60.799001333663355</v>
      </c>
      <c r="CB67" s="36">
        <f t="shared" ca="1" si="158"/>
        <v>60.475578353007414</v>
      </c>
      <c r="CC67" s="36">
        <f t="shared" ca="1" si="158"/>
        <v>59.74266027381713</v>
      </c>
      <c r="CD67" s="36">
        <f t="shared" ca="1" si="158"/>
        <v>59.410323006476752</v>
      </c>
      <c r="CE67" s="36">
        <f t="shared" ca="1" si="158"/>
        <v>61.134714971189247</v>
      </c>
      <c r="CF67" s="36">
        <f t="shared" ca="1" si="158"/>
        <v>62.470524861128133</v>
      </c>
      <c r="CG67" s="36">
        <f t="shared" ca="1" si="158"/>
        <v>61.582383531122453</v>
      </c>
      <c r="CH67" s="36">
        <f t="shared" ca="1" si="158"/>
        <v>60.825985534692165</v>
      </c>
      <c r="CI67" s="36">
        <f t="shared" ca="1" si="158"/>
        <v>60.525495530393805</v>
      </c>
      <c r="CJ67" s="36">
        <f t="shared" ca="1" si="158"/>
        <v>61.239611939961613</v>
      </c>
      <c r="CK67" s="36">
        <f t="shared" ca="1" si="158"/>
        <v>61.214252013945021</v>
      </c>
      <c r="CL67" s="36">
        <f t="shared" ca="1" si="158"/>
        <v>60.951133499746788</v>
      </c>
      <c r="CM67" s="36">
        <f t="shared" ca="1" si="158"/>
        <v>60.146441402371735</v>
      </c>
      <c r="CN67" s="36">
        <f t="shared" ca="1" si="158"/>
        <v>59.948264334157102</v>
      </c>
      <c r="CO67" s="36">
        <f t="shared" ca="1" si="158"/>
        <v>60.389319246066883</v>
      </c>
      <c r="CP67" s="36">
        <f t="shared" ca="1" si="158"/>
        <v>60.332721231468213</v>
      </c>
      <c r="CQ67" s="36">
        <f t="shared" ca="1" si="158"/>
        <v>60.898566253525374</v>
      </c>
      <c r="CR67" s="36">
        <f t="shared" ca="1" si="158"/>
        <v>59.93728493496841</v>
      </c>
      <c r="CS67" s="36">
        <f t="shared" ca="1" si="158"/>
        <v>60.202660832820065</v>
      </c>
      <c r="CT67" s="36">
        <f t="shared" ca="1" si="158"/>
        <v>60.508015034197122</v>
      </c>
      <c r="CU67" s="36">
        <f t="shared" ca="1" si="158"/>
        <v>60.878040883060855</v>
      </c>
      <c r="CV67" s="36">
        <f t="shared" ca="1" si="158"/>
        <v>60.871301890029962</v>
      </c>
      <c r="CW67" s="36">
        <f t="shared" ca="1" si="158"/>
        <v>60.128661142267816</v>
      </c>
      <c r="CX67" s="36">
        <f t="shared" ca="1" si="158"/>
        <v>59.839089362188702</v>
      </c>
      <c r="CY67" s="36">
        <f t="shared" ca="1" si="158"/>
        <v>61.015350881665626</v>
      </c>
      <c r="CZ67" s="36">
        <f t="shared" ca="1" si="158"/>
        <v>61.05981296179521</v>
      </c>
      <c r="DA67" s="36">
        <f t="shared" ca="1" si="158"/>
        <v>61.965590426713312</v>
      </c>
      <c r="DB67" s="36">
        <f t="shared" ca="1" si="158"/>
        <v>61.89495664638013</v>
      </c>
      <c r="DC67" s="36">
        <f t="shared" ca="1" si="158"/>
        <v>62.525491388604273</v>
      </c>
      <c r="DD67" s="36">
        <f t="shared" ca="1" si="158"/>
        <v>63.186701907561584</v>
      </c>
      <c r="DE67" s="36">
        <f t="shared" ca="1" si="158"/>
        <v>63.703048704003074</v>
      </c>
      <c r="DF67" s="36">
        <f t="shared" ca="1" si="158"/>
        <v>62.87690213456554</v>
      </c>
      <c r="DG67" s="36">
        <f t="shared" ca="1" si="158"/>
        <v>62.025870450150926</v>
      </c>
      <c r="DH67" s="36">
        <f t="shared" ca="1" si="158"/>
        <v>62.631267457216019</v>
      </c>
      <c r="DI67" s="36">
        <f t="shared" ca="1" si="158"/>
        <v>62.828535594278186</v>
      </c>
      <c r="DJ67" s="36">
        <f t="shared" ca="1" si="158"/>
        <v>61.970897736852955</v>
      </c>
      <c r="DK67" s="36">
        <f t="shared" ca="1" si="158"/>
        <v>62.375239276935218</v>
      </c>
      <c r="DL67" s="36">
        <f t="shared" ca="1" si="158"/>
        <v>62.675703769067191</v>
      </c>
      <c r="DM67" s="36">
        <f t="shared" ca="1" si="158"/>
        <v>62.62079570160477</v>
      </c>
      <c r="DN67" s="36">
        <f t="shared" ca="1" si="158"/>
        <v>61.88322192153489</v>
      </c>
      <c r="DO67" s="36">
        <f t="shared" ca="1" si="158"/>
        <v>61.872281704931829</v>
      </c>
      <c r="DP67" s="36">
        <f t="shared" ca="1" si="158"/>
        <v>60.488043491858107</v>
      </c>
      <c r="DQ67" s="36">
        <f t="shared" ca="1" si="158"/>
        <v>59.540439044045357</v>
      </c>
      <c r="DR67" s="36">
        <f t="shared" ca="1" si="158"/>
        <v>59.383805577906877</v>
      </c>
      <c r="DS67" s="36">
        <f t="shared" ca="1" si="158"/>
        <v>58.586934504503439</v>
      </c>
      <c r="DT67" s="36">
        <f t="shared" ca="1" si="158"/>
        <v>60.022539059846039</v>
      </c>
      <c r="DU67" s="36">
        <f t="shared" ca="1" si="158"/>
        <v>61.001656001584813</v>
      </c>
      <c r="DV67" s="36">
        <f t="shared" ca="1" si="158"/>
        <v>62.860946856951585</v>
      </c>
      <c r="DW67" s="36">
        <f t="shared" ca="1" si="158"/>
        <v>63.281802197227009</v>
      </c>
      <c r="DX67" s="36">
        <f t="shared" ca="1" si="158"/>
        <v>64.511771029432069</v>
      </c>
      <c r="DY67" s="36">
        <f t="shared" ca="1" si="158"/>
        <v>65.617505076450996</v>
      </c>
      <c r="DZ67" s="36">
        <f t="shared" ca="1" si="158"/>
        <v>65.181733034804651</v>
      </c>
      <c r="EA67" s="36">
        <f t="shared" ca="1" si="158"/>
        <v>63.685244882513807</v>
      </c>
      <c r="EB67" s="36">
        <f t="shared" ca="1" si="158"/>
        <v>64.907614466374142</v>
      </c>
      <c r="EC67" s="36">
        <f t="shared" ca="1" si="139"/>
        <v>64.983840744521913</v>
      </c>
      <c r="ED67" s="36">
        <f t="shared" ca="1" si="139"/>
        <v>65.847447646930306</v>
      </c>
      <c r="EE67" s="36">
        <f t="shared" ca="1" si="139"/>
        <v>65.989200723314397</v>
      </c>
      <c r="EF67" s="36">
        <f t="shared" ca="1" si="139"/>
        <v>65.021726949254798</v>
      </c>
      <c r="EG67" s="36">
        <f t="shared" ca="1" si="139"/>
        <v>64.493628284127027</v>
      </c>
      <c r="EH67" s="36">
        <f t="shared" ca="1" si="139"/>
        <v>64.605095032573587</v>
      </c>
      <c r="EI67" s="36">
        <f t="shared" ca="1" si="139"/>
        <v>64.481617896305821</v>
      </c>
      <c r="EJ67" s="36">
        <f t="shared" ca="1" si="139"/>
        <v>64.761595750426125</v>
      </c>
      <c r="EK67" s="36">
        <f t="shared" ca="1" si="139"/>
        <v>65.457092639654476</v>
      </c>
      <c r="EL67" s="36">
        <f t="shared" ca="1" si="139"/>
        <v>65.334596971066219</v>
      </c>
      <c r="EM67" s="36">
        <f t="shared" ca="1" si="139"/>
        <v>65.241392777804222</v>
      </c>
      <c r="EN67" s="36">
        <f t="shared" ca="1" si="139"/>
        <v>65.102473937111441</v>
      </c>
      <c r="EO67" s="36">
        <f t="shared" ca="1" si="139"/>
        <v>64.89178195787072</v>
      </c>
      <c r="EP67" s="36">
        <f t="shared" ca="1" si="139"/>
        <v>65.775016187101073</v>
      </c>
      <c r="EQ67" s="36">
        <f t="shared" ca="1" si="139"/>
        <v>64.833878846735203</v>
      </c>
      <c r="ER67" s="36">
        <f t="shared" ca="1" si="139"/>
        <v>65.315354481304311</v>
      </c>
      <c r="ES67" s="36">
        <f t="shared" ca="1" si="139"/>
        <v>63.613502691066955</v>
      </c>
      <c r="ET67" s="36">
        <f t="shared" ca="1" si="139"/>
        <v>63.025294092191309</v>
      </c>
      <c r="EU67" s="36">
        <f t="shared" ca="1" si="139"/>
        <v>62.831879233993789</v>
      </c>
      <c r="EV67" s="36">
        <f t="shared" ca="1" si="139"/>
        <v>62.955654568348884</v>
      </c>
      <c r="EW67" s="36">
        <f t="shared" ref="EW67" ca="1" si="163">EV67*EXP(($B$3-$B$4^2/2)*1+$B$4*_xlfn.NORM.S.INV(RAND()))</f>
        <v>63.044356081010591</v>
      </c>
      <c r="EX67" s="36">
        <f t="shared" ca="1" si="153"/>
        <v>63.524303446063087</v>
      </c>
      <c r="EY67" s="36">
        <f t="shared" ca="1" si="153"/>
        <v>65.295498239235911</v>
      </c>
      <c r="EZ67" s="36">
        <f t="shared" ref="EZ67:HK68" ca="1" si="164">EY67*EXP(($B$3-$B$4^2/2)*1+$B$4*_xlfn.NORM.S.INV(RAND()))</f>
        <v>67.015541919876014</v>
      </c>
      <c r="FA67" s="36">
        <f t="shared" ca="1" si="164"/>
        <v>67.50474660024264</v>
      </c>
      <c r="FB67" s="36">
        <f t="shared" ca="1" si="164"/>
        <v>66.023907944664273</v>
      </c>
      <c r="FC67" s="36">
        <f t="shared" ca="1" si="164"/>
        <v>67.268284203901246</v>
      </c>
      <c r="FD67" s="36">
        <f t="shared" ca="1" si="164"/>
        <v>66.272918037440135</v>
      </c>
      <c r="FE67" s="36">
        <f t="shared" ca="1" si="164"/>
        <v>65.679590135731971</v>
      </c>
      <c r="FF67" s="36">
        <f t="shared" ca="1" si="164"/>
        <v>64.786613096527091</v>
      </c>
      <c r="FG67" s="36">
        <f t="shared" ca="1" si="164"/>
        <v>64.643993222935691</v>
      </c>
      <c r="FH67" s="36">
        <f t="shared" ca="1" si="164"/>
        <v>65.62551647431593</v>
      </c>
      <c r="FI67" s="36">
        <f t="shared" ca="1" si="164"/>
        <v>65.341386714069031</v>
      </c>
      <c r="FJ67" s="36">
        <f t="shared" ca="1" si="164"/>
        <v>64.314051321755642</v>
      </c>
      <c r="FK67" s="36">
        <f t="shared" ca="1" si="164"/>
        <v>66.259151870595673</v>
      </c>
      <c r="FL67" s="36">
        <f t="shared" ca="1" si="164"/>
        <v>66.60278388122218</v>
      </c>
      <c r="FM67" s="36">
        <f t="shared" ca="1" si="164"/>
        <v>67.637846363331761</v>
      </c>
      <c r="FN67" s="36">
        <f t="shared" ca="1" si="164"/>
        <v>67.830379034038927</v>
      </c>
      <c r="FO67" s="36">
        <f t="shared" ca="1" si="164"/>
        <v>66.817943100554231</v>
      </c>
      <c r="FP67" s="36">
        <f t="shared" ca="1" si="164"/>
        <v>67.90764822061216</v>
      </c>
      <c r="FQ67" s="36">
        <f t="shared" ca="1" si="164"/>
        <v>69.51874142843397</v>
      </c>
      <c r="FR67" s="36">
        <f t="shared" ca="1" si="164"/>
        <v>68.622249545300434</v>
      </c>
      <c r="FS67" s="36">
        <f t="shared" ca="1" si="164"/>
        <v>68.135584552511602</v>
      </c>
      <c r="FT67" s="36">
        <f t="shared" ca="1" si="164"/>
        <v>67.354817628826694</v>
      </c>
      <c r="FU67" s="36">
        <f t="shared" ca="1" si="164"/>
        <v>66.344828264628987</v>
      </c>
      <c r="FV67" s="36">
        <f t="shared" ca="1" si="164"/>
        <v>67.085773022637298</v>
      </c>
      <c r="FW67" s="36">
        <f t="shared" ca="1" si="164"/>
        <v>66.992326853953855</v>
      </c>
      <c r="FX67" s="36">
        <f t="shared" ca="1" si="164"/>
        <v>66.859006953275383</v>
      </c>
      <c r="FY67" s="36">
        <f t="shared" ca="1" si="164"/>
        <v>67.200475741928742</v>
      </c>
      <c r="FZ67" s="36">
        <f t="shared" ca="1" si="164"/>
        <v>66.249171973087684</v>
      </c>
      <c r="GA67" s="36">
        <f t="shared" ca="1" si="164"/>
        <v>65.802804056493798</v>
      </c>
      <c r="GB67" s="36">
        <f t="shared" ca="1" si="164"/>
        <v>67.258950167916666</v>
      </c>
      <c r="GC67" s="36">
        <f t="shared" ca="1" si="164"/>
        <v>66.776245121359679</v>
      </c>
      <c r="GD67" s="36">
        <f t="shared" ca="1" si="164"/>
        <v>67.887683229465381</v>
      </c>
      <c r="GE67" s="36">
        <f t="shared" ca="1" si="164"/>
        <v>67.469526832619238</v>
      </c>
      <c r="GF67" s="36">
        <f t="shared" ca="1" si="164"/>
        <v>67.167357228068823</v>
      </c>
      <c r="GG67" s="36">
        <f t="shared" ca="1" si="164"/>
        <v>67.566301086432333</v>
      </c>
      <c r="GH67" s="36">
        <f t="shared" ca="1" si="164"/>
        <v>67.21288757156151</v>
      </c>
      <c r="GI67" s="36">
        <f t="shared" ca="1" si="164"/>
        <v>67.917974580244163</v>
      </c>
      <c r="GJ67" s="36">
        <f t="shared" ca="1" si="164"/>
        <v>67.987184587507485</v>
      </c>
      <c r="GK67" s="36">
        <f t="shared" ca="1" si="164"/>
        <v>68.321337741819534</v>
      </c>
      <c r="GL67" s="36">
        <f t="shared" ca="1" si="164"/>
        <v>68.670331367074084</v>
      </c>
      <c r="GM67" s="36">
        <f t="shared" ca="1" si="164"/>
        <v>69.046001506064755</v>
      </c>
      <c r="GN67" s="36">
        <f t="shared" ca="1" si="164"/>
        <v>70.051054939972062</v>
      </c>
      <c r="GO67" s="36">
        <f t="shared" ca="1" si="164"/>
        <v>69.194799112263297</v>
      </c>
      <c r="GP67" s="36">
        <f t="shared" ca="1" si="164"/>
        <v>69.747203532358995</v>
      </c>
      <c r="GQ67" s="36">
        <f t="shared" ca="1" si="164"/>
        <v>70.335841692305024</v>
      </c>
      <c r="GR67" s="36">
        <f t="shared" ca="1" si="164"/>
        <v>70.424070394329746</v>
      </c>
      <c r="GS67" s="36">
        <f t="shared" ca="1" si="164"/>
        <v>69.75795736082695</v>
      </c>
      <c r="GT67" s="36">
        <f t="shared" ca="1" si="164"/>
        <v>70.370700366947986</v>
      </c>
      <c r="GU67" s="36">
        <f t="shared" ca="1" si="164"/>
        <v>69.61443720072505</v>
      </c>
      <c r="GV67" s="36">
        <f t="shared" ca="1" si="164"/>
        <v>70.732950251443768</v>
      </c>
      <c r="GW67" s="36">
        <f t="shared" ca="1" si="164"/>
        <v>70.573305006908924</v>
      </c>
      <c r="GX67" s="36">
        <f t="shared" ca="1" si="164"/>
        <v>70.862810756628363</v>
      </c>
      <c r="GY67" s="36">
        <f t="shared" ca="1" si="164"/>
        <v>72.093992313863822</v>
      </c>
      <c r="GZ67" s="36">
        <f t="shared" ca="1" si="164"/>
        <v>72.840352744466585</v>
      </c>
      <c r="HA67" s="36">
        <f t="shared" ca="1" si="164"/>
        <v>71.572206940194221</v>
      </c>
      <c r="HB67" s="36">
        <f t="shared" ca="1" si="164"/>
        <v>73.026454462307527</v>
      </c>
      <c r="HC67" s="36">
        <f t="shared" ca="1" si="164"/>
        <v>72.606299572266664</v>
      </c>
      <c r="HD67" s="36">
        <f t="shared" ca="1" si="164"/>
        <v>75.003456493346135</v>
      </c>
      <c r="HE67" s="36">
        <f t="shared" ca="1" si="164"/>
        <v>73.725552483811967</v>
      </c>
      <c r="HF67" s="36">
        <f t="shared" ca="1" si="164"/>
        <v>73.403646424385798</v>
      </c>
      <c r="HG67" s="36">
        <f t="shared" ca="1" si="164"/>
        <v>71.848232331268008</v>
      </c>
      <c r="HH67" s="36">
        <f t="shared" ca="1" si="164"/>
        <v>72.175882460798803</v>
      </c>
      <c r="HI67" s="36">
        <f t="shared" ca="1" si="164"/>
        <v>72.541755085931229</v>
      </c>
      <c r="HJ67" s="36">
        <f t="shared" ca="1" si="164"/>
        <v>72.744214265340062</v>
      </c>
      <c r="HK67" s="36">
        <f t="shared" ca="1" si="164"/>
        <v>71.505826954021416</v>
      </c>
      <c r="HL67" s="36">
        <f t="shared" ref="HL67:HT67" ca="1" si="165">HK67*EXP(($B$3-$B$4^2/2)*1+$B$4*_xlfn.NORM.S.INV(RAND()))</f>
        <v>71.811845428197088</v>
      </c>
      <c r="HM67" s="36">
        <f t="shared" ca="1" si="165"/>
        <v>71.918400247617072</v>
      </c>
      <c r="HN67" s="36">
        <f t="shared" ca="1" si="165"/>
        <v>72.067648546595578</v>
      </c>
      <c r="HO67" s="36">
        <f t="shared" ca="1" si="165"/>
        <v>73.355773038908424</v>
      </c>
      <c r="HP67" s="36">
        <f t="shared" ca="1" si="165"/>
        <v>73.229571840607278</v>
      </c>
      <c r="HQ67" s="36">
        <f t="shared" ca="1" si="165"/>
        <v>72.351281313310722</v>
      </c>
      <c r="HR67" s="36">
        <f t="shared" ca="1" si="165"/>
        <v>73.908274427579272</v>
      </c>
      <c r="HS67" s="36">
        <f t="shared" ca="1" si="165"/>
        <v>74.057661512356475</v>
      </c>
      <c r="HT67" s="36">
        <f t="shared" ca="1" si="165"/>
        <v>73.871909738562081</v>
      </c>
      <c r="HU67" s="36">
        <f t="shared" ca="1" si="157"/>
        <v>74.079484426465925</v>
      </c>
      <c r="HV67" s="36">
        <f t="shared" ca="1" si="157"/>
        <v>74.121218251591941</v>
      </c>
      <c r="HW67" s="36">
        <f t="shared" ca="1" si="157"/>
        <v>75.554966121931201</v>
      </c>
      <c r="HX67" s="36">
        <f t="shared" ca="1" si="157"/>
        <v>76.60076439405313</v>
      </c>
      <c r="HY67" s="36">
        <f t="shared" ca="1" si="157"/>
        <v>75.825349167196251</v>
      </c>
      <c r="HZ67" s="36">
        <f t="shared" ca="1" si="157"/>
        <v>74.893094077208488</v>
      </c>
      <c r="IA67" s="36">
        <f t="shared" ca="1" si="157"/>
        <v>75.155744619410314</v>
      </c>
      <c r="IB67" s="36">
        <f t="shared" ca="1" si="157"/>
        <v>73.740818014878272</v>
      </c>
      <c r="IC67" s="36">
        <f t="shared" ca="1" si="157"/>
        <v>73.661733638867048</v>
      </c>
      <c r="ID67" s="36">
        <f t="shared" ca="1" si="157"/>
        <v>74.508475838942715</v>
      </c>
      <c r="IE67" s="36">
        <f t="shared" ca="1" si="157"/>
        <v>75.740495504155575</v>
      </c>
      <c r="IF67" s="36">
        <f t="shared" ca="1" si="157"/>
        <v>75.036030630883374</v>
      </c>
      <c r="IG67" s="36">
        <f t="shared" ca="1" si="157"/>
        <v>77.358846650823438</v>
      </c>
      <c r="IH67" s="36">
        <f t="shared" ca="1" si="157"/>
        <v>76.526577739761152</v>
      </c>
      <c r="II67" s="36">
        <f t="shared" ca="1" si="157"/>
        <v>74.678895913974728</v>
      </c>
      <c r="IJ67" s="36">
        <f t="shared" ca="1" si="157"/>
        <v>74.137662770012952</v>
      </c>
      <c r="IK67" s="36">
        <f t="shared" ca="1" si="157"/>
        <v>74.552160590124871</v>
      </c>
      <c r="IL67" s="36">
        <f t="shared" ca="1" si="157"/>
        <v>75.551175166646928</v>
      </c>
      <c r="IM67" s="36">
        <f t="shared" ca="1" si="157"/>
        <v>74.41756464395165</v>
      </c>
      <c r="IN67" s="36">
        <f t="shared" ca="1" si="157"/>
        <v>75.078165410678693</v>
      </c>
      <c r="IO67" s="36">
        <f t="shared" ca="1" si="157"/>
        <v>74.231213131763823</v>
      </c>
      <c r="IP67" s="36">
        <f t="shared" ca="1" si="157"/>
        <v>74.372497047557147</v>
      </c>
      <c r="IQ67" s="36">
        <f t="shared" ca="1" si="157"/>
        <v>74.986390024099748</v>
      </c>
      <c r="IR67" s="36">
        <f t="shared" ca="1" si="157"/>
        <v>74.532673503710456</v>
      </c>
      <c r="IS67" s="36">
        <f t="shared" ca="1" si="157"/>
        <v>76.462943523072155</v>
      </c>
      <c r="IT67" s="36">
        <f t="shared" ca="1" si="157"/>
        <v>77.505110667273783</v>
      </c>
      <c r="IU67" s="36">
        <f t="shared" ca="1" si="157"/>
        <v>77.00038714891528</v>
      </c>
    </row>
    <row r="68" spans="1:255" x14ac:dyDescent="0.2">
      <c r="A68" s="36"/>
      <c r="B68">
        <v>58</v>
      </c>
      <c r="C68" s="36">
        <v>50</v>
      </c>
      <c r="D68" s="36">
        <f t="shared" ca="1" si="14"/>
        <v>50.674059592578367</v>
      </c>
      <c r="E68" s="36">
        <f t="shared" ca="1" si="14"/>
        <v>51.923161492490109</v>
      </c>
      <c r="F68" s="36">
        <f t="shared" ca="1" si="161"/>
        <v>52.433382768782877</v>
      </c>
      <c r="G68" s="36">
        <f t="shared" ca="1" si="161"/>
        <v>52.465610106633584</v>
      </c>
      <c r="H68" s="36">
        <f t="shared" ca="1" si="161"/>
        <v>52.481188547968827</v>
      </c>
      <c r="I68" s="36">
        <f t="shared" ca="1" si="161"/>
        <v>52.590313298627926</v>
      </c>
      <c r="J68" s="36">
        <f t="shared" ca="1" si="161"/>
        <v>52.972083646698067</v>
      </c>
      <c r="K68" s="36">
        <f t="shared" ca="1" si="161"/>
        <v>52.073664771016418</v>
      </c>
      <c r="L68" s="36">
        <f t="shared" ca="1" si="161"/>
        <v>52.588039299342896</v>
      </c>
      <c r="M68" s="36">
        <f t="shared" ca="1" si="161"/>
        <v>52.671312421381998</v>
      </c>
      <c r="N68" s="36">
        <f t="shared" ca="1" si="161"/>
        <v>52.99402057150602</v>
      </c>
      <c r="O68" s="36">
        <f t="shared" ca="1" si="161"/>
        <v>52.836603387310177</v>
      </c>
      <c r="P68" s="36">
        <f t="shared" ca="1" si="161"/>
        <v>52.829536648711404</v>
      </c>
      <c r="Q68" s="36">
        <f t="shared" ca="1" si="161"/>
        <v>53.041494879326045</v>
      </c>
      <c r="R68" s="36">
        <f t="shared" ca="1" si="161"/>
        <v>51.856605154665509</v>
      </c>
      <c r="S68" s="36">
        <f t="shared" ca="1" si="161"/>
        <v>52.775722007837921</v>
      </c>
      <c r="T68" s="36">
        <f t="shared" ca="1" si="161"/>
        <v>53.874488840746046</v>
      </c>
      <c r="U68" s="36">
        <f t="shared" ca="1" si="161"/>
        <v>53.516248842555392</v>
      </c>
      <c r="V68" s="36">
        <f t="shared" ca="1" si="161"/>
        <v>54.414868175305514</v>
      </c>
      <c r="W68" s="36">
        <f t="shared" ca="1" si="161"/>
        <v>54.547231566060546</v>
      </c>
      <c r="X68" s="36">
        <f t="shared" ca="1" si="161"/>
        <v>55.191007774691869</v>
      </c>
      <c r="Y68" s="36">
        <f t="shared" ca="1" si="161"/>
        <v>54.638895688409391</v>
      </c>
      <c r="Z68" s="36">
        <f t="shared" ca="1" si="161"/>
        <v>55.037404677647515</v>
      </c>
      <c r="AA68" s="36">
        <f t="shared" ca="1" si="161"/>
        <v>55.523960287802019</v>
      </c>
      <c r="AB68" s="36">
        <f t="shared" ca="1" si="161"/>
        <v>55.93347654864921</v>
      </c>
      <c r="AC68" s="36">
        <f t="shared" ca="1" si="161"/>
        <v>55.077988161536396</v>
      </c>
      <c r="AD68" s="36">
        <f t="shared" ca="1" si="161"/>
        <v>56.198635091998639</v>
      </c>
      <c r="AE68" s="36">
        <f t="shared" ca="1" si="161"/>
        <v>56.159140907189972</v>
      </c>
      <c r="AF68" s="36">
        <f t="shared" ca="1" si="161"/>
        <v>55.670651163382971</v>
      </c>
      <c r="AG68" s="36">
        <f t="shared" ca="1" si="161"/>
        <v>55.632037424727798</v>
      </c>
      <c r="AH68" s="36">
        <f t="shared" ca="1" si="161"/>
        <v>55.79667873637279</v>
      </c>
      <c r="AI68" s="36">
        <f t="shared" ca="1" si="161"/>
        <v>54.262035043907716</v>
      </c>
      <c r="AJ68" s="36">
        <f t="shared" ca="1" si="161"/>
        <v>53.983178289469713</v>
      </c>
      <c r="AK68" s="36">
        <f t="shared" ca="1" si="161"/>
        <v>53.600021077043486</v>
      </c>
      <c r="AL68" s="36">
        <f t="shared" ca="1" si="161"/>
        <v>53.094917488902105</v>
      </c>
      <c r="AM68" s="36">
        <f t="shared" ca="1" si="161"/>
        <v>53.422702424639141</v>
      </c>
      <c r="AN68" s="36">
        <f t="shared" ca="1" si="161"/>
        <v>53.59025021156711</v>
      </c>
      <c r="AO68" s="36">
        <f t="shared" ca="1" si="161"/>
        <v>54.435029861948287</v>
      </c>
      <c r="AP68" s="36">
        <f t="shared" ca="1" si="161"/>
        <v>55.086867724712071</v>
      </c>
      <c r="AQ68" s="36">
        <f t="shared" ca="1" si="161"/>
        <v>55.028388510275143</v>
      </c>
      <c r="AR68" s="36">
        <f t="shared" ca="1" si="161"/>
        <v>54.60292483449436</v>
      </c>
      <c r="AS68" s="36">
        <f t="shared" ca="1" si="161"/>
        <v>54.690425576098768</v>
      </c>
      <c r="AT68" s="36">
        <f t="shared" ca="1" si="161"/>
        <v>54.636561984098847</v>
      </c>
      <c r="AU68" s="36">
        <f t="shared" ca="1" si="161"/>
        <v>55.500785956256237</v>
      </c>
      <c r="AV68" s="36">
        <f t="shared" ca="1" si="161"/>
        <v>55.866535169605378</v>
      </c>
      <c r="AW68" s="36">
        <f t="shared" ca="1" si="161"/>
        <v>57.303645780039879</v>
      </c>
      <c r="AX68" s="36">
        <f t="shared" ca="1" si="161"/>
        <v>56.842145726546462</v>
      </c>
      <c r="AY68" s="36">
        <f t="shared" ca="1" si="161"/>
        <v>56.225783729647773</v>
      </c>
      <c r="AZ68" s="36">
        <f t="shared" ca="1" si="161"/>
        <v>57.627091731626983</v>
      </c>
      <c r="BA68" s="36">
        <f t="shared" ca="1" si="161"/>
        <v>56.927286326015839</v>
      </c>
      <c r="BB68" s="36">
        <f t="shared" ca="1" si="161"/>
        <v>57.446452196968387</v>
      </c>
      <c r="BC68" s="36">
        <f t="shared" ca="1" si="161"/>
        <v>58.161753460088562</v>
      </c>
      <c r="BD68" s="36">
        <f t="shared" ca="1" si="161"/>
        <v>57.792549392703471</v>
      </c>
      <c r="BE68" s="36">
        <f t="shared" ca="1" si="161"/>
        <v>59.28834649554593</v>
      </c>
      <c r="BF68" s="36">
        <f t="shared" ca="1" si="161"/>
        <v>58.167860698416717</v>
      </c>
      <c r="BG68" s="36">
        <f t="shared" ca="1" si="161"/>
        <v>57.862959465398923</v>
      </c>
      <c r="BH68" s="36">
        <f t="shared" ca="1" si="161"/>
        <v>58.274884062390711</v>
      </c>
      <c r="BI68" s="36">
        <f t="shared" ca="1" si="161"/>
        <v>58.945229199092608</v>
      </c>
      <c r="BJ68" s="36">
        <f t="shared" ca="1" si="161"/>
        <v>58.644509657023967</v>
      </c>
      <c r="BK68" s="36">
        <f t="shared" ca="1" si="161"/>
        <v>58.754772559306424</v>
      </c>
      <c r="BL68" s="36">
        <f t="shared" ca="1" si="161"/>
        <v>58.215786609191092</v>
      </c>
      <c r="BM68" s="36">
        <f t="shared" ca="1" si="161"/>
        <v>58.011154684647693</v>
      </c>
      <c r="BN68" s="36">
        <f t="shared" ca="1" si="161"/>
        <v>58.645437582620588</v>
      </c>
      <c r="BO68" s="36">
        <f t="shared" ca="1" si="161"/>
        <v>58.888691299261602</v>
      </c>
      <c r="BP68" s="36">
        <f t="shared" ca="1" si="161"/>
        <v>59.163375577988027</v>
      </c>
      <c r="BQ68" s="36">
        <f t="shared" ca="1" si="161"/>
        <v>58.728978731133111</v>
      </c>
      <c r="BR68" s="36">
        <f t="shared" ca="1" si="158"/>
        <v>58.14316231901774</v>
      </c>
      <c r="BS68" s="36">
        <f t="shared" ca="1" si="158"/>
        <v>60.109962766448994</v>
      </c>
      <c r="BT68" s="36">
        <f t="shared" ca="1" si="158"/>
        <v>58.335692772855403</v>
      </c>
      <c r="BU68" s="36">
        <f t="shared" ca="1" si="158"/>
        <v>56.306273456989423</v>
      </c>
      <c r="BV68" s="36">
        <f t="shared" ca="1" si="158"/>
        <v>56.238783268578075</v>
      </c>
      <c r="BW68" s="36">
        <f t="shared" ca="1" si="158"/>
        <v>55.649824891957003</v>
      </c>
      <c r="BX68" s="36">
        <f t="shared" ca="1" si="158"/>
        <v>56.158653198951164</v>
      </c>
      <c r="BY68" s="36">
        <f t="shared" ca="1" si="158"/>
        <v>56.902401383344667</v>
      </c>
      <c r="BZ68" s="36">
        <f t="shared" ca="1" si="158"/>
        <v>55.749347354665097</v>
      </c>
      <c r="CA68" s="36">
        <f t="shared" ca="1" si="158"/>
        <v>54.948934862191017</v>
      </c>
      <c r="CB68" s="36">
        <f t="shared" ca="1" si="158"/>
        <v>54.849792746422033</v>
      </c>
      <c r="CC68" s="36">
        <f t="shared" ca="1" si="158"/>
        <v>54.748231123361677</v>
      </c>
      <c r="CD68" s="36">
        <f t="shared" ca="1" si="158"/>
        <v>54.41892506825473</v>
      </c>
      <c r="CE68" s="36">
        <f t="shared" ca="1" si="158"/>
        <v>54.357445275674465</v>
      </c>
      <c r="CF68" s="36">
        <f t="shared" ca="1" si="158"/>
        <v>54.270581697535498</v>
      </c>
      <c r="CG68" s="36">
        <f t="shared" ca="1" si="158"/>
        <v>54.627625980584988</v>
      </c>
      <c r="CH68" s="36">
        <f t="shared" ca="1" si="158"/>
        <v>54.804109359149741</v>
      </c>
      <c r="CI68" s="36">
        <f t="shared" ca="1" si="158"/>
        <v>56.670303071212295</v>
      </c>
      <c r="CJ68" s="36">
        <f t="shared" ca="1" si="158"/>
        <v>57.270477566045805</v>
      </c>
      <c r="CK68" s="36">
        <f t="shared" ca="1" si="158"/>
        <v>57.242298284516401</v>
      </c>
      <c r="CL68" s="36">
        <f t="shared" ca="1" si="158"/>
        <v>56.941924011703122</v>
      </c>
      <c r="CM68" s="36">
        <f t="shared" ca="1" si="158"/>
        <v>57.930473452083227</v>
      </c>
      <c r="CN68" s="36">
        <f t="shared" ca="1" si="158"/>
        <v>58.125751611367633</v>
      </c>
      <c r="CO68" s="36">
        <f t="shared" ca="1" si="158"/>
        <v>57.461072382698291</v>
      </c>
      <c r="CP68" s="36">
        <f t="shared" ca="1" si="158"/>
        <v>57.52907179837576</v>
      </c>
      <c r="CQ68" s="36">
        <f t="shared" ca="1" si="158"/>
        <v>56.526203760304298</v>
      </c>
      <c r="CR68" s="36">
        <f t="shared" ca="1" si="158"/>
        <v>57.448856823771777</v>
      </c>
      <c r="CS68" s="36">
        <f t="shared" ca="1" si="158"/>
        <v>56.725295436411166</v>
      </c>
      <c r="CT68" s="36">
        <f t="shared" ca="1" si="158"/>
        <v>57.327547104042637</v>
      </c>
      <c r="CU68" s="36">
        <f t="shared" ca="1" si="158"/>
        <v>56.391527175202512</v>
      </c>
      <c r="CV68" s="36">
        <f t="shared" ca="1" si="158"/>
        <v>56.164095251013855</v>
      </c>
      <c r="CW68" s="36">
        <f t="shared" ca="1" si="158"/>
        <v>55.938875992692104</v>
      </c>
      <c r="CX68" s="36">
        <f t="shared" ca="1" si="158"/>
        <v>55.502290556990289</v>
      </c>
      <c r="CY68" s="36">
        <f t="shared" ca="1" si="158"/>
        <v>56.158963850660975</v>
      </c>
      <c r="CZ68" s="36">
        <f t="shared" ca="1" si="158"/>
        <v>56.347922751578935</v>
      </c>
      <c r="DA68" s="36">
        <f t="shared" ca="1" si="158"/>
        <v>56.087884630696983</v>
      </c>
      <c r="DB68" s="36">
        <f t="shared" ca="1" si="158"/>
        <v>57.329263722308724</v>
      </c>
      <c r="DC68" s="36">
        <f t="shared" ca="1" si="158"/>
        <v>57.329178236697828</v>
      </c>
      <c r="DD68" s="36">
        <f t="shared" ca="1" si="158"/>
        <v>57.653331104634034</v>
      </c>
      <c r="DE68" s="36">
        <f t="shared" ca="1" si="158"/>
        <v>57.975289848743763</v>
      </c>
      <c r="DF68" s="36">
        <f t="shared" ca="1" si="158"/>
        <v>57.517025008207902</v>
      </c>
      <c r="DG68" s="36">
        <f t="shared" ca="1" si="158"/>
        <v>56.4998966215663</v>
      </c>
      <c r="DH68" s="36">
        <f t="shared" ca="1" si="158"/>
        <v>57.413234779112564</v>
      </c>
      <c r="DI68" s="36">
        <f t="shared" ca="1" si="158"/>
        <v>57.944366078634381</v>
      </c>
      <c r="DJ68" s="36">
        <f t="shared" ca="1" si="158"/>
        <v>59.125988995722381</v>
      </c>
      <c r="DK68" s="36">
        <f t="shared" ca="1" si="158"/>
        <v>58.924551639584415</v>
      </c>
      <c r="DL68" s="36">
        <f t="shared" ca="1" si="158"/>
        <v>58.709185288072149</v>
      </c>
      <c r="DM68" s="36">
        <f t="shared" ca="1" si="158"/>
        <v>59.499936385427098</v>
      </c>
      <c r="DN68" s="36">
        <f t="shared" ca="1" si="158"/>
        <v>58.196670792954514</v>
      </c>
      <c r="DO68" s="36">
        <f t="shared" ca="1" si="158"/>
        <v>57.513486442630672</v>
      </c>
      <c r="DP68" s="36">
        <f t="shared" ca="1" si="158"/>
        <v>58.213594466092552</v>
      </c>
      <c r="DQ68" s="36">
        <f t="shared" ca="1" si="158"/>
        <v>58.888303584247659</v>
      </c>
      <c r="DR68" s="36">
        <f t="shared" ca="1" si="158"/>
        <v>60.19810082508544</v>
      </c>
      <c r="DS68" s="36">
        <f t="shared" ca="1" si="158"/>
        <v>59.804725586269889</v>
      </c>
      <c r="DT68" s="36">
        <f t="shared" ca="1" si="158"/>
        <v>58.830081310657732</v>
      </c>
      <c r="DU68" s="36">
        <f t="shared" ca="1" si="158"/>
        <v>56.871334227058867</v>
      </c>
      <c r="DV68" s="36">
        <f t="shared" ca="1" si="158"/>
        <v>57.902763066321818</v>
      </c>
      <c r="DW68" s="36">
        <f t="shared" ca="1" si="158"/>
        <v>57.296532321142443</v>
      </c>
      <c r="DX68" s="36">
        <f t="shared" ca="1" si="158"/>
        <v>56.537191926308992</v>
      </c>
      <c r="DY68" s="36">
        <f t="shared" ca="1" si="158"/>
        <v>56.826615307101967</v>
      </c>
      <c r="DZ68" s="36">
        <f t="shared" ca="1" si="158"/>
        <v>56.433126821877195</v>
      </c>
      <c r="EA68" s="36">
        <f t="shared" ca="1" si="158"/>
        <v>55.445310667718196</v>
      </c>
      <c r="EB68" s="36">
        <f t="shared" ca="1" si="158"/>
        <v>55.830180269237026</v>
      </c>
      <c r="EC68" s="36">
        <f t="shared" ca="1" si="139"/>
        <v>55.165975503787323</v>
      </c>
      <c r="ED68" s="36">
        <f t="shared" ca="1" si="139"/>
        <v>54.360418890872744</v>
      </c>
      <c r="EE68" s="36">
        <f t="shared" ca="1" si="139"/>
        <v>53.600078609830518</v>
      </c>
      <c r="EF68" s="36">
        <f t="shared" ca="1" si="139"/>
        <v>53.642277865450318</v>
      </c>
      <c r="EG68" s="36">
        <f t="shared" ca="1" si="139"/>
        <v>54.05020339728582</v>
      </c>
      <c r="EH68" s="36">
        <f t="shared" ca="1" si="139"/>
        <v>53.348590149465082</v>
      </c>
      <c r="EI68" s="36">
        <f t="shared" ca="1" si="139"/>
        <v>53.265060972535615</v>
      </c>
      <c r="EJ68" s="36">
        <f t="shared" ca="1" si="139"/>
        <v>53.279736767644813</v>
      </c>
      <c r="EK68" s="36">
        <f t="shared" ca="1" si="139"/>
        <v>53.5134323019088</v>
      </c>
      <c r="EL68" s="36">
        <f t="shared" ca="1" si="139"/>
        <v>52.879046768464349</v>
      </c>
      <c r="EM68" s="36">
        <f t="shared" ca="1" si="139"/>
        <v>53.755773980956704</v>
      </c>
      <c r="EN68" s="36">
        <f t="shared" ca="1" si="139"/>
        <v>53.835854779310885</v>
      </c>
      <c r="EO68" s="36">
        <f t="shared" ca="1" si="139"/>
        <v>54.064601608005624</v>
      </c>
      <c r="EP68" s="36">
        <f t="shared" ca="1" si="139"/>
        <v>53.590046483273383</v>
      </c>
      <c r="EQ68" s="36">
        <f t="shared" ca="1" si="139"/>
        <v>53.760035795028884</v>
      </c>
      <c r="ER68" s="36">
        <f t="shared" ca="1" si="139"/>
        <v>54.6532208233603</v>
      </c>
      <c r="ES68" s="36">
        <f t="shared" ca="1" si="139"/>
        <v>53.963306147238882</v>
      </c>
      <c r="ET68" s="36">
        <f t="shared" ca="1" si="139"/>
        <v>53.534647881071592</v>
      </c>
      <c r="EU68" s="36">
        <f t="shared" ca="1" si="139"/>
        <v>53.067450108144641</v>
      </c>
      <c r="EV68" s="36">
        <f t="shared" ca="1" si="139"/>
        <v>52.761881559846223</v>
      </c>
      <c r="EW68" s="36">
        <f t="shared" ref="EW68:HH72" ca="1" si="166">EV68*EXP(($B$3-$B$4^2/2)*1+$B$4*_xlfn.NORM.S.INV(RAND()))</f>
        <v>52.449416903471338</v>
      </c>
      <c r="EX68" s="36">
        <f t="shared" ca="1" si="166"/>
        <v>52.509469050900627</v>
      </c>
      <c r="EY68" s="36">
        <f t="shared" ca="1" si="166"/>
        <v>52.41457642123671</v>
      </c>
      <c r="EZ68" s="36">
        <f t="shared" ca="1" si="166"/>
        <v>53.108419499680139</v>
      </c>
      <c r="FA68" s="36">
        <f t="shared" ca="1" si="166"/>
        <v>53.003572428725271</v>
      </c>
      <c r="FB68" s="36">
        <f t="shared" ca="1" si="166"/>
        <v>52.5900116686947</v>
      </c>
      <c r="FC68" s="36">
        <f t="shared" ca="1" si="166"/>
        <v>51.972090493778687</v>
      </c>
      <c r="FD68" s="36">
        <f t="shared" ca="1" si="166"/>
        <v>51.822906902426737</v>
      </c>
      <c r="FE68" s="36">
        <f t="shared" ca="1" si="166"/>
        <v>51.54248404700833</v>
      </c>
      <c r="FF68" s="36">
        <f t="shared" ca="1" si="166"/>
        <v>50.953700415902318</v>
      </c>
      <c r="FG68" s="36">
        <f t="shared" ca="1" si="166"/>
        <v>49.602201096395589</v>
      </c>
      <c r="FH68" s="36">
        <f t="shared" ca="1" si="166"/>
        <v>49.663830324700136</v>
      </c>
      <c r="FI68" s="36">
        <f t="shared" ca="1" si="166"/>
        <v>48.612558646702567</v>
      </c>
      <c r="FJ68" s="36">
        <f t="shared" ca="1" si="166"/>
        <v>47.555996972917221</v>
      </c>
      <c r="FK68" s="36">
        <f t="shared" ca="1" si="166"/>
        <v>46.506470805189032</v>
      </c>
      <c r="FL68" s="36">
        <f t="shared" ca="1" si="166"/>
        <v>45.934188716099847</v>
      </c>
      <c r="FM68" s="36">
        <f t="shared" ca="1" si="166"/>
        <v>46.033003572749635</v>
      </c>
      <c r="FN68" s="36">
        <f t="shared" ca="1" si="166"/>
        <v>44.784103603084851</v>
      </c>
      <c r="FO68" s="36">
        <f t="shared" ca="1" si="166"/>
        <v>44.578237591009085</v>
      </c>
      <c r="FP68" s="36">
        <f t="shared" ca="1" si="166"/>
        <v>44.089764857219116</v>
      </c>
      <c r="FQ68" s="36">
        <f t="shared" ca="1" si="166"/>
        <v>43.47930051829568</v>
      </c>
      <c r="FR68" s="36">
        <f t="shared" ca="1" si="166"/>
        <v>42.826177685703762</v>
      </c>
      <c r="FS68" s="36">
        <f t="shared" ca="1" si="166"/>
        <v>42.714268981621906</v>
      </c>
      <c r="FT68" s="36">
        <f t="shared" ca="1" si="166"/>
        <v>42.397573138105777</v>
      </c>
      <c r="FU68" s="36">
        <f t="shared" ca="1" si="166"/>
        <v>42.382426518247456</v>
      </c>
      <c r="FV68" s="36">
        <f t="shared" ca="1" si="166"/>
        <v>42.403871782092075</v>
      </c>
      <c r="FW68" s="36">
        <f t="shared" ca="1" si="166"/>
        <v>41.323005360517385</v>
      </c>
      <c r="FX68" s="36">
        <f t="shared" ca="1" si="166"/>
        <v>40.74940885130151</v>
      </c>
      <c r="FY68" s="36">
        <f t="shared" ca="1" si="166"/>
        <v>41.290640633284603</v>
      </c>
      <c r="FZ68" s="36">
        <f t="shared" ca="1" si="166"/>
        <v>41.501414460867728</v>
      </c>
      <c r="GA68" s="36">
        <f t="shared" ca="1" si="166"/>
        <v>40.925411901484914</v>
      </c>
      <c r="GB68" s="36">
        <f t="shared" ca="1" si="166"/>
        <v>41.171329970331215</v>
      </c>
      <c r="GC68" s="36">
        <f t="shared" ca="1" si="166"/>
        <v>41.05876610016324</v>
      </c>
      <c r="GD68" s="36">
        <f t="shared" ca="1" si="166"/>
        <v>41.679814578612998</v>
      </c>
      <c r="GE68" s="36">
        <f t="shared" ca="1" si="166"/>
        <v>40.926039212610277</v>
      </c>
      <c r="GF68" s="36">
        <f t="shared" ca="1" si="166"/>
        <v>41.121001088554479</v>
      </c>
      <c r="GG68" s="36">
        <f t="shared" ca="1" si="166"/>
        <v>41.659569634980009</v>
      </c>
      <c r="GH68" s="36">
        <f t="shared" ca="1" si="166"/>
        <v>40.92534200162612</v>
      </c>
      <c r="GI68" s="36">
        <f t="shared" ca="1" si="166"/>
        <v>40.891664694293716</v>
      </c>
      <c r="GJ68" s="36">
        <f t="shared" ca="1" si="166"/>
        <v>40.930987873273693</v>
      </c>
      <c r="GK68" s="36">
        <f t="shared" ca="1" si="166"/>
        <v>42.025786910383623</v>
      </c>
      <c r="GL68" s="36">
        <f t="shared" ca="1" si="166"/>
        <v>43.4146925653681</v>
      </c>
      <c r="GM68" s="36">
        <f t="shared" ca="1" si="166"/>
        <v>43.704594491722503</v>
      </c>
      <c r="GN68" s="36">
        <f t="shared" ca="1" si="166"/>
        <v>44.167577313406078</v>
      </c>
      <c r="GO68" s="36">
        <f t="shared" ca="1" si="166"/>
        <v>44.051635309387621</v>
      </c>
      <c r="GP68" s="36">
        <f t="shared" ca="1" si="166"/>
        <v>44.061120659787932</v>
      </c>
      <c r="GQ68" s="36">
        <f t="shared" ca="1" si="166"/>
        <v>44.291146221325477</v>
      </c>
      <c r="GR68" s="36">
        <f t="shared" ca="1" si="166"/>
        <v>44.629245707275757</v>
      </c>
      <c r="GS68" s="36">
        <f t="shared" ca="1" si="166"/>
        <v>45.055429644002061</v>
      </c>
      <c r="GT68" s="36">
        <f t="shared" ca="1" si="166"/>
        <v>44.575106188803979</v>
      </c>
      <c r="GU68" s="36">
        <f t="shared" ca="1" si="166"/>
        <v>44.489691443441721</v>
      </c>
      <c r="GV68" s="36">
        <f t="shared" ca="1" si="166"/>
        <v>44.101610032091202</v>
      </c>
      <c r="GW68" s="36">
        <f t="shared" ca="1" si="166"/>
        <v>44.053845957572861</v>
      </c>
      <c r="GX68" s="36">
        <f t="shared" ca="1" si="166"/>
        <v>43.875549860409535</v>
      </c>
      <c r="GY68" s="36">
        <f t="shared" ca="1" si="166"/>
        <v>43.155465363830864</v>
      </c>
      <c r="GZ68" s="36">
        <f t="shared" ca="1" si="166"/>
        <v>44.389224965022578</v>
      </c>
      <c r="HA68" s="36">
        <f t="shared" ca="1" si="166"/>
        <v>44.459385211867421</v>
      </c>
      <c r="HB68" s="36">
        <f t="shared" ca="1" si="166"/>
        <v>44.657154746049727</v>
      </c>
      <c r="HC68" s="36">
        <f t="shared" ca="1" si="166"/>
        <v>44.424261526051751</v>
      </c>
      <c r="HD68" s="36">
        <f t="shared" ca="1" si="166"/>
        <v>44.474491047464873</v>
      </c>
      <c r="HE68" s="36">
        <f t="shared" ca="1" si="166"/>
        <v>43.700724843273917</v>
      </c>
      <c r="HF68" s="36">
        <f t="shared" ca="1" si="166"/>
        <v>43.824736216952417</v>
      </c>
      <c r="HG68" s="36">
        <f t="shared" ca="1" si="166"/>
        <v>44.093226717311062</v>
      </c>
      <c r="HH68" s="36">
        <f t="shared" ca="1" si="166"/>
        <v>43.800051554011397</v>
      </c>
      <c r="HI68" s="36">
        <f t="shared" ca="1" si="164"/>
        <v>43.778938361124894</v>
      </c>
      <c r="HJ68" s="36">
        <f t="shared" ca="1" si="164"/>
        <v>43.454143512380327</v>
      </c>
      <c r="HK68" s="36">
        <f t="shared" ca="1" si="164"/>
        <v>43.075158180271039</v>
      </c>
      <c r="HL68" s="36">
        <f t="shared" ref="HL68:HT68" ca="1" si="167">HK68*EXP(($B$3-$B$4^2/2)*1+$B$4*_xlfn.NORM.S.INV(RAND()))</f>
        <v>42.746275220463453</v>
      </c>
      <c r="HM68" s="36">
        <f t="shared" ca="1" si="167"/>
        <v>43.617082651972161</v>
      </c>
      <c r="HN68" s="36">
        <f t="shared" ca="1" si="167"/>
        <v>43.331862383285362</v>
      </c>
      <c r="HO68" s="36">
        <f t="shared" ca="1" si="167"/>
        <v>42.673179810243397</v>
      </c>
      <c r="HP68" s="36">
        <f t="shared" ca="1" si="167"/>
        <v>41.927830632190364</v>
      </c>
      <c r="HQ68" s="36">
        <f t="shared" ca="1" si="167"/>
        <v>42.321511274141571</v>
      </c>
      <c r="HR68" s="36">
        <f t="shared" ca="1" si="167"/>
        <v>41.81686836136867</v>
      </c>
      <c r="HS68" s="36">
        <f t="shared" ca="1" si="167"/>
        <v>41.850557155501072</v>
      </c>
      <c r="HT68" s="36">
        <f t="shared" ca="1" si="167"/>
        <v>41.780499504586956</v>
      </c>
      <c r="HU68" s="36">
        <f t="shared" ca="1" si="157"/>
        <v>41.092562165521926</v>
      </c>
      <c r="HV68" s="36">
        <f t="shared" ca="1" si="157"/>
        <v>40.951179422773087</v>
      </c>
      <c r="HW68" s="36">
        <f t="shared" ca="1" si="157"/>
        <v>41.777607619562538</v>
      </c>
      <c r="HX68" s="36">
        <f t="shared" ca="1" si="157"/>
        <v>42.011621749371095</v>
      </c>
      <c r="HY68" s="36">
        <f t="shared" ca="1" si="157"/>
        <v>41.884243351000336</v>
      </c>
      <c r="HZ68" s="36">
        <f t="shared" ca="1" si="157"/>
        <v>41.536254581352452</v>
      </c>
      <c r="IA68" s="36">
        <f t="shared" ca="1" si="157"/>
        <v>41.793542659832873</v>
      </c>
      <c r="IB68" s="36">
        <f t="shared" ca="1" si="157"/>
        <v>41.932139245583627</v>
      </c>
      <c r="IC68" s="36">
        <f t="shared" ca="1" si="157"/>
        <v>42.118549403742584</v>
      </c>
      <c r="ID68" s="36">
        <f t="shared" ca="1" si="157"/>
        <v>42.426739710896285</v>
      </c>
      <c r="IE68" s="36">
        <f t="shared" ca="1" si="157"/>
        <v>43.248685352183251</v>
      </c>
      <c r="IF68" s="36">
        <f t="shared" ca="1" si="157"/>
        <v>42.959714521595977</v>
      </c>
      <c r="IG68" s="36">
        <f t="shared" ca="1" si="157"/>
        <v>42.265079530609981</v>
      </c>
      <c r="IH68" s="36">
        <f t="shared" ca="1" si="157"/>
        <v>41.656346091107885</v>
      </c>
      <c r="II68" s="36">
        <f t="shared" ca="1" si="157"/>
        <v>41.428983800806051</v>
      </c>
      <c r="IJ68" s="36">
        <f t="shared" ca="1" si="157"/>
        <v>40.840155657751652</v>
      </c>
      <c r="IK68" s="36">
        <f t="shared" ca="1" si="157"/>
        <v>40.767911380318012</v>
      </c>
      <c r="IL68" s="36">
        <f t="shared" ca="1" si="157"/>
        <v>41.633965882003665</v>
      </c>
      <c r="IM68" s="36">
        <f t="shared" ca="1" si="157"/>
        <v>42.430748041814446</v>
      </c>
      <c r="IN68" s="36">
        <f t="shared" ca="1" si="157"/>
        <v>42.631147802619438</v>
      </c>
      <c r="IO68" s="36">
        <f t="shared" ca="1" si="157"/>
        <v>42.854734780343797</v>
      </c>
      <c r="IP68" s="36">
        <f t="shared" ca="1" si="157"/>
        <v>43.726550342511047</v>
      </c>
      <c r="IQ68" s="36">
        <f t="shared" ca="1" si="157"/>
        <v>43.833425881277883</v>
      </c>
      <c r="IR68" s="36">
        <f t="shared" ca="1" si="157"/>
        <v>43.536999665870958</v>
      </c>
      <c r="IS68" s="36">
        <f t="shared" ca="1" si="157"/>
        <v>42.902045494691983</v>
      </c>
      <c r="IT68" s="36">
        <f t="shared" ca="1" si="157"/>
        <v>43.276305651102682</v>
      </c>
      <c r="IU68" s="36">
        <f t="shared" ca="1" si="157"/>
        <v>42.826366340402792</v>
      </c>
    </row>
    <row r="69" spans="1:255" x14ac:dyDescent="0.2">
      <c r="A69" s="36"/>
      <c r="B69">
        <v>59</v>
      </c>
      <c r="C69" s="36">
        <v>50</v>
      </c>
      <c r="D69" s="36">
        <f t="shared" ca="1" si="14"/>
        <v>50.265405807508436</v>
      </c>
      <c r="E69" s="36">
        <f t="shared" ca="1" si="14"/>
        <v>51.291721898595085</v>
      </c>
      <c r="F69" s="36">
        <f t="shared" ca="1" si="161"/>
        <v>51.833579318237568</v>
      </c>
      <c r="G69" s="36">
        <f t="shared" ca="1" si="161"/>
        <v>51.973212498004052</v>
      </c>
      <c r="H69" s="36">
        <f t="shared" ca="1" si="161"/>
        <v>51.453959567862782</v>
      </c>
      <c r="I69" s="36">
        <f t="shared" ca="1" si="161"/>
        <v>51.775386092133736</v>
      </c>
      <c r="J69" s="36">
        <f t="shared" ca="1" si="161"/>
        <v>52.426507517271034</v>
      </c>
      <c r="K69" s="36">
        <f t="shared" ca="1" si="161"/>
        <v>51.074137387565855</v>
      </c>
      <c r="L69" s="36">
        <f t="shared" ca="1" si="161"/>
        <v>51.816206883881037</v>
      </c>
      <c r="M69" s="36">
        <f t="shared" ca="1" si="161"/>
        <v>51.142972455898885</v>
      </c>
      <c r="N69" s="36">
        <f t="shared" ca="1" si="161"/>
        <v>52.325828470228792</v>
      </c>
      <c r="O69" s="36">
        <f t="shared" ca="1" si="161"/>
        <v>53.45724140097122</v>
      </c>
      <c r="P69" s="36">
        <f t="shared" ca="1" si="161"/>
        <v>52.918646376123839</v>
      </c>
      <c r="Q69" s="36">
        <f t="shared" ca="1" si="161"/>
        <v>53.683791950754681</v>
      </c>
      <c r="R69" s="36">
        <f t="shared" ca="1" si="161"/>
        <v>54.61222856911597</v>
      </c>
      <c r="S69" s="36">
        <f t="shared" ca="1" si="161"/>
        <v>53.465808162285825</v>
      </c>
      <c r="T69" s="36">
        <f t="shared" ca="1" si="161"/>
        <v>53.074748060058333</v>
      </c>
      <c r="U69" s="36">
        <f t="shared" ca="1" si="161"/>
        <v>53.739274353839008</v>
      </c>
      <c r="V69" s="36">
        <f t="shared" ca="1" si="161"/>
        <v>53.429719664241709</v>
      </c>
      <c r="W69" s="36">
        <f t="shared" ca="1" si="161"/>
        <v>53.608706965004778</v>
      </c>
      <c r="X69" s="36">
        <f t="shared" ca="1" si="161"/>
        <v>53.85315505753654</v>
      </c>
      <c r="Y69" s="36">
        <f t="shared" ca="1" si="161"/>
        <v>54.486091312930952</v>
      </c>
      <c r="Z69" s="36">
        <f t="shared" ca="1" si="161"/>
        <v>54.561629283470026</v>
      </c>
      <c r="AA69" s="36">
        <f t="shared" ca="1" si="161"/>
        <v>54.574114276647862</v>
      </c>
      <c r="AB69" s="36">
        <f t="shared" ca="1" si="161"/>
        <v>53.854942400705987</v>
      </c>
      <c r="AC69" s="36">
        <f t="shared" ca="1" si="161"/>
        <v>53.904150383001941</v>
      </c>
      <c r="AD69" s="36">
        <f t="shared" ca="1" si="161"/>
        <v>53.768599526322575</v>
      </c>
      <c r="AE69" s="36">
        <f t="shared" ca="1" si="161"/>
        <v>53.414750663643787</v>
      </c>
      <c r="AF69" s="36">
        <f t="shared" ca="1" si="161"/>
        <v>53.307451349742919</v>
      </c>
      <c r="AG69" s="36">
        <f t="shared" ca="1" si="161"/>
        <v>52.775360478861309</v>
      </c>
      <c r="AH69" s="36">
        <f t="shared" ca="1" si="161"/>
        <v>52.224605691859814</v>
      </c>
      <c r="AI69" s="36">
        <f t="shared" ca="1" si="161"/>
        <v>53.017452879667395</v>
      </c>
      <c r="AJ69" s="36">
        <f t="shared" ca="1" si="161"/>
        <v>52.359122973278318</v>
      </c>
      <c r="AK69" s="36">
        <f t="shared" ca="1" si="161"/>
        <v>53.520011768010299</v>
      </c>
      <c r="AL69" s="36">
        <f t="shared" ca="1" si="161"/>
        <v>54.360919537259235</v>
      </c>
      <c r="AM69" s="36">
        <f t="shared" ca="1" si="161"/>
        <v>53.946252147531354</v>
      </c>
      <c r="AN69" s="36">
        <f t="shared" ca="1" si="161"/>
        <v>53.034859737127071</v>
      </c>
      <c r="AO69" s="36">
        <f t="shared" ca="1" si="161"/>
        <v>53.465873037416003</v>
      </c>
      <c r="AP69" s="36">
        <f t="shared" ca="1" si="161"/>
        <v>54.947063122040511</v>
      </c>
      <c r="AQ69" s="36">
        <f t="shared" ca="1" si="161"/>
        <v>54.958114217161487</v>
      </c>
      <c r="AR69" s="36">
        <f t="shared" ca="1" si="161"/>
        <v>55.136136680420918</v>
      </c>
      <c r="AS69" s="36">
        <f t="shared" ca="1" si="161"/>
        <v>54.139818381469468</v>
      </c>
      <c r="AT69" s="36">
        <f t="shared" ca="1" si="161"/>
        <v>56.205497534552741</v>
      </c>
      <c r="AU69" s="36">
        <f t="shared" ca="1" si="161"/>
        <v>56.457476319891121</v>
      </c>
      <c r="AV69" s="36">
        <f t="shared" ca="1" si="161"/>
        <v>56.44873377559194</v>
      </c>
      <c r="AW69" s="36">
        <f t="shared" ca="1" si="161"/>
        <v>55.646855787091944</v>
      </c>
      <c r="AX69" s="36">
        <f t="shared" ca="1" si="161"/>
        <v>54.917857759850762</v>
      </c>
      <c r="AY69" s="36">
        <f t="shared" ca="1" si="161"/>
        <v>54.408649190426182</v>
      </c>
      <c r="AZ69" s="36">
        <f t="shared" ca="1" si="161"/>
        <v>53.510635440817524</v>
      </c>
      <c r="BA69" s="36">
        <f t="shared" ca="1" si="161"/>
        <v>54.297093580472634</v>
      </c>
      <c r="BB69" s="36">
        <f t="shared" ca="1" si="161"/>
        <v>54.64354240468181</v>
      </c>
      <c r="BC69" s="36">
        <f t="shared" ca="1" si="161"/>
        <v>54.405771476788303</v>
      </c>
      <c r="BD69" s="36">
        <f t="shared" ca="1" si="161"/>
        <v>54.617810315694989</v>
      </c>
      <c r="BE69" s="36">
        <f t="shared" ca="1" si="161"/>
        <v>54.305602202586947</v>
      </c>
      <c r="BF69" s="36">
        <f t="shared" ca="1" si="161"/>
        <v>54.163640517749869</v>
      </c>
      <c r="BG69" s="36">
        <f t="shared" ca="1" si="161"/>
        <v>53.745221961098743</v>
      </c>
      <c r="BH69" s="36">
        <f t="shared" ca="1" si="161"/>
        <v>54.075956278651852</v>
      </c>
      <c r="BI69" s="36">
        <f t="shared" ca="1" si="161"/>
        <v>53.607810705895375</v>
      </c>
      <c r="BJ69" s="36">
        <f t="shared" ca="1" si="161"/>
        <v>54.819179828529379</v>
      </c>
      <c r="BK69" s="36">
        <f t="shared" ca="1" si="161"/>
        <v>55.417966024473678</v>
      </c>
      <c r="BL69" s="36">
        <f t="shared" ca="1" si="161"/>
        <v>55.253991454935409</v>
      </c>
      <c r="BM69" s="36">
        <f t="shared" ca="1" si="161"/>
        <v>55.55251344261751</v>
      </c>
      <c r="BN69" s="36">
        <f t="shared" ca="1" si="161"/>
        <v>54.897945104743599</v>
      </c>
      <c r="BO69" s="36">
        <f t="shared" ca="1" si="161"/>
        <v>55.765668762518793</v>
      </c>
      <c r="BP69" s="36">
        <f t="shared" ca="1" si="161"/>
        <v>56.093794553534494</v>
      </c>
      <c r="BQ69" s="36">
        <f t="shared" ref="BQ69:EB72" ca="1" si="168">BP69*EXP(($B$3-$B$4^2/2)*1+$B$4*_xlfn.NORM.S.INV(RAND()))</f>
        <v>54.575893493971748</v>
      </c>
      <c r="BR69" s="36">
        <f t="shared" ca="1" si="168"/>
        <v>54.025087009970385</v>
      </c>
      <c r="BS69" s="36">
        <f t="shared" ca="1" si="168"/>
        <v>54.5402331109823</v>
      </c>
      <c r="BT69" s="36">
        <f t="shared" ca="1" si="168"/>
        <v>55.077609863965939</v>
      </c>
      <c r="BU69" s="36">
        <f t="shared" ca="1" si="168"/>
        <v>56.180092971920885</v>
      </c>
      <c r="BV69" s="36">
        <f t="shared" ca="1" si="168"/>
        <v>57.50820757004125</v>
      </c>
      <c r="BW69" s="36">
        <f t="shared" ca="1" si="168"/>
        <v>57.93002994801622</v>
      </c>
      <c r="BX69" s="36">
        <f t="shared" ca="1" si="168"/>
        <v>58.0379507928278</v>
      </c>
      <c r="BY69" s="36">
        <f t="shared" ca="1" si="168"/>
        <v>57.825737260894378</v>
      </c>
      <c r="BZ69" s="36">
        <f t="shared" ca="1" si="168"/>
        <v>57.781642295173548</v>
      </c>
      <c r="CA69" s="36">
        <f t="shared" ca="1" si="168"/>
        <v>55.91841456560234</v>
      </c>
      <c r="CB69" s="36">
        <f t="shared" ca="1" si="168"/>
        <v>54.976812310453056</v>
      </c>
      <c r="CC69" s="36">
        <f t="shared" ca="1" si="168"/>
        <v>55.249920745037592</v>
      </c>
      <c r="CD69" s="36">
        <f t="shared" ca="1" si="168"/>
        <v>54.446049761840847</v>
      </c>
      <c r="CE69" s="36">
        <f t="shared" ca="1" si="168"/>
        <v>54.046791276720555</v>
      </c>
      <c r="CF69" s="36">
        <f t="shared" ca="1" si="168"/>
        <v>53.715820328276465</v>
      </c>
      <c r="CG69" s="36">
        <f t="shared" ca="1" si="168"/>
        <v>52.716426064727543</v>
      </c>
      <c r="CH69" s="36">
        <f t="shared" ca="1" si="168"/>
        <v>52.929584521680255</v>
      </c>
      <c r="CI69" s="36">
        <f t="shared" ca="1" si="168"/>
        <v>52.902651809983851</v>
      </c>
      <c r="CJ69" s="36">
        <f t="shared" ca="1" si="168"/>
        <v>52.359128491748535</v>
      </c>
      <c r="CK69" s="36">
        <f t="shared" ca="1" si="168"/>
        <v>51.835569561153768</v>
      </c>
      <c r="CL69" s="36">
        <f t="shared" ca="1" si="168"/>
        <v>51.449057444054191</v>
      </c>
      <c r="CM69" s="36">
        <f t="shared" ca="1" si="168"/>
        <v>51.199122056227125</v>
      </c>
      <c r="CN69" s="36">
        <f t="shared" ca="1" si="168"/>
        <v>51.480092674939279</v>
      </c>
      <c r="CO69" s="36">
        <f t="shared" ca="1" si="168"/>
        <v>50.776022325539351</v>
      </c>
      <c r="CP69" s="36">
        <f t="shared" ca="1" si="168"/>
        <v>50.274398871708875</v>
      </c>
      <c r="CQ69" s="36">
        <f t="shared" ca="1" si="168"/>
        <v>50.450864233517123</v>
      </c>
      <c r="CR69" s="36">
        <f t="shared" ca="1" si="168"/>
        <v>50.861183529341325</v>
      </c>
      <c r="CS69" s="36">
        <f t="shared" ca="1" si="168"/>
        <v>51.050850978398842</v>
      </c>
      <c r="CT69" s="36">
        <f t="shared" ca="1" si="168"/>
        <v>51.168873008951344</v>
      </c>
      <c r="CU69" s="36">
        <f t="shared" ca="1" si="168"/>
        <v>49.346098433725942</v>
      </c>
      <c r="CV69" s="36">
        <f t="shared" ca="1" si="168"/>
        <v>48.647408676494294</v>
      </c>
      <c r="CW69" s="36">
        <f t="shared" ca="1" si="168"/>
        <v>48.127280375475095</v>
      </c>
      <c r="CX69" s="36">
        <f t="shared" ca="1" si="168"/>
        <v>48.853365417725733</v>
      </c>
      <c r="CY69" s="36">
        <f t="shared" ca="1" si="168"/>
        <v>48.957776684648458</v>
      </c>
      <c r="CZ69" s="36">
        <f t="shared" ca="1" si="168"/>
        <v>48.038699245706653</v>
      </c>
      <c r="DA69" s="36">
        <f t="shared" ca="1" si="168"/>
        <v>46.912149300338676</v>
      </c>
      <c r="DB69" s="36">
        <f t="shared" ca="1" si="168"/>
        <v>47.387143801266831</v>
      </c>
      <c r="DC69" s="36">
        <f t="shared" ca="1" si="168"/>
        <v>47.435372312118481</v>
      </c>
      <c r="DD69" s="36">
        <f t="shared" ca="1" si="168"/>
        <v>47.046183700216162</v>
      </c>
      <c r="DE69" s="36">
        <f t="shared" ca="1" si="168"/>
        <v>46.426283617566021</v>
      </c>
      <c r="DF69" s="36">
        <f t="shared" ca="1" si="168"/>
        <v>46.641558243096313</v>
      </c>
      <c r="DG69" s="36">
        <f t="shared" ca="1" si="168"/>
        <v>47.13961543038323</v>
      </c>
      <c r="DH69" s="36">
        <f t="shared" ca="1" si="168"/>
        <v>46.684030887255076</v>
      </c>
      <c r="DI69" s="36">
        <f t="shared" ca="1" si="168"/>
        <v>47.158140809110833</v>
      </c>
      <c r="DJ69" s="36">
        <f t="shared" ca="1" si="168"/>
        <v>47.475029906292406</v>
      </c>
      <c r="DK69" s="36">
        <f t="shared" ca="1" si="168"/>
        <v>47.692692743462793</v>
      </c>
      <c r="DL69" s="36">
        <f t="shared" ca="1" si="168"/>
        <v>48.099561499923915</v>
      </c>
      <c r="DM69" s="36">
        <f t="shared" ca="1" si="168"/>
        <v>48.92805569020377</v>
      </c>
      <c r="DN69" s="36">
        <f t="shared" ca="1" si="168"/>
        <v>48.100846083434817</v>
      </c>
      <c r="DO69" s="36">
        <f t="shared" ca="1" si="168"/>
        <v>48.820094096643636</v>
      </c>
      <c r="DP69" s="36">
        <f t="shared" ca="1" si="168"/>
        <v>49.061913577305305</v>
      </c>
      <c r="DQ69" s="36">
        <f t="shared" ca="1" si="168"/>
        <v>49.069640689608882</v>
      </c>
      <c r="DR69" s="36">
        <f t="shared" ca="1" si="168"/>
        <v>49.428287519233997</v>
      </c>
      <c r="DS69" s="36">
        <f t="shared" ca="1" si="168"/>
        <v>49.17288747257443</v>
      </c>
      <c r="DT69" s="36">
        <f t="shared" ca="1" si="168"/>
        <v>49.500168385330888</v>
      </c>
      <c r="DU69" s="36">
        <f t="shared" ca="1" si="168"/>
        <v>49.345932949647917</v>
      </c>
      <c r="DV69" s="36">
        <f t="shared" ca="1" si="168"/>
        <v>48.86695302854811</v>
      </c>
      <c r="DW69" s="36">
        <f t="shared" ca="1" si="168"/>
        <v>49.269111284881575</v>
      </c>
      <c r="DX69" s="36">
        <f t="shared" ca="1" si="168"/>
        <v>50.32167286633365</v>
      </c>
      <c r="DY69" s="36">
        <f t="shared" ca="1" si="168"/>
        <v>50.248773703745563</v>
      </c>
      <c r="DZ69" s="36">
        <f t="shared" ca="1" si="168"/>
        <v>50.803783831570868</v>
      </c>
      <c r="EA69" s="36">
        <f t="shared" ca="1" si="168"/>
        <v>51.512098988647573</v>
      </c>
      <c r="EB69" s="36">
        <f t="shared" ca="1" si="168"/>
        <v>51.804993283992928</v>
      </c>
      <c r="EC69" s="36">
        <f t="shared" ca="1" si="139"/>
        <v>52.150204867633185</v>
      </c>
      <c r="ED69" s="36">
        <f t="shared" ca="1" si="139"/>
        <v>52.209222095277539</v>
      </c>
      <c r="EE69" s="36">
        <f t="shared" ca="1" si="139"/>
        <v>51.174434789105</v>
      </c>
      <c r="EF69" s="36">
        <f t="shared" ca="1" si="139"/>
        <v>50.520448794474447</v>
      </c>
      <c r="EG69" s="36">
        <f t="shared" ca="1" si="139"/>
        <v>51.247231972551731</v>
      </c>
      <c r="EH69" s="36">
        <f t="shared" ca="1" si="139"/>
        <v>50.962879886804068</v>
      </c>
      <c r="EI69" s="36">
        <f t="shared" ca="1" si="139"/>
        <v>50.416176999218862</v>
      </c>
      <c r="EJ69" s="36">
        <f t="shared" ca="1" si="139"/>
        <v>50.266085550278873</v>
      </c>
      <c r="EK69" s="36">
        <f t="shared" ca="1" si="139"/>
        <v>50.558874017298422</v>
      </c>
      <c r="EL69" s="36">
        <f t="shared" ca="1" si="139"/>
        <v>50.992612579087066</v>
      </c>
      <c r="EM69" s="36">
        <f t="shared" ca="1" si="139"/>
        <v>49.715794671752626</v>
      </c>
      <c r="EN69" s="36">
        <f t="shared" ca="1" si="139"/>
        <v>49.3248462389788</v>
      </c>
      <c r="EO69" s="36">
        <f t="shared" ca="1" si="139"/>
        <v>50.069686750129122</v>
      </c>
      <c r="EP69" s="36">
        <f t="shared" ca="1" si="139"/>
        <v>50.291377414712741</v>
      </c>
      <c r="EQ69" s="36">
        <f t="shared" ca="1" si="139"/>
        <v>51.237701534945806</v>
      </c>
      <c r="ER69" s="36">
        <f t="shared" ca="1" si="139"/>
        <v>51.327413367951493</v>
      </c>
      <c r="ES69" s="36">
        <f t="shared" ca="1" si="139"/>
        <v>51.420218661926896</v>
      </c>
      <c r="ET69" s="36">
        <f t="shared" ca="1" si="139"/>
        <v>51.259274713178414</v>
      </c>
      <c r="EU69" s="36">
        <f t="shared" ca="1" si="139"/>
        <v>50.845758201961615</v>
      </c>
      <c r="EV69" s="36">
        <f t="shared" ca="1" si="139"/>
        <v>50.267895989600966</v>
      </c>
      <c r="EW69" s="36">
        <f t="shared" ref="EW69" ca="1" si="169">EV69*EXP(($B$3-$B$4^2/2)*1+$B$4*_xlfn.NORM.S.INV(RAND()))</f>
        <v>50.048322810282592</v>
      </c>
      <c r="EX69" s="36">
        <f t="shared" ca="1" si="166"/>
        <v>50.354060419294044</v>
      </c>
      <c r="EY69" s="36">
        <f t="shared" ca="1" si="166"/>
        <v>50.25327646295203</v>
      </c>
      <c r="EZ69" s="36">
        <f t="shared" ca="1" si="166"/>
        <v>49.831652574791796</v>
      </c>
      <c r="FA69" s="36">
        <f t="shared" ca="1" si="166"/>
        <v>49.57817814516563</v>
      </c>
      <c r="FB69" s="36">
        <f t="shared" ca="1" si="166"/>
        <v>49.95604679672067</v>
      </c>
      <c r="FC69" s="36">
        <f t="shared" ca="1" si="166"/>
        <v>49.547454755327102</v>
      </c>
      <c r="FD69" s="36">
        <f t="shared" ca="1" si="166"/>
        <v>50.202163268873633</v>
      </c>
      <c r="FE69" s="36">
        <f t="shared" ca="1" si="166"/>
        <v>50.354114012251053</v>
      </c>
      <c r="FF69" s="36">
        <f t="shared" ca="1" si="166"/>
        <v>51.804550807579908</v>
      </c>
      <c r="FG69" s="36">
        <f t="shared" ca="1" si="166"/>
        <v>52.359869699809686</v>
      </c>
      <c r="FH69" s="36">
        <f t="shared" ca="1" si="166"/>
        <v>53.129621663870687</v>
      </c>
      <c r="FI69" s="36">
        <f t="shared" ca="1" si="166"/>
        <v>53.72036880318403</v>
      </c>
      <c r="FJ69" s="36">
        <f t="shared" ca="1" si="166"/>
        <v>53.385779974310026</v>
      </c>
      <c r="FK69" s="36">
        <f t="shared" ca="1" si="166"/>
        <v>53.192284574968738</v>
      </c>
      <c r="FL69" s="36">
        <f t="shared" ca="1" si="166"/>
        <v>54.762606109067377</v>
      </c>
      <c r="FM69" s="36">
        <f t="shared" ca="1" si="166"/>
        <v>54.719994269798455</v>
      </c>
      <c r="FN69" s="36">
        <f t="shared" ca="1" si="166"/>
        <v>54.21952626387619</v>
      </c>
      <c r="FO69" s="36">
        <f t="shared" ca="1" si="166"/>
        <v>55.987847709191705</v>
      </c>
      <c r="FP69" s="36">
        <f t="shared" ca="1" si="166"/>
        <v>55.811855272035785</v>
      </c>
      <c r="FQ69" s="36">
        <f t="shared" ca="1" si="166"/>
        <v>55.01277172467978</v>
      </c>
      <c r="FR69" s="36">
        <f t="shared" ca="1" si="166"/>
        <v>54.013705646937694</v>
      </c>
      <c r="FS69" s="36">
        <f t="shared" ca="1" si="166"/>
        <v>54.495594950051988</v>
      </c>
      <c r="FT69" s="36">
        <f t="shared" ca="1" si="166"/>
        <v>54.843437776940092</v>
      </c>
      <c r="FU69" s="36">
        <f t="shared" ca="1" si="166"/>
        <v>54.775645164489369</v>
      </c>
      <c r="FV69" s="36">
        <f t="shared" ca="1" si="166"/>
        <v>54.87396730011411</v>
      </c>
      <c r="FW69" s="36">
        <f t="shared" ca="1" si="166"/>
        <v>54.768840137281295</v>
      </c>
      <c r="FX69" s="36">
        <f t="shared" ca="1" si="166"/>
        <v>54.986740693847338</v>
      </c>
      <c r="FY69" s="36">
        <f t="shared" ca="1" si="166"/>
        <v>54.083294024856443</v>
      </c>
      <c r="FZ69" s="36">
        <f t="shared" ca="1" si="166"/>
        <v>54.086454539971804</v>
      </c>
      <c r="GA69" s="36">
        <f t="shared" ca="1" si="166"/>
        <v>53.608181858066374</v>
      </c>
      <c r="GB69" s="36">
        <f t="shared" ca="1" si="166"/>
        <v>53.530574117878928</v>
      </c>
      <c r="GC69" s="36">
        <f t="shared" ca="1" si="166"/>
        <v>52.458085424519311</v>
      </c>
      <c r="GD69" s="36">
        <f t="shared" ca="1" si="166"/>
        <v>52.400925349971189</v>
      </c>
      <c r="GE69" s="36">
        <f t="shared" ca="1" si="166"/>
        <v>52.775009657007871</v>
      </c>
      <c r="GF69" s="36">
        <f t="shared" ca="1" si="166"/>
        <v>54.32981824688256</v>
      </c>
      <c r="GG69" s="36">
        <f t="shared" ca="1" si="166"/>
        <v>54.995977795340075</v>
      </c>
      <c r="GH69" s="36">
        <f t="shared" ca="1" si="166"/>
        <v>55.180582987651306</v>
      </c>
      <c r="GI69" s="36">
        <f t="shared" ca="1" si="166"/>
        <v>54.877657657462422</v>
      </c>
      <c r="GJ69" s="36">
        <f t="shared" ca="1" si="166"/>
        <v>55.562040603342709</v>
      </c>
      <c r="GK69" s="36">
        <f t="shared" ca="1" si="166"/>
        <v>57.2579949292344</v>
      </c>
      <c r="GL69" s="36">
        <f t="shared" ca="1" si="166"/>
        <v>57.003939584868782</v>
      </c>
      <c r="GM69" s="36">
        <f t="shared" ca="1" si="166"/>
        <v>57.695472201859673</v>
      </c>
      <c r="GN69" s="36">
        <f t="shared" ca="1" si="166"/>
        <v>56.919262068239235</v>
      </c>
      <c r="GO69" s="36">
        <f t="shared" ca="1" si="166"/>
        <v>56.78694584951824</v>
      </c>
      <c r="GP69" s="36">
        <f t="shared" ca="1" si="166"/>
        <v>57.145718054920188</v>
      </c>
      <c r="GQ69" s="36">
        <f t="shared" ca="1" si="166"/>
        <v>55.664841753572702</v>
      </c>
      <c r="GR69" s="36">
        <f t="shared" ca="1" si="166"/>
        <v>55.072416722321677</v>
      </c>
      <c r="GS69" s="36">
        <f t="shared" ca="1" si="166"/>
        <v>55.034437856476139</v>
      </c>
      <c r="GT69" s="36">
        <f t="shared" ca="1" si="166"/>
        <v>55.01392513246315</v>
      </c>
      <c r="GU69" s="36">
        <f t="shared" ca="1" si="166"/>
        <v>56.524405430580323</v>
      </c>
      <c r="GV69" s="36">
        <f t="shared" ca="1" si="166"/>
        <v>56.729922504195336</v>
      </c>
      <c r="GW69" s="36">
        <f t="shared" ca="1" si="166"/>
        <v>57.128494132962253</v>
      </c>
      <c r="GX69" s="36">
        <f t="shared" ca="1" si="166"/>
        <v>57.926594527011417</v>
      </c>
      <c r="GY69" s="36">
        <f t="shared" ca="1" si="166"/>
        <v>56.715585907356669</v>
      </c>
      <c r="GZ69" s="36">
        <f t="shared" ca="1" si="166"/>
        <v>56.757935748218891</v>
      </c>
      <c r="HA69" s="36">
        <f t="shared" ca="1" si="166"/>
        <v>55.321203869206727</v>
      </c>
      <c r="HB69" s="36">
        <f t="shared" ca="1" si="166"/>
        <v>54.823598928357498</v>
      </c>
      <c r="HC69" s="36">
        <f t="shared" ca="1" si="166"/>
        <v>55.219815391906756</v>
      </c>
      <c r="HD69" s="36">
        <f t="shared" ca="1" si="166"/>
        <v>54.909148964652346</v>
      </c>
      <c r="HE69" s="36">
        <f t="shared" ca="1" si="166"/>
        <v>55.738050263287285</v>
      </c>
      <c r="HF69" s="36">
        <f t="shared" ca="1" si="166"/>
        <v>55.387585329201286</v>
      </c>
      <c r="HG69" s="36">
        <f t="shared" ca="1" si="166"/>
        <v>54.81082548221098</v>
      </c>
      <c r="HH69" s="36">
        <f t="shared" ca="1" si="166"/>
        <v>55.872008370776342</v>
      </c>
      <c r="HI69" s="36">
        <f t="shared" ref="HI69:HT71" ca="1" si="170">HH69*EXP(($B$3-$B$4^2/2)*1+$B$4*_xlfn.NORM.S.INV(RAND()))</f>
        <v>56.345407366883137</v>
      </c>
      <c r="HJ69" s="36">
        <f t="shared" ca="1" si="170"/>
        <v>56.690024634176524</v>
      </c>
      <c r="HK69" s="36">
        <f t="shared" ca="1" si="170"/>
        <v>57.423981652363892</v>
      </c>
      <c r="HL69" s="36">
        <f t="shared" ca="1" si="170"/>
        <v>58.111329201716501</v>
      </c>
      <c r="HM69" s="36">
        <f t="shared" ca="1" si="170"/>
        <v>57.525491156436338</v>
      </c>
      <c r="HN69" s="36">
        <f t="shared" ca="1" si="170"/>
        <v>57.697132050596323</v>
      </c>
      <c r="HO69" s="36">
        <f t="shared" ca="1" si="170"/>
        <v>58.51890802344812</v>
      </c>
      <c r="HP69" s="36">
        <f t="shared" ca="1" si="170"/>
        <v>58.385914137798601</v>
      </c>
      <c r="HQ69" s="36">
        <f t="shared" ca="1" si="170"/>
        <v>58.38135838621443</v>
      </c>
      <c r="HR69" s="36">
        <f t="shared" ca="1" si="170"/>
        <v>58.011640015999916</v>
      </c>
      <c r="HS69" s="36">
        <f t="shared" ca="1" si="170"/>
        <v>57.343067658602813</v>
      </c>
      <c r="HT69" s="36">
        <f t="shared" ca="1" si="170"/>
        <v>57.114897375429912</v>
      </c>
      <c r="HU69" s="36">
        <f t="shared" ca="1" si="157"/>
        <v>57.895758120302524</v>
      </c>
      <c r="HV69" s="36">
        <f t="shared" ca="1" si="157"/>
        <v>58.511697327410822</v>
      </c>
      <c r="HW69" s="36">
        <f t="shared" ca="1" si="157"/>
        <v>58.682818325714138</v>
      </c>
      <c r="HX69" s="36">
        <f t="shared" ca="1" si="157"/>
        <v>58.828966964921129</v>
      </c>
      <c r="HY69" s="36">
        <f t="shared" ca="1" si="157"/>
        <v>58.474109335594292</v>
      </c>
      <c r="HZ69" s="36">
        <f t="shared" ca="1" si="157"/>
        <v>58.670367871122252</v>
      </c>
      <c r="IA69" s="36">
        <f t="shared" ca="1" si="157"/>
        <v>59.112086418036576</v>
      </c>
      <c r="IB69" s="36">
        <f t="shared" ca="1" si="157"/>
        <v>58.587740429589665</v>
      </c>
      <c r="IC69" s="36">
        <f t="shared" ca="1" si="157"/>
        <v>58.940162967274318</v>
      </c>
      <c r="ID69" s="36">
        <f t="shared" ca="1" si="157"/>
        <v>58.876448761396077</v>
      </c>
      <c r="IE69" s="36">
        <f t="shared" ca="1" si="157"/>
        <v>58.379970689392366</v>
      </c>
      <c r="IF69" s="36">
        <f t="shared" ca="1" si="157"/>
        <v>57.988267777334336</v>
      </c>
      <c r="IG69" s="36">
        <f t="shared" ca="1" si="157"/>
        <v>57.181095767346662</v>
      </c>
      <c r="IH69" s="36">
        <f t="shared" ca="1" si="157"/>
        <v>58.180821292473993</v>
      </c>
      <c r="II69" s="36">
        <f t="shared" ca="1" si="157"/>
        <v>57.755486374922398</v>
      </c>
      <c r="IJ69" s="36">
        <f t="shared" ca="1" si="157"/>
        <v>56.730137554131858</v>
      </c>
      <c r="IK69" s="36">
        <f t="shared" ca="1" si="157"/>
        <v>57.87942278218101</v>
      </c>
      <c r="IL69" s="36">
        <f t="shared" ca="1" si="157"/>
        <v>57.255322461878045</v>
      </c>
      <c r="IM69" s="36">
        <f t="shared" ca="1" si="157"/>
        <v>56.954995268359163</v>
      </c>
      <c r="IN69" s="36">
        <f t="shared" ca="1" si="157"/>
        <v>57.133164054931108</v>
      </c>
      <c r="IO69" s="36">
        <f t="shared" ca="1" si="157"/>
        <v>56.489055471107839</v>
      </c>
      <c r="IP69" s="36">
        <f t="shared" ca="1" si="157"/>
        <v>55.959210823607748</v>
      </c>
      <c r="IQ69" s="36">
        <f t="shared" ca="1" si="157"/>
        <v>55.389445322580791</v>
      </c>
      <c r="IR69" s="36">
        <f t="shared" ca="1" si="157"/>
        <v>56.212218393155133</v>
      </c>
      <c r="IS69" s="36">
        <f t="shared" ca="1" si="157"/>
        <v>56.362671857413638</v>
      </c>
      <c r="IT69" s="36">
        <f t="shared" ca="1" si="157"/>
        <v>56.364831941452692</v>
      </c>
      <c r="IU69" s="36">
        <f t="shared" ca="1" si="157"/>
        <v>56.821527120883268</v>
      </c>
    </row>
    <row r="70" spans="1:255" x14ac:dyDescent="0.2">
      <c r="A70" s="36"/>
      <c r="B70">
        <v>60</v>
      </c>
      <c r="C70" s="36">
        <v>50</v>
      </c>
      <c r="D70" s="36">
        <f t="shared" ca="1" si="14"/>
        <v>50.193143733809151</v>
      </c>
      <c r="E70" s="36">
        <f t="shared" ca="1" si="14"/>
        <v>50.55121111262919</v>
      </c>
      <c r="F70" s="36">
        <f t="shared" ref="F70:BQ73" ca="1" si="171">E70*EXP(($B$3-$B$4^2/2)*1+$B$4*_xlfn.NORM.S.INV(RAND()))</f>
        <v>50.564637352847157</v>
      </c>
      <c r="G70" s="36">
        <f t="shared" ca="1" si="171"/>
        <v>50.839240548112897</v>
      </c>
      <c r="H70" s="36">
        <f t="shared" ca="1" si="171"/>
        <v>50.761842813462479</v>
      </c>
      <c r="I70" s="36">
        <f t="shared" ca="1" si="171"/>
        <v>51.023614728042531</v>
      </c>
      <c r="J70" s="36">
        <f t="shared" ca="1" si="171"/>
        <v>51.791791456870058</v>
      </c>
      <c r="K70" s="36">
        <f t="shared" ca="1" si="171"/>
        <v>51.156913149738386</v>
      </c>
      <c r="L70" s="36">
        <f t="shared" ca="1" si="171"/>
        <v>52.298202785485131</v>
      </c>
      <c r="M70" s="36">
        <f t="shared" ca="1" si="171"/>
        <v>52.006235103763018</v>
      </c>
      <c r="N70" s="36">
        <f t="shared" ca="1" si="171"/>
        <v>51.837316804940947</v>
      </c>
      <c r="O70" s="36">
        <f t="shared" ca="1" si="171"/>
        <v>51.493906576733693</v>
      </c>
      <c r="P70" s="36">
        <f t="shared" ca="1" si="171"/>
        <v>51.370591513039571</v>
      </c>
      <c r="Q70" s="36">
        <f t="shared" ca="1" si="171"/>
        <v>51.227354115806108</v>
      </c>
      <c r="R70" s="36">
        <f t="shared" ca="1" si="171"/>
        <v>51.341248903218265</v>
      </c>
      <c r="S70" s="36">
        <f t="shared" ca="1" si="171"/>
        <v>51.438685943371837</v>
      </c>
      <c r="T70" s="36">
        <f t="shared" ca="1" si="171"/>
        <v>52.609833520180736</v>
      </c>
      <c r="U70" s="36">
        <f t="shared" ca="1" si="171"/>
        <v>52.894567103048104</v>
      </c>
      <c r="V70" s="36">
        <f t="shared" ca="1" si="171"/>
        <v>53.557608424985418</v>
      </c>
      <c r="W70" s="36">
        <f t="shared" ca="1" si="171"/>
        <v>53.592036238111668</v>
      </c>
      <c r="X70" s="36">
        <f t="shared" ca="1" si="171"/>
        <v>52.096924376401937</v>
      </c>
      <c r="Y70" s="36">
        <f t="shared" ca="1" si="171"/>
        <v>52.710585837744226</v>
      </c>
      <c r="Z70" s="36">
        <f t="shared" ca="1" si="171"/>
        <v>52.540859724234963</v>
      </c>
      <c r="AA70" s="36">
        <f t="shared" ca="1" si="171"/>
        <v>52.300644312229181</v>
      </c>
      <c r="AB70" s="36">
        <f t="shared" ca="1" si="171"/>
        <v>51.960308888221661</v>
      </c>
      <c r="AC70" s="36">
        <f t="shared" ca="1" si="171"/>
        <v>51.225687225011505</v>
      </c>
      <c r="AD70" s="36">
        <f t="shared" ca="1" si="171"/>
        <v>50.741406940086527</v>
      </c>
      <c r="AE70" s="36">
        <f t="shared" ca="1" si="171"/>
        <v>50.870453914192595</v>
      </c>
      <c r="AF70" s="36">
        <f t="shared" ca="1" si="171"/>
        <v>50.888472775077943</v>
      </c>
      <c r="AG70" s="36">
        <f t="shared" ca="1" si="171"/>
        <v>50.290556029229322</v>
      </c>
      <c r="AH70" s="36">
        <f t="shared" ca="1" si="171"/>
        <v>51.178742953365962</v>
      </c>
      <c r="AI70" s="36">
        <f t="shared" ca="1" si="171"/>
        <v>52.165187940147732</v>
      </c>
      <c r="AJ70" s="36">
        <f t="shared" ca="1" si="171"/>
        <v>52.445092930714814</v>
      </c>
      <c r="AK70" s="36">
        <f t="shared" ca="1" si="171"/>
        <v>53.169767722937102</v>
      </c>
      <c r="AL70" s="36">
        <f t="shared" ca="1" si="171"/>
        <v>53.230250430017691</v>
      </c>
      <c r="AM70" s="36">
        <f t="shared" ca="1" si="171"/>
        <v>54.126504680703206</v>
      </c>
      <c r="AN70" s="36">
        <f t="shared" ca="1" si="171"/>
        <v>55.041451889217093</v>
      </c>
      <c r="AO70" s="36">
        <f t="shared" ca="1" si="171"/>
        <v>55.271977762271156</v>
      </c>
      <c r="AP70" s="36">
        <f t="shared" ca="1" si="171"/>
        <v>55.010774530122774</v>
      </c>
      <c r="AQ70" s="36">
        <f t="shared" ca="1" si="171"/>
        <v>55.257395976395074</v>
      </c>
      <c r="AR70" s="36">
        <f t="shared" ca="1" si="171"/>
        <v>54.766096230993064</v>
      </c>
      <c r="AS70" s="36">
        <f t="shared" ca="1" si="171"/>
        <v>55.414084830638984</v>
      </c>
      <c r="AT70" s="36">
        <f t="shared" ca="1" si="171"/>
        <v>56.267777950507003</v>
      </c>
      <c r="AU70" s="36">
        <f t="shared" ca="1" si="171"/>
        <v>54.754071891016821</v>
      </c>
      <c r="AV70" s="36">
        <f t="shared" ca="1" si="171"/>
        <v>53.99124495972957</v>
      </c>
      <c r="AW70" s="36">
        <f t="shared" ca="1" si="171"/>
        <v>53.982226850422407</v>
      </c>
      <c r="AX70" s="36">
        <f t="shared" ca="1" si="171"/>
        <v>55.654824092099489</v>
      </c>
      <c r="AY70" s="36">
        <f t="shared" ca="1" si="171"/>
        <v>55.086352072885752</v>
      </c>
      <c r="AZ70" s="36">
        <f t="shared" ca="1" si="171"/>
        <v>55.794627503354249</v>
      </c>
      <c r="BA70" s="36">
        <f t="shared" ca="1" si="171"/>
        <v>55.337754143445984</v>
      </c>
      <c r="BB70" s="36">
        <f t="shared" ca="1" si="171"/>
        <v>55.53577900665146</v>
      </c>
      <c r="BC70" s="36">
        <f t="shared" ca="1" si="171"/>
        <v>57.319971894756726</v>
      </c>
      <c r="BD70" s="36">
        <f t="shared" ca="1" si="171"/>
        <v>56.689345843963629</v>
      </c>
      <c r="BE70" s="36">
        <f t="shared" ca="1" si="171"/>
        <v>57.571418107738886</v>
      </c>
      <c r="BF70" s="36">
        <f t="shared" ca="1" si="171"/>
        <v>56.866600893487323</v>
      </c>
      <c r="BG70" s="36">
        <f t="shared" ca="1" si="171"/>
        <v>55.985758325956276</v>
      </c>
      <c r="BH70" s="36">
        <f t="shared" ca="1" si="171"/>
        <v>57.29926831847402</v>
      </c>
      <c r="BI70" s="36">
        <f t="shared" ca="1" si="171"/>
        <v>56.500414313264791</v>
      </c>
      <c r="BJ70" s="36">
        <f t="shared" ca="1" si="171"/>
        <v>55.688977497589782</v>
      </c>
      <c r="BK70" s="36">
        <f t="shared" ca="1" si="171"/>
        <v>55.086048624821913</v>
      </c>
      <c r="BL70" s="36">
        <f t="shared" ca="1" si="171"/>
        <v>55.241411670034239</v>
      </c>
      <c r="BM70" s="36">
        <f t="shared" ca="1" si="171"/>
        <v>56.205700206347444</v>
      </c>
      <c r="BN70" s="36">
        <f t="shared" ca="1" si="171"/>
        <v>55.788616263559511</v>
      </c>
      <c r="BO70" s="36">
        <f t="shared" ca="1" si="171"/>
        <v>55.56532331519675</v>
      </c>
      <c r="BP70" s="36">
        <f t="shared" ca="1" si="171"/>
        <v>55.300167242455629</v>
      </c>
      <c r="BQ70" s="36">
        <f t="shared" ca="1" si="171"/>
        <v>55.601941020816646</v>
      </c>
      <c r="BR70" s="36">
        <f t="shared" ca="1" si="168"/>
        <v>56.133656134950179</v>
      </c>
      <c r="BS70" s="36">
        <f t="shared" ca="1" si="168"/>
        <v>55.196129065431016</v>
      </c>
      <c r="BT70" s="36">
        <f t="shared" ca="1" si="168"/>
        <v>55.793988813050603</v>
      </c>
      <c r="BU70" s="36">
        <f t="shared" ca="1" si="168"/>
        <v>56.044782662592993</v>
      </c>
      <c r="BV70" s="36">
        <f t="shared" ca="1" si="168"/>
        <v>55.903441022870091</v>
      </c>
      <c r="BW70" s="36">
        <f t="shared" ca="1" si="168"/>
        <v>56.051207682388963</v>
      </c>
      <c r="BX70" s="36">
        <f t="shared" ca="1" si="168"/>
        <v>56.66294868347341</v>
      </c>
      <c r="BY70" s="36">
        <f t="shared" ca="1" si="168"/>
        <v>57.185533090121737</v>
      </c>
      <c r="BZ70" s="36">
        <f t="shared" ca="1" si="168"/>
        <v>55.591904457695804</v>
      </c>
      <c r="CA70" s="36">
        <f t="shared" ca="1" si="168"/>
        <v>55.116786967363495</v>
      </c>
      <c r="CB70" s="36">
        <f t="shared" ca="1" si="168"/>
        <v>55.652792196259874</v>
      </c>
      <c r="CC70" s="36">
        <f t="shared" ca="1" si="168"/>
        <v>55.077562592170032</v>
      </c>
      <c r="CD70" s="36">
        <f t="shared" ca="1" si="168"/>
        <v>56.627496780228398</v>
      </c>
      <c r="CE70" s="36">
        <f t="shared" ca="1" si="168"/>
        <v>56.419232617956041</v>
      </c>
      <c r="CF70" s="36">
        <f t="shared" ca="1" si="168"/>
        <v>56.462678503273537</v>
      </c>
      <c r="CG70" s="36">
        <f t="shared" ca="1" si="168"/>
        <v>57.06443784728787</v>
      </c>
      <c r="CH70" s="36">
        <f t="shared" ca="1" si="168"/>
        <v>57.02348181695266</v>
      </c>
      <c r="CI70" s="36">
        <f t="shared" ca="1" si="168"/>
        <v>56.362284652210306</v>
      </c>
      <c r="CJ70" s="36">
        <f t="shared" ca="1" si="168"/>
        <v>55.996208054874955</v>
      </c>
      <c r="CK70" s="36">
        <f t="shared" ca="1" si="168"/>
        <v>56.35686699555994</v>
      </c>
      <c r="CL70" s="36">
        <f t="shared" ca="1" si="168"/>
        <v>55.99627279369124</v>
      </c>
      <c r="CM70" s="36">
        <f t="shared" ca="1" si="168"/>
        <v>56.698071858208607</v>
      </c>
      <c r="CN70" s="36">
        <f t="shared" ca="1" si="168"/>
        <v>57.235721180601381</v>
      </c>
      <c r="CO70" s="36">
        <f t="shared" ca="1" si="168"/>
        <v>56.769196630876131</v>
      </c>
      <c r="CP70" s="36">
        <f t="shared" ca="1" si="168"/>
        <v>56.360336083331788</v>
      </c>
      <c r="CQ70" s="36">
        <f t="shared" ca="1" si="168"/>
        <v>56.6712385989469</v>
      </c>
      <c r="CR70" s="36">
        <f t="shared" ca="1" si="168"/>
        <v>57.578306646889338</v>
      </c>
      <c r="CS70" s="36">
        <f t="shared" ca="1" si="168"/>
        <v>56.675366947511044</v>
      </c>
      <c r="CT70" s="36">
        <f t="shared" ca="1" si="168"/>
        <v>56.135113890180001</v>
      </c>
      <c r="CU70" s="36">
        <f t="shared" ca="1" si="168"/>
        <v>56.037560280185104</v>
      </c>
      <c r="CV70" s="36">
        <f t="shared" ca="1" si="168"/>
        <v>55.941300921290178</v>
      </c>
      <c r="CW70" s="36">
        <f t="shared" ca="1" si="168"/>
        <v>55.644204850504522</v>
      </c>
      <c r="CX70" s="36">
        <f t="shared" ca="1" si="168"/>
        <v>55.689674968562016</v>
      </c>
      <c r="CY70" s="36">
        <f t="shared" ca="1" si="168"/>
        <v>57.526723548338971</v>
      </c>
      <c r="CZ70" s="36">
        <f t="shared" ca="1" si="168"/>
        <v>57.13908203791059</v>
      </c>
      <c r="DA70" s="36">
        <f t="shared" ca="1" si="168"/>
        <v>56.562617072550118</v>
      </c>
      <c r="DB70" s="36">
        <f t="shared" ca="1" si="168"/>
        <v>58.029968575486436</v>
      </c>
      <c r="DC70" s="36">
        <f t="shared" ca="1" si="168"/>
        <v>58.364040209680702</v>
      </c>
      <c r="DD70" s="36">
        <f t="shared" ca="1" si="168"/>
        <v>57.660721932077891</v>
      </c>
      <c r="DE70" s="36">
        <f t="shared" ca="1" si="168"/>
        <v>57.677852385260884</v>
      </c>
      <c r="DF70" s="36">
        <f t="shared" ca="1" si="168"/>
        <v>58.43794782000905</v>
      </c>
      <c r="DG70" s="36">
        <f t="shared" ca="1" si="168"/>
        <v>59.223480694001353</v>
      </c>
      <c r="DH70" s="36">
        <f t="shared" ca="1" si="168"/>
        <v>58.801643326126616</v>
      </c>
      <c r="DI70" s="36">
        <f t="shared" ca="1" si="168"/>
        <v>58.251491267991746</v>
      </c>
      <c r="DJ70" s="36">
        <f t="shared" ca="1" si="168"/>
        <v>57.388096684679866</v>
      </c>
      <c r="DK70" s="36">
        <f t="shared" ca="1" si="168"/>
        <v>58.068816797693565</v>
      </c>
      <c r="DL70" s="36">
        <f t="shared" ca="1" si="168"/>
        <v>56.541407968189148</v>
      </c>
      <c r="DM70" s="36">
        <f t="shared" ca="1" si="168"/>
        <v>57.045476017664924</v>
      </c>
      <c r="DN70" s="36">
        <f t="shared" ca="1" si="168"/>
        <v>57.058325436439304</v>
      </c>
      <c r="DO70" s="36">
        <f t="shared" ca="1" si="168"/>
        <v>57.620757794373084</v>
      </c>
      <c r="DP70" s="36">
        <f t="shared" ca="1" si="168"/>
        <v>58.45133708008165</v>
      </c>
      <c r="DQ70" s="36">
        <f t="shared" ca="1" si="168"/>
        <v>57.515636548147441</v>
      </c>
      <c r="DR70" s="36">
        <f t="shared" ca="1" si="168"/>
        <v>58.109776012651885</v>
      </c>
      <c r="DS70" s="36">
        <f t="shared" ca="1" si="168"/>
        <v>58.704807075142952</v>
      </c>
      <c r="DT70" s="36">
        <f t="shared" ca="1" si="168"/>
        <v>58.349781648438942</v>
      </c>
      <c r="DU70" s="36">
        <f t="shared" ca="1" si="168"/>
        <v>58.054608307890383</v>
      </c>
      <c r="DV70" s="36">
        <f t="shared" ca="1" si="168"/>
        <v>56.780274895048649</v>
      </c>
      <c r="DW70" s="36">
        <f t="shared" ca="1" si="168"/>
        <v>57.956750555472667</v>
      </c>
      <c r="DX70" s="36">
        <f t="shared" ca="1" si="168"/>
        <v>58.567668538714649</v>
      </c>
      <c r="DY70" s="36">
        <f t="shared" ca="1" si="168"/>
        <v>58.858378810532436</v>
      </c>
      <c r="DZ70" s="36">
        <f t="shared" ca="1" si="168"/>
        <v>58.832675727241025</v>
      </c>
      <c r="EA70" s="36">
        <f t="shared" ca="1" si="168"/>
        <v>58.869543050621097</v>
      </c>
      <c r="EB70" s="36">
        <f t="shared" ca="1" si="168"/>
        <v>59.838626613993107</v>
      </c>
      <c r="EC70" s="36">
        <f t="shared" ca="1" si="139"/>
        <v>59.901765335819036</v>
      </c>
      <c r="ED70" s="36">
        <f t="shared" ca="1" si="139"/>
        <v>60.315100081862198</v>
      </c>
      <c r="EE70" s="36">
        <f t="shared" ca="1" si="139"/>
        <v>60.552873034789307</v>
      </c>
      <c r="EF70" s="36">
        <f t="shared" ca="1" si="139"/>
        <v>60.035757519667229</v>
      </c>
      <c r="EG70" s="36">
        <f t="shared" ca="1" si="139"/>
        <v>59.543064795438312</v>
      </c>
      <c r="EH70" s="36">
        <f t="shared" ca="1" si="139"/>
        <v>59.114745315546287</v>
      </c>
      <c r="EI70" s="36">
        <f t="shared" ca="1" si="139"/>
        <v>58.878528087662325</v>
      </c>
      <c r="EJ70" s="36">
        <f t="shared" ca="1" si="139"/>
        <v>60.782005987579915</v>
      </c>
      <c r="EK70" s="36">
        <f t="shared" ca="1" si="139"/>
        <v>59.418938815911744</v>
      </c>
      <c r="EL70" s="36">
        <f t="shared" ca="1" si="139"/>
        <v>60.920419113574461</v>
      </c>
      <c r="EM70" s="36">
        <f t="shared" ca="1" si="139"/>
        <v>62.482118799600926</v>
      </c>
      <c r="EN70" s="36">
        <f t="shared" ca="1" si="139"/>
        <v>62.79461769505307</v>
      </c>
      <c r="EO70" s="36">
        <f t="shared" ca="1" si="139"/>
        <v>61.922235323790616</v>
      </c>
      <c r="EP70" s="36">
        <f t="shared" ca="1" si="139"/>
        <v>61.169724680719071</v>
      </c>
      <c r="EQ70" s="36">
        <f t="shared" ca="1" si="139"/>
        <v>61.052136937836323</v>
      </c>
      <c r="ER70" s="36">
        <f t="shared" ref="ER70:EW70" ca="1" si="172">EQ70*EXP(($B$3-$B$4^2/2)*1+$B$4*_xlfn.NORM.S.INV(RAND()))</f>
        <v>60.938297059561037</v>
      </c>
      <c r="ES70" s="36">
        <f t="shared" ca="1" si="172"/>
        <v>60.632550394034759</v>
      </c>
      <c r="ET70" s="36">
        <f t="shared" ca="1" si="172"/>
        <v>59.611344524833271</v>
      </c>
      <c r="EU70" s="36">
        <f t="shared" ca="1" si="172"/>
        <v>59.272105377583266</v>
      </c>
      <c r="EV70" s="36">
        <f t="shared" ca="1" si="172"/>
        <v>59.411288533859512</v>
      </c>
      <c r="EW70" s="36">
        <f t="shared" ca="1" si="172"/>
        <v>59.395114882752281</v>
      </c>
      <c r="EX70" s="36">
        <f t="shared" ca="1" si="166"/>
        <v>60.270976762961475</v>
      </c>
      <c r="EY70" s="36">
        <f t="shared" ca="1" si="166"/>
        <v>60.958219138406776</v>
      </c>
      <c r="EZ70" s="36">
        <f t="shared" ca="1" si="166"/>
        <v>60.51812588575639</v>
      </c>
      <c r="FA70" s="36">
        <f t="shared" ca="1" si="166"/>
        <v>60.609815433004655</v>
      </c>
      <c r="FB70" s="36">
        <f t="shared" ca="1" si="166"/>
        <v>60.198341830126935</v>
      </c>
      <c r="FC70" s="36">
        <f t="shared" ca="1" si="166"/>
        <v>59.35825060375705</v>
      </c>
      <c r="FD70" s="36">
        <f t="shared" ca="1" si="166"/>
        <v>59.202988103647833</v>
      </c>
      <c r="FE70" s="36">
        <f t="shared" ca="1" si="166"/>
        <v>59.309583762864634</v>
      </c>
      <c r="FF70" s="36">
        <f t="shared" ca="1" si="166"/>
        <v>58.788462428930977</v>
      </c>
      <c r="FG70" s="36">
        <f t="shared" ca="1" si="166"/>
        <v>59.019372472088371</v>
      </c>
      <c r="FH70" s="36">
        <f t="shared" ca="1" si="166"/>
        <v>58.759229816742305</v>
      </c>
      <c r="FI70" s="36">
        <f t="shared" ca="1" si="166"/>
        <v>59.74532325849421</v>
      </c>
      <c r="FJ70" s="36">
        <f t="shared" ca="1" si="166"/>
        <v>59.111293273549641</v>
      </c>
      <c r="FK70" s="36">
        <f t="shared" ca="1" si="166"/>
        <v>60.417941420873476</v>
      </c>
      <c r="FL70" s="36">
        <f t="shared" ca="1" si="166"/>
        <v>58.932691959822677</v>
      </c>
      <c r="FM70" s="36">
        <f t="shared" ca="1" si="166"/>
        <v>58.397334632743963</v>
      </c>
      <c r="FN70" s="36">
        <f t="shared" ca="1" si="166"/>
        <v>58.677048143813323</v>
      </c>
      <c r="FO70" s="36">
        <f t="shared" ca="1" si="166"/>
        <v>59.374077820321205</v>
      </c>
      <c r="FP70" s="36">
        <f t="shared" ca="1" si="166"/>
        <v>58.874210503659668</v>
      </c>
      <c r="FQ70" s="36">
        <f t="shared" ca="1" si="166"/>
        <v>59.134862505350078</v>
      </c>
      <c r="FR70" s="36">
        <f t="shared" ca="1" si="166"/>
        <v>57.738517590979733</v>
      </c>
      <c r="FS70" s="36">
        <f t="shared" ca="1" si="166"/>
        <v>57.518926602526655</v>
      </c>
      <c r="FT70" s="36">
        <f t="shared" ca="1" si="166"/>
        <v>57.79924860929853</v>
      </c>
      <c r="FU70" s="36">
        <f t="shared" ca="1" si="166"/>
        <v>57.806453818156569</v>
      </c>
      <c r="FV70" s="36">
        <f t="shared" ca="1" si="166"/>
        <v>57.046427164698706</v>
      </c>
      <c r="FW70" s="36">
        <f t="shared" ca="1" si="166"/>
        <v>56.789174989306979</v>
      </c>
      <c r="FX70" s="36">
        <f t="shared" ca="1" si="166"/>
        <v>56.926361131490495</v>
      </c>
      <c r="FY70" s="36">
        <f t="shared" ca="1" si="166"/>
        <v>57.179219631380441</v>
      </c>
      <c r="FZ70" s="36">
        <f t="shared" ca="1" si="166"/>
        <v>57.565728342514262</v>
      </c>
      <c r="GA70" s="36">
        <f t="shared" ca="1" si="166"/>
        <v>58.246922711530303</v>
      </c>
      <c r="GB70" s="36">
        <f t="shared" ca="1" si="166"/>
        <v>57.824381189918796</v>
      </c>
      <c r="GC70" s="36">
        <f t="shared" ca="1" si="166"/>
        <v>57.900580711424482</v>
      </c>
      <c r="GD70" s="36">
        <f t="shared" ca="1" si="166"/>
        <v>57.918532770746019</v>
      </c>
      <c r="GE70" s="36">
        <f t="shared" ca="1" si="166"/>
        <v>57.721125733633919</v>
      </c>
      <c r="GF70" s="36">
        <f t="shared" ca="1" si="166"/>
        <v>57.826495369230237</v>
      </c>
      <c r="GG70" s="36">
        <f t="shared" ca="1" si="166"/>
        <v>58.361120792503293</v>
      </c>
      <c r="GH70" s="36">
        <f t="shared" ca="1" si="166"/>
        <v>59.56542531640585</v>
      </c>
      <c r="GI70" s="36">
        <f t="shared" ca="1" si="166"/>
        <v>59.291896668235843</v>
      </c>
      <c r="GJ70" s="36">
        <f t="shared" ca="1" si="166"/>
        <v>60.323110106962432</v>
      </c>
      <c r="GK70" s="36">
        <f t="shared" ca="1" si="166"/>
        <v>61.227915451357653</v>
      </c>
      <c r="GL70" s="36">
        <f t="shared" ca="1" si="166"/>
        <v>60.394390800872849</v>
      </c>
      <c r="GM70" s="36">
        <f t="shared" ca="1" si="166"/>
        <v>59.351029042310067</v>
      </c>
      <c r="GN70" s="36">
        <f t="shared" ca="1" si="166"/>
        <v>59.428999128967789</v>
      </c>
      <c r="GO70" s="36">
        <f t="shared" ca="1" si="166"/>
        <v>59.319507181319985</v>
      </c>
      <c r="GP70" s="36">
        <f t="shared" ca="1" si="166"/>
        <v>59.166372704725873</v>
      </c>
      <c r="GQ70" s="36">
        <f t="shared" ca="1" si="166"/>
        <v>58.2383614471741</v>
      </c>
      <c r="GR70" s="36">
        <f t="shared" ca="1" si="166"/>
        <v>57.15776407208628</v>
      </c>
      <c r="GS70" s="36">
        <f t="shared" ca="1" si="166"/>
        <v>57.47372510543314</v>
      </c>
      <c r="GT70" s="36">
        <f t="shared" ca="1" si="166"/>
        <v>59.144109593006576</v>
      </c>
      <c r="GU70" s="36">
        <f t="shared" ca="1" si="166"/>
        <v>59.058680397178186</v>
      </c>
      <c r="GV70" s="36">
        <f t="shared" ca="1" si="166"/>
        <v>58.913725372870381</v>
      </c>
      <c r="GW70" s="36">
        <f t="shared" ca="1" si="166"/>
        <v>58.914013804165087</v>
      </c>
      <c r="GX70" s="36">
        <f t="shared" ca="1" si="166"/>
        <v>58.960071819138825</v>
      </c>
      <c r="GY70" s="36">
        <f t="shared" ca="1" si="166"/>
        <v>58.828514733486799</v>
      </c>
      <c r="GZ70" s="36">
        <f t="shared" ca="1" si="166"/>
        <v>58.496471996629587</v>
      </c>
      <c r="HA70" s="36">
        <f t="shared" ca="1" si="166"/>
        <v>58.624400487793814</v>
      </c>
      <c r="HB70" s="36">
        <f t="shared" ca="1" si="166"/>
        <v>59.949988958277174</v>
      </c>
      <c r="HC70" s="36">
        <f t="shared" ca="1" si="166"/>
        <v>59.083373644353948</v>
      </c>
      <c r="HD70" s="36">
        <f t="shared" ca="1" si="166"/>
        <v>59.204684619640886</v>
      </c>
      <c r="HE70" s="36">
        <f t="shared" ca="1" si="166"/>
        <v>59.145322444913219</v>
      </c>
      <c r="HF70" s="36">
        <f t="shared" ca="1" si="166"/>
        <v>59.684387086446904</v>
      </c>
      <c r="HG70" s="36">
        <f t="shared" ca="1" si="166"/>
        <v>60.381120442011365</v>
      </c>
      <c r="HH70" s="36">
        <f t="shared" ca="1" si="166"/>
        <v>59.211861403082558</v>
      </c>
      <c r="HI70" s="36">
        <f t="shared" ca="1" si="170"/>
        <v>59.998363287538766</v>
      </c>
      <c r="HJ70" s="36">
        <f t="shared" ca="1" si="170"/>
        <v>60.072777899156755</v>
      </c>
      <c r="HK70" s="36">
        <f t="shared" ca="1" si="170"/>
        <v>60.054039232651718</v>
      </c>
      <c r="HL70" s="36">
        <f t="shared" ca="1" si="170"/>
        <v>60.454931678750121</v>
      </c>
      <c r="HM70" s="36">
        <f t="shared" ca="1" si="170"/>
        <v>59.672660595364306</v>
      </c>
      <c r="HN70" s="36">
        <f t="shared" ca="1" si="170"/>
        <v>59.89005782755163</v>
      </c>
      <c r="HO70" s="36">
        <f t="shared" ca="1" si="170"/>
        <v>59.618699810141734</v>
      </c>
      <c r="HP70" s="36">
        <f t="shared" ca="1" si="170"/>
        <v>59.520949283607479</v>
      </c>
      <c r="HQ70" s="36">
        <f t="shared" ca="1" si="170"/>
        <v>59.818456591561784</v>
      </c>
      <c r="HR70" s="36">
        <f t="shared" ca="1" si="170"/>
        <v>59.673184072276982</v>
      </c>
      <c r="HS70" s="36">
        <f t="shared" ca="1" si="170"/>
        <v>58.719182008638185</v>
      </c>
      <c r="HT70" s="36">
        <f t="shared" ca="1" si="170"/>
        <v>58.658411575506605</v>
      </c>
      <c r="HU70" s="36">
        <f t="shared" ca="1" si="157"/>
        <v>57.666511369343141</v>
      </c>
      <c r="HV70" s="36">
        <f t="shared" ca="1" si="157"/>
        <v>58.279040846543957</v>
      </c>
      <c r="HW70" s="36">
        <f t="shared" ca="1" si="157"/>
        <v>58.669031974318209</v>
      </c>
      <c r="HX70" s="36">
        <f t="shared" ca="1" si="157"/>
        <v>59.235437403514915</v>
      </c>
      <c r="HY70" s="36">
        <f t="shared" ca="1" si="157"/>
        <v>58.80688648848821</v>
      </c>
      <c r="HZ70" s="36">
        <f t="shared" ca="1" si="157"/>
        <v>59.549318804750605</v>
      </c>
      <c r="IA70" s="36">
        <f t="shared" ca="1" si="157"/>
        <v>59.565905841204533</v>
      </c>
      <c r="IB70" s="36">
        <f t="shared" ca="1" si="157"/>
        <v>59.229306585706517</v>
      </c>
      <c r="IC70" s="36">
        <f t="shared" ca="1" si="157"/>
        <v>58.292935520556384</v>
      </c>
      <c r="ID70" s="36">
        <f t="shared" ca="1" si="157"/>
        <v>58.015426325545988</v>
      </c>
      <c r="IE70" s="36">
        <f t="shared" ca="1" si="157"/>
        <v>58.914039160660174</v>
      </c>
      <c r="IF70" s="36">
        <f t="shared" ca="1" si="157"/>
        <v>59.671977123178237</v>
      </c>
      <c r="IG70" s="36">
        <f t="shared" ca="1" si="157"/>
        <v>58.627515065476352</v>
      </c>
      <c r="IH70" s="36">
        <f t="shared" ca="1" si="157"/>
        <v>58.559758663702013</v>
      </c>
      <c r="II70" s="36">
        <f t="shared" ca="1" si="157"/>
        <v>58.839924687634891</v>
      </c>
      <c r="IJ70" s="36">
        <f t="shared" ca="1" si="157"/>
        <v>58.294823952929399</v>
      </c>
      <c r="IK70" s="36">
        <f t="shared" ca="1" si="157"/>
        <v>56.923654611077787</v>
      </c>
      <c r="IL70" s="36">
        <f t="shared" ca="1" si="157"/>
        <v>56.906205132538709</v>
      </c>
      <c r="IM70" s="36">
        <f t="shared" ca="1" si="157"/>
        <v>56.53663004262269</v>
      </c>
      <c r="IN70" s="36">
        <f t="shared" ca="1" si="157"/>
        <v>55.755170789325177</v>
      </c>
      <c r="IO70" s="36">
        <f t="shared" ca="1" si="157"/>
        <v>54.983349116488299</v>
      </c>
      <c r="IP70" s="36">
        <f t="shared" ca="1" si="157"/>
        <v>54.6013227582485</v>
      </c>
      <c r="IQ70" s="36">
        <f t="shared" ca="1" si="157"/>
        <v>54.172923176952111</v>
      </c>
      <c r="IR70" s="36">
        <f t="shared" ca="1" si="157"/>
        <v>53.715821320221032</v>
      </c>
      <c r="IS70" s="36">
        <f t="shared" ca="1" si="157"/>
        <v>53.163646961859747</v>
      </c>
      <c r="IT70" s="36">
        <f t="shared" ca="1" si="157"/>
        <v>53.727796607192559</v>
      </c>
      <c r="IU70" s="36">
        <f t="shared" ca="1" si="157"/>
        <v>53.066463416404368</v>
      </c>
    </row>
    <row r="71" spans="1:255" x14ac:dyDescent="0.2">
      <c r="A71" s="36"/>
      <c r="B71">
        <v>61</v>
      </c>
      <c r="C71" s="36">
        <v>50</v>
      </c>
      <c r="D71" s="36">
        <f t="shared" ca="1" si="14"/>
        <v>49.622235658225918</v>
      </c>
      <c r="E71" s="36">
        <f t="shared" ca="1" si="14"/>
        <v>49.420634467774256</v>
      </c>
      <c r="F71" s="36">
        <f t="shared" ca="1" si="171"/>
        <v>49.025978679234299</v>
      </c>
      <c r="G71" s="36">
        <f t="shared" ca="1" si="171"/>
        <v>49.827343010339966</v>
      </c>
      <c r="H71" s="36">
        <f t="shared" ca="1" si="171"/>
        <v>49.139491790881642</v>
      </c>
      <c r="I71" s="36">
        <f t="shared" ca="1" si="171"/>
        <v>49.543869047874189</v>
      </c>
      <c r="J71" s="36">
        <f t="shared" ca="1" si="171"/>
        <v>50.13315481484117</v>
      </c>
      <c r="K71" s="36">
        <f t="shared" ca="1" si="171"/>
        <v>49.552545447541668</v>
      </c>
      <c r="L71" s="36">
        <f t="shared" ca="1" si="171"/>
        <v>49.637720258369953</v>
      </c>
      <c r="M71" s="36">
        <f t="shared" ca="1" si="171"/>
        <v>49.732227932079773</v>
      </c>
      <c r="N71" s="36">
        <f t="shared" ca="1" si="171"/>
        <v>50.114723009261226</v>
      </c>
      <c r="O71" s="36">
        <f t="shared" ca="1" si="171"/>
        <v>49.646800386018363</v>
      </c>
      <c r="P71" s="36">
        <f t="shared" ca="1" si="171"/>
        <v>48.737768323970755</v>
      </c>
      <c r="Q71" s="36">
        <f t="shared" ca="1" si="171"/>
        <v>49.530980081163776</v>
      </c>
      <c r="R71" s="36">
        <f t="shared" ca="1" si="171"/>
        <v>49.570348192192803</v>
      </c>
      <c r="S71" s="36">
        <f t="shared" ca="1" si="171"/>
        <v>49.916500202268026</v>
      </c>
      <c r="T71" s="36">
        <f t="shared" ca="1" si="171"/>
        <v>49.428732470749843</v>
      </c>
      <c r="U71" s="36">
        <f t="shared" ca="1" si="171"/>
        <v>49.216581283254392</v>
      </c>
      <c r="V71" s="36">
        <f t="shared" ca="1" si="171"/>
        <v>49.158818711586598</v>
      </c>
      <c r="W71" s="36">
        <f t="shared" ca="1" si="171"/>
        <v>49.185549732164532</v>
      </c>
      <c r="X71" s="36">
        <f t="shared" ca="1" si="171"/>
        <v>49.138181083221767</v>
      </c>
      <c r="Y71" s="36">
        <f t="shared" ca="1" si="171"/>
        <v>48.577093397884148</v>
      </c>
      <c r="Z71" s="36">
        <f t="shared" ca="1" si="171"/>
        <v>48.405503382280045</v>
      </c>
      <c r="AA71" s="36">
        <f t="shared" ca="1" si="171"/>
        <v>47.319503942970961</v>
      </c>
      <c r="AB71" s="36">
        <f t="shared" ca="1" si="171"/>
        <v>46.454484050864963</v>
      </c>
      <c r="AC71" s="36">
        <f t="shared" ca="1" si="171"/>
        <v>45.721728533225786</v>
      </c>
      <c r="AD71" s="36">
        <f t="shared" ca="1" si="171"/>
        <v>45.319627284900221</v>
      </c>
      <c r="AE71" s="36">
        <f t="shared" ca="1" si="171"/>
        <v>45.344013175909701</v>
      </c>
      <c r="AF71" s="36">
        <f t="shared" ca="1" si="171"/>
        <v>45.055654782246776</v>
      </c>
      <c r="AG71" s="36">
        <f t="shared" ca="1" si="171"/>
        <v>44.954550291114138</v>
      </c>
      <c r="AH71" s="36">
        <f t="shared" ca="1" si="171"/>
        <v>44.800087244632969</v>
      </c>
      <c r="AI71" s="36">
        <f t="shared" ca="1" si="171"/>
        <v>45.014140469686787</v>
      </c>
      <c r="AJ71" s="36">
        <f t="shared" ca="1" si="171"/>
        <v>45.974949547380739</v>
      </c>
      <c r="AK71" s="36">
        <f t="shared" ca="1" si="171"/>
        <v>46.251396218931887</v>
      </c>
      <c r="AL71" s="36">
        <f t="shared" ca="1" si="171"/>
        <v>45.672410741282825</v>
      </c>
      <c r="AM71" s="36">
        <f t="shared" ca="1" si="171"/>
        <v>46.343845657428076</v>
      </c>
      <c r="AN71" s="36">
        <f t="shared" ca="1" si="171"/>
        <v>46.043795567125663</v>
      </c>
      <c r="AO71" s="36">
        <f t="shared" ca="1" si="171"/>
        <v>46.307841569855213</v>
      </c>
      <c r="AP71" s="36">
        <f t="shared" ca="1" si="171"/>
        <v>46.89572905111141</v>
      </c>
      <c r="AQ71" s="36">
        <f t="shared" ca="1" si="171"/>
        <v>46.897683072891375</v>
      </c>
      <c r="AR71" s="36">
        <f t="shared" ca="1" si="171"/>
        <v>46.115668877366438</v>
      </c>
      <c r="AS71" s="36">
        <f t="shared" ca="1" si="171"/>
        <v>46.751679395354408</v>
      </c>
      <c r="AT71" s="36">
        <f t="shared" ca="1" si="171"/>
        <v>46.512887769050892</v>
      </c>
      <c r="AU71" s="36">
        <f t="shared" ca="1" si="171"/>
        <v>46.204816238211173</v>
      </c>
      <c r="AV71" s="36">
        <f t="shared" ca="1" si="171"/>
        <v>46.593648721696042</v>
      </c>
      <c r="AW71" s="36">
        <f t="shared" ca="1" si="171"/>
        <v>45.624012102306516</v>
      </c>
      <c r="AX71" s="36">
        <f t="shared" ca="1" si="171"/>
        <v>45.345511322703487</v>
      </c>
      <c r="AY71" s="36">
        <f t="shared" ca="1" si="171"/>
        <v>45.628916182293239</v>
      </c>
      <c r="AZ71" s="36">
        <f t="shared" ca="1" si="171"/>
        <v>45.307710335646689</v>
      </c>
      <c r="BA71" s="36">
        <f t="shared" ca="1" si="171"/>
        <v>44.955094273053362</v>
      </c>
      <c r="BB71" s="36">
        <f t="shared" ca="1" si="171"/>
        <v>44.829181270960305</v>
      </c>
      <c r="BC71" s="36">
        <f t="shared" ca="1" si="171"/>
        <v>44.904340077727106</v>
      </c>
      <c r="BD71" s="36">
        <f t="shared" ca="1" si="171"/>
        <v>44.721862836352003</v>
      </c>
      <c r="BE71" s="36">
        <f t="shared" ca="1" si="171"/>
        <v>44.662065328088616</v>
      </c>
      <c r="BF71" s="36">
        <f t="shared" ca="1" si="171"/>
        <v>44.330327814822482</v>
      </c>
      <c r="BG71" s="36">
        <f t="shared" ca="1" si="171"/>
        <v>44.221643635239175</v>
      </c>
      <c r="BH71" s="36">
        <f t="shared" ca="1" si="171"/>
        <v>44.399684898980382</v>
      </c>
      <c r="BI71" s="36">
        <f t="shared" ca="1" si="171"/>
        <v>45.280277651810742</v>
      </c>
      <c r="BJ71" s="36">
        <f t="shared" ca="1" si="171"/>
        <v>45.491141828820169</v>
      </c>
      <c r="BK71" s="36">
        <f t="shared" ca="1" si="171"/>
        <v>45.137745550515348</v>
      </c>
      <c r="BL71" s="36">
        <f t="shared" ca="1" si="171"/>
        <v>44.632970064923889</v>
      </c>
      <c r="BM71" s="36">
        <f t="shared" ca="1" si="171"/>
        <v>45.568315995777866</v>
      </c>
      <c r="BN71" s="36">
        <f t="shared" ca="1" si="171"/>
        <v>45.895921160996487</v>
      </c>
      <c r="BO71" s="36">
        <f t="shared" ca="1" si="171"/>
        <v>45.369189300509369</v>
      </c>
      <c r="BP71" s="36">
        <f t="shared" ca="1" si="171"/>
        <v>45.3863170810329</v>
      </c>
      <c r="BQ71" s="36">
        <f t="shared" ca="1" si="171"/>
        <v>46.264886811650847</v>
      </c>
      <c r="BR71" s="36">
        <f t="shared" ca="1" si="168"/>
        <v>46.094795257751763</v>
      </c>
      <c r="BS71" s="36">
        <f t="shared" ca="1" si="168"/>
        <v>46.662401078956663</v>
      </c>
      <c r="BT71" s="36">
        <f t="shared" ca="1" si="168"/>
        <v>47.071882356209592</v>
      </c>
      <c r="BU71" s="36">
        <f t="shared" ca="1" si="168"/>
        <v>47.600258675395196</v>
      </c>
      <c r="BV71" s="36">
        <f t="shared" ca="1" si="168"/>
        <v>48.146195781695468</v>
      </c>
      <c r="BW71" s="36">
        <f t="shared" ca="1" si="168"/>
        <v>47.363588579391603</v>
      </c>
      <c r="BX71" s="36">
        <f t="shared" ca="1" si="168"/>
        <v>47.549825896895072</v>
      </c>
      <c r="BY71" s="36">
        <f t="shared" ca="1" si="168"/>
        <v>47.692312887418957</v>
      </c>
      <c r="BZ71" s="36">
        <f t="shared" ca="1" si="168"/>
        <v>47.856189118754742</v>
      </c>
      <c r="CA71" s="36">
        <f t="shared" ca="1" si="168"/>
        <v>47.959117403613391</v>
      </c>
      <c r="CB71" s="36">
        <f t="shared" ca="1" si="168"/>
        <v>47.59966540051883</v>
      </c>
      <c r="CC71" s="36">
        <f t="shared" ca="1" si="168"/>
        <v>47.285346819142163</v>
      </c>
      <c r="CD71" s="36">
        <f t="shared" ca="1" si="168"/>
        <v>48.291736880103997</v>
      </c>
      <c r="CE71" s="36">
        <f t="shared" ca="1" si="168"/>
        <v>47.432328514011203</v>
      </c>
      <c r="CF71" s="36">
        <f t="shared" ca="1" si="168"/>
        <v>47.553263996425706</v>
      </c>
      <c r="CG71" s="36">
        <f t="shared" ca="1" si="168"/>
        <v>47.898875593551843</v>
      </c>
      <c r="CH71" s="36">
        <f t="shared" ca="1" si="168"/>
        <v>47.742464603972159</v>
      </c>
      <c r="CI71" s="36">
        <f t="shared" ca="1" si="168"/>
        <v>47.495341382251304</v>
      </c>
      <c r="CJ71" s="36">
        <f t="shared" ca="1" si="168"/>
        <v>48.202590198458736</v>
      </c>
      <c r="CK71" s="36">
        <f t="shared" ca="1" si="168"/>
        <v>48.092129224200285</v>
      </c>
      <c r="CL71" s="36">
        <f t="shared" ca="1" si="168"/>
        <v>49.136725734262868</v>
      </c>
      <c r="CM71" s="36">
        <f t="shared" ca="1" si="168"/>
        <v>49.832727844721362</v>
      </c>
      <c r="CN71" s="36">
        <f t="shared" ca="1" si="168"/>
        <v>48.863235785219445</v>
      </c>
      <c r="CO71" s="36">
        <f t="shared" ca="1" si="168"/>
        <v>49.635983947070471</v>
      </c>
      <c r="CP71" s="36">
        <f t="shared" ca="1" si="168"/>
        <v>49.538713746856111</v>
      </c>
      <c r="CQ71" s="36">
        <f t="shared" ca="1" si="168"/>
        <v>50.159211012471964</v>
      </c>
      <c r="CR71" s="36">
        <f t="shared" ca="1" si="168"/>
        <v>50.806859456776877</v>
      </c>
      <c r="CS71" s="36">
        <f t="shared" ca="1" si="168"/>
        <v>49.671305701639952</v>
      </c>
      <c r="CT71" s="36">
        <f t="shared" ca="1" si="168"/>
        <v>49.737781001235113</v>
      </c>
      <c r="CU71" s="36">
        <f t="shared" ca="1" si="168"/>
        <v>49.503025431277784</v>
      </c>
      <c r="CV71" s="36">
        <f t="shared" ca="1" si="168"/>
        <v>49.643963114739606</v>
      </c>
      <c r="CW71" s="36">
        <f t="shared" ca="1" si="168"/>
        <v>49.74314542213429</v>
      </c>
      <c r="CX71" s="36">
        <f t="shared" ca="1" si="168"/>
        <v>48.846128101001071</v>
      </c>
      <c r="CY71" s="36">
        <f t="shared" ca="1" si="168"/>
        <v>48.569849687801117</v>
      </c>
      <c r="CZ71" s="36">
        <f t="shared" ca="1" si="168"/>
        <v>48.612280530907313</v>
      </c>
      <c r="DA71" s="36">
        <f t="shared" ca="1" si="168"/>
        <v>47.573989692830736</v>
      </c>
      <c r="DB71" s="36">
        <f t="shared" ca="1" si="168"/>
        <v>46.73837225094411</v>
      </c>
      <c r="DC71" s="36">
        <f t="shared" ca="1" si="168"/>
        <v>46.604492686661722</v>
      </c>
      <c r="DD71" s="36">
        <f t="shared" ca="1" si="168"/>
        <v>46.770185385113066</v>
      </c>
      <c r="DE71" s="36">
        <f t="shared" ca="1" si="168"/>
        <v>46.924108051969711</v>
      </c>
      <c r="DF71" s="36">
        <f t="shared" ca="1" si="168"/>
        <v>46.787877474000773</v>
      </c>
      <c r="DG71" s="36">
        <f t="shared" ca="1" si="168"/>
        <v>47.434762844824746</v>
      </c>
      <c r="DH71" s="36">
        <f t="shared" ca="1" si="168"/>
        <v>46.981597239195743</v>
      </c>
      <c r="DI71" s="36">
        <f t="shared" ca="1" si="168"/>
        <v>46.800794915926907</v>
      </c>
      <c r="DJ71" s="36">
        <f t="shared" ca="1" si="168"/>
        <v>47.203137989188257</v>
      </c>
      <c r="DK71" s="36">
        <f t="shared" ca="1" si="168"/>
        <v>47.692288684799145</v>
      </c>
      <c r="DL71" s="36">
        <f t="shared" ca="1" si="168"/>
        <v>47.583926229804753</v>
      </c>
      <c r="DM71" s="36">
        <f t="shared" ca="1" si="168"/>
        <v>47.773541901285228</v>
      </c>
      <c r="DN71" s="36">
        <f t="shared" ca="1" si="168"/>
        <v>48.515268915952454</v>
      </c>
      <c r="DO71" s="36">
        <f t="shared" ca="1" si="168"/>
        <v>48.43978325723333</v>
      </c>
      <c r="DP71" s="36">
        <f t="shared" ca="1" si="168"/>
        <v>48.160049128216833</v>
      </c>
      <c r="DQ71" s="36">
        <f t="shared" ca="1" si="168"/>
        <v>48.538147801828693</v>
      </c>
      <c r="DR71" s="36">
        <f t="shared" ca="1" si="168"/>
        <v>48.367489823041417</v>
      </c>
      <c r="DS71" s="36">
        <f t="shared" ca="1" si="168"/>
        <v>47.494462082917231</v>
      </c>
      <c r="DT71" s="36">
        <f t="shared" ca="1" si="168"/>
        <v>46.796736292016632</v>
      </c>
      <c r="DU71" s="36">
        <f t="shared" ca="1" si="168"/>
        <v>47.16367474883932</v>
      </c>
      <c r="DV71" s="36">
        <f t="shared" ca="1" si="168"/>
        <v>46.420578005801239</v>
      </c>
      <c r="DW71" s="36">
        <f t="shared" ca="1" si="168"/>
        <v>46.599135907800111</v>
      </c>
      <c r="DX71" s="36">
        <f t="shared" ca="1" si="168"/>
        <v>47.2255291387266</v>
      </c>
      <c r="DY71" s="36">
        <f t="shared" ca="1" si="168"/>
        <v>47.56446550698665</v>
      </c>
      <c r="DZ71" s="36">
        <f t="shared" ca="1" si="168"/>
        <v>47.250467288284575</v>
      </c>
      <c r="EA71" s="36">
        <f t="shared" ca="1" si="168"/>
        <v>45.441746022056407</v>
      </c>
      <c r="EB71" s="36">
        <f t="shared" ca="1" si="168"/>
        <v>45.063384597351565</v>
      </c>
      <c r="EC71" s="36">
        <f t="shared" ref="EC71:EV84" ca="1" si="173">EB71*EXP(($B$3-$B$4^2/2)*1+$B$4*_xlfn.NORM.S.INV(RAND()))</f>
        <v>44.896505764593357</v>
      </c>
      <c r="ED71" s="36">
        <f t="shared" ca="1" si="173"/>
        <v>44.61703838440566</v>
      </c>
      <c r="EE71" s="36">
        <f t="shared" ca="1" si="173"/>
        <v>45.348720939447894</v>
      </c>
      <c r="EF71" s="36">
        <f t="shared" ca="1" si="173"/>
        <v>45.155020393124822</v>
      </c>
      <c r="EG71" s="36">
        <f t="shared" ca="1" si="173"/>
        <v>45.340690336164734</v>
      </c>
      <c r="EH71" s="36">
        <f t="shared" ca="1" si="173"/>
        <v>44.759944505991037</v>
      </c>
      <c r="EI71" s="36">
        <f t="shared" ca="1" si="173"/>
        <v>45.277379367324365</v>
      </c>
      <c r="EJ71" s="36">
        <f t="shared" ca="1" si="173"/>
        <v>45.344169021317562</v>
      </c>
      <c r="EK71" s="36">
        <f t="shared" ca="1" si="173"/>
        <v>45.857340912218838</v>
      </c>
      <c r="EL71" s="36">
        <f t="shared" ca="1" si="173"/>
        <v>46.410136085834701</v>
      </c>
      <c r="EM71" s="36">
        <f t="shared" ca="1" si="173"/>
        <v>46.65655499119115</v>
      </c>
      <c r="EN71" s="36">
        <f t="shared" ca="1" si="173"/>
        <v>47.030675166819755</v>
      </c>
      <c r="EO71" s="36">
        <f t="shared" ca="1" si="173"/>
        <v>46.599448413274438</v>
      </c>
      <c r="EP71" s="36">
        <f t="shared" ca="1" si="173"/>
        <v>45.844653038971366</v>
      </c>
      <c r="EQ71" s="36">
        <f t="shared" ca="1" si="173"/>
        <v>46.987649193997392</v>
      </c>
      <c r="ER71" s="36">
        <f t="shared" ca="1" si="173"/>
        <v>47.241179395487968</v>
      </c>
      <c r="ES71" s="36">
        <f t="shared" ca="1" si="173"/>
        <v>47.517985840665965</v>
      </c>
      <c r="ET71" s="36">
        <f t="shared" ca="1" si="173"/>
        <v>47.509491095610954</v>
      </c>
      <c r="EU71" s="36">
        <f t="shared" ca="1" si="173"/>
        <v>47.475500785654908</v>
      </c>
      <c r="EV71" s="36">
        <f t="shared" ca="1" si="173"/>
        <v>47.884141939878319</v>
      </c>
      <c r="EW71" s="36">
        <f t="shared" ref="EW71" ca="1" si="174">EV71*EXP(($B$3-$B$4^2/2)*1+$B$4*_xlfn.NORM.S.INV(RAND()))</f>
        <v>47.804928517998327</v>
      </c>
      <c r="EX71" s="36">
        <f t="shared" ca="1" si="166"/>
        <v>47.511204940437771</v>
      </c>
      <c r="EY71" s="36">
        <f t="shared" ca="1" si="166"/>
        <v>47.826776008574534</v>
      </c>
      <c r="EZ71" s="36">
        <f t="shared" ca="1" si="166"/>
        <v>47.974434850394424</v>
      </c>
      <c r="FA71" s="36">
        <f t="shared" ca="1" si="166"/>
        <v>46.674074224431216</v>
      </c>
      <c r="FB71" s="36">
        <f t="shared" ca="1" si="166"/>
        <v>47.207616322363656</v>
      </c>
      <c r="FC71" s="36">
        <f t="shared" ca="1" si="166"/>
        <v>48.192817671625598</v>
      </c>
      <c r="FD71" s="36">
        <f t="shared" ca="1" si="166"/>
        <v>48.193511813951432</v>
      </c>
      <c r="FE71" s="36">
        <f t="shared" ca="1" si="166"/>
        <v>48.082442439035091</v>
      </c>
      <c r="FF71" s="36">
        <f t="shared" ca="1" si="166"/>
        <v>48.906985109250463</v>
      </c>
      <c r="FG71" s="36">
        <f t="shared" ca="1" si="166"/>
        <v>49.408507425148272</v>
      </c>
      <c r="FH71" s="36">
        <f t="shared" ca="1" si="166"/>
        <v>48.859015198537243</v>
      </c>
      <c r="FI71" s="36">
        <f t="shared" ca="1" si="166"/>
        <v>49.152486930681057</v>
      </c>
      <c r="FJ71" s="36">
        <f t="shared" ca="1" si="166"/>
        <v>48.638957723438317</v>
      </c>
      <c r="FK71" s="36">
        <f t="shared" ca="1" si="166"/>
        <v>49.412006574565162</v>
      </c>
      <c r="FL71" s="36">
        <f t="shared" ca="1" si="166"/>
        <v>48.88915815535838</v>
      </c>
      <c r="FM71" s="36">
        <f t="shared" ca="1" si="166"/>
        <v>48.386529252442912</v>
      </c>
      <c r="FN71" s="36">
        <f t="shared" ca="1" si="166"/>
        <v>48.568689345500573</v>
      </c>
      <c r="FO71" s="36">
        <f t="shared" ca="1" si="166"/>
        <v>48.307729107319084</v>
      </c>
      <c r="FP71" s="36">
        <f t="shared" ca="1" si="166"/>
        <v>48.029963401440163</v>
      </c>
      <c r="FQ71" s="36">
        <f t="shared" ca="1" si="166"/>
        <v>47.982374280763679</v>
      </c>
      <c r="FR71" s="36">
        <f t="shared" ca="1" si="166"/>
        <v>47.834628997378168</v>
      </c>
      <c r="FS71" s="36">
        <f t="shared" ca="1" si="166"/>
        <v>47.71440586158382</v>
      </c>
      <c r="FT71" s="36">
        <f t="shared" ca="1" si="166"/>
        <v>48.504153169476986</v>
      </c>
      <c r="FU71" s="36">
        <f t="shared" ca="1" si="166"/>
        <v>48.705908419978002</v>
      </c>
      <c r="FV71" s="36">
        <f t="shared" ca="1" si="166"/>
        <v>48.493334758765137</v>
      </c>
      <c r="FW71" s="36">
        <f t="shared" ca="1" si="166"/>
        <v>48.348355751687123</v>
      </c>
      <c r="FX71" s="36">
        <f t="shared" ca="1" si="166"/>
        <v>47.777444128827206</v>
      </c>
      <c r="FY71" s="36">
        <f t="shared" ca="1" si="166"/>
        <v>46.823484357361032</v>
      </c>
      <c r="FZ71" s="36">
        <f t="shared" ca="1" si="166"/>
        <v>46.814807397093816</v>
      </c>
      <c r="GA71" s="36">
        <f t="shared" ca="1" si="166"/>
        <v>46.603590417517772</v>
      </c>
      <c r="GB71" s="36">
        <f t="shared" ca="1" si="166"/>
        <v>46.016212509592094</v>
      </c>
      <c r="GC71" s="36">
        <f t="shared" ca="1" si="166"/>
        <v>45.993723205758585</v>
      </c>
      <c r="GD71" s="36">
        <f t="shared" ca="1" si="166"/>
        <v>47.026485167605102</v>
      </c>
      <c r="GE71" s="36">
        <f t="shared" ca="1" si="166"/>
        <v>46.092044686717713</v>
      </c>
      <c r="GF71" s="36">
        <f t="shared" ca="1" si="166"/>
        <v>45.779080349017192</v>
      </c>
      <c r="GG71" s="36">
        <f t="shared" ca="1" si="166"/>
        <v>47.574124200918433</v>
      </c>
      <c r="GH71" s="36">
        <f t="shared" ca="1" si="166"/>
        <v>49.225795402841882</v>
      </c>
      <c r="GI71" s="36">
        <f t="shared" ca="1" si="166"/>
        <v>48.351615606304556</v>
      </c>
      <c r="GJ71" s="36">
        <f t="shared" ca="1" si="166"/>
        <v>48.169808413259815</v>
      </c>
      <c r="GK71" s="36">
        <f t="shared" ca="1" si="166"/>
        <v>47.88358475169651</v>
      </c>
      <c r="GL71" s="36">
        <f t="shared" ca="1" si="166"/>
        <v>48.166557274471032</v>
      </c>
      <c r="GM71" s="36">
        <f t="shared" ca="1" si="166"/>
        <v>48.250861128730108</v>
      </c>
      <c r="GN71" s="36">
        <f t="shared" ca="1" si="166"/>
        <v>48.256445393717172</v>
      </c>
      <c r="GO71" s="36">
        <f t="shared" ca="1" si="166"/>
        <v>48.366378584887578</v>
      </c>
      <c r="GP71" s="36">
        <f t="shared" ca="1" si="166"/>
        <v>48.61686298693089</v>
      </c>
      <c r="GQ71" s="36">
        <f t="shared" ca="1" si="166"/>
        <v>48.911225051928348</v>
      </c>
      <c r="GR71" s="36">
        <f t="shared" ca="1" si="166"/>
        <v>48.1598686167466</v>
      </c>
      <c r="GS71" s="36">
        <f t="shared" ca="1" si="166"/>
        <v>47.811507875171571</v>
      </c>
      <c r="GT71" s="36">
        <f t="shared" ca="1" si="166"/>
        <v>47.171711161846829</v>
      </c>
      <c r="GU71" s="36">
        <f t="shared" ca="1" si="166"/>
        <v>47.288637432666967</v>
      </c>
      <c r="GV71" s="36">
        <f t="shared" ca="1" si="166"/>
        <v>47.130879438591769</v>
      </c>
      <c r="GW71" s="36">
        <f t="shared" ca="1" si="166"/>
        <v>46.43221349896767</v>
      </c>
      <c r="GX71" s="36">
        <f t="shared" ca="1" si="166"/>
        <v>46.343564909335313</v>
      </c>
      <c r="GY71" s="36">
        <f t="shared" ca="1" si="166"/>
        <v>45.925242016091417</v>
      </c>
      <c r="GZ71" s="36">
        <f t="shared" ca="1" si="166"/>
        <v>45.803693685538555</v>
      </c>
      <c r="HA71" s="36">
        <f t="shared" ca="1" si="166"/>
        <v>45.885060989724984</v>
      </c>
      <c r="HB71" s="36">
        <f t="shared" ca="1" si="166"/>
        <v>45.989297423230539</v>
      </c>
      <c r="HC71" s="36">
        <f t="shared" ca="1" si="166"/>
        <v>46.212987834131987</v>
      </c>
      <c r="HD71" s="36">
        <f t="shared" ca="1" si="166"/>
        <v>45.827296976629086</v>
      </c>
      <c r="HE71" s="36">
        <f t="shared" ca="1" si="166"/>
        <v>45.43934217436459</v>
      </c>
      <c r="HF71" s="36">
        <f t="shared" ca="1" si="166"/>
        <v>44.749239051703043</v>
      </c>
      <c r="HG71" s="36">
        <f t="shared" ca="1" si="166"/>
        <v>44.78579481016768</v>
      </c>
      <c r="HH71" s="36">
        <f t="shared" ca="1" si="166"/>
        <v>43.363850819706364</v>
      </c>
      <c r="HI71" s="36">
        <f t="shared" ca="1" si="170"/>
        <v>43.548479439552146</v>
      </c>
      <c r="HJ71" s="36">
        <f t="shared" ca="1" si="170"/>
        <v>44.392379807450006</v>
      </c>
      <c r="HK71" s="36">
        <f t="shared" ca="1" si="170"/>
        <v>44.130423616781748</v>
      </c>
      <c r="HL71" s="36">
        <f t="shared" ca="1" si="170"/>
        <v>44.420935411282315</v>
      </c>
      <c r="HM71" s="36">
        <f t="shared" ca="1" si="170"/>
        <v>44.413312370149868</v>
      </c>
      <c r="HN71" s="36">
        <f t="shared" ca="1" si="170"/>
        <v>44.307697343570226</v>
      </c>
      <c r="HO71" s="36">
        <f t="shared" ca="1" si="170"/>
        <v>44.867524371730298</v>
      </c>
      <c r="HP71" s="36">
        <f t="shared" ca="1" si="170"/>
        <v>43.509173512105114</v>
      </c>
      <c r="HQ71" s="36">
        <f t="shared" ca="1" si="170"/>
        <v>43.311732732799641</v>
      </c>
      <c r="HR71" s="36">
        <f t="shared" ca="1" si="170"/>
        <v>43.743247491267766</v>
      </c>
      <c r="HS71" s="36">
        <f t="shared" ca="1" si="170"/>
        <v>43.824376976793076</v>
      </c>
      <c r="HT71" s="36">
        <f t="shared" ca="1" si="170"/>
        <v>43.786362052906995</v>
      </c>
      <c r="HU71" s="36">
        <f t="shared" ca="1" si="157"/>
        <v>44.257115229776325</v>
      </c>
      <c r="HV71" s="36">
        <f t="shared" ca="1" si="157"/>
        <v>44.547781108103614</v>
      </c>
      <c r="HW71" s="36">
        <f t="shared" ca="1" si="157"/>
        <v>44.870961420878523</v>
      </c>
      <c r="HX71" s="36">
        <f t="shared" ca="1" si="157"/>
        <v>44.581115970748499</v>
      </c>
      <c r="HY71" s="36">
        <f t="shared" ca="1" si="157"/>
        <v>43.929642794908162</v>
      </c>
      <c r="HZ71" s="36">
        <f t="shared" ca="1" si="157"/>
        <v>43.437942108411654</v>
      </c>
      <c r="IA71" s="36">
        <f t="shared" ca="1" si="157"/>
        <v>43.626016743326048</v>
      </c>
      <c r="IB71" s="36">
        <f t="shared" ca="1" si="157"/>
        <v>43.707594493328322</v>
      </c>
      <c r="IC71" s="36">
        <f t="shared" ca="1" si="157"/>
        <v>43.640801927472587</v>
      </c>
      <c r="ID71" s="36">
        <f t="shared" ca="1" si="157"/>
        <v>43.933453062451377</v>
      </c>
      <c r="IE71" s="36">
        <f t="shared" ca="1" si="157"/>
        <v>44.615918246193019</v>
      </c>
      <c r="IF71" s="36">
        <f t="shared" ca="1" si="157"/>
        <v>44.114482314669189</v>
      </c>
      <c r="IG71" s="36">
        <f t="shared" ca="1" si="157"/>
        <v>43.872159909914714</v>
      </c>
      <c r="IH71" s="36">
        <f t="shared" ca="1" si="157"/>
        <v>44.037670751787608</v>
      </c>
      <c r="II71" s="36">
        <f t="shared" ca="1" si="157"/>
        <v>44.264635211598254</v>
      </c>
      <c r="IJ71" s="36">
        <f t="shared" ca="1" si="157"/>
        <v>44.582161234513237</v>
      </c>
      <c r="IK71" s="36">
        <f t="shared" ca="1" si="157"/>
        <v>45.269292287067593</v>
      </c>
      <c r="IL71" s="36">
        <f t="shared" ca="1" si="157"/>
        <v>45.580492105695598</v>
      </c>
      <c r="IM71" s="36">
        <f t="shared" ca="1" si="157"/>
        <v>45.17953533224177</v>
      </c>
      <c r="IN71" s="36">
        <f t="shared" ca="1" si="157"/>
        <v>45.651173738314135</v>
      </c>
      <c r="IO71" s="36">
        <f t="shared" ca="1" si="157"/>
        <v>46.531021437849461</v>
      </c>
      <c r="IP71" s="36">
        <f t="shared" ca="1" si="157"/>
        <v>46.31233172587266</v>
      </c>
      <c r="IQ71" s="36">
        <f t="shared" ca="1" si="157"/>
        <v>46.627339461383364</v>
      </c>
      <c r="IR71" s="36">
        <f t="shared" ca="1" si="157"/>
        <v>46.316013272423632</v>
      </c>
      <c r="IS71" s="36">
        <f t="shared" ca="1" si="157"/>
        <v>47.01324873146612</v>
      </c>
      <c r="IT71" s="36">
        <f t="shared" ca="1" si="157"/>
        <v>47.373379065702515</v>
      </c>
      <c r="IU71" s="36">
        <f t="shared" ca="1" si="157"/>
        <v>47.873803290312125</v>
      </c>
    </row>
    <row r="72" spans="1:255" x14ac:dyDescent="0.2">
      <c r="A72" s="36"/>
      <c r="B72">
        <v>62</v>
      </c>
      <c r="C72" s="36">
        <v>50</v>
      </c>
      <c r="D72" s="36">
        <f t="shared" ca="1" si="14"/>
        <v>49.807511275381536</v>
      </c>
      <c r="E72" s="36">
        <f t="shared" ca="1" si="14"/>
        <v>50.111128769592433</v>
      </c>
      <c r="F72" s="36">
        <f t="shared" ca="1" si="171"/>
        <v>50.692162323797085</v>
      </c>
      <c r="G72" s="36">
        <f t="shared" ca="1" si="171"/>
        <v>49.948861599271105</v>
      </c>
      <c r="H72" s="36">
        <f t="shared" ca="1" si="171"/>
        <v>50.493878875207962</v>
      </c>
      <c r="I72" s="36">
        <f t="shared" ca="1" si="171"/>
        <v>49.993785609417543</v>
      </c>
      <c r="J72" s="36">
        <f t="shared" ca="1" si="171"/>
        <v>49.671340689966385</v>
      </c>
      <c r="K72" s="36">
        <f t="shared" ca="1" si="171"/>
        <v>49.942446715895102</v>
      </c>
      <c r="L72" s="36">
        <f t="shared" ca="1" si="171"/>
        <v>49.948551374346991</v>
      </c>
      <c r="M72" s="36">
        <f t="shared" ca="1" si="171"/>
        <v>49.628071864515668</v>
      </c>
      <c r="N72" s="36">
        <f t="shared" ca="1" si="171"/>
        <v>49.597843966606881</v>
      </c>
      <c r="O72" s="36">
        <f t="shared" ca="1" si="171"/>
        <v>50.123212807035102</v>
      </c>
      <c r="P72" s="36">
        <f t="shared" ca="1" si="171"/>
        <v>50.891641123056452</v>
      </c>
      <c r="Q72" s="36">
        <f t="shared" ca="1" si="171"/>
        <v>51.626169263729857</v>
      </c>
      <c r="R72" s="36">
        <f t="shared" ca="1" si="171"/>
        <v>51.489181613216573</v>
      </c>
      <c r="S72" s="36">
        <f t="shared" ca="1" si="171"/>
        <v>51.039401765172137</v>
      </c>
      <c r="T72" s="36">
        <f t="shared" ca="1" si="171"/>
        <v>50.347145042182852</v>
      </c>
      <c r="U72" s="36">
        <f t="shared" ca="1" si="171"/>
        <v>50.066599623489317</v>
      </c>
      <c r="V72" s="36">
        <f t="shared" ca="1" si="171"/>
        <v>50.469115543331043</v>
      </c>
      <c r="W72" s="36">
        <f t="shared" ca="1" si="171"/>
        <v>50.523621731940473</v>
      </c>
      <c r="X72" s="36">
        <f t="shared" ca="1" si="171"/>
        <v>50.218667739808758</v>
      </c>
      <c r="Y72" s="36">
        <f t="shared" ca="1" si="171"/>
        <v>49.298038088563686</v>
      </c>
      <c r="Z72" s="36">
        <f t="shared" ca="1" si="171"/>
        <v>49.511454095320566</v>
      </c>
      <c r="AA72" s="36">
        <f t="shared" ca="1" si="171"/>
        <v>49.467994004743296</v>
      </c>
      <c r="AB72" s="36">
        <f t="shared" ca="1" si="171"/>
        <v>49.511176209348022</v>
      </c>
      <c r="AC72" s="36">
        <f t="shared" ca="1" si="171"/>
        <v>50.252799981995103</v>
      </c>
      <c r="AD72" s="36">
        <f t="shared" ca="1" si="171"/>
        <v>50.351408329492195</v>
      </c>
      <c r="AE72" s="36">
        <f t="shared" ca="1" si="171"/>
        <v>50.639356931252451</v>
      </c>
      <c r="AF72" s="36">
        <f t="shared" ca="1" si="171"/>
        <v>51.42978380797274</v>
      </c>
      <c r="AG72" s="36">
        <f t="shared" ca="1" si="171"/>
        <v>50.889725744326327</v>
      </c>
      <c r="AH72" s="36">
        <f t="shared" ca="1" si="171"/>
        <v>50.09308589266044</v>
      </c>
      <c r="AI72" s="36">
        <f t="shared" ca="1" si="171"/>
        <v>49.400552700059791</v>
      </c>
      <c r="AJ72" s="36">
        <f t="shared" ca="1" si="171"/>
        <v>49.074881936307037</v>
      </c>
      <c r="AK72" s="36">
        <f t="shared" ca="1" si="171"/>
        <v>49.34068530515794</v>
      </c>
      <c r="AL72" s="36">
        <f t="shared" ca="1" si="171"/>
        <v>49.14479643233723</v>
      </c>
      <c r="AM72" s="36">
        <f t="shared" ca="1" si="171"/>
        <v>48.980350486288131</v>
      </c>
      <c r="AN72" s="36">
        <f t="shared" ca="1" si="171"/>
        <v>49.484944930705964</v>
      </c>
      <c r="AO72" s="36">
        <f t="shared" ca="1" si="171"/>
        <v>49.397182987574631</v>
      </c>
      <c r="AP72" s="36">
        <f t="shared" ca="1" si="171"/>
        <v>49.91450494305019</v>
      </c>
      <c r="AQ72" s="36">
        <f t="shared" ca="1" si="171"/>
        <v>48.783334935966458</v>
      </c>
      <c r="AR72" s="36">
        <f t="shared" ca="1" si="171"/>
        <v>48.725737183609382</v>
      </c>
      <c r="AS72" s="36">
        <f t="shared" ca="1" si="171"/>
        <v>49.090313314572562</v>
      </c>
      <c r="AT72" s="36">
        <f t="shared" ca="1" si="171"/>
        <v>48.460618885529215</v>
      </c>
      <c r="AU72" s="36">
        <f t="shared" ca="1" si="171"/>
        <v>48.446938593197395</v>
      </c>
      <c r="AV72" s="36">
        <f t="shared" ca="1" si="171"/>
        <v>48.980632696489771</v>
      </c>
      <c r="AW72" s="36">
        <f t="shared" ca="1" si="171"/>
        <v>48.485512959216663</v>
      </c>
      <c r="AX72" s="36">
        <f t="shared" ca="1" si="171"/>
        <v>48.126734186955964</v>
      </c>
      <c r="AY72" s="36">
        <f t="shared" ca="1" si="171"/>
        <v>47.79737573409421</v>
      </c>
      <c r="AZ72" s="36">
        <f t="shared" ca="1" si="171"/>
        <v>47.461976010156214</v>
      </c>
      <c r="BA72" s="36">
        <f t="shared" ca="1" si="171"/>
        <v>46.364411858134652</v>
      </c>
      <c r="BB72" s="36">
        <f t="shared" ca="1" si="171"/>
        <v>46.816499965642677</v>
      </c>
      <c r="BC72" s="36">
        <f t="shared" ca="1" si="171"/>
        <v>46.717144798586524</v>
      </c>
      <c r="BD72" s="36">
        <f t="shared" ca="1" si="171"/>
        <v>46.082100024984072</v>
      </c>
      <c r="BE72" s="36">
        <f t="shared" ca="1" si="171"/>
        <v>45.896164548833823</v>
      </c>
      <c r="BF72" s="36">
        <f t="shared" ca="1" si="171"/>
        <v>45.158484869919583</v>
      </c>
      <c r="BG72" s="36">
        <f t="shared" ca="1" si="171"/>
        <v>45.488161179996105</v>
      </c>
      <c r="BH72" s="36">
        <f t="shared" ca="1" si="171"/>
        <v>45.073322136785869</v>
      </c>
      <c r="BI72" s="36">
        <f t="shared" ca="1" si="171"/>
        <v>45.099237882310277</v>
      </c>
      <c r="BJ72" s="36">
        <f t="shared" ca="1" si="171"/>
        <v>45.462285836568746</v>
      </c>
      <c r="BK72" s="36">
        <f t="shared" ca="1" si="171"/>
        <v>45.570925613010893</v>
      </c>
      <c r="BL72" s="36">
        <f t="shared" ca="1" si="171"/>
        <v>46.549964577840754</v>
      </c>
      <c r="BM72" s="36">
        <f t="shared" ca="1" si="171"/>
        <v>47.151241491947907</v>
      </c>
      <c r="BN72" s="36">
        <f t="shared" ca="1" si="171"/>
        <v>48.228345986292254</v>
      </c>
      <c r="BO72" s="36">
        <f t="shared" ca="1" si="171"/>
        <v>49.14953432850281</v>
      </c>
      <c r="BP72" s="36">
        <f t="shared" ca="1" si="171"/>
        <v>49.340587290376391</v>
      </c>
      <c r="BQ72" s="36">
        <f t="shared" ca="1" si="171"/>
        <v>49.88059154493542</v>
      </c>
      <c r="BR72" s="36">
        <f t="shared" ca="1" si="168"/>
        <v>49.468382668268987</v>
      </c>
      <c r="BS72" s="36">
        <f t="shared" ca="1" si="168"/>
        <v>49.159101532131167</v>
      </c>
      <c r="BT72" s="36">
        <f t="shared" ca="1" si="168"/>
        <v>49.36398918825077</v>
      </c>
      <c r="BU72" s="36">
        <f t="shared" ca="1" si="168"/>
        <v>50.237266686246862</v>
      </c>
      <c r="BV72" s="36">
        <f t="shared" ca="1" si="168"/>
        <v>51.412996324021123</v>
      </c>
      <c r="BW72" s="36">
        <f t="shared" ca="1" si="168"/>
        <v>50.75219888534108</v>
      </c>
      <c r="BX72" s="36">
        <f t="shared" ca="1" si="168"/>
        <v>51.563401211584271</v>
      </c>
      <c r="BY72" s="36">
        <f t="shared" ca="1" si="168"/>
        <v>51.926880080421327</v>
      </c>
      <c r="BZ72" s="36">
        <f t="shared" ca="1" si="168"/>
        <v>51.397604096273675</v>
      </c>
      <c r="CA72" s="36">
        <f t="shared" ca="1" si="168"/>
        <v>52.030619525262033</v>
      </c>
      <c r="CB72" s="36">
        <f t="shared" ca="1" si="168"/>
        <v>52.232936897077884</v>
      </c>
      <c r="CC72" s="36">
        <f t="shared" ca="1" si="168"/>
        <v>51.135730340111969</v>
      </c>
      <c r="CD72" s="36">
        <f t="shared" ca="1" si="168"/>
        <v>51.96312274651153</v>
      </c>
      <c r="CE72" s="36">
        <f t="shared" ca="1" si="168"/>
        <v>51.417566349329761</v>
      </c>
      <c r="CF72" s="36">
        <f t="shared" ca="1" si="168"/>
        <v>50.190993270197083</v>
      </c>
      <c r="CG72" s="36">
        <f t="shared" ca="1" si="168"/>
        <v>50.169304253156412</v>
      </c>
      <c r="CH72" s="36">
        <f t="shared" ca="1" si="168"/>
        <v>50.890472443688878</v>
      </c>
      <c r="CI72" s="36">
        <f t="shared" ca="1" si="168"/>
        <v>51.040690934433371</v>
      </c>
      <c r="CJ72" s="36">
        <f t="shared" ca="1" si="168"/>
        <v>51.532137875319826</v>
      </c>
      <c r="CK72" s="36">
        <f t="shared" ca="1" si="168"/>
        <v>51.319554635126032</v>
      </c>
      <c r="CL72" s="36">
        <f t="shared" ca="1" si="168"/>
        <v>52.300611027777954</v>
      </c>
      <c r="CM72" s="36">
        <f t="shared" ca="1" si="168"/>
        <v>53.032858934163961</v>
      </c>
      <c r="CN72" s="36">
        <f t="shared" ca="1" si="168"/>
        <v>52.765010926625934</v>
      </c>
      <c r="CO72" s="36">
        <f t="shared" ca="1" si="168"/>
        <v>53.503431111604044</v>
      </c>
      <c r="CP72" s="36">
        <f t="shared" ca="1" si="168"/>
        <v>54.573338555056758</v>
      </c>
      <c r="CQ72" s="36">
        <f t="shared" ca="1" si="168"/>
        <v>54.541514871968246</v>
      </c>
      <c r="CR72" s="36">
        <f t="shared" ca="1" si="168"/>
        <v>53.526719161353356</v>
      </c>
      <c r="CS72" s="36">
        <f t="shared" ca="1" si="168"/>
        <v>52.739745315986795</v>
      </c>
      <c r="CT72" s="36">
        <f t="shared" ca="1" si="168"/>
        <v>53.103676353570791</v>
      </c>
      <c r="CU72" s="36">
        <f t="shared" ca="1" si="168"/>
        <v>53.083059429176139</v>
      </c>
      <c r="CV72" s="36">
        <f t="shared" ca="1" si="168"/>
        <v>52.20703347571542</v>
      </c>
      <c r="CW72" s="36">
        <f t="shared" ca="1" si="168"/>
        <v>52.213692053583557</v>
      </c>
      <c r="CX72" s="36">
        <f t="shared" ca="1" si="168"/>
        <v>52.624648621508406</v>
      </c>
      <c r="CY72" s="36">
        <f t="shared" ca="1" si="168"/>
        <v>52.023797159671965</v>
      </c>
      <c r="CZ72" s="36">
        <f t="shared" ca="1" si="168"/>
        <v>51.495311094272203</v>
      </c>
      <c r="DA72" s="36">
        <f t="shared" ca="1" si="168"/>
        <v>50.665331309669973</v>
      </c>
      <c r="DB72" s="36">
        <f t="shared" ca="1" si="168"/>
        <v>51.321478112434356</v>
      </c>
      <c r="DC72" s="36">
        <f t="shared" ca="1" si="168"/>
        <v>52.03861568218916</v>
      </c>
      <c r="DD72" s="36">
        <f t="shared" ca="1" si="168"/>
        <v>51.633158196231655</v>
      </c>
      <c r="DE72" s="36">
        <f t="shared" ca="1" si="168"/>
        <v>52.012943970406134</v>
      </c>
      <c r="DF72" s="36">
        <f t="shared" ca="1" si="168"/>
        <v>51.72563267797964</v>
      </c>
      <c r="DG72" s="36">
        <f t="shared" ca="1" si="168"/>
        <v>51.395554978375657</v>
      </c>
      <c r="DH72" s="36">
        <f t="shared" ca="1" si="168"/>
        <v>51.814938855428075</v>
      </c>
      <c r="DI72" s="36">
        <f t="shared" ca="1" si="168"/>
        <v>52.08927776179867</v>
      </c>
      <c r="DJ72" s="36">
        <f t="shared" ca="1" si="168"/>
        <v>52.404023117877813</v>
      </c>
      <c r="DK72" s="36">
        <f t="shared" ca="1" si="168"/>
        <v>51.38206396195713</v>
      </c>
      <c r="DL72" s="36">
        <f t="shared" ca="1" si="168"/>
        <v>50.640970693336463</v>
      </c>
      <c r="DM72" s="36">
        <f t="shared" ca="1" si="168"/>
        <v>50.503439832847945</v>
      </c>
      <c r="DN72" s="36">
        <f t="shared" ca="1" si="168"/>
        <v>49.420024803547086</v>
      </c>
      <c r="DO72" s="36">
        <f t="shared" ca="1" si="168"/>
        <v>50.249881038285075</v>
      </c>
      <c r="DP72" s="36">
        <f t="shared" ca="1" si="168"/>
        <v>50.077742300239784</v>
      </c>
      <c r="DQ72" s="36">
        <f t="shared" ca="1" si="168"/>
        <v>51.353309940629721</v>
      </c>
      <c r="DR72" s="36">
        <f t="shared" ca="1" si="168"/>
        <v>50.995962315976655</v>
      </c>
      <c r="DS72" s="36">
        <f t="shared" ca="1" si="168"/>
        <v>51.11408914547895</v>
      </c>
      <c r="DT72" s="36">
        <f t="shared" ca="1" si="168"/>
        <v>50.095582388256197</v>
      </c>
      <c r="DU72" s="36">
        <f t="shared" ca="1" si="168"/>
        <v>50.08188317270362</v>
      </c>
      <c r="DV72" s="36">
        <f t="shared" ca="1" si="168"/>
        <v>50.793111036063763</v>
      </c>
      <c r="DW72" s="36">
        <f t="shared" ca="1" si="168"/>
        <v>50.912685807628179</v>
      </c>
      <c r="DX72" s="36">
        <f t="shared" ca="1" si="168"/>
        <v>50.829720416452311</v>
      </c>
      <c r="DY72" s="36">
        <f t="shared" ca="1" si="168"/>
        <v>51.442508355904039</v>
      </c>
      <c r="DZ72" s="36">
        <f t="shared" ca="1" si="168"/>
        <v>51.494799090349176</v>
      </c>
      <c r="EA72" s="36">
        <f t="shared" ca="1" si="168"/>
        <v>50.947939318274599</v>
      </c>
      <c r="EB72" s="36">
        <f t="shared" ca="1" si="168"/>
        <v>51.32356996894174</v>
      </c>
      <c r="EC72" s="36">
        <f t="shared" ca="1" si="173"/>
        <v>50.234652414849108</v>
      </c>
      <c r="ED72" s="36">
        <f t="shared" ca="1" si="173"/>
        <v>48.733929064357945</v>
      </c>
      <c r="EE72" s="36">
        <f t="shared" ca="1" si="173"/>
        <v>48.26902731468509</v>
      </c>
      <c r="EF72" s="36">
        <f t="shared" ca="1" si="173"/>
        <v>49.006815947562593</v>
      </c>
      <c r="EG72" s="36">
        <f t="shared" ca="1" si="173"/>
        <v>48.809039520560155</v>
      </c>
      <c r="EH72" s="36">
        <f t="shared" ca="1" si="173"/>
        <v>48.501144603159801</v>
      </c>
      <c r="EI72" s="36">
        <f t="shared" ca="1" si="173"/>
        <v>47.963388840246495</v>
      </c>
      <c r="EJ72" s="36">
        <f t="shared" ca="1" si="173"/>
        <v>46.727579049749217</v>
      </c>
      <c r="EK72" s="36">
        <f t="shared" ca="1" si="173"/>
        <v>46.448906429036818</v>
      </c>
      <c r="EL72" s="36">
        <f t="shared" ca="1" si="173"/>
        <v>46.460890817131421</v>
      </c>
      <c r="EM72" s="36">
        <f t="shared" ca="1" si="173"/>
        <v>46.659673884937561</v>
      </c>
      <c r="EN72" s="36">
        <f t="shared" ca="1" si="173"/>
        <v>46.392955033728938</v>
      </c>
      <c r="EO72" s="36">
        <f t="shared" ca="1" si="173"/>
        <v>46.517436944441862</v>
      </c>
      <c r="EP72" s="36">
        <f t="shared" ca="1" si="173"/>
        <v>46.388454481153062</v>
      </c>
      <c r="EQ72" s="36">
        <f t="shared" ca="1" si="173"/>
        <v>44.693544772771155</v>
      </c>
      <c r="ER72" s="36">
        <f t="shared" ca="1" si="173"/>
        <v>44.256469921930389</v>
      </c>
      <c r="ES72" s="36">
        <f t="shared" ca="1" si="173"/>
        <v>43.693291340065286</v>
      </c>
      <c r="ET72" s="36">
        <f t="shared" ca="1" si="173"/>
        <v>43.464491483029306</v>
      </c>
      <c r="EU72" s="36">
        <f t="shared" ca="1" si="173"/>
        <v>43.523685837735094</v>
      </c>
      <c r="EV72" s="36">
        <f t="shared" ca="1" si="173"/>
        <v>44.26593391795906</v>
      </c>
      <c r="EW72" s="36">
        <f t="shared" ref="EW72" ca="1" si="175">EV72*EXP(($B$3-$B$4^2/2)*1+$B$4*_xlfn.NORM.S.INV(RAND()))</f>
        <v>45.642310149271907</v>
      </c>
      <c r="EX72" s="36">
        <f t="shared" ca="1" si="166"/>
        <v>45.492933480493441</v>
      </c>
      <c r="EY72" s="36">
        <f t="shared" ca="1" si="166"/>
        <v>45.56050292547296</v>
      </c>
      <c r="EZ72" s="36">
        <f t="shared" ref="EZ72:HK73" ca="1" si="176">EY72*EXP(($B$3-$B$4^2/2)*1+$B$4*_xlfn.NORM.S.INV(RAND()))</f>
        <v>45.187865609489045</v>
      </c>
      <c r="FA72" s="36">
        <f t="shared" ca="1" si="176"/>
        <v>44.720823594469707</v>
      </c>
      <c r="FB72" s="36">
        <f t="shared" ca="1" si="176"/>
        <v>44.866129216444229</v>
      </c>
      <c r="FC72" s="36">
        <f t="shared" ca="1" si="176"/>
        <v>44.607605143793769</v>
      </c>
      <c r="FD72" s="36">
        <f t="shared" ca="1" si="176"/>
        <v>44.96367102148367</v>
      </c>
      <c r="FE72" s="36">
        <f t="shared" ca="1" si="176"/>
        <v>45.401543550763058</v>
      </c>
      <c r="FF72" s="36">
        <f t="shared" ca="1" si="176"/>
        <v>45.593883757120949</v>
      </c>
      <c r="FG72" s="36">
        <f t="shared" ca="1" si="176"/>
        <v>44.602255030871781</v>
      </c>
      <c r="FH72" s="36">
        <f t="shared" ca="1" si="176"/>
        <v>44.728730862024754</v>
      </c>
      <c r="FI72" s="36">
        <f t="shared" ca="1" si="176"/>
        <v>44.727298609636279</v>
      </c>
      <c r="FJ72" s="36">
        <f t="shared" ca="1" si="176"/>
        <v>44.623599070203483</v>
      </c>
      <c r="FK72" s="36">
        <f t="shared" ca="1" si="176"/>
        <v>44.467827726048057</v>
      </c>
      <c r="FL72" s="36">
        <f t="shared" ca="1" si="176"/>
        <v>44.805755409382577</v>
      </c>
      <c r="FM72" s="36">
        <f t="shared" ca="1" si="176"/>
        <v>44.98391977340367</v>
      </c>
      <c r="FN72" s="36">
        <f t="shared" ca="1" si="176"/>
        <v>44.505937739481361</v>
      </c>
      <c r="FO72" s="36">
        <f t="shared" ca="1" si="176"/>
        <v>44.388149332859825</v>
      </c>
      <c r="FP72" s="36">
        <f t="shared" ca="1" si="176"/>
        <v>43.963309518727087</v>
      </c>
      <c r="FQ72" s="36">
        <f t="shared" ca="1" si="176"/>
        <v>44.284799390377309</v>
      </c>
      <c r="FR72" s="36">
        <f t="shared" ca="1" si="176"/>
        <v>43.655880431326963</v>
      </c>
      <c r="FS72" s="36">
        <f t="shared" ca="1" si="176"/>
        <v>44.555281221816877</v>
      </c>
      <c r="FT72" s="36">
        <f t="shared" ca="1" si="176"/>
        <v>44.917037130183012</v>
      </c>
      <c r="FU72" s="36">
        <f t="shared" ca="1" si="176"/>
        <v>44.535053048749795</v>
      </c>
      <c r="FV72" s="36">
        <f t="shared" ca="1" si="176"/>
        <v>43.735520452757108</v>
      </c>
      <c r="FW72" s="36">
        <f t="shared" ca="1" si="176"/>
        <v>44.494282007775702</v>
      </c>
      <c r="FX72" s="36">
        <f t="shared" ca="1" si="176"/>
        <v>43.529763666537129</v>
      </c>
      <c r="FY72" s="36">
        <f t="shared" ca="1" si="176"/>
        <v>43.644693554076696</v>
      </c>
      <c r="FZ72" s="36">
        <f t="shared" ca="1" si="176"/>
        <v>44.367267210142444</v>
      </c>
      <c r="GA72" s="36">
        <f t="shared" ca="1" si="176"/>
        <v>43.372987459959589</v>
      </c>
      <c r="GB72" s="36">
        <f t="shared" ca="1" si="176"/>
        <v>43.721106462756389</v>
      </c>
      <c r="GC72" s="36">
        <f t="shared" ca="1" si="176"/>
        <v>43.121994753686835</v>
      </c>
      <c r="GD72" s="36">
        <f t="shared" ca="1" si="176"/>
        <v>43.194186995168288</v>
      </c>
      <c r="GE72" s="36">
        <f t="shared" ca="1" si="176"/>
        <v>43.710770658095335</v>
      </c>
      <c r="GF72" s="36">
        <f t="shared" ca="1" si="176"/>
        <v>43.661453744022872</v>
      </c>
      <c r="GG72" s="36">
        <f t="shared" ca="1" si="176"/>
        <v>43.93555644944945</v>
      </c>
      <c r="GH72" s="36">
        <f t="shared" ca="1" si="176"/>
        <v>44.550416759626543</v>
      </c>
      <c r="GI72" s="36">
        <f t="shared" ca="1" si="176"/>
        <v>45.263239608761879</v>
      </c>
      <c r="GJ72" s="36">
        <f t="shared" ca="1" si="176"/>
        <v>44.934331262967483</v>
      </c>
      <c r="GK72" s="36">
        <f t="shared" ca="1" si="176"/>
        <v>44.933299020246935</v>
      </c>
      <c r="GL72" s="36">
        <f t="shared" ca="1" si="176"/>
        <v>43.790703118080309</v>
      </c>
      <c r="GM72" s="36">
        <f t="shared" ca="1" si="176"/>
        <v>42.352517270445091</v>
      </c>
      <c r="GN72" s="36">
        <f t="shared" ca="1" si="176"/>
        <v>42.125577166213731</v>
      </c>
      <c r="GO72" s="36">
        <f t="shared" ca="1" si="176"/>
        <v>42.435917170345618</v>
      </c>
      <c r="GP72" s="36">
        <f t="shared" ca="1" si="176"/>
        <v>42.109253870380165</v>
      </c>
      <c r="GQ72" s="36">
        <f t="shared" ca="1" si="176"/>
        <v>42.765950899350514</v>
      </c>
      <c r="GR72" s="36">
        <f t="shared" ca="1" si="176"/>
        <v>42.557800129051294</v>
      </c>
      <c r="GS72" s="36">
        <f t="shared" ca="1" si="176"/>
        <v>43.011916431933948</v>
      </c>
      <c r="GT72" s="36">
        <f t="shared" ca="1" si="176"/>
        <v>43.344738702625371</v>
      </c>
      <c r="GU72" s="36">
        <f t="shared" ca="1" si="176"/>
        <v>43.221281091302721</v>
      </c>
      <c r="GV72" s="36">
        <f t="shared" ca="1" si="176"/>
        <v>42.613287864962309</v>
      </c>
      <c r="GW72" s="36">
        <f t="shared" ca="1" si="176"/>
        <v>43.303087014548836</v>
      </c>
      <c r="GX72" s="36">
        <f t="shared" ca="1" si="176"/>
        <v>44.270943202253022</v>
      </c>
      <c r="GY72" s="36">
        <f t="shared" ca="1" si="176"/>
        <v>43.370537205774014</v>
      </c>
      <c r="GZ72" s="36">
        <f t="shared" ca="1" si="176"/>
        <v>42.672271044636126</v>
      </c>
      <c r="HA72" s="36">
        <f t="shared" ca="1" si="176"/>
        <v>43.00241119450299</v>
      </c>
      <c r="HB72" s="36">
        <f t="shared" ca="1" si="176"/>
        <v>43.436818974146874</v>
      </c>
      <c r="HC72" s="36">
        <f t="shared" ca="1" si="176"/>
        <v>43.562128056845864</v>
      </c>
      <c r="HD72" s="36">
        <f t="shared" ca="1" si="176"/>
        <v>43.584600524170348</v>
      </c>
      <c r="HE72" s="36">
        <f t="shared" ca="1" si="176"/>
        <v>43.477373513531575</v>
      </c>
      <c r="HF72" s="36">
        <f t="shared" ca="1" si="176"/>
        <v>44.017062594298125</v>
      </c>
      <c r="HG72" s="36">
        <f t="shared" ca="1" si="176"/>
        <v>43.54121376799246</v>
      </c>
      <c r="HH72" s="36">
        <f t="shared" ca="1" si="176"/>
        <v>43.253186224942183</v>
      </c>
      <c r="HI72" s="36">
        <f t="shared" ca="1" si="176"/>
        <v>43.762219103184933</v>
      </c>
      <c r="HJ72" s="36">
        <f t="shared" ca="1" si="176"/>
        <v>44.39140751266396</v>
      </c>
      <c r="HK72" s="36">
        <f t="shared" ca="1" si="176"/>
        <v>44.709173436694869</v>
      </c>
      <c r="HL72" s="36">
        <f t="shared" ref="HJ72:HY87" ca="1" si="177">HK72*EXP(($B$3-$B$4^2/2)*1+$B$4*_xlfn.NORM.S.INV(RAND()))</f>
        <v>44.537270637334188</v>
      </c>
      <c r="HM72" s="36">
        <f t="shared" ca="1" si="177"/>
        <v>44.340004005341761</v>
      </c>
      <c r="HN72" s="36">
        <f t="shared" ca="1" si="177"/>
        <v>44.746348094733406</v>
      </c>
      <c r="HO72" s="36">
        <f t="shared" ca="1" si="177"/>
        <v>44.256512418612139</v>
      </c>
      <c r="HP72" s="36">
        <f t="shared" ca="1" si="177"/>
        <v>45.180303283982866</v>
      </c>
      <c r="HQ72" s="36">
        <f t="shared" ca="1" si="177"/>
        <v>46.435211611795161</v>
      </c>
      <c r="HR72" s="36">
        <f t="shared" ca="1" si="177"/>
        <v>46.236427335186846</v>
      </c>
      <c r="HS72" s="36">
        <f t="shared" ca="1" si="177"/>
        <v>46.118553246740241</v>
      </c>
      <c r="HT72" s="36">
        <f t="shared" ca="1" si="177"/>
        <v>46.034097538845828</v>
      </c>
      <c r="HU72" s="36">
        <f t="shared" ca="1" si="157"/>
        <v>46.543888092976005</v>
      </c>
      <c r="HV72" s="36">
        <f t="shared" ca="1" si="157"/>
        <v>47.045168469544997</v>
      </c>
      <c r="HW72" s="36">
        <f t="shared" ca="1" si="157"/>
        <v>47.072876643249941</v>
      </c>
      <c r="HX72" s="36">
        <f t="shared" ca="1" si="157"/>
        <v>46.439890133992606</v>
      </c>
      <c r="HY72" s="36">
        <f t="shared" ca="1" si="157"/>
        <v>47.366682028414026</v>
      </c>
      <c r="HZ72" s="36">
        <f t="shared" ca="1" si="157"/>
        <v>47.145087691768566</v>
      </c>
      <c r="IA72" s="36">
        <f t="shared" ca="1" si="157"/>
        <v>47.379564703127954</v>
      </c>
      <c r="IB72" s="36">
        <f t="shared" ca="1" si="157"/>
        <v>49.017471595245134</v>
      </c>
      <c r="IC72" s="36">
        <f t="shared" ca="1" si="157"/>
        <v>47.782100073156414</v>
      </c>
      <c r="ID72" s="36">
        <f t="shared" ca="1" si="157"/>
        <v>48.483455429962937</v>
      </c>
      <c r="IE72" s="36">
        <f t="shared" ca="1" si="157"/>
        <v>49.480624896703375</v>
      </c>
      <c r="IF72" s="36">
        <f t="shared" ca="1" si="157"/>
        <v>49.75104685050038</v>
      </c>
      <c r="IG72" s="36">
        <f t="shared" ca="1" si="157"/>
        <v>50.397179958214899</v>
      </c>
      <c r="IH72" s="36">
        <f t="shared" ca="1" si="157"/>
        <v>50.729612149503033</v>
      </c>
      <c r="II72" s="36">
        <f t="shared" ca="1" si="157"/>
        <v>50.647096664926927</v>
      </c>
      <c r="IJ72" s="36">
        <f t="shared" ca="1" si="157"/>
        <v>49.974069177222063</v>
      </c>
      <c r="IK72" s="36">
        <f t="shared" ca="1" si="157"/>
        <v>49.851906619199752</v>
      </c>
      <c r="IL72" s="36">
        <f t="shared" ca="1" si="157"/>
        <v>50.45736555868875</v>
      </c>
      <c r="IM72" s="36">
        <f t="shared" ca="1" si="157"/>
        <v>51.096504373023194</v>
      </c>
      <c r="IN72" s="36">
        <f t="shared" ca="1" si="157"/>
        <v>51.004243357139053</v>
      </c>
      <c r="IO72" s="36">
        <f t="shared" ca="1" si="157"/>
        <v>52.091682745894779</v>
      </c>
      <c r="IP72" s="36">
        <f t="shared" ca="1" si="157"/>
        <v>52.558172939780896</v>
      </c>
      <c r="IQ72" s="36">
        <f t="shared" ca="1" si="157"/>
        <v>52.576827246259413</v>
      </c>
      <c r="IR72" s="36">
        <f t="shared" ca="1" si="157"/>
        <v>52.97886974283481</v>
      </c>
      <c r="IS72" s="36">
        <f t="shared" ca="1" si="157"/>
        <v>52.334355210466136</v>
      </c>
      <c r="IT72" s="36">
        <f t="shared" ca="1" si="157"/>
        <v>52.268747935556135</v>
      </c>
      <c r="IU72" s="36">
        <f t="shared" ca="1" si="157"/>
        <v>51.963096815571838</v>
      </c>
    </row>
    <row r="73" spans="1:255" x14ac:dyDescent="0.2">
      <c r="A73" s="36"/>
      <c r="B73">
        <v>63</v>
      </c>
      <c r="C73" s="36">
        <v>50</v>
      </c>
      <c r="D73" s="36">
        <f t="shared" ca="1" si="14"/>
        <v>49.54521410412206</v>
      </c>
      <c r="E73" s="36">
        <f t="shared" ca="1" si="14"/>
        <v>50.794664806517027</v>
      </c>
      <c r="F73" s="36">
        <f t="shared" ca="1" si="171"/>
        <v>51.090633503054455</v>
      </c>
      <c r="G73" s="36">
        <f t="shared" ca="1" si="171"/>
        <v>51.949582333970874</v>
      </c>
      <c r="H73" s="36">
        <f t="shared" ca="1" si="171"/>
        <v>52.563364306942354</v>
      </c>
      <c r="I73" s="36">
        <f t="shared" ca="1" si="171"/>
        <v>51.755239854430108</v>
      </c>
      <c r="J73" s="36">
        <f t="shared" ca="1" si="171"/>
        <v>51.088305970219118</v>
      </c>
      <c r="K73" s="36">
        <f t="shared" ca="1" si="171"/>
        <v>52.175112272131685</v>
      </c>
      <c r="L73" s="36">
        <f t="shared" ca="1" si="171"/>
        <v>52.389993725161453</v>
      </c>
      <c r="M73" s="36">
        <f t="shared" ca="1" si="171"/>
        <v>51.997322416713608</v>
      </c>
      <c r="N73" s="36">
        <f t="shared" ca="1" si="171"/>
        <v>52.679877481954492</v>
      </c>
      <c r="O73" s="36">
        <f t="shared" ca="1" si="171"/>
        <v>52.197091830391166</v>
      </c>
      <c r="P73" s="36">
        <f t="shared" ca="1" si="171"/>
        <v>51.724052464562817</v>
      </c>
      <c r="Q73" s="36">
        <f t="shared" ca="1" si="171"/>
        <v>51.097221229175268</v>
      </c>
      <c r="R73" s="36">
        <f t="shared" ca="1" si="171"/>
        <v>51.69069188914014</v>
      </c>
      <c r="S73" s="36">
        <f t="shared" ca="1" si="171"/>
        <v>51.211179717980947</v>
      </c>
      <c r="T73" s="36">
        <f t="shared" ca="1" si="171"/>
        <v>50.918582878273732</v>
      </c>
      <c r="U73" s="36">
        <f t="shared" ca="1" si="171"/>
        <v>50.158670281945604</v>
      </c>
      <c r="V73" s="36">
        <f t="shared" ca="1" si="171"/>
        <v>50.523087341464525</v>
      </c>
      <c r="W73" s="36">
        <f t="shared" ca="1" si="171"/>
        <v>49.729376380684172</v>
      </c>
      <c r="X73" s="36">
        <f t="shared" ca="1" si="171"/>
        <v>49.67104668951162</v>
      </c>
      <c r="Y73" s="36">
        <f t="shared" ca="1" si="171"/>
        <v>49.130600762945583</v>
      </c>
      <c r="Z73" s="36">
        <f t="shared" ca="1" si="171"/>
        <v>49.54624876782983</v>
      </c>
      <c r="AA73" s="36">
        <f t="shared" ca="1" si="171"/>
        <v>50.357062352906375</v>
      </c>
      <c r="AB73" s="36">
        <f t="shared" ca="1" si="171"/>
        <v>50.356924364335129</v>
      </c>
      <c r="AC73" s="36">
        <f t="shared" ca="1" si="171"/>
        <v>50.720227117720626</v>
      </c>
      <c r="AD73" s="36">
        <f t="shared" ca="1" si="171"/>
        <v>50.492755608791235</v>
      </c>
      <c r="AE73" s="36">
        <f t="shared" ca="1" si="171"/>
        <v>50.40975035591449</v>
      </c>
      <c r="AF73" s="36">
        <f t="shared" ca="1" si="171"/>
        <v>50.709536006370428</v>
      </c>
      <c r="AG73" s="36">
        <f t="shared" ca="1" si="171"/>
        <v>50.214455551262439</v>
      </c>
      <c r="AH73" s="36">
        <f t="shared" ca="1" si="171"/>
        <v>51.123036889887395</v>
      </c>
      <c r="AI73" s="36">
        <f t="shared" ca="1" si="171"/>
        <v>50.292412621680015</v>
      </c>
      <c r="AJ73" s="36">
        <f t="shared" ca="1" si="171"/>
        <v>49.936295359653151</v>
      </c>
      <c r="AK73" s="36">
        <f t="shared" ca="1" si="171"/>
        <v>50.166821384516169</v>
      </c>
      <c r="AL73" s="36">
        <f t="shared" ca="1" si="171"/>
        <v>50.207251935557224</v>
      </c>
      <c r="AM73" s="36">
        <f t="shared" ca="1" si="171"/>
        <v>49.813741411095769</v>
      </c>
      <c r="AN73" s="36">
        <f t="shared" ca="1" si="171"/>
        <v>50.068865725428743</v>
      </c>
      <c r="AO73" s="36">
        <f t="shared" ca="1" si="171"/>
        <v>49.427810575151028</v>
      </c>
      <c r="AP73" s="36">
        <f t="shared" ca="1" si="171"/>
        <v>49.486269456234439</v>
      </c>
      <c r="AQ73" s="36">
        <f t="shared" ca="1" si="171"/>
        <v>49.815200814780468</v>
      </c>
      <c r="AR73" s="36">
        <f t="shared" ca="1" si="171"/>
        <v>48.238293927940695</v>
      </c>
      <c r="AS73" s="36">
        <f t="shared" ca="1" si="171"/>
        <v>47.882991541624513</v>
      </c>
      <c r="AT73" s="36">
        <f t="shared" ca="1" si="171"/>
        <v>48.170431673054154</v>
      </c>
      <c r="AU73" s="36">
        <f t="shared" ca="1" si="171"/>
        <v>47.995700505236634</v>
      </c>
      <c r="AV73" s="36">
        <f t="shared" ca="1" si="171"/>
        <v>48.328305353884147</v>
      </c>
      <c r="AW73" s="36">
        <f t="shared" ca="1" si="171"/>
        <v>47.530295675952289</v>
      </c>
      <c r="AX73" s="36">
        <f t="shared" ca="1" si="171"/>
        <v>47.019627409742952</v>
      </c>
      <c r="AY73" s="36">
        <f t="shared" ca="1" si="171"/>
        <v>48.069600459508671</v>
      </c>
      <c r="AZ73" s="36">
        <f t="shared" ca="1" si="171"/>
        <v>48.599513159188781</v>
      </c>
      <c r="BA73" s="36">
        <f t="shared" ca="1" si="171"/>
        <v>47.950497685273831</v>
      </c>
      <c r="BB73" s="36">
        <f t="shared" ca="1" si="171"/>
        <v>48.299989774840313</v>
      </c>
      <c r="BC73" s="36">
        <f t="shared" ca="1" si="171"/>
        <v>47.674475584120884</v>
      </c>
      <c r="BD73" s="36">
        <f t="shared" ca="1" si="171"/>
        <v>47.444317902164926</v>
      </c>
      <c r="BE73" s="36">
        <f t="shared" ca="1" si="171"/>
        <v>48.000079744106891</v>
      </c>
      <c r="BF73" s="36">
        <f t="shared" ca="1" si="171"/>
        <v>46.895131466798766</v>
      </c>
      <c r="BG73" s="36">
        <f t="shared" ca="1" si="171"/>
        <v>46.393269497662843</v>
      </c>
      <c r="BH73" s="36">
        <f t="shared" ca="1" si="171"/>
        <v>47.000817197265604</v>
      </c>
      <c r="BI73" s="36">
        <f t="shared" ca="1" si="171"/>
        <v>46.849774466348634</v>
      </c>
      <c r="BJ73" s="36">
        <f t="shared" ca="1" si="171"/>
        <v>47.20959182127271</v>
      </c>
      <c r="BK73" s="36">
        <f t="shared" ca="1" si="171"/>
        <v>46.52711282281097</v>
      </c>
      <c r="BL73" s="36">
        <f t="shared" ca="1" si="171"/>
        <v>46.585948838233818</v>
      </c>
      <c r="BM73" s="36">
        <f t="shared" ca="1" si="171"/>
        <v>46.518406788659938</v>
      </c>
      <c r="BN73" s="36">
        <f t="shared" ca="1" si="171"/>
        <v>47.015704578120953</v>
      </c>
      <c r="BO73" s="36">
        <f t="shared" ca="1" si="171"/>
        <v>46.486627944592712</v>
      </c>
      <c r="BP73" s="36">
        <f t="shared" ca="1" si="171"/>
        <v>47.028316312839571</v>
      </c>
      <c r="BQ73" s="36">
        <f t="shared" ref="BQ73:EB77" ca="1" si="178">BP73*EXP(($B$3-$B$4^2/2)*1+$B$4*_xlfn.NORM.S.INV(RAND()))</f>
        <v>47.425008695652252</v>
      </c>
      <c r="BR73" s="36">
        <f t="shared" ca="1" si="178"/>
        <v>48.074514951579253</v>
      </c>
      <c r="BS73" s="36">
        <f t="shared" ca="1" si="178"/>
        <v>47.863240805377544</v>
      </c>
      <c r="BT73" s="36">
        <f t="shared" ca="1" si="178"/>
        <v>48.075717309052671</v>
      </c>
      <c r="BU73" s="36">
        <f t="shared" ca="1" si="178"/>
        <v>48.797038992868679</v>
      </c>
      <c r="BV73" s="36">
        <f t="shared" ca="1" si="178"/>
        <v>48.651122745093495</v>
      </c>
      <c r="BW73" s="36">
        <f t="shared" ca="1" si="178"/>
        <v>48.246459677584504</v>
      </c>
      <c r="BX73" s="36">
        <f t="shared" ca="1" si="178"/>
        <v>47.502689991844086</v>
      </c>
      <c r="BY73" s="36">
        <f t="shared" ca="1" si="178"/>
        <v>47.470111327001455</v>
      </c>
      <c r="BZ73" s="36">
        <f t="shared" ca="1" si="178"/>
        <v>47.556915921877916</v>
      </c>
      <c r="CA73" s="36">
        <f t="shared" ca="1" si="178"/>
        <v>47.183777019933693</v>
      </c>
      <c r="CB73" s="36">
        <f t="shared" ca="1" si="178"/>
        <v>46.396499244154157</v>
      </c>
      <c r="CC73" s="36">
        <f t="shared" ca="1" si="178"/>
        <v>46.714543457451519</v>
      </c>
      <c r="CD73" s="36">
        <f t="shared" ca="1" si="178"/>
        <v>47.086809472638478</v>
      </c>
      <c r="CE73" s="36">
        <f t="shared" ca="1" si="178"/>
        <v>47.361538661660909</v>
      </c>
      <c r="CF73" s="36">
        <f t="shared" ca="1" si="178"/>
        <v>47.986273937561897</v>
      </c>
      <c r="CG73" s="36">
        <f t="shared" ca="1" si="178"/>
        <v>48.386158151767539</v>
      </c>
      <c r="CH73" s="36">
        <f t="shared" ca="1" si="178"/>
        <v>48.657746957699239</v>
      </c>
      <c r="CI73" s="36">
        <f t="shared" ca="1" si="178"/>
        <v>48.348651030650387</v>
      </c>
      <c r="CJ73" s="36">
        <f t="shared" ca="1" si="178"/>
        <v>48.22603293163484</v>
      </c>
      <c r="CK73" s="36">
        <f t="shared" ca="1" si="178"/>
        <v>48.019552169668735</v>
      </c>
      <c r="CL73" s="36">
        <f t="shared" ca="1" si="178"/>
        <v>47.577628668850011</v>
      </c>
      <c r="CM73" s="36">
        <f t="shared" ca="1" si="178"/>
        <v>47.545577101077448</v>
      </c>
      <c r="CN73" s="36">
        <f t="shared" ca="1" si="178"/>
        <v>48.209341800795578</v>
      </c>
      <c r="CO73" s="36">
        <f t="shared" ca="1" si="178"/>
        <v>48.72454443179533</v>
      </c>
      <c r="CP73" s="36">
        <f t="shared" ca="1" si="178"/>
        <v>48.940041056042091</v>
      </c>
      <c r="CQ73" s="36">
        <f t="shared" ca="1" si="178"/>
        <v>49.008739061631879</v>
      </c>
      <c r="CR73" s="36">
        <f t="shared" ca="1" si="178"/>
        <v>48.590612024113462</v>
      </c>
      <c r="CS73" s="36">
        <f t="shared" ca="1" si="178"/>
        <v>48.912838451539898</v>
      </c>
      <c r="CT73" s="36">
        <f t="shared" ca="1" si="178"/>
        <v>49.362935834296714</v>
      </c>
      <c r="CU73" s="36">
        <f t="shared" ca="1" si="178"/>
        <v>49.208782719987411</v>
      </c>
      <c r="CV73" s="36">
        <f t="shared" ca="1" si="178"/>
        <v>49.012392982429333</v>
      </c>
      <c r="CW73" s="36">
        <f t="shared" ca="1" si="178"/>
        <v>48.621200708558547</v>
      </c>
      <c r="CX73" s="36">
        <f t="shared" ca="1" si="178"/>
        <v>48.489745993325052</v>
      </c>
      <c r="CY73" s="36">
        <f t="shared" ca="1" si="178"/>
        <v>47.056935677940785</v>
      </c>
      <c r="CZ73" s="36">
        <f t="shared" ca="1" si="178"/>
        <v>46.836564153100973</v>
      </c>
      <c r="DA73" s="36">
        <f t="shared" ca="1" si="178"/>
        <v>46.361383071243978</v>
      </c>
      <c r="DB73" s="36">
        <f t="shared" ca="1" si="178"/>
        <v>46.949539378667311</v>
      </c>
      <c r="DC73" s="36">
        <f t="shared" ca="1" si="178"/>
        <v>45.725917103799567</v>
      </c>
      <c r="DD73" s="36">
        <f t="shared" ca="1" si="178"/>
        <v>45.976044943412589</v>
      </c>
      <c r="DE73" s="36">
        <f t="shared" ca="1" si="178"/>
        <v>45.230574312112402</v>
      </c>
      <c r="DF73" s="36">
        <f t="shared" ca="1" si="178"/>
        <v>45.804804108062385</v>
      </c>
      <c r="DG73" s="36">
        <f t="shared" ca="1" si="178"/>
        <v>46.390634864842923</v>
      </c>
      <c r="DH73" s="36">
        <f t="shared" ca="1" si="178"/>
        <v>46.832173695336436</v>
      </c>
      <c r="DI73" s="36">
        <f t="shared" ca="1" si="178"/>
        <v>46.74615447155589</v>
      </c>
      <c r="DJ73" s="36">
        <f t="shared" ca="1" si="178"/>
        <v>47.853377480679782</v>
      </c>
      <c r="DK73" s="36">
        <f t="shared" ca="1" si="178"/>
        <v>48.580852375181742</v>
      </c>
      <c r="DL73" s="36">
        <f t="shared" ca="1" si="178"/>
        <v>48.939370870451249</v>
      </c>
      <c r="DM73" s="36">
        <f t="shared" ca="1" si="178"/>
        <v>48.71088758193774</v>
      </c>
      <c r="DN73" s="36">
        <f t="shared" ca="1" si="178"/>
        <v>47.943852043904762</v>
      </c>
      <c r="DO73" s="36">
        <f t="shared" ca="1" si="178"/>
        <v>48.350338860233059</v>
      </c>
      <c r="DP73" s="36">
        <f t="shared" ca="1" si="178"/>
        <v>49.502414596251455</v>
      </c>
      <c r="DQ73" s="36">
        <f t="shared" ca="1" si="178"/>
        <v>49.509775080717304</v>
      </c>
      <c r="DR73" s="36">
        <f t="shared" ca="1" si="178"/>
        <v>49.989588852257206</v>
      </c>
      <c r="DS73" s="36">
        <f t="shared" ca="1" si="178"/>
        <v>48.615684896843298</v>
      </c>
      <c r="DT73" s="36">
        <f t="shared" ca="1" si="178"/>
        <v>47.760789026679433</v>
      </c>
      <c r="DU73" s="36">
        <f t="shared" ca="1" si="178"/>
        <v>48.224454575862801</v>
      </c>
      <c r="DV73" s="36">
        <f t="shared" ca="1" si="178"/>
        <v>48.207246650148733</v>
      </c>
      <c r="DW73" s="36">
        <f t="shared" ca="1" si="178"/>
        <v>47.540685843067976</v>
      </c>
      <c r="DX73" s="36">
        <f t="shared" ca="1" si="178"/>
        <v>48.101077391361706</v>
      </c>
      <c r="DY73" s="36">
        <f t="shared" ca="1" si="178"/>
        <v>48.3614771870052</v>
      </c>
      <c r="DZ73" s="36">
        <f t="shared" ca="1" si="178"/>
        <v>48.960860060093424</v>
      </c>
      <c r="EA73" s="36">
        <f t="shared" ca="1" si="178"/>
        <v>48.072293335121969</v>
      </c>
      <c r="EB73" s="36">
        <f t="shared" ca="1" si="178"/>
        <v>47.762232301408055</v>
      </c>
      <c r="EC73" s="36">
        <f t="shared" ca="1" si="173"/>
        <v>48.407279823074042</v>
      </c>
      <c r="ED73" s="36">
        <f t="shared" ca="1" si="173"/>
        <v>50.111451386196748</v>
      </c>
      <c r="EE73" s="36">
        <f t="shared" ca="1" si="173"/>
        <v>51.342143992328509</v>
      </c>
      <c r="EF73" s="36">
        <f t="shared" ca="1" si="173"/>
        <v>51.476607446326547</v>
      </c>
      <c r="EG73" s="36">
        <f t="shared" ca="1" si="173"/>
        <v>51.104989523517496</v>
      </c>
      <c r="EH73" s="36">
        <f t="shared" ca="1" si="173"/>
        <v>50.061559314286008</v>
      </c>
      <c r="EI73" s="36">
        <f t="shared" ca="1" si="173"/>
        <v>49.785925889291548</v>
      </c>
      <c r="EJ73" s="36">
        <f t="shared" ca="1" si="173"/>
        <v>50.296900839190798</v>
      </c>
      <c r="EK73" s="36">
        <f t="shared" ca="1" si="173"/>
        <v>49.102065406233464</v>
      </c>
      <c r="EL73" s="36">
        <f t="shared" ca="1" si="173"/>
        <v>48.970869272503158</v>
      </c>
      <c r="EM73" s="36">
        <f t="shared" ca="1" si="173"/>
        <v>49.367906827595021</v>
      </c>
      <c r="EN73" s="36">
        <f t="shared" ca="1" si="173"/>
        <v>49.023327552981414</v>
      </c>
      <c r="EO73" s="36">
        <f t="shared" ca="1" si="173"/>
        <v>48.606815649028711</v>
      </c>
      <c r="EP73" s="36">
        <f t="shared" ca="1" si="173"/>
        <v>48.126277958334093</v>
      </c>
      <c r="EQ73" s="36">
        <f t="shared" ca="1" si="173"/>
        <v>47.934628263018276</v>
      </c>
      <c r="ER73" s="36">
        <f t="shared" ca="1" si="173"/>
        <v>47.94549919562121</v>
      </c>
      <c r="ES73" s="36">
        <f t="shared" ca="1" si="173"/>
        <v>47.714311825206863</v>
      </c>
      <c r="ET73" s="36">
        <f t="shared" ca="1" si="173"/>
        <v>47.728817603667686</v>
      </c>
      <c r="EU73" s="36">
        <f t="shared" ca="1" si="173"/>
        <v>47.81792099120198</v>
      </c>
      <c r="EV73" s="36">
        <f t="shared" ca="1" si="173"/>
        <v>47.976020893457829</v>
      </c>
      <c r="EW73" s="36">
        <f t="shared" ref="EW73:HH73" ca="1" si="179">EV73*EXP(($B$3-$B$4^2/2)*1+$B$4*_xlfn.NORM.S.INV(RAND()))</f>
        <v>47.467147718993814</v>
      </c>
      <c r="EX73" s="36">
        <f t="shared" ca="1" si="179"/>
        <v>47.41399244791414</v>
      </c>
      <c r="EY73" s="36">
        <f t="shared" ca="1" si="179"/>
        <v>46.589609791361084</v>
      </c>
      <c r="EZ73" s="36">
        <f t="shared" ca="1" si="179"/>
        <v>47.742418329628741</v>
      </c>
      <c r="FA73" s="36">
        <f t="shared" ca="1" si="179"/>
        <v>48.603164634173631</v>
      </c>
      <c r="FB73" s="36">
        <f t="shared" ca="1" si="179"/>
        <v>49.102544176302573</v>
      </c>
      <c r="FC73" s="36">
        <f t="shared" ca="1" si="179"/>
        <v>49.121914585434276</v>
      </c>
      <c r="FD73" s="36">
        <f t="shared" ca="1" si="179"/>
        <v>49.085596971971619</v>
      </c>
      <c r="FE73" s="36">
        <f t="shared" ca="1" si="179"/>
        <v>47.578651032103984</v>
      </c>
      <c r="FF73" s="36">
        <f t="shared" ca="1" si="179"/>
        <v>47.664507029413556</v>
      </c>
      <c r="FG73" s="36">
        <f t="shared" ca="1" si="179"/>
        <v>47.186016924973714</v>
      </c>
      <c r="FH73" s="36">
        <f t="shared" ca="1" si="179"/>
        <v>46.489165347902613</v>
      </c>
      <c r="FI73" s="36">
        <f t="shared" ca="1" si="179"/>
        <v>45.981811743672601</v>
      </c>
      <c r="FJ73" s="36">
        <f t="shared" ca="1" si="179"/>
        <v>45.970260941653706</v>
      </c>
      <c r="FK73" s="36">
        <f t="shared" ca="1" si="179"/>
        <v>45.986995938870805</v>
      </c>
      <c r="FL73" s="36">
        <f t="shared" ca="1" si="179"/>
        <v>45.750714106851355</v>
      </c>
      <c r="FM73" s="36">
        <f t="shared" ca="1" si="179"/>
        <v>45.820629904488477</v>
      </c>
      <c r="FN73" s="36">
        <f t="shared" ca="1" si="179"/>
        <v>44.823730692960524</v>
      </c>
      <c r="FO73" s="36">
        <f t="shared" ca="1" si="179"/>
        <v>45.554788925485411</v>
      </c>
      <c r="FP73" s="36">
        <f t="shared" ca="1" si="179"/>
        <v>45.228047550612168</v>
      </c>
      <c r="FQ73" s="36">
        <f t="shared" ca="1" si="179"/>
        <v>46.338192481414623</v>
      </c>
      <c r="FR73" s="36">
        <f t="shared" ca="1" si="179"/>
        <v>46.720833520672272</v>
      </c>
      <c r="FS73" s="36">
        <f t="shared" ca="1" si="179"/>
        <v>45.729522145695825</v>
      </c>
      <c r="FT73" s="36">
        <f t="shared" ca="1" si="179"/>
        <v>46.191276369504628</v>
      </c>
      <c r="FU73" s="36">
        <f t="shared" ca="1" si="179"/>
        <v>47.881233778687438</v>
      </c>
      <c r="FV73" s="36">
        <f t="shared" ca="1" si="179"/>
        <v>47.962313849858759</v>
      </c>
      <c r="FW73" s="36">
        <f t="shared" ca="1" si="179"/>
        <v>47.260827244359916</v>
      </c>
      <c r="FX73" s="36">
        <f t="shared" ca="1" si="179"/>
        <v>47.098715324026585</v>
      </c>
      <c r="FY73" s="36">
        <f t="shared" ca="1" si="179"/>
        <v>46.200082326959908</v>
      </c>
      <c r="FZ73" s="36">
        <f t="shared" ca="1" si="179"/>
        <v>46.288757006829051</v>
      </c>
      <c r="GA73" s="36">
        <f t="shared" ca="1" si="179"/>
        <v>47.061035972576668</v>
      </c>
      <c r="GB73" s="36">
        <f t="shared" ca="1" si="179"/>
        <v>47.161129586725856</v>
      </c>
      <c r="GC73" s="36">
        <f t="shared" ca="1" si="179"/>
        <v>47.459747797542867</v>
      </c>
      <c r="GD73" s="36">
        <f t="shared" ca="1" si="179"/>
        <v>47.429270698471498</v>
      </c>
      <c r="GE73" s="36">
        <f t="shared" ca="1" si="179"/>
        <v>47.81241618366721</v>
      </c>
      <c r="GF73" s="36">
        <f t="shared" ca="1" si="179"/>
        <v>48.407700440660555</v>
      </c>
      <c r="GG73" s="36">
        <f t="shared" ca="1" si="179"/>
        <v>49.28785877429231</v>
      </c>
      <c r="GH73" s="36">
        <f t="shared" ca="1" si="179"/>
        <v>49.781318565057859</v>
      </c>
      <c r="GI73" s="36">
        <f t="shared" ca="1" si="179"/>
        <v>49.787956043237067</v>
      </c>
      <c r="GJ73" s="36">
        <f t="shared" ca="1" si="179"/>
        <v>49.692470999768851</v>
      </c>
      <c r="GK73" s="36">
        <f t="shared" ca="1" si="179"/>
        <v>49.518983480838585</v>
      </c>
      <c r="GL73" s="36">
        <f t="shared" ca="1" si="179"/>
        <v>49.097469204762419</v>
      </c>
      <c r="GM73" s="36">
        <f t="shared" ca="1" si="179"/>
        <v>48.62600325221306</v>
      </c>
      <c r="GN73" s="36">
        <f t="shared" ca="1" si="179"/>
        <v>48.243947055088029</v>
      </c>
      <c r="GO73" s="36">
        <f t="shared" ca="1" si="179"/>
        <v>47.059957078559606</v>
      </c>
      <c r="GP73" s="36">
        <f t="shared" ca="1" si="179"/>
        <v>46.874976825618383</v>
      </c>
      <c r="GQ73" s="36">
        <f t="shared" ca="1" si="179"/>
        <v>46.169798327080514</v>
      </c>
      <c r="GR73" s="36">
        <f t="shared" ca="1" si="179"/>
        <v>46.869413231742499</v>
      </c>
      <c r="GS73" s="36">
        <f t="shared" ca="1" si="179"/>
        <v>47.140504382284021</v>
      </c>
      <c r="GT73" s="36">
        <f t="shared" ca="1" si="179"/>
        <v>46.576021701860952</v>
      </c>
      <c r="GU73" s="36">
        <f t="shared" ca="1" si="179"/>
        <v>46.891940891042815</v>
      </c>
      <c r="GV73" s="36">
        <f t="shared" ca="1" si="179"/>
        <v>46.463029914546247</v>
      </c>
      <c r="GW73" s="36">
        <f t="shared" ca="1" si="179"/>
        <v>45.668997494250547</v>
      </c>
      <c r="GX73" s="36">
        <f t="shared" ca="1" si="179"/>
        <v>45.402182559850544</v>
      </c>
      <c r="GY73" s="36">
        <f t="shared" ca="1" si="179"/>
        <v>45.945384815682182</v>
      </c>
      <c r="GZ73" s="36">
        <f t="shared" ca="1" si="179"/>
        <v>46.492699084952719</v>
      </c>
      <c r="HA73" s="36">
        <f t="shared" ca="1" si="179"/>
        <v>45.619381642450215</v>
      </c>
      <c r="HB73" s="36">
        <f t="shared" ca="1" si="179"/>
        <v>45.173369006988473</v>
      </c>
      <c r="HC73" s="36">
        <f t="shared" ca="1" si="179"/>
        <v>45.318074144001812</v>
      </c>
      <c r="HD73" s="36">
        <f t="shared" ca="1" si="179"/>
        <v>45.784166606848949</v>
      </c>
      <c r="HE73" s="36">
        <f t="shared" ca="1" si="179"/>
        <v>45.959896237399164</v>
      </c>
      <c r="HF73" s="36">
        <f t="shared" ca="1" si="179"/>
        <v>44.139233663291108</v>
      </c>
      <c r="HG73" s="36">
        <f t="shared" ca="1" si="179"/>
        <v>44.08534075228777</v>
      </c>
      <c r="HH73" s="36">
        <f t="shared" ca="1" si="179"/>
        <v>43.901221321124282</v>
      </c>
      <c r="HI73" s="36">
        <f t="shared" ca="1" si="176"/>
        <v>43.411258518292158</v>
      </c>
      <c r="HJ73" s="36">
        <f t="shared" ca="1" si="176"/>
        <v>43.084014749273408</v>
      </c>
      <c r="HK73" s="36">
        <f t="shared" ca="1" si="176"/>
        <v>42.88861963089898</v>
      </c>
      <c r="HL73" s="36">
        <f t="shared" ca="1" si="177"/>
        <v>43.716678726871493</v>
      </c>
      <c r="HM73" s="36">
        <f t="shared" ca="1" si="177"/>
        <v>43.833779117195299</v>
      </c>
      <c r="HN73" s="36">
        <f t="shared" ca="1" si="177"/>
        <v>43.518266513057419</v>
      </c>
      <c r="HO73" s="36">
        <f t="shared" ca="1" si="177"/>
        <v>42.643559358698219</v>
      </c>
      <c r="HP73" s="36">
        <f t="shared" ca="1" si="177"/>
        <v>42.332486102874164</v>
      </c>
      <c r="HQ73" s="36">
        <f t="shared" ca="1" si="177"/>
        <v>43.639867547954594</v>
      </c>
      <c r="HR73" s="36">
        <f t="shared" ca="1" si="177"/>
        <v>43.601982175238525</v>
      </c>
      <c r="HS73" s="36">
        <f t="shared" ca="1" si="177"/>
        <v>43.687842211915047</v>
      </c>
      <c r="HT73" s="36">
        <f t="shared" ca="1" si="177"/>
        <v>43.506122254863065</v>
      </c>
      <c r="HU73" s="36">
        <f t="shared" ca="1" si="157"/>
        <v>42.748102804769047</v>
      </c>
      <c r="HV73" s="36">
        <f t="shared" ca="1" si="157"/>
        <v>41.977523263343969</v>
      </c>
      <c r="HW73" s="36">
        <f t="shared" ca="1" si="157"/>
        <v>41.634334587305837</v>
      </c>
      <c r="HX73" s="36">
        <f t="shared" ca="1" si="157"/>
        <v>41.445844263275561</v>
      </c>
      <c r="HY73" s="36">
        <f t="shared" ca="1" si="157"/>
        <v>40.767460549824349</v>
      </c>
      <c r="HZ73" s="36">
        <f t="shared" ca="1" si="157"/>
        <v>40.899685426010876</v>
      </c>
      <c r="IA73" s="36">
        <f t="shared" ca="1" si="157"/>
        <v>41.362331401079075</v>
      </c>
      <c r="IB73" s="36">
        <f t="shared" ca="1" si="157"/>
        <v>41.324558636396141</v>
      </c>
      <c r="IC73" s="36">
        <f t="shared" ca="1" si="157"/>
        <v>42.038193428194184</v>
      </c>
      <c r="ID73" s="36">
        <f t="shared" ca="1" si="157"/>
        <v>42.70278567167955</v>
      </c>
      <c r="IE73" s="36">
        <f t="shared" ca="1" si="157"/>
        <v>42.775370417365529</v>
      </c>
      <c r="IF73" s="36">
        <f t="shared" ca="1" si="157"/>
        <v>43.139741001403671</v>
      </c>
      <c r="IG73" s="36">
        <f t="shared" ca="1" si="157"/>
        <v>43.012879561989692</v>
      </c>
      <c r="IH73" s="36">
        <f t="shared" ca="1" si="157"/>
        <v>42.561309883950969</v>
      </c>
      <c r="II73" s="36">
        <f t="shared" ca="1" si="157"/>
        <v>43.085812800593658</v>
      </c>
      <c r="IJ73" s="36">
        <f t="shared" ca="1" si="157"/>
        <v>43.123824220539881</v>
      </c>
      <c r="IK73" s="36">
        <f t="shared" ca="1" si="157"/>
        <v>42.735451608354886</v>
      </c>
      <c r="IL73" s="36">
        <f t="shared" ca="1" si="157"/>
        <v>43.675369464012142</v>
      </c>
      <c r="IM73" s="36">
        <f t="shared" ref="IM73:IU73" ca="1" si="180">IL73*EXP(($B$3-$B$4^2/2)*1+$B$4*_xlfn.NORM.S.INV(RAND()))</f>
        <v>43.611259160004586</v>
      </c>
      <c r="IN73" s="36">
        <f t="shared" ca="1" si="180"/>
        <v>43.130851240475351</v>
      </c>
      <c r="IO73" s="36">
        <f t="shared" ca="1" si="180"/>
        <v>42.397259477076041</v>
      </c>
      <c r="IP73" s="36">
        <f t="shared" ca="1" si="180"/>
        <v>42.003070858828615</v>
      </c>
      <c r="IQ73" s="36">
        <f t="shared" ca="1" si="180"/>
        <v>42.066146665077405</v>
      </c>
      <c r="IR73" s="36">
        <f t="shared" ca="1" si="180"/>
        <v>42.526435452526833</v>
      </c>
      <c r="IS73" s="36">
        <f t="shared" ca="1" si="180"/>
        <v>42.418170687517325</v>
      </c>
      <c r="IT73" s="36">
        <f t="shared" ca="1" si="180"/>
        <v>41.397220586584169</v>
      </c>
      <c r="IU73" s="36">
        <f t="shared" ca="1" si="180"/>
        <v>41.189780928075983</v>
      </c>
    </row>
    <row r="74" spans="1:255" x14ac:dyDescent="0.2">
      <c r="A74" s="36"/>
      <c r="B74">
        <v>64</v>
      </c>
      <c r="C74" s="36">
        <v>50</v>
      </c>
      <c r="D74" s="36">
        <f t="shared" ca="1" si="14"/>
        <v>50.187079889880962</v>
      </c>
      <c r="E74" s="36">
        <f t="shared" ca="1" si="14"/>
        <v>49.655539876032911</v>
      </c>
      <c r="F74" s="36">
        <f t="shared" ref="F74:BQ77" ca="1" si="181">E74*EXP(($B$3-$B$4^2/2)*1+$B$4*_xlfn.NORM.S.INV(RAND()))</f>
        <v>49.03328659326575</v>
      </c>
      <c r="G74" s="36">
        <f t="shared" ca="1" si="181"/>
        <v>49.691852001891995</v>
      </c>
      <c r="H74" s="36">
        <f t="shared" ca="1" si="181"/>
        <v>49.271154947347576</v>
      </c>
      <c r="I74" s="36">
        <f t="shared" ca="1" si="181"/>
        <v>48.591598744489971</v>
      </c>
      <c r="J74" s="36">
        <f t="shared" ca="1" si="181"/>
        <v>48.821742950150593</v>
      </c>
      <c r="K74" s="36">
        <f t="shared" ca="1" si="181"/>
        <v>48.198708843390882</v>
      </c>
      <c r="L74" s="36">
        <f t="shared" ca="1" si="181"/>
        <v>47.962517376745375</v>
      </c>
      <c r="M74" s="36">
        <f t="shared" ca="1" si="181"/>
        <v>47.370782941233401</v>
      </c>
      <c r="N74" s="36">
        <f t="shared" ca="1" si="181"/>
        <v>46.55088723534444</v>
      </c>
      <c r="O74" s="36">
        <f t="shared" ca="1" si="181"/>
        <v>45.83358347432501</v>
      </c>
      <c r="P74" s="36">
        <f t="shared" ca="1" si="181"/>
        <v>45.012585603508249</v>
      </c>
      <c r="Q74" s="36">
        <f t="shared" ca="1" si="181"/>
        <v>43.947764606350937</v>
      </c>
      <c r="R74" s="36">
        <f t="shared" ca="1" si="181"/>
        <v>43.774045050645007</v>
      </c>
      <c r="S74" s="36">
        <f t="shared" ca="1" si="181"/>
        <v>44.279785920513994</v>
      </c>
      <c r="T74" s="36">
        <f t="shared" ca="1" si="181"/>
        <v>43.761902857678713</v>
      </c>
      <c r="U74" s="36">
        <f t="shared" ca="1" si="181"/>
        <v>43.585835666478729</v>
      </c>
      <c r="V74" s="36">
        <f t="shared" ca="1" si="181"/>
        <v>43.264401241364133</v>
      </c>
      <c r="W74" s="36">
        <f t="shared" ca="1" si="181"/>
        <v>42.247552875049024</v>
      </c>
      <c r="X74" s="36">
        <f t="shared" ca="1" si="181"/>
        <v>42.05838243320472</v>
      </c>
      <c r="Y74" s="36">
        <f t="shared" ca="1" si="181"/>
        <v>42.687555127589178</v>
      </c>
      <c r="Z74" s="36">
        <f t="shared" ca="1" si="181"/>
        <v>42.577804985989403</v>
      </c>
      <c r="AA74" s="36">
        <f t="shared" ca="1" si="181"/>
        <v>41.99416883935605</v>
      </c>
      <c r="AB74" s="36">
        <f t="shared" ca="1" si="181"/>
        <v>41.642620343949055</v>
      </c>
      <c r="AC74" s="36">
        <f t="shared" ca="1" si="181"/>
        <v>41.164008575054908</v>
      </c>
      <c r="AD74" s="36">
        <f t="shared" ca="1" si="181"/>
        <v>41.168147747508016</v>
      </c>
      <c r="AE74" s="36">
        <f t="shared" ca="1" si="181"/>
        <v>41.473379881638948</v>
      </c>
      <c r="AF74" s="36">
        <f t="shared" ca="1" si="181"/>
        <v>42.044170257232444</v>
      </c>
      <c r="AG74" s="36">
        <f t="shared" ca="1" si="181"/>
        <v>42.405280829261649</v>
      </c>
      <c r="AH74" s="36">
        <f t="shared" ca="1" si="181"/>
        <v>41.791358174643769</v>
      </c>
      <c r="AI74" s="36">
        <f t="shared" ca="1" si="181"/>
        <v>41.733133517739525</v>
      </c>
      <c r="AJ74" s="36">
        <f t="shared" ca="1" si="181"/>
        <v>41.897323761912666</v>
      </c>
      <c r="AK74" s="36">
        <f t="shared" ca="1" si="181"/>
        <v>42.069791635685206</v>
      </c>
      <c r="AL74" s="36">
        <f t="shared" ca="1" si="181"/>
        <v>41.936663734019803</v>
      </c>
      <c r="AM74" s="36">
        <f t="shared" ca="1" si="181"/>
        <v>40.437828780159919</v>
      </c>
      <c r="AN74" s="36">
        <f t="shared" ca="1" si="181"/>
        <v>40.568598135632783</v>
      </c>
      <c r="AO74" s="36">
        <f t="shared" ca="1" si="181"/>
        <v>40.778630568302184</v>
      </c>
      <c r="AP74" s="36">
        <f t="shared" ca="1" si="181"/>
        <v>41.24632496953933</v>
      </c>
      <c r="AQ74" s="36">
        <f t="shared" ca="1" si="181"/>
        <v>40.400216211989459</v>
      </c>
      <c r="AR74" s="36">
        <f t="shared" ca="1" si="181"/>
        <v>40.751703123120699</v>
      </c>
      <c r="AS74" s="36">
        <f t="shared" ca="1" si="181"/>
        <v>41.180702553943568</v>
      </c>
      <c r="AT74" s="36">
        <f t="shared" ca="1" si="181"/>
        <v>41.114643182753809</v>
      </c>
      <c r="AU74" s="36">
        <f t="shared" ca="1" si="181"/>
        <v>40.901754624708225</v>
      </c>
      <c r="AV74" s="36">
        <f t="shared" ca="1" si="181"/>
        <v>40.648211723092153</v>
      </c>
      <c r="AW74" s="36">
        <f t="shared" ca="1" si="181"/>
        <v>40.899309094454146</v>
      </c>
      <c r="AX74" s="36">
        <f t="shared" ca="1" si="181"/>
        <v>40.637773132482941</v>
      </c>
      <c r="AY74" s="36">
        <f t="shared" ca="1" si="181"/>
        <v>41.594698711430439</v>
      </c>
      <c r="AZ74" s="36">
        <f t="shared" ca="1" si="181"/>
        <v>41.182059145398725</v>
      </c>
      <c r="BA74" s="36">
        <f t="shared" ca="1" si="181"/>
        <v>41.317201108912514</v>
      </c>
      <c r="BB74" s="36">
        <f t="shared" ca="1" si="181"/>
        <v>41.679843616996607</v>
      </c>
      <c r="BC74" s="36">
        <f t="shared" ca="1" si="181"/>
        <v>41.362592305800405</v>
      </c>
      <c r="BD74" s="36">
        <f t="shared" ca="1" si="181"/>
        <v>41.632747271283456</v>
      </c>
      <c r="BE74" s="36">
        <f t="shared" ca="1" si="181"/>
        <v>42.148562977394306</v>
      </c>
      <c r="BF74" s="36">
        <f t="shared" ca="1" si="181"/>
        <v>41.799482361523999</v>
      </c>
      <c r="BG74" s="36">
        <f t="shared" ca="1" si="181"/>
        <v>41.941669419096399</v>
      </c>
      <c r="BH74" s="36">
        <f t="shared" ca="1" si="181"/>
        <v>42.462676092326369</v>
      </c>
      <c r="BI74" s="36">
        <f t="shared" ca="1" si="181"/>
        <v>41.624786611470405</v>
      </c>
      <c r="BJ74" s="36">
        <f t="shared" ca="1" si="181"/>
        <v>41.307204756495928</v>
      </c>
      <c r="BK74" s="36">
        <f t="shared" ca="1" si="181"/>
        <v>41.440332344849736</v>
      </c>
      <c r="BL74" s="36">
        <f t="shared" ca="1" si="181"/>
        <v>40.884685702898267</v>
      </c>
      <c r="BM74" s="36">
        <f t="shared" ca="1" si="181"/>
        <v>41.161341124606452</v>
      </c>
      <c r="BN74" s="36">
        <f t="shared" ca="1" si="181"/>
        <v>41.2239296197166</v>
      </c>
      <c r="BO74" s="36">
        <f t="shared" ca="1" si="181"/>
        <v>41.570235556106681</v>
      </c>
      <c r="BP74" s="36">
        <f t="shared" ca="1" si="181"/>
        <v>41.537794934878924</v>
      </c>
      <c r="BQ74" s="36">
        <f t="shared" ca="1" si="181"/>
        <v>42.246908891492467</v>
      </c>
      <c r="BR74" s="36">
        <f t="shared" ca="1" si="178"/>
        <v>42.521067426835145</v>
      </c>
      <c r="BS74" s="36">
        <f t="shared" ca="1" si="178"/>
        <v>42.000707424709162</v>
      </c>
      <c r="BT74" s="36">
        <f t="shared" ca="1" si="178"/>
        <v>42.89079995419079</v>
      </c>
      <c r="BU74" s="36">
        <f t="shared" ca="1" si="178"/>
        <v>42.101573829150844</v>
      </c>
      <c r="BV74" s="36">
        <f t="shared" ca="1" si="178"/>
        <v>42.634554041030313</v>
      </c>
      <c r="BW74" s="36">
        <f t="shared" ca="1" si="178"/>
        <v>43.055276416825222</v>
      </c>
      <c r="BX74" s="36">
        <f t="shared" ca="1" si="178"/>
        <v>43.81586104738706</v>
      </c>
      <c r="BY74" s="36">
        <f t="shared" ca="1" si="178"/>
        <v>44.152360341537744</v>
      </c>
      <c r="BZ74" s="36">
        <f t="shared" ca="1" si="178"/>
        <v>44.255564706585396</v>
      </c>
      <c r="CA74" s="36">
        <f t="shared" ca="1" si="178"/>
        <v>43.612644443583974</v>
      </c>
      <c r="CB74" s="36">
        <f t="shared" ca="1" si="178"/>
        <v>43.607886244601239</v>
      </c>
      <c r="CC74" s="36">
        <f t="shared" ca="1" si="178"/>
        <v>44.198576610006349</v>
      </c>
      <c r="CD74" s="36">
        <f t="shared" ca="1" si="178"/>
        <v>44.260928359272931</v>
      </c>
      <c r="CE74" s="36">
        <f t="shared" ca="1" si="178"/>
        <v>44.552769938562392</v>
      </c>
      <c r="CF74" s="36">
        <f t="shared" ca="1" si="178"/>
        <v>44.067807246215573</v>
      </c>
      <c r="CG74" s="36">
        <f t="shared" ca="1" si="178"/>
        <v>44.042802022537451</v>
      </c>
      <c r="CH74" s="36">
        <f t="shared" ca="1" si="178"/>
        <v>44.144230192067695</v>
      </c>
      <c r="CI74" s="36">
        <f t="shared" ca="1" si="178"/>
        <v>44.191771540795195</v>
      </c>
      <c r="CJ74" s="36">
        <f t="shared" ca="1" si="178"/>
        <v>43.318555796295406</v>
      </c>
      <c r="CK74" s="36">
        <f t="shared" ca="1" si="178"/>
        <v>43.472813118666409</v>
      </c>
      <c r="CL74" s="36">
        <f t="shared" ca="1" si="178"/>
        <v>44.099993869513192</v>
      </c>
      <c r="CM74" s="36">
        <f t="shared" ca="1" si="178"/>
        <v>43.992539751738981</v>
      </c>
      <c r="CN74" s="36">
        <f t="shared" ca="1" si="178"/>
        <v>44.693662001804348</v>
      </c>
      <c r="CO74" s="36">
        <f t="shared" ca="1" si="178"/>
        <v>44.960008363032728</v>
      </c>
      <c r="CP74" s="36">
        <f t="shared" ca="1" si="178"/>
        <v>44.71280813532362</v>
      </c>
      <c r="CQ74" s="36">
        <f t="shared" ca="1" si="178"/>
        <v>45.174307176096711</v>
      </c>
      <c r="CR74" s="36">
        <f t="shared" ca="1" si="178"/>
        <v>45.473223264215271</v>
      </c>
      <c r="CS74" s="36">
        <f t="shared" ca="1" si="178"/>
        <v>45.687743919996755</v>
      </c>
      <c r="CT74" s="36">
        <f t="shared" ca="1" si="178"/>
        <v>46.055113624713805</v>
      </c>
      <c r="CU74" s="36">
        <f t="shared" ca="1" si="178"/>
        <v>46.648279232060233</v>
      </c>
      <c r="CV74" s="36">
        <f t="shared" ca="1" si="178"/>
        <v>46.155308468273589</v>
      </c>
      <c r="CW74" s="36">
        <f t="shared" ca="1" si="178"/>
        <v>46.304165731487601</v>
      </c>
      <c r="CX74" s="36">
        <f t="shared" ca="1" si="178"/>
        <v>46.143724115895715</v>
      </c>
      <c r="CY74" s="36">
        <f t="shared" ca="1" si="178"/>
        <v>47.476317458552309</v>
      </c>
      <c r="CZ74" s="36">
        <f t="shared" ca="1" si="178"/>
        <v>47.824567982458845</v>
      </c>
      <c r="DA74" s="36">
        <f t="shared" ca="1" si="178"/>
        <v>46.902833684258532</v>
      </c>
      <c r="DB74" s="36">
        <f t="shared" ca="1" si="178"/>
        <v>47.561284576305447</v>
      </c>
      <c r="DC74" s="36">
        <f t="shared" ca="1" si="178"/>
        <v>47.57941881566736</v>
      </c>
      <c r="DD74" s="36">
        <f t="shared" ca="1" si="178"/>
        <v>47.335174088398063</v>
      </c>
      <c r="DE74" s="36">
        <f t="shared" ca="1" si="178"/>
        <v>46.647183941099051</v>
      </c>
      <c r="DF74" s="36">
        <f t="shared" ca="1" si="178"/>
        <v>47.285171542450996</v>
      </c>
      <c r="DG74" s="36">
        <f t="shared" ca="1" si="178"/>
        <v>47.253093867867157</v>
      </c>
      <c r="DH74" s="36">
        <f t="shared" ca="1" si="178"/>
        <v>47.313511242248957</v>
      </c>
      <c r="DI74" s="36">
        <f t="shared" ca="1" si="178"/>
        <v>47.899394751726561</v>
      </c>
      <c r="DJ74" s="36">
        <f t="shared" ca="1" si="178"/>
        <v>48.444829282595869</v>
      </c>
      <c r="DK74" s="36">
        <f t="shared" ca="1" si="178"/>
        <v>48.460691266671873</v>
      </c>
      <c r="DL74" s="36">
        <f t="shared" ca="1" si="178"/>
        <v>48.491230176113163</v>
      </c>
      <c r="DM74" s="36">
        <f t="shared" ca="1" si="178"/>
        <v>48.985624355827703</v>
      </c>
      <c r="DN74" s="36">
        <f t="shared" ca="1" si="178"/>
        <v>49.027014210510501</v>
      </c>
      <c r="DO74" s="36">
        <f t="shared" ca="1" si="178"/>
        <v>49.747129594454755</v>
      </c>
      <c r="DP74" s="36">
        <f t="shared" ca="1" si="178"/>
        <v>48.754581938964705</v>
      </c>
      <c r="DQ74" s="36">
        <f t="shared" ca="1" si="178"/>
        <v>49.134198510491998</v>
      </c>
      <c r="DR74" s="36">
        <f t="shared" ca="1" si="178"/>
        <v>48.75155100490602</v>
      </c>
      <c r="DS74" s="36">
        <f t="shared" ca="1" si="178"/>
        <v>49.867840367912855</v>
      </c>
      <c r="DT74" s="36">
        <f t="shared" ca="1" si="178"/>
        <v>50.270532992537539</v>
      </c>
      <c r="DU74" s="36">
        <f t="shared" ca="1" si="178"/>
        <v>49.434636767759713</v>
      </c>
      <c r="DV74" s="36">
        <f t="shared" ca="1" si="178"/>
        <v>49.547505941539491</v>
      </c>
      <c r="DW74" s="36">
        <f t="shared" ca="1" si="178"/>
        <v>49.36314979512651</v>
      </c>
      <c r="DX74" s="36">
        <f t="shared" ca="1" si="178"/>
        <v>47.79351649101713</v>
      </c>
      <c r="DY74" s="36">
        <f t="shared" ca="1" si="178"/>
        <v>48.033126792691284</v>
      </c>
      <c r="DZ74" s="36">
        <f t="shared" ca="1" si="178"/>
        <v>47.257124552500947</v>
      </c>
      <c r="EA74" s="36">
        <f t="shared" ca="1" si="178"/>
        <v>46.968705450440417</v>
      </c>
      <c r="EB74" s="36">
        <f t="shared" ca="1" si="178"/>
        <v>46.884560378958454</v>
      </c>
      <c r="EC74" s="36">
        <f t="shared" ca="1" si="173"/>
        <v>46.773412832674502</v>
      </c>
      <c r="ED74" s="36">
        <f t="shared" ca="1" si="173"/>
        <v>46.322243939585803</v>
      </c>
      <c r="EE74" s="36">
        <f t="shared" ca="1" si="173"/>
        <v>45.411017945116562</v>
      </c>
      <c r="EF74" s="36">
        <f t="shared" ca="1" si="173"/>
        <v>45.767334855090091</v>
      </c>
      <c r="EG74" s="36">
        <f t="shared" ca="1" si="173"/>
        <v>45.484035161020337</v>
      </c>
      <c r="EH74" s="36">
        <f t="shared" ca="1" si="173"/>
        <v>45.732738212654432</v>
      </c>
      <c r="EI74" s="36">
        <f t="shared" ca="1" si="173"/>
        <v>45.575685187608663</v>
      </c>
      <c r="EJ74" s="36">
        <f t="shared" ca="1" si="173"/>
        <v>46.036843788982594</v>
      </c>
      <c r="EK74" s="36">
        <f t="shared" ca="1" si="173"/>
        <v>47.01551389024597</v>
      </c>
      <c r="EL74" s="36">
        <f t="shared" ca="1" si="173"/>
        <v>46.313547910426976</v>
      </c>
      <c r="EM74" s="36">
        <f t="shared" ca="1" si="173"/>
        <v>46.20655996815595</v>
      </c>
      <c r="EN74" s="36">
        <f t="shared" ca="1" si="173"/>
        <v>45.884380964140213</v>
      </c>
      <c r="EO74" s="36">
        <f t="shared" ca="1" si="173"/>
        <v>45.689444064894552</v>
      </c>
      <c r="EP74" s="36">
        <f t="shared" ca="1" si="173"/>
        <v>45.861401205952902</v>
      </c>
      <c r="EQ74" s="36">
        <f t="shared" ca="1" si="173"/>
        <v>46.382038705971546</v>
      </c>
      <c r="ER74" s="36">
        <f t="shared" ca="1" si="173"/>
        <v>46.698404242404685</v>
      </c>
      <c r="ES74" s="36">
        <f t="shared" ca="1" si="173"/>
        <v>47.645325918409853</v>
      </c>
      <c r="ET74" s="36">
        <f t="shared" ca="1" si="173"/>
        <v>46.587714815352804</v>
      </c>
      <c r="EU74" s="36">
        <f t="shared" ca="1" si="173"/>
        <v>46.676118404423434</v>
      </c>
      <c r="EV74" s="36">
        <f t="shared" ca="1" si="173"/>
        <v>45.825707659723115</v>
      </c>
      <c r="EW74" s="36">
        <f t="shared" ref="EW74:HH74" ca="1" si="182">EV74*EXP(($B$3-$B$4^2/2)*1+$B$4*_xlfn.NORM.S.INV(RAND()))</f>
        <v>46.370630152749264</v>
      </c>
      <c r="EX74" s="36">
        <f t="shared" ca="1" si="182"/>
        <v>45.325218037163367</v>
      </c>
      <c r="EY74" s="36">
        <f t="shared" ca="1" si="182"/>
        <v>45.680231321925419</v>
      </c>
      <c r="EZ74" s="36">
        <f t="shared" ca="1" si="182"/>
        <v>46.238002189030794</v>
      </c>
      <c r="FA74" s="36">
        <f t="shared" ca="1" si="182"/>
        <v>45.94181463198305</v>
      </c>
      <c r="FB74" s="36">
        <f t="shared" ca="1" si="182"/>
        <v>46.953225424077772</v>
      </c>
      <c r="FC74" s="36">
        <f t="shared" ca="1" si="182"/>
        <v>47.281397891253818</v>
      </c>
      <c r="FD74" s="36">
        <f t="shared" ca="1" si="182"/>
        <v>47.744132247078497</v>
      </c>
      <c r="FE74" s="36">
        <f t="shared" ca="1" si="182"/>
        <v>48.443218818774461</v>
      </c>
      <c r="FF74" s="36">
        <f t="shared" ca="1" si="182"/>
        <v>48.679513128697756</v>
      </c>
      <c r="FG74" s="36">
        <f t="shared" ca="1" si="182"/>
        <v>48.279746485466674</v>
      </c>
      <c r="FH74" s="36">
        <f t="shared" ca="1" si="182"/>
        <v>47.936534900022856</v>
      </c>
      <c r="FI74" s="36">
        <f t="shared" ca="1" si="182"/>
        <v>48.935826038332749</v>
      </c>
      <c r="FJ74" s="36">
        <f t="shared" ca="1" si="182"/>
        <v>48.55278375809992</v>
      </c>
      <c r="FK74" s="36">
        <f t="shared" ca="1" si="182"/>
        <v>48.089573713963439</v>
      </c>
      <c r="FL74" s="36">
        <f t="shared" ca="1" si="182"/>
        <v>47.411677751920898</v>
      </c>
      <c r="FM74" s="36">
        <f t="shared" ca="1" si="182"/>
        <v>45.781097532444839</v>
      </c>
      <c r="FN74" s="36">
        <f t="shared" ca="1" si="182"/>
        <v>46.483960579972631</v>
      </c>
      <c r="FO74" s="36">
        <f t="shared" ca="1" si="182"/>
        <v>46.929731876026864</v>
      </c>
      <c r="FP74" s="36">
        <f t="shared" ca="1" si="182"/>
        <v>47.107066359404783</v>
      </c>
      <c r="FQ74" s="36">
        <f t="shared" ca="1" si="182"/>
        <v>47.380178624441271</v>
      </c>
      <c r="FR74" s="36">
        <f t="shared" ca="1" si="182"/>
        <v>47.111068262107501</v>
      </c>
      <c r="FS74" s="36">
        <f t="shared" ca="1" si="182"/>
        <v>48.290578777700432</v>
      </c>
      <c r="FT74" s="36">
        <f t="shared" ca="1" si="182"/>
        <v>48.692614462296092</v>
      </c>
      <c r="FU74" s="36">
        <f t="shared" ca="1" si="182"/>
        <v>49.281911537578466</v>
      </c>
      <c r="FV74" s="36">
        <f t="shared" ca="1" si="182"/>
        <v>50.847185781355378</v>
      </c>
      <c r="FW74" s="36">
        <f t="shared" ca="1" si="182"/>
        <v>52.029947059909219</v>
      </c>
      <c r="FX74" s="36">
        <f t="shared" ca="1" si="182"/>
        <v>51.296130827403168</v>
      </c>
      <c r="FY74" s="36">
        <f t="shared" ca="1" si="182"/>
        <v>51.385559249468848</v>
      </c>
      <c r="FZ74" s="36">
        <f t="shared" ca="1" si="182"/>
        <v>52.051478692861465</v>
      </c>
      <c r="GA74" s="36">
        <f t="shared" ca="1" si="182"/>
        <v>51.478236872763347</v>
      </c>
      <c r="GB74" s="36">
        <f t="shared" ca="1" si="182"/>
        <v>52.294638345563037</v>
      </c>
      <c r="GC74" s="36">
        <f t="shared" ca="1" si="182"/>
        <v>51.781053804944705</v>
      </c>
      <c r="GD74" s="36">
        <f t="shared" ca="1" si="182"/>
        <v>50.698656634417688</v>
      </c>
      <c r="GE74" s="36">
        <f t="shared" ca="1" si="182"/>
        <v>51.350639219799746</v>
      </c>
      <c r="GF74" s="36">
        <f t="shared" ca="1" si="182"/>
        <v>51.023596044721209</v>
      </c>
      <c r="GG74" s="36">
        <f t="shared" ca="1" si="182"/>
        <v>51.585040390158092</v>
      </c>
      <c r="GH74" s="36">
        <f t="shared" ca="1" si="182"/>
        <v>51.061574705268725</v>
      </c>
      <c r="GI74" s="36">
        <f t="shared" ca="1" si="182"/>
        <v>50.538758513188959</v>
      </c>
      <c r="GJ74" s="36">
        <f t="shared" ca="1" si="182"/>
        <v>50.700838275376441</v>
      </c>
      <c r="GK74" s="36">
        <f t="shared" ca="1" si="182"/>
        <v>51.071046042849744</v>
      </c>
      <c r="GL74" s="36">
        <f t="shared" ca="1" si="182"/>
        <v>50.649383862258013</v>
      </c>
      <c r="GM74" s="36">
        <f t="shared" ca="1" si="182"/>
        <v>50.143389906400188</v>
      </c>
      <c r="GN74" s="36">
        <f t="shared" ca="1" si="182"/>
        <v>50.177222786004663</v>
      </c>
      <c r="GO74" s="36">
        <f t="shared" ca="1" si="182"/>
        <v>50.242215737950744</v>
      </c>
      <c r="GP74" s="36">
        <f t="shared" ca="1" si="182"/>
        <v>50.926547170608067</v>
      </c>
      <c r="GQ74" s="36">
        <f t="shared" ca="1" si="182"/>
        <v>50.581662029793137</v>
      </c>
      <c r="GR74" s="36">
        <f t="shared" ca="1" si="182"/>
        <v>50.776792061510172</v>
      </c>
      <c r="GS74" s="36">
        <f t="shared" ca="1" si="182"/>
        <v>49.431891502759456</v>
      </c>
      <c r="GT74" s="36">
        <f t="shared" ca="1" si="182"/>
        <v>49.063753174934362</v>
      </c>
      <c r="GU74" s="36">
        <f t="shared" ca="1" si="182"/>
        <v>50.114961148238685</v>
      </c>
      <c r="GV74" s="36">
        <f t="shared" ca="1" si="182"/>
        <v>49.443132973362928</v>
      </c>
      <c r="GW74" s="36">
        <f t="shared" ca="1" si="182"/>
        <v>49.522570907572486</v>
      </c>
      <c r="GX74" s="36">
        <f t="shared" ca="1" si="182"/>
        <v>50.373944071573398</v>
      </c>
      <c r="GY74" s="36">
        <f t="shared" ca="1" si="182"/>
        <v>49.234392089897071</v>
      </c>
      <c r="GZ74" s="36">
        <f t="shared" ca="1" si="182"/>
        <v>48.794315454356401</v>
      </c>
      <c r="HA74" s="36">
        <f t="shared" ca="1" si="182"/>
        <v>49.334018712780583</v>
      </c>
      <c r="HB74" s="36">
        <f t="shared" ca="1" si="182"/>
        <v>48.611247302218203</v>
      </c>
      <c r="HC74" s="36">
        <f t="shared" ca="1" si="182"/>
        <v>48.753944679809067</v>
      </c>
      <c r="HD74" s="36">
        <f t="shared" ca="1" si="182"/>
        <v>48.666553386381821</v>
      </c>
      <c r="HE74" s="36">
        <f t="shared" ca="1" si="182"/>
        <v>49.359283413544695</v>
      </c>
      <c r="HF74" s="36">
        <f t="shared" ca="1" si="182"/>
        <v>49.893813149474539</v>
      </c>
      <c r="HG74" s="36">
        <f t="shared" ca="1" si="182"/>
        <v>50.134875405752211</v>
      </c>
      <c r="HH74" s="36">
        <f t="shared" ca="1" si="182"/>
        <v>50.558339532651182</v>
      </c>
      <c r="HI74" s="36">
        <f t="shared" ref="HI74" ca="1" si="183">HH74*EXP(($B$3-$B$4^2/2)*1+$B$4*_xlfn.NORM.S.INV(RAND()))</f>
        <v>51.135949812502929</v>
      </c>
      <c r="HJ74" s="36">
        <f t="shared" ca="1" si="177"/>
        <v>52.247875102008209</v>
      </c>
      <c r="HK74" s="36">
        <f t="shared" ca="1" si="177"/>
        <v>52.620365227727291</v>
      </c>
      <c r="HL74" s="36">
        <f t="shared" ca="1" si="177"/>
        <v>53.195666956828255</v>
      </c>
      <c r="HM74" s="36">
        <f t="shared" ca="1" si="177"/>
        <v>54.651114018058145</v>
      </c>
      <c r="HN74" s="36">
        <f t="shared" ca="1" si="177"/>
        <v>55.68448761557655</v>
      </c>
      <c r="HO74" s="36">
        <f t="shared" ca="1" si="177"/>
        <v>55.777018166065091</v>
      </c>
      <c r="HP74" s="36">
        <f t="shared" ca="1" si="177"/>
        <v>56.275658828010393</v>
      </c>
      <c r="HQ74" s="36">
        <f t="shared" ca="1" si="177"/>
        <v>55.984866035189597</v>
      </c>
      <c r="HR74" s="36">
        <f t="shared" ca="1" si="177"/>
        <v>54.247209076695604</v>
      </c>
      <c r="HS74" s="36">
        <f t="shared" ca="1" si="177"/>
        <v>54.131940750643395</v>
      </c>
      <c r="HT74" s="36">
        <f t="shared" ca="1" si="177"/>
        <v>53.561251408002001</v>
      </c>
      <c r="HU74" s="36">
        <f t="shared" ca="1" si="177"/>
        <v>51.311049119951655</v>
      </c>
      <c r="HV74" s="36">
        <f t="shared" ca="1" si="177"/>
        <v>51.418693322758351</v>
      </c>
      <c r="HW74" s="36">
        <f t="shared" ca="1" si="177"/>
        <v>51.447328977097243</v>
      </c>
      <c r="HX74" s="36">
        <f t="shared" ca="1" si="177"/>
        <v>50.57845241288225</v>
      </c>
      <c r="HY74" s="36">
        <f t="shared" ca="1" si="177"/>
        <v>50.489450593652911</v>
      </c>
      <c r="HZ74" s="36">
        <f t="shared" ref="HZ74:IU74" ca="1" si="184">HY74*EXP(($B$3-$B$4^2/2)*1+$B$4*_xlfn.NORM.S.INV(RAND()))</f>
        <v>50.373173481543951</v>
      </c>
      <c r="IA74" s="36">
        <f t="shared" ca="1" si="184"/>
        <v>49.857992789519187</v>
      </c>
      <c r="IB74" s="36">
        <f t="shared" ca="1" si="184"/>
        <v>48.930246414189511</v>
      </c>
      <c r="IC74" s="36">
        <f t="shared" ca="1" si="184"/>
        <v>47.883667381214316</v>
      </c>
      <c r="ID74" s="36">
        <f t="shared" ca="1" si="184"/>
        <v>47.07290102715902</v>
      </c>
      <c r="IE74" s="36">
        <f t="shared" ca="1" si="184"/>
        <v>45.718185721689636</v>
      </c>
      <c r="IF74" s="36">
        <f t="shared" ca="1" si="184"/>
        <v>44.898495776195837</v>
      </c>
      <c r="IG74" s="36">
        <f t="shared" ca="1" si="184"/>
        <v>43.933665093815165</v>
      </c>
      <c r="IH74" s="36">
        <f t="shared" ca="1" si="184"/>
        <v>43.833789612215426</v>
      </c>
      <c r="II74" s="36">
        <f t="shared" ca="1" si="184"/>
        <v>45.104821233439431</v>
      </c>
      <c r="IJ74" s="36">
        <f t="shared" ca="1" si="184"/>
        <v>45.185485593747572</v>
      </c>
      <c r="IK74" s="36">
        <f t="shared" ca="1" si="184"/>
        <v>44.528168715308766</v>
      </c>
      <c r="IL74" s="36">
        <f t="shared" ca="1" si="184"/>
        <v>44.031229428994735</v>
      </c>
      <c r="IM74" s="36">
        <f t="shared" ca="1" si="184"/>
        <v>42.782049489007662</v>
      </c>
      <c r="IN74" s="36">
        <f t="shared" ca="1" si="184"/>
        <v>43.465721898434637</v>
      </c>
      <c r="IO74" s="36">
        <f t="shared" ca="1" si="184"/>
        <v>43.079522635988987</v>
      </c>
      <c r="IP74" s="36">
        <f t="shared" ca="1" si="184"/>
        <v>43.740044550309904</v>
      </c>
      <c r="IQ74" s="36">
        <f t="shared" ca="1" si="184"/>
        <v>43.385087540439415</v>
      </c>
      <c r="IR74" s="36">
        <f t="shared" ca="1" si="184"/>
        <v>43.396953423363783</v>
      </c>
      <c r="IS74" s="36">
        <f t="shared" ca="1" si="184"/>
        <v>44.237391634032178</v>
      </c>
      <c r="IT74" s="36">
        <f t="shared" ca="1" si="184"/>
        <v>43.210234499787987</v>
      </c>
      <c r="IU74" s="36">
        <f t="shared" ca="1" si="184"/>
        <v>43.599891519951306</v>
      </c>
    </row>
    <row r="75" spans="1:255" x14ac:dyDescent="0.2">
      <c r="A75" s="36"/>
      <c r="B75">
        <v>65</v>
      </c>
      <c r="C75" s="36">
        <v>50</v>
      </c>
      <c r="D75" s="36">
        <f t="shared" ca="1" si="14"/>
        <v>51.480084037045579</v>
      </c>
      <c r="E75" s="36">
        <f t="shared" ca="1" si="14"/>
        <v>51.357018940920085</v>
      </c>
      <c r="F75" s="36">
        <f t="shared" ca="1" si="181"/>
        <v>51.02100603048541</v>
      </c>
      <c r="G75" s="36">
        <f t="shared" ca="1" si="181"/>
        <v>51.53836067316012</v>
      </c>
      <c r="H75" s="36">
        <f t="shared" ca="1" si="181"/>
        <v>52.436970232584187</v>
      </c>
      <c r="I75" s="36">
        <f t="shared" ca="1" si="181"/>
        <v>53.065202106922335</v>
      </c>
      <c r="J75" s="36">
        <f t="shared" ca="1" si="181"/>
        <v>52.952034507791737</v>
      </c>
      <c r="K75" s="36">
        <f t="shared" ca="1" si="181"/>
        <v>52.2345055028511</v>
      </c>
      <c r="L75" s="36">
        <f t="shared" ca="1" si="181"/>
        <v>52.280496937293151</v>
      </c>
      <c r="M75" s="36">
        <f t="shared" ca="1" si="181"/>
        <v>53.435919213721611</v>
      </c>
      <c r="N75" s="36">
        <f t="shared" ca="1" si="181"/>
        <v>53.80259356831877</v>
      </c>
      <c r="O75" s="36">
        <f t="shared" ca="1" si="181"/>
        <v>53.063825252812698</v>
      </c>
      <c r="P75" s="36">
        <f t="shared" ca="1" si="181"/>
        <v>51.880455055748769</v>
      </c>
      <c r="Q75" s="36">
        <f t="shared" ca="1" si="181"/>
        <v>52.971329850684143</v>
      </c>
      <c r="R75" s="36">
        <f t="shared" ca="1" si="181"/>
        <v>51.681457389053072</v>
      </c>
      <c r="S75" s="36">
        <f t="shared" ca="1" si="181"/>
        <v>51.51371462263662</v>
      </c>
      <c r="T75" s="36">
        <f t="shared" ca="1" si="181"/>
        <v>51.390379046021486</v>
      </c>
      <c r="U75" s="36">
        <f t="shared" ca="1" si="181"/>
        <v>51.648436490410326</v>
      </c>
      <c r="V75" s="36">
        <f t="shared" ca="1" si="181"/>
        <v>51.78413720372918</v>
      </c>
      <c r="W75" s="36">
        <f t="shared" ca="1" si="181"/>
        <v>51.538509983537594</v>
      </c>
      <c r="X75" s="36">
        <f t="shared" ca="1" si="181"/>
        <v>50.970066889578874</v>
      </c>
      <c r="Y75" s="36">
        <f t="shared" ca="1" si="181"/>
        <v>50.618355748142974</v>
      </c>
      <c r="Z75" s="36">
        <f t="shared" ca="1" si="181"/>
        <v>50.58464007200002</v>
      </c>
      <c r="AA75" s="36">
        <f t="shared" ca="1" si="181"/>
        <v>50.996626416552793</v>
      </c>
      <c r="AB75" s="36">
        <f t="shared" ca="1" si="181"/>
        <v>51.962926597621816</v>
      </c>
      <c r="AC75" s="36">
        <f t="shared" ca="1" si="181"/>
        <v>52.27579548848437</v>
      </c>
      <c r="AD75" s="36">
        <f t="shared" ca="1" si="181"/>
        <v>52.168382416032493</v>
      </c>
      <c r="AE75" s="36">
        <f t="shared" ca="1" si="181"/>
        <v>51.840987833903441</v>
      </c>
      <c r="AF75" s="36">
        <f t="shared" ca="1" si="181"/>
        <v>50.7409284803215</v>
      </c>
      <c r="AG75" s="36">
        <f t="shared" ca="1" si="181"/>
        <v>50.841885132415896</v>
      </c>
      <c r="AH75" s="36">
        <f t="shared" ca="1" si="181"/>
        <v>49.888942474597677</v>
      </c>
      <c r="AI75" s="36">
        <f t="shared" ca="1" si="181"/>
        <v>49.541664066033022</v>
      </c>
      <c r="AJ75" s="36">
        <f t="shared" ca="1" si="181"/>
        <v>49.657082269918668</v>
      </c>
      <c r="AK75" s="36">
        <f t="shared" ca="1" si="181"/>
        <v>50.622632488544987</v>
      </c>
      <c r="AL75" s="36">
        <f t="shared" ca="1" si="181"/>
        <v>50.508007251760965</v>
      </c>
      <c r="AM75" s="36">
        <f t="shared" ca="1" si="181"/>
        <v>50.57838646986626</v>
      </c>
      <c r="AN75" s="36">
        <f t="shared" ca="1" si="181"/>
        <v>50.803520182923279</v>
      </c>
      <c r="AO75" s="36">
        <f t="shared" ca="1" si="181"/>
        <v>50.590242358490229</v>
      </c>
      <c r="AP75" s="36">
        <f t="shared" ca="1" si="181"/>
        <v>50.57821267602268</v>
      </c>
      <c r="AQ75" s="36">
        <f t="shared" ca="1" si="181"/>
        <v>51.344255909959408</v>
      </c>
      <c r="AR75" s="36">
        <f t="shared" ca="1" si="181"/>
        <v>50.99693865605493</v>
      </c>
      <c r="AS75" s="36">
        <f t="shared" ca="1" si="181"/>
        <v>51.022626420272871</v>
      </c>
      <c r="AT75" s="36">
        <f t="shared" ca="1" si="181"/>
        <v>50.467194717870044</v>
      </c>
      <c r="AU75" s="36">
        <f t="shared" ca="1" si="181"/>
        <v>50.023282431744384</v>
      </c>
      <c r="AV75" s="36">
        <f t="shared" ca="1" si="181"/>
        <v>49.86712198856258</v>
      </c>
      <c r="AW75" s="36">
        <f t="shared" ca="1" si="181"/>
        <v>50.223840760261382</v>
      </c>
      <c r="AX75" s="36">
        <f t="shared" ca="1" si="181"/>
        <v>49.270370033501692</v>
      </c>
      <c r="AY75" s="36">
        <f t="shared" ca="1" si="181"/>
        <v>49.946082364896718</v>
      </c>
      <c r="AZ75" s="36">
        <f t="shared" ca="1" si="181"/>
        <v>48.93443114488872</v>
      </c>
      <c r="BA75" s="36">
        <f t="shared" ca="1" si="181"/>
        <v>48.800191355082319</v>
      </c>
      <c r="BB75" s="36">
        <f t="shared" ca="1" si="181"/>
        <v>48.385944537408463</v>
      </c>
      <c r="BC75" s="36">
        <f t="shared" ca="1" si="181"/>
        <v>49.417366729775168</v>
      </c>
      <c r="BD75" s="36">
        <f t="shared" ca="1" si="181"/>
        <v>50.008753939372376</v>
      </c>
      <c r="BE75" s="36">
        <f t="shared" ca="1" si="181"/>
        <v>49.996240645269637</v>
      </c>
      <c r="BF75" s="36">
        <f t="shared" ca="1" si="181"/>
        <v>50.078660450181516</v>
      </c>
      <c r="BG75" s="36">
        <f t="shared" ca="1" si="181"/>
        <v>50.686177244925112</v>
      </c>
      <c r="BH75" s="36">
        <f t="shared" ca="1" si="181"/>
        <v>50.563496277159047</v>
      </c>
      <c r="BI75" s="36">
        <f t="shared" ca="1" si="181"/>
        <v>51.412382972609407</v>
      </c>
      <c r="BJ75" s="36">
        <f t="shared" ca="1" si="181"/>
        <v>50.743355863546753</v>
      </c>
      <c r="BK75" s="36">
        <f t="shared" ca="1" si="181"/>
        <v>49.057904947105264</v>
      </c>
      <c r="BL75" s="36">
        <f t="shared" ca="1" si="181"/>
        <v>50.22849455345753</v>
      </c>
      <c r="BM75" s="36">
        <f t="shared" ca="1" si="181"/>
        <v>49.999976703864611</v>
      </c>
      <c r="BN75" s="36">
        <f t="shared" ca="1" si="181"/>
        <v>50.345777178611954</v>
      </c>
      <c r="BO75" s="36">
        <f t="shared" ca="1" si="181"/>
        <v>51.669089082264655</v>
      </c>
      <c r="BP75" s="36">
        <f t="shared" ca="1" si="181"/>
        <v>52.393148604844868</v>
      </c>
      <c r="BQ75" s="36">
        <f t="shared" ca="1" si="181"/>
        <v>53.312561388486685</v>
      </c>
      <c r="BR75" s="36">
        <f t="shared" ca="1" si="178"/>
        <v>53.813552945344433</v>
      </c>
      <c r="BS75" s="36">
        <f t="shared" ca="1" si="178"/>
        <v>53.572137471390029</v>
      </c>
      <c r="BT75" s="36">
        <f t="shared" ca="1" si="178"/>
        <v>53.67566750125259</v>
      </c>
      <c r="BU75" s="36">
        <f t="shared" ca="1" si="178"/>
        <v>52.008858238039018</v>
      </c>
      <c r="BV75" s="36">
        <f t="shared" ca="1" si="178"/>
        <v>51.671405606240391</v>
      </c>
      <c r="BW75" s="36">
        <f t="shared" ca="1" si="178"/>
        <v>52.055266131367688</v>
      </c>
      <c r="BX75" s="36">
        <f t="shared" ca="1" si="178"/>
        <v>51.736524441940809</v>
      </c>
      <c r="BY75" s="36">
        <f t="shared" ca="1" si="178"/>
        <v>51.411250524899707</v>
      </c>
      <c r="BZ75" s="36">
        <f t="shared" ca="1" si="178"/>
        <v>51.834671426918284</v>
      </c>
      <c r="CA75" s="36">
        <f t="shared" ca="1" si="178"/>
        <v>51.250250833422463</v>
      </c>
      <c r="CB75" s="36">
        <f t="shared" ca="1" si="178"/>
        <v>51.568746630230216</v>
      </c>
      <c r="CC75" s="36">
        <f t="shared" ca="1" si="178"/>
        <v>50.568712989784451</v>
      </c>
      <c r="CD75" s="36">
        <f t="shared" ca="1" si="178"/>
        <v>49.077398417442723</v>
      </c>
      <c r="CE75" s="36">
        <f t="shared" ca="1" si="178"/>
        <v>49.961299018579574</v>
      </c>
      <c r="CF75" s="36">
        <f t="shared" ca="1" si="178"/>
        <v>50.242309887960545</v>
      </c>
      <c r="CG75" s="36">
        <f t="shared" ca="1" si="178"/>
        <v>49.916904556391415</v>
      </c>
      <c r="CH75" s="36">
        <f t="shared" ca="1" si="178"/>
        <v>50.309472671433937</v>
      </c>
      <c r="CI75" s="36">
        <f t="shared" ca="1" si="178"/>
        <v>49.120887391273378</v>
      </c>
      <c r="CJ75" s="36">
        <f t="shared" ca="1" si="178"/>
        <v>49.687917856998659</v>
      </c>
      <c r="CK75" s="36">
        <f t="shared" ca="1" si="178"/>
        <v>49.503819228508149</v>
      </c>
      <c r="CL75" s="36">
        <f t="shared" ca="1" si="178"/>
        <v>49.889043637305896</v>
      </c>
      <c r="CM75" s="36">
        <f t="shared" ca="1" si="178"/>
        <v>50.066182604705084</v>
      </c>
      <c r="CN75" s="36">
        <f t="shared" ca="1" si="178"/>
        <v>48.253293002709761</v>
      </c>
      <c r="CO75" s="36">
        <f t="shared" ca="1" si="178"/>
        <v>48.273930275384835</v>
      </c>
      <c r="CP75" s="36">
        <f t="shared" ca="1" si="178"/>
        <v>49.321952353448857</v>
      </c>
      <c r="CQ75" s="36">
        <f t="shared" ca="1" si="178"/>
        <v>49.622547216835663</v>
      </c>
      <c r="CR75" s="36">
        <f t="shared" ca="1" si="178"/>
        <v>48.429300243230429</v>
      </c>
      <c r="CS75" s="36">
        <f t="shared" ca="1" si="178"/>
        <v>48.568198152104451</v>
      </c>
      <c r="CT75" s="36">
        <f t="shared" ca="1" si="178"/>
        <v>48.651908284552782</v>
      </c>
      <c r="CU75" s="36">
        <f t="shared" ca="1" si="178"/>
        <v>47.988836092171908</v>
      </c>
      <c r="CV75" s="36">
        <f t="shared" ca="1" si="178"/>
        <v>48.224719401742178</v>
      </c>
      <c r="CW75" s="36">
        <f t="shared" ca="1" si="178"/>
        <v>48.537471134853135</v>
      </c>
      <c r="CX75" s="36">
        <f t="shared" ca="1" si="178"/>
        <v>48.089052178061792</v>
      </c>
      <c r="CY75" s="36">
        <f t="shared" ca="1" si="178"/>
        <v>48.008751209438714</v>
      </c>
      <c r="CZ75" s="36">
        <f t="shared" ca="1" si="178"/>
        <v>46.986837676112557</v>
      </c>
      <c r="DA75" s="36">
        <f t="shared" ca="1" si="178"/>
        <v>47.21704443181865</v>
      </c>
      <c r="DB75" s="36">
        <f t="shared" ca="1" si="178"/>
        <v>47.331593143209595</v>
      </c>
      <c r="DC75" s="36">
        <f t="shared" ca="1" si="178"/>
        <v>48.25689388874671</v>
      </c>
      <c r="DD75" s="36">
        <f t="shared" ca="1" si="178"/>
        <v>47.259001376707971</v>
      </c>
      <c r="DE75" s="36">
        <f t="shared" ca="1" si="178"/>
        <v>47.835645031106381</v>
      </c>
      <c r="DF75" s="36">
        <f t="shared" ca="1" si="178"/>
        <v>47.792647615136154</v>
      </c>
      <c r="DG75" s="36">
        <f t="shared" ca="1" si="178"/>
        <v>48.500255758790757</v>
      </c>
      <c r="DH75" s="36">
        <f t="shared" ca="1" si="178"/>
        <v>48.945105494533216</v>
      </c>
      <c r="DI75" s="36">
        <f t="shared" ca="1" si="178"/>
        <v>48.895926688223973</v>
      </c>
      <c r="DJ75" s="36">
        <f t="shared" ca="1" si="178"/>
        <v>48.937349160028269</v>
      </c>
      <c r="DK75" s="36">
        <f t="shared" ca="1" si="178"/>
        <v>48.623963011913837</v>
      </c>
      <c r="DL75" s="36">
        <f t="shared" ca="1" si="178"/>
        <v>49.632079786634385</v>
      </c>
      <c r="DM75" s="36">
        <f t="shared" ca="1" si="178"/>
        <v>49.926768771327183</v>
      </c>
      <c r="DN75" s="36">
        <f t="shared" ca="1" si="178"/>
        <v>49.443620121489609</v>
      </c>
      <c r="DO75" s="36">
        <f t="shared" ca="1" si="178"/>
        <v>49.406665412475348</v>
      </c>
      <c r="DP75" s="36">
        <f t="shared" ca="1" si="178"/>
        <v>49.553155108500469</v>
      </c>
      <c r="DQ75" s="36">
        <f t="shared" ca="1" si="178"/>
        <v>50.273888499571754</v>
      </c>
      <c r="DR75" s="36">
        <f t="shared" ca="1" si="178"/>
        <v>49.180976201755655</v>
      </c>
      <c r="DS75" s="36">
        <f t="shared" ca="1" si="178"/>
        <v>48.696629048427646</v>
      </c>
      <c r="DT75" s="36">
        <f t="shared" ca="1" si="178"/>
        <v>49.098523612147012</v>
      </c>
      <c r="DU75" s="36">
        <f t="shared" ca="1" si="178"/>
        <v>49.427561793186022</v>
      </c>
      <c r="DV75" s="36">
        <f t="shared" ca="1" si="178"/>
        <v>49.170868197673585</v>
      </c>
      <c r="DW75" s="36">
        <f t="shared" ca="1" si="178"/>
        <v>49.213228569190733</v>
      </c>
      <c r="DX75" s="36">
        <f t="shared" ca="1" si="178"/>
        <v>48.766308832421757</v>
      </c>
      <c r="DY75" s="36">
        <f t="shared" ca="1" si="178"/>
        <v>48.74540460974071</v>
      </c>
      <c r="DZ75" s="36">
        <f t="shared" ca="1" si="178"/>
        <v>50.678029363233861</v>
      </c>
      <c r="EA75" s="36">
        <f t="shared" ca="1" si="178"/>
        <v>49.446269018438777</v>
      </c>
      <c r="EB75" s="36">
        <f t="shared" ca="1" si="178"/>
        <v>49.967304988223034</v>
      </c>
      <c r="EC75" s="36">
        <f t="shared" ca="1" si="173"/>
        <v>50.536381754721781</v>
      </c>
      <c r="ED75" s="36">
        <f t="shared" ca="1" si="173"/>
        <v>50.86525274884044</v>
      </c>
      <c r="EE75" s="36">
        <f t="shared" ca="1" si="173"/>
        <v>50.709657875838964</v>
      </c>
      <c r="EF75" s="36">
        <f t="shared" ca="1" si="173"/>
        <v>50.6274946629472</v>
      </c>
      <c r="EG75" s="36">
        <f t="shared" ca="1" si="173"/>
        <v>51.034644433561233</v>
      </c>
      <c r="EH75" s="36">
        <f t="shared" ca="1" si="173"/>
        <v>50.662390673987112</v>
      </c>
      <c r="EI75" s="36">
        <f t="shared" ca="1" si="173"/>
        <v>51.356830758296461</v>
      </c>
      <c r="EJ75" s="36">
        <f t="shared" ca="1" si="173"/>
        <v>52.251537334340014</v>
      </c>
      <c r="EK75" s="36">
        <f t="shared" ca="1" si="173"/>
        <v>52.222501332632859</v>
      </c>
      <c r="EL75" s="36">
        <f t="shared" ca="1" si="173"/>
        <v>53.378414652442942</v>
      </c>
      <c r="EM75" s="36">
        <f t="shared" ca="1" si="173"/>
        <v>54.088077496165631</v>
      </c>
      <c r="EN75" s="36">
        <f t="shared" ca="1" si="173"/>
        <v>53.697614583079336</v>
      </c>
      <c r="EO75" s="36">
        <f t="shared" ca="1" si="173"/>
        <v>54.490377764013644</v>
      </c>
      <c r="EP75" s="36">
        <f t="shared" ca="1" si="173"/>
        <v>54.06590440803086</v>
      </c>
      <c r="EQ75" s="36">
        <f t="shared" ca="1" si="173"/>
        <v>54.005921482121018</v>
      </c>
      <c r="ER75" s="36">
        <f t="shared" ca="1" si="173"/>
        <v>54.372536169690292</v>
      </c>
      <c r="ES75" s="36">
        <f t="shared" ca="1" si="173"/>
        <v>54.809478447635875</v>
      </c>
      <c r="ET75" s="36">
        <f t="shared" ca="1" si="173"/>
        <v>54.976921496685407</v>
      </c>
      <c r="EU75" s="36">
        <f t="shared" ca="1" si="173"/>
        <v>55.058662464106568</v>
      </c>
      <c r="EV75" s="36">
        <f t="shared" ca="1" si="173"/>
        <v>56.148890589201365</v>
      </c>
      <c r="EW75" s="36">
        <f t="shared" ref="EW75:HH75" ca="1" si="185">EV75*EXP(($B$3-$B$4^2/2)*1+$B$4*_xlfn.NORM.S.INV(RAND()))</f>
        <v>56.706019463785431</v>
      </c>
      <c r="EX75" s="36">
        <f t="shared" ca="1" si="185"/>
        <v>57.125354342772873</v>
      </c>
      <c r="EY75" s="36">
        <f t="shared" ca="1" si="185"/>
        <v>57.445683659857835</v>
      </c>
      <c r="EZ75" s="36">
        <f t="shared" ca="1" si="185"/>
        <v>57.302357242328739</v>
      </c>
      <c r="FA75" s="36">
        <f t="shared" ca="1" si="185"/>
        <v>58.05955352600288</v>
      </c>
      <c r="FB75" s="36">
        <f t="shared" ca="1" si="185"/>
        <v>57.614809240356919</v>
      </c>
      <c r="FC75" s="36">
        <f t="shared" ca="1" si="185"/>
        <v>58.174835396337045</v>
      </c>
      <c r="FD75" s="36">
        <f t="shared" ca="1" si="185"/>
        <v>59.264281005887796</v>
      </c>
      <c r="FE75" s="36">
        <f t="shared" ca="1" si="185"/>
        <v>57.357997393105109</v>
      </c>
      <c r="FF75" s="36">
        <f t="shared" ca="1" si="185"/>
        <v>57.13751314584551</v>
      </c>
      <c r="FG75" s="36">
        <f t="shared" ca="1" si="185"/>
        <v>58.261238912699696</v>
      </c>
      <c r="FH75" s="36">
        <f t="shared" ca="1" si="185"/>
        <v>58.669186117009325</v>
      </c>
      <c r="FI75" s="36">
        <f t="shared" ca="1" si="185"/>
        <v>60.08560060989835</v>
      </c>
      <c r="FJ75" s="36">
        <f t="shared" ca="1" si="185"/>
        <v>59.724512644432927</v>
      </c>
      <c r="FK75" s="36">
        <f t="shared" ca="1" si="185"/>
        <v>59.505744667252728</v>
      </c>
      <c r="FL75" s="36">
        <f t="shared" ca="1" si="185"/>
        <v>58.865901336311104</v>
      </c>
      <c r="FM75" s="36">
        <f t="shared" ca="1" si="185"/>
        <v>56.86212477169309</v>
      </c>
      <c r="FN75" s="36">
        <f t="shared" ca="1" si="185"/>
        <v>56.099675325710585</v>
      </c>
      <c r="FO75" s="36">
        <f t="shared" ca="1" si="185"/>
        <v>55.668281253824858</v>
      </c>
      <c r="FP75" s="36">
        <f t="shared" ca="1" si="185"/>
        <v>55.171071784131726</v>
      </c>
      <c r="FQ75" s="36">
        <f t="shared" ca="1" si="185"/>
        <v>56.096582953940079</v>
      </c>
      <c r="FR75" s="36">
        <f t="shared" ca="1" si="185"/>
        <v>56.686765333386518</v>
      </c>
      <c r="FS75" s="36">
        <f t="shared" ca="1" si="185"/>
        <v>56.572458801332061</v>
      </c>
      <c r="FT75" s="36">
        <f t="shared" ca="1" si="185"/>
        <v>57.335996628435126</v>
      </c>
      <c r="FU75" s="36">
        <f t="shared" ca="1" si="185"/>
        <v>55.929274978109206</v>
      </c>
      <c r="FV75" s="36">
        <f t="shared" ca="1" si="185"/>
        <v>56.234837938124571</v>
      </c>
      <c r="FW75" s="36">
        <f t="shared" ca="1" si="185"/>
        <v>57.083651239270509</v>
      </c>
      <c r="FX75" s="36">
        <f t="shared" ca="1" si="185"/>
        <v>57.43582819957566</v>
      </c>
      <c r="FY75" s="36">
        <f t="shared" ca="1" si="185"/>
        <v>56.287659822207615</v>
      </c>
      <c r="FZ75" s="36">
        <f t="shared" ca="1" si="185"/>
        <v>55.546546873460969</v>
      </c>
      <c r="GA75" s="36">
        <f t="shared" ca="1" si="185"/>
        <v>54.809557106052509</v>
      </c>
      <c r="GB75" s="36">
        <f t="shared" ca="1" si="185"/>
        <v>54.933692296735266</v>
      </c>
      <c r="GC75" s="36">
        <f t="shared" ca="1" si="185"/>
        <v>54.845323839363445</v>
      </c>
      <c r="GD75" s="36">
        <f t="shared" ca="1" si="185"/>
        <v>55.327499044353431</v>
      </c>
      <c r="GE75" s="36">
        <f t="shared" ca="1" si="185"/>
        <v>55.945204336663977</v>
      </c>
      <c r="GF75" s="36">
        <f t="shared" ca="1" si="185"/>
        <v>55.912502743261243</v>
      </c>
      <c r="GG75" s="36">
        <f t="shared" ca="1" si="185"/>
        <v>55.495014159201141</v>
      </c>
      <c r="GH75" s="36">
        <f t="shared" ca="1" si="185"/>
        <v>54.474702878287886</v>
      </c>
      <c r="GI75" s="36">
        <f t="shared" ca="1" si="185"/>
        <v>53.884586424467386</v>
      </c>
      <c r="GJ75" s="36">
        <f t="shared" ca="1" si="185"/>
        <v>53.880289527290756</v>
      </c>
      <c r="GK75" s="36">
        <f t="shared" ca="1" si="185"/>
        <v>54.186023224017688</v>
      </c>
      <c r="GL75" s="36">
        <f t="shared" ca="1" si="185"/>
        <v>53.820810139040212</v>
      </c>
      <c r="GM75" s="36">
        <f t="shared" ca="1" si="185"/>
        <v>53.250009666467101</v>
      </c>
      <c r="GN75" s="36">
        <f t="shared" ca="1" si="185"/>
        <v>54.275632284489127</v>
      </c>
      <c r="GO75" s="36">
        <f t="shared" ca="1" si="185"/>
        <v>53.954221335146222</v>
      </c>
      <c r="GP75" s="36">
        <f t="shared" ca="1" si="185"/>
        <v>53.358071299999672</v>
      </c>
      <c r="GQ75" s="36">
        <f t="shared" ca="1" si="185"/>
        <v>53.715061936264227</v>
      </c>
      <c r="GR75" s="36">
        <f t="shared" ca="1" si="185"/>
        <v>53.216481541874707</v>
      </c>
      <c r="GS75" s="36">
        <f t="shared" ca="1" si="185"/>
        <v>53.377025361759003</v>
      </c>
      <c r="GT75" s="36">
        <f t="shared" ca="1" si="185"/>
        <v>53.315906869677043</v>
      </c>
      <c r="GU75" s="36">
        <f t="shared" ca="1" si="185"/>
        <v>53.279821953610373</v>
      </c>
      <c r="GV75" s="36">
        <f t="shared" ca="1" si="185"/>
        <v>53.410335377372768</v>
      </c>
      <c r="GW75" s="36">
        <f t="shared" ca="1" si="185"/>
        <v>53.131354590427435</v>
      </c>
      <c r="GX75" s="36">
        <f t="shared" ca="1" si="185"/>
        <v>53.19678855500127</v>
      </c>
      <c r="GY75" s="36">
        <f t="shared" ca="1" si="185"/>
        <v>54.004906208557884</v>
      </c>
      <c r="GZ75" s="36">
        <f t="shared" ca="1" si="185"/>
        <v>53.898098840883264</v>
      </c>
      <c r="HA75" s="36">
        <f t="shared" ca="1" si="185"/>
        <v>53.446727686522607</v>
      </c>
      <c r="HB75" s="36">
        <f t="shared" ca="1" si="185"/>
        <v>54.46448561806239</v>
      </c>
      <c r="HC75" s="36">
        <f t="shared" ca="1" si="185"/>
        <v>54.586758559746499</v>
      </c>
      <c r="HD75" s="36">
        <f t="shared" ca="1" si="185"/>
        <v>53.777388527841858</v>
      </c>
      <c r="HE75" s="36">
        <f t="shared" ca="1" si="185"/>
        <v>53.402079952513198</v>
      </c>
      <c r="HF75" s="36">
        <f t="shared" ca="1" si="185"/>
        <v>53.630885507426122</v>
      </c>
      <c r="HG75" s="36">
        <f t="shared" ca="1" si="185"/>
        <v>53.424852433756932</v>
      </c>
      <c r="HH75" s="36">
        <f t="shared" ca="1" si="185"/>
        <v>52.632768297971793</v>
      </c>
      <c r="HI75" s="36">
        <f t="shared" ref="HI75" ca="1" si="186">HH75*EXP(($B$3-$B$4^2/2)*1+$B$4*_xlfn.NORM.S.INV(RAND()))</f>
        <v>53.365439362886612</v>
      </c>
      <c r="HJ75" s="36">
        <f t="shared" ca="1" si="177"/>
        <v>52.543660455110178</v>
      </c>
      <c r="HK75" s="36">
        <f t="shared" ca="1" si="177"/>
        <v>52.816295650422362</v>
      </c>
      <c r="HL75" s="36">
        <f t="shared" ca="1" si="177"/>
        <v>51.834979290365496</v>
      </c>
      <c r="HM75" s="36">
        <f t="shared" ca="1" si="177"/>
        <v>51.862239709791723</v>
      </c>
      <c r="HN75" s="36">
        <f t="shared" ca="1" si="177"/>
        <v>52.1162290595543</v>
      </c>
      <c r="HO75" s="36">
        <f t="shared" ca="1" si="177"/>
        <v>53.357686798181092</v>
      </c>
      <c r="HP75" s="36">
        <f t="shared" ca="1" si="177"/>
        <v>53.433214666118943</v>
      </c>
      <c r="HQ75" s="36">
        <f t="shared" ca="1" si="177"/>
        <v>53.582431783546703</v>
      </c>
      <c r="HR75" s="36">
        <f t="shared" ca="1" si="177"/>
        <v>53.529797011904471</v>
      </c>
      <c r="HS75" s="36">
        <f t="shared" ca="1" si="177"/>
        <v>53.087491274386188</v>
      </c>
      <c r="HT75" s="36">
        <f t="shared" ca="1" si="177"/>
        <v>52.84931754155722</v>
      </c>
      <c r="HU75" s="36">
        <f t="shared" ca="1" si="177"/>
        <v>51.932612577538372</v>
      </c>
      <c r="HV75" s="36">
        <f t="shared" ca="1" si="177"/>
        <v>52.265504604270141</v>
      </c>
      <c r="HW75" s="36">
        <f t="shared" ca="1" si="177"/>
        <v>51.497813921972721</v>
      </c>
      <c r="HX75" s="36">
        <f t="shared" ca="1" si="177"/>
        <v>51.181640670601873</v>
      </c>
      <c r="HY75" s="36">
        <f t="shared" ca="1" si="177"/>
        <v>53.228652920863567</v>
      </c>
      <c r="HZ75" s="36">
        <f t="shared" ref="HZ75:IU75" ca="1" si="187">HY75*EXP(($B$3-$B$4^2/2)*1+$B$4*_xlfn.NORM.S.INV(RAND()))</f>
        <v>54.380861528232337</v>
      </c>
      <c r="IA75" s="36">
        <f t="shared" ca="1" si="187"/>
        <v>55.418027859804603</v>
      </c>
      <c r="IB75" s="36">
        <f t="shared" ca="1" si="187"/>
        <v>54.273955466797432</v>
      </c>
      <c r="IC75" s="36">
        <f t="shared" ca="1" si="187"/>
        <v>54.738064748114361</v>
      </c>
      <c r="ID75" s="36">
        <f t="shared" ca="1" si="187"/>
        <v>55.183185096713899</v>
      </c>
      <c r="IE75" s="36">
        <f t="shared" ca="1" si="187"/>
        <v>53.976906844300963</v>
      </c>
      <c r="IF75" s="36">
        <f t="shared" ca="1" si="187"/>
        <v>54.588272408355564</v>
      </c>
      <c r="IG75" s="36">
        <f t="shared" ca="1" si="187"/>
        <v>53.9492083351169</v>
      </c>
      <c r="IH75" s="36">
        <f t="shared" ca="1" si="187"/>
        <v>54.035135256824354</v>
      </c>
      <c r="II75" s="36">
        <f t="shared" ca="1" si="187"/>
        <v>54.655253589352604</v>
      </c>
      <c r="IJ75" s="36">
        <f t="shared" ca="1" si="187"/>
        <v>55.911637483809464</v>
      </c>
      <c r="IK75" s="36">
        <f t="shared" ca="1" si="187"/>
        <v>55.053163669173571</v>
      </c>
      <c r="IL75" s="36">
        <f t="shared" ca="1" si="187"/>
        <v>55.33807231340483</v>
      </c>
      <c r="IM75" s="36">
        <f t="shared" ca="1" si="187"/>
        <v>55.443255974661511</v>
      </c>
      <c r="IN75" s="36">
        <f t="shared" ca="1" si="187"/>
        <v>55.266899951078784</v>
      </c>
      <c r="IO75" s="36">
        <f t="shared" ca="1" si="187"/>
        <v>55.713765611981032</v>
      </c>
      <c r="IP75" s="36">
        <f t="shared" ca="1" si="187"/>
        <v>55.591426847714168</v>
      </c>
      <c r="IQ75" s="36">
        <f t="shared" ca="1" si="187"/>
        <v>56.796549714517191</v>
      </c>
      <c r="IR75" s="36">
        <f t="shared" ca="1" si="187"/>
        <v>57.43923506820385</v>
      </c>
      <c r="IS75" s="36">
        <f t="shared" ca="1" si="187"/>
        <v>57.696002183105541</v>
      </c>
      <c r="IT75" s="36">
        <f t="shared" ca="1" si="187"/>
        <v>57.999998170367611</v>
      </c>
      <c r="IU75" s="36">
        <f t="shared" ca="1" si="187"/>
        <v>57.513764908890927</v>
      </c>
    </row>
    <row r="76" spans="1:255" x14ac:dyDescent="0.2">
      <c r="A76" s="36"/>
      <c r="B76">
        <v>66</v>
      </c>
      <c r="C76" s="36">
        <v>50</v>
      </c>
      <c r="D76" s="36">
        <f t="shared" ref="D76:E110" ca="1" si="188">C76*EXP(($B$3-$B$4^2/2)*1+$B$4*_xlfn.NORM.S.INV(RAND()))</f>
        <v>49.829411623594787</v>
      </c>
      <c r="E76" s="36">
        <f t="shared" ca="1" si="188"/>
        <v>50.525778622910202</v>
      </c>
      <c r="F76" s="36">
        <f t="shared" ca="1" si="181"/>
        <v>50.901357696746381</v>
      </c>
      <c r="G76" s="36">
        <f t="shared" ca="1" si="181"/>
        <v>50.269030062221219</v>
      </c>
      <c r="H76" s="36">
        <f t="shared" ca="1" si="181"/>
        <v>49.941532529507533</v>
      </c>
      <c r="I76" s="36">
        <f t="shared" ca="1" si="181"/>
        <v>49.984521234026737</v>
      </c>
      <c r="J76" s="36">
        <f t="shared" ca="1" si="181"/>
        <v>49.312931953547775</v>
      </c>
      <c r="K76" s="36">
        <f t="shared" ca="1" si="181"/>
        <v>49.632957002656198</v>
      </c>
      <c r="L76" s="36">
        <f t="shared" ca="1" si="181"/>
        <v>50.55564935923482</v>
      </c>
      <c r="M76" s="36">
        <f t="shared" ca="1" si="181"/>
        <v>50.24081170703041</v>
      </c>
      <c r="N76" s="36">
        <f t="shared" ca="1" si="181"/>
        <v>50.835540611620779</v>
      </c>
      <c r="O76" s="36">
        <f t="shared" ca="1" si="181"/>
        <v>50.615057903426326</v>
      </c>
      <c r="P76" s="36">
        <f t="shared" ca="1" si="181"/>
        <v>50.251052494507356</v>
      </c>
      <c r="Q76" s="36">
        <f t="shared" ca="1" si="181"/>
        <v>50.327975042349458</v>
      </c>
      <c r="R76" s="36">
        <f t="shared" ca="1" si="181"/>
        <v>49.580583418148812</v>
      </c>
      <c r="S76" s="36">
        <f t="shared" ca="1" si="181"/>
        <v>49.549373065517543</v>
      </c>
      <c r="T76" s="36">
        <f t="shared" ca="1" si="181"/>
        <v>50.290631417487482</v>
      </c>
      <c r="U76" s="36">
        <f t="shared" ca="1" si="181"/>
        <v>50.261757900458257</v>
      </c>
      <c r="V76" s="36">
        <f t="shared" ca="1" si="181"/>
        <v>51.144131524878176</v>
      </c>
      <c r="W76" s="36">
        <f t="shared" ca="1" si="181"/>
        <v>51.462412601659565</v>
      </c>
      <c r="X76" s="36">
        <f t="shared" ca="1" si="181"/>
        <v>51.09208709100858</v>
      </c>
      <c r="Y76" s="36">
        <f t="shared" ca="1" si="181"/>
        <v>51.375066149349699</v>
      </c>
      <c r="Z76" s="36">
        <f t="shared" ca="1" si="181"/>
        <v>51.843409355920876</v>
      </c>
      <c r="AA76" s="36">
        <f t="shared" ca="1" si="181"/>
        <v>51.561742876311619</v>
      </c>
      <c r="AB76" s="36">
        <f t="shared" ca="1" si="181"/>
        <v>50.773460421883911</v>
      </c>
      <c r="AC76" s="36">
        <f t="shared" ca="1" si="181"/>
        <v>49.744486409351886</v>
      </c>
      <c r="AD76" s="36">
        <f t="shared" ca="1" si="181"/>
        <v>48.760609165870399</v>
      </c>
      <c r="AE76" s="36">
        <f t="shared" ca="1" si="181"/>
        <v>48.438048230314159</v>
      </c>
      <c r="AF76" s="36">
        <f t="shared" ca="1" si="181"/>
        <v>48.630044919718642</v>
      </c>
      <c r="AG76" s="36">
        <f t="shared" ca="1" si="181"/>
        <v>48.06372671222713</v>
      </c>
      <c r="AH76" s="36">
        <f t="shared" ca="1" si="181"/>
        <v>48.313937420824736</v>
      </c>
      <c r="AI76" s="36">
        <f t="shared" ca="1" si="181"/>
        <v>47.753323807975534</v>
      </c>
      <c r="AJ76" s="36">
        <f t="shared" ca="1" si="181"/>
        <v>47.793858001988745</v>
      </c>
      <c r="AK76" s="36">
        <f t="shared" ca="1" si="181"/>
        <v>47.206412725468788</v>
      </c>
      <c r="AL76" s="36">
        <f t="shared" ca="1" si="181"/>
        <v>46.527792306083313</v>
      </c>
      <c r="AM76" s="36">
        <f t="shared" ca="1" si="181"/>
        <v>46.210949428123484</v>
      </c>
      <c r="AN76" s="36">
        <f t="shared" ca="1" si="181"/>
        <v>45.316456845655964</v>
      </c>
      <c r="AO76" s="36">
        <f t="shared" ca="1" si="181"/>
        <v>45.748794944861807</v>
      </c>
      <c r="AP76" s="36">
        <f t="shared" ca="1" si="181"/>
        <v>46.334058510765217</v>
      </c>
      <c r="AQ76" s="36">
        <f t="shared" ca="1" si="181"/>
        <v>45.781740161249289</v>
      </c>
      <c r="AR76" s="36">
        <f t="shared" ca="1" si="181"/>
        <v>45.491410193567951</v>
      </c>
      <c r="AS76" s="36">
        <f t="shared" ca="1" si="181"/>
        <v>45.07444621442378</v>
      </c>
      <c r="AT76" s="36">
        <f t="shared" ca="1" si="181"/>
        <v>44.885794650943978</v>
      </c>
      <c r="AU76" s="36">
        <f t="shared" ca="1" si="181"/>
        <v>44.229232134520075</v>
      </c>
      <c r="AV76" s="36">
        <f t="shared" ca="1" si="181"/>
        <v>44.320217372654234</v>
      </c>
      <c r="AW76" s="36">
        <f t="shared" ca="1" si="181"/>
        <v>42.708887498662058</v>
      </c>
      <c r="AX76" s="36">
        <f t="shared" ca="1" si="181"/>
        <v>42.865615374863587</v>
      </c>
      <c r="AY76" s="36">
        <f t="shared" ca="1" si="181"/>
        <v>43.216686611376034</v>
      </c>
      <c r="AZ76" s="36">
        <f t="shared" ca="1" si="181"/>
        <v>43.486230595315511</v>
      </c>
      <c r="BA76" s="36">
        <f t="shared" ca="1" si="181"/>
        <v>43.869200338341948</v>
      </c>
      <c r="BB76" s="36">
        <f t="shared" ca="1" si="181"/>
        <v>44.966242423347275</v>
      </c>
      <c r="BC76" s="36">
        <f t="shared" ca="1" si="181"/>
        <v>45.394432461674803</v>
      </c>
      <c r="BD76" s="36">
        <f t="shared" ca="1" si="181"/>
        <v>45.005744823392071</v>
      </c>
      <c r="BE76" s="36">
        <f t="shared" ca="1" si="181"/>
        <v>44.488049398917951</v>
      </c>
      <c r="BF76" s="36">
        <f t="shared" ca="1" si="181"/>
        <v>44.156923243016905</v>
      </c>
      <c r="BG76" s="36">
        <f t="shared" ca="1" si="181"/>
        <v>44.500108366363023</v>
      </c>
      <c r="BH76" s="36">
        <f t="shared" ca="1" si="181"/>
        <v>44.948926321996161</v>
      </c>
      <c r="BI76" s="36">
        <f t="shared" ca="1" si="181"/>
        <v>46.075827874224139</v>
      </c>
      <c r="BJ76" s="36">
        <f t="shared" ca="1" si="181"/>
        <v>45.626730407655735</v>
      </c>
      <c r="BK76" s="36">
        <f t="shared" ca="1" si="181"/>
        <v>45.602563081839804</v>
      </c>
      <c r="BL76" s="36">
        <f t="shared" ca="1" si="181"/>
        <v>45.519377728651321</v>
      </c>
      <c r="BM76" s="36">
        <f t="shared" ca="1" si="181"/>
        <v>45.331729689980861</v>
      </c>
      <c r="BN76" s="36">
        <f t="shared" ca="1" si="181"/>
        <v>45.811387831452443</v>
      </c>
      <c r="BO76" s="36">
        <f t="shared" ca="1" si="181"/>
        <v>46.357684864155907</v>
      </c>
      <c r="BP76" s="36">
        <f t="shared" ca="1" si="181"/>
        <v>46.222339471830566</v>
      </c>
      <c r="BQ76" s="36">
        <f t="shared" ca="1" si="181"/>
        <v>47.173798079575249</v>
      </c>
      <c r="BR76" s="36">
        <f t="shared" ca="1" si="178"/>
        <v>47.387080331496705</v>
      </c>
      <c r="BS76" s="36">
        <f t="shared" ca="1" si="178"/>
        <v>46.697448137659116</v>
      </c>
      <c r="BT76" s="36">
        <f t="shared" ca="1" si="178"/>
        <v>46.890076209545697</v>
      </c>
      <c r="BU76" s="36">
        <f t="shared" ca="1" si="178"/>
        <v>46.065267469469354</v>
      </c>
      <c r="BV76" s="36">
        <f t="shared" ca="1" si="178"/>
        <v>46.51423932574243</v>
      </c>
      <c r="BW76" s="36">
        <f t="shared" ca="1" si="178"/>
        <v>47.39469530995494</v>
      </c>
      <c r="BX76" s="36">
        <f t="shared" ca="1" si="178"/>
        <v>47.104183427778231</v>
      </c>
      <c r="BY76" s="36">
        <f t="shared" ca="1" si="178"/>
        <v>46.133863701586094</v>
      </c>
      <c r="BZ76" s="36">
        <f t="shared" ca="1" si="178"/>
        <v>44.977734127521806</v>
      </c>
      <c r="CA76" s="36">
        <f t="shared" ca="1" si="178"/>
        <v>44.943842512680483</v>
      </c>
      <c r="CB76" s="36">
        <f t="shared" ca="1" si="178"/>
        <v>45.052290840526872</v>
      </c>
      <c r="CC76" s="36">
        <f t="shared" ca="1" si="178"/>
        <v>45.912803430976261</v>
      </c>
      <c r="CD76" s="36">
        <f t="shared" ca="1" si="178"/>
        <v>46.080403696007068</v>
      </c>
      <c r="CE76" s="36">
        <f t="shared" ca="1" si="178"/>
        <v>45.915429819355417</v>
      </c>
      <c r="CF76" s="36">
        <f t="shared" ca="1" si="178"/>
        <v>46.103657190607123</v>
      </c>
      <c r="CG76" s="36">
        <f t="shared" ca="1" si="178"/>
        <v>45.775567876084949</v>
      </c>
      <c r="CH76" s="36">
        <f t="shared" ca="1" si="178"/>
        <v>45.628307930210568</v>
      </c>
      <c r="CI76" s="36">
        <f t="shared" ca="1" si="178"/>
        <v>45.508756872517196</v>
      </c>
      <c r="CJ76" s="36">
        <f t="shared" ca="1" si="178"/>
        <v>45.421131406458727</v>
      </c>
      <c r="CK76" s="36">
        <f t="shared" ca="1" si="178"/>
        <v>45.525704235290227</v>
      </c>
      <c r="CL76" s="36">
        <f t="shared" ca="1" si="178"/>
        <v>45.581843046178378</v>
      </c>
      <c r="CM76" s="36">
        <f t="shared" ca="1" si="178"/>
        <v>45.31414582870088</v>
      </c>
      <c r="CN76" s="36">
        <f t="shared" ca="1" si="178"/>
        <v>45.180575855287792</v>
      </c>
      <c r="CO76" s="36">
        <f t="shared" ca="1" si="178"/>
        <v>45.195275736707053</v>
      </c>
      <c r="CP76" s="36">
        <f t="shared" ca="1" si="178"/>
        <v>45.325130046612607</v>
      </c>
      <c r="CQ76" s="36">
        <f t="shared" ca="1" si="178"/>
        <v>45.43379712485013</v>
      </c>
      <c r="CR76" s="36">
        <f t="shared" ca="1" si="178"/>
        <v>45.407560510867881</v>
      </c>
      <c r="CS76" s="36">
        <f t="shared" ca="1" si="178"/>
        <v>46.233432220833627</v>
      </c>
      <c r="CT76" s="36">
        <f t="shared" ca="1" si="178"/>
        <v>46.389673276541664</v>
      </c>
      <c r="CU76" s="36">
        <f t="shared" ca="1" si="178"/>
        <v>46.714426114019481</v>
      </c>
      <c r="CV76" s="36">
        <f t="shared" ca="1" si="178"/>
        <v>45.130567859793224</v>
      </c>
      <c r="CW76" s="36">
        <f t="shared" ca="1" si="178"/>
        <v>45.043258104588972</v>
      </c>
      <c r="CX76" s="36">
        <f t="shared" ca="1" si="178"/>
        <v>44.792327364489061</v>
      </c>
      <c r="CY76" s="36">
        <f t="shared" ca="1" si="178"/>
        <v>44.456264837494651</v>
      </c>
      <c r="CZ76" s="36">
        <f t="shared" ca="1" si="178"/>
        <v>44.540130547763283</v>
      </c>
      <c r="DA76" s="36">
        <f t="shared" ca="1" si="178"/>
        <v>43.828477247376476</v>
      </c>
      <c r="DB76" s="36">
        <f t="shared" ca="1" si="178"/>
        <v>43.68806595147295</v>
      </c>
      <c r="DC76" s="36">
        <f t="shared" ca="1" si="178"/>
        <v>43.973174614907244</v>
      </c>
      <c r="DD76" s="36">
        <f t="shared" ca="1" si="178"/>
        <v>44.095509182188678</v>
      </c>
      <c r="DE76" s="36">
        <f t="shared" ca="1" si="178"/>
        <v>43.482712542887803</v>
      </c>
      <c r="DF76" s="36">
        <f t="shared" ca="1" si="178"/>
        <v>43.626510277151652</v>
      </c>
      <c r="DG76" s="36">
        <f t="shared" ca="1" si="178"/>
        <v>43.256828986486077</v>
      </c>
      <c r="DH76" s="36">
        <f t="shared" ca="1" si="178"/>
        <v>42.70677109593872</v>
      </c>
      <c r="DI76" s="36">
        <f t="shared" ca="1" si="178"/>
        <v>42.326578054914989</v>
      </c>
      <c r="DJ76" s="36">
        <f t="shared" ca="1" si="178"/>
        <v>42.370255549602923</v>
      </c>
      <c r="DK76" s="36">
        <f t="shared" ca="1" si="178"/>
        <v>43.455927595277295</v>
      </c>
      <c r="DL76" s="36">
        <f t="shared" ca="1" si="178"/>
        <v>43.44997902766162</v>
      </c>
      <c r="DM76" s="36">
        <f t="shared" ca="1" si="178"/>
        <v>42.879934702339654</v>
      </c>
      <c r="DN76" s="36">
        <f t="shared" ca="1" si="178"/>
        <v>42.654621764326727</v>
      </c>
      <c r="DO76" s="36">
        <f t="shared" ca="1" si="178"/>
        <v>42.757740083640016</v>
      </c>
      <c r="DP76" s="36">
        <f t="shared" ca="1" si="178"/>
        <v>42.163933729830561</v>
      </c>
      <c r="DQ76" s="36">
        <f t="shared" ca="1" si="178"/>
        <v>42.931284598252873</v>
      </c>
      <c r="DR76" s="36">
        <f t="shared" ca="1" si="178"/>
        <v>42.62611579338769</v>
      </c>
      <c r="DS76" s="36">
        <f t="shared" ca="1" si="178"/>
        <v>42.718298300662838</v>
      </c>
      <c r="DT76" s="36">
        <f t="shared" ca="1" si="178"/>
        <v>42.48459892747433</v>
      </c>
      <c r="DU76" s="36">
        <f t="shared" ca="1" si="178"/>
        <v>43.422922551046028</v>
      </c>
      <c r="DV76" s="36">
        <f t="shared" ca="1" si="178"/>
        <v>43.440482084134047</v>
      </c>
      <c r="DW76" s="36">
        <f t="shared" ca="1" si="178"/>
        <v>42.733706654035565</v>
      </c>
      <c r="DX76" s="36">
        <f t="shared" ca="1" si="178"/>
        <v>42.222790859833886</v>
      </c>
      <c r="DY76" s="36">
        <f t="shared" ca="1" si="178"/>
        <v>43.670227401601579</v>
      </c>
      <c r="DZ76" s="36">
        <f t="shared" ca="1" si="178"/>
        <v>43.910300894650803</v>
      </c>
      <c r="EA76" s="36">
        <f t="shared" ca="1" si="178"/>
        <v>43.409082143928416</v>
      </c>
      <c r="EB76" s="36">
        <f t="shared" ca="1" si="178"/>
        <v>42.149859438900599</v>
      </c>
      <c r="EC76" s="36">
        <f t="shared" ca="1" si="173"/>
        <v>42.18011897205286</v>
      </c>
      <c r="ED76" s="36">
        <f t="shared" ca="1" si="173"/>
        <v>41.741590666509353</v>
      </c>
      <c r="EE76" s="36">
        <f t="shared" ca="1" si="173"/>
        <v>41.987319737483624</v>
      </c>
      <c r="EF76" s="36">
        <f t="shared" ca="1" si="173"/>
        <v>41.899218687218962</v>
      </c>
      <c r="EG76" s="36">
        <f t="shared" ca="1" si="173"/>
        <v>41.264427695229415</v>
      </c>
      <c r="EH76" s="36">
        <f t="shared" ca="1" si="173"/>
        <v>40.909500711844515</v>
      </c>
      <c r="EI76" s="36">
        <f t="shared" ca="1" si="173"/>
        <v>41.277128733292365</v>
      </c>
      <c r="EJ76" s="36">
        <f t="shared" ca="1" si="173"/>
        <v>41.651291142563913</v>
      </c>
      <c r="EK76" s="36">
        <f t="shared" ca="1" si="173"/>
        <v>42.358331057000868</v>
      </c>
      <c r="EL76" s="36">
        <f t="shared" ca="1" si="173"/>
        <v>42.383772931350244</v>
      </c>
      <c r="EM76" s="36">
        <f t="shared" ca="1" si="173"/>
        <v>42.374095892325542</v>
      </c>
      <c r="EN76" s="36">
        <f t="shared" ca="1" si="173"/>
        <v>41.579992980072007</v>
      </c>
      <c r="EO76" s="36">
        <f t="shared" ca="1" si="173"/>
        <v>40.971684725236102</v>
      </c>
      <c r="EP76" s="36">
        <f t="shared" ca="1" si="173"/>
        <v>40.657891690554912</v>
      </c>
      <c r="EQ76" s="36">
        <f t="shared" ca="1" si="173"/>
        <v>41.225287326084384</v>
      </c>
      <c r="ER76" s="36">
        <f t="shared" ca="1" si="173"/>
        <v>41.515453846235772</v>
      </c>
      <c r="ES76" s="36">
        <f t="shared" ca="1" si="173"/>
        <v>41.471520561125004</v>
      </c>
      <c r="ET76" s="36">
        <f t="shared" ca="1" si="173"/>
        <v>40.776908284743214</v>
      </c>
      <c r="EU76" s="36">
        <f t="shared" ca="1" si="173"/>
        <v>40.840625904217411</v>
      </c>
      <c r="EV76" s="36">
        <f t="shared" ca="1" si="173"/>
        <v>41.211097042582622</v>
      </c>
      <c r="EW76" s="36">
        <f t="shared" ref="EW76:HH76" ca="1" si="189">EV76*EXP(($B$3-$B$4^2/2)*1+$B$4*_xlfn.NORM.S.INV(RAND()))</f>
        <v>40.460772480098484</v>
      </c>
      <c r="EX76" s="36">
        <f t="shared" ca="1" si="189"/>
        <v>41.346686813178742</v>
      </c>
      <c r="EY76" s="36">
        <f t="shared" ca="1" si="189"/>
        <v>41.931408960261017</v>
      </c>
      <c r="EZ76" s="36">
        <f t="shared" ca="1" si="189"/>
        <v>42.319242114606375</v>
      </c>
      <c r="FA76" s="36">
        <f t="shared" ca="1" si="189"/>
        <v>41.873106534494525</v>
      </c>
      <c r="FB76" s="36">
        <f t="shared" ca="1" si="189"/>
        <v>41.159103730839682</v>
      </c>
      <c r="FC76" s="36">
        <f t="shared" ca="1" si="189"/>
        <v>41.500452424459446</v>
      </c>
      <c r="FD76" s="36">
        <f t="shared" ca="1" si="189"/>
        <v>40.853253637929605</v>
      </c>
      <c r="FE76" s="36">
        <f t="shared" ca="1" si="189"/>
        <v>41.094462946325258</v>
      </c>
      <c r="FF76" s="36">
        <f t="shared" ca="1" si="189"/>
        <v>39.94854916578236</v>
      </c>
      <c r="FG76" s="36">
        <f t="shared" ca="1" si="189"/>
        <v>39.100939207725268</v>
      </c>
      <c r="FH76" s="36">
        <f t="shared" ca="1" si="189"/>
        <v>39.223321420869979</v>
      </c>
      <c r="FI76" s="36">
        <f t="shared" ca="1" si="189"/>
        <v>39.241970930557294</v>
      </c>
      <c r="FJ76" s="36">
        <f t="shared" ca="1" si="189"/>
        <v>39.608513461281476</v>
      </c>
      <c r="FK76" s="36">
        <f t="shared" ca="1" si="189"/>
        <v>39.229993660917323</v>
      </c>
      <c r="FL76" s="36">
        <f t="shared" ca="1" si="189"/>
        <v>39.511790550598391</v>
      </c>
      <c r="FM76" s="36">
        <f t="shared" ca="1" si="189"/>
        <v>40.771934305150332</v>
      </c>
      <c r="FN76" s="36">
        <f t="shared" ca="1" si="189"/>
        <v>40.110399923144065</v>
      </c>
      <c r="FO76" s="36">
        <f t="shared" ca="1" si="189"/>
        <v>40.192711395469935</v>
      </c>
      <c r="FP76" s="36">
        <f t="shared" ca="1" si="189"/>
        <v>39.627938366348111</v>
      </c>
      <c r="FQ76" s="36">
        <f t="shared" ca="1" si="189"/>
        <v>39.582598921434929</v>
      </c>
      <c r="FR76" s="36">
        <f t="shared" ca="1" si="189"/>
        <v>39.510271860028311</v>
      </c>
      <c r="FS76" s="36">
        <f t="shared" ca="1" si="189"/>
        <v>39.376524474969322</v>
      </c>
      <c r="FT76" s="36">
        <f t="shared" ca="1" si="189"/>
        <v>39.44789553716673</v>
      </c>
      <c r="FU76" s="36">
        <f t="shared" ca="1" si="189"/>
        <v>38.982131462153276</v>
      </c>
      <c r="FV76" s="36">
        <f t="shared" ca="1" si="189"/>
        <v>38.856786159396435</v>
      </c>
      <c r="FW76" s="36">
        <f t="shared" ca="1" si="189"/>
        <v>39.377389573853407</v>
      </c>
      <c r="FX76" s="36">
        <f t="shared" ca="1" si="189"/>
        <v>39.655124672775521</v>
      </c>
      <c r="FY76" s="36">
        <f t="shared" ca="1" si="189"/>
        <v>39.231296497291893</v>
      </c>
      <c r="FZ76" s="36">
        <f t="shared" ca="1" si="189"/>
        <v>40.170400753279864</v>
      </c>
      <c r="GA76" s="36">
        <f t="shared" ca="1" si="189"/>
        <v>39.978254814344304</v>
      </c>
      <c r="GB76" s="36">
        <f t="shared" ca="1" si="189"/>
        <v>40.187489575065044</v>
      </c>
      <c r="GC76" s="36">
        <f t="shared" ca="1" si="189"/>
        <v>40.265419984064174</v>
      </c>
      <c r="GD76" s="36">
        <f t="shared" ca="1" si="189"/>
        <v>39.81687799465238</v>
      </c>
      <c r="GE76" s="36">
        <f t="shared" ca="1" si="189"/>
        <v>40.57886770281678</v>
      </c>
      <c r="GF76" s="36">
        <f t="shared" ca="1" si="189"/>
        <v>41.106636903265631</v>
      </c>
      <c r="GG76" s="36">
        <f t="shared" ca="1" si="189"/>
        <v>40.810262935293103</v>
      </c>
      <c r="GH76" s="36">
        <f t="shared" ca="1" si="189"/>
        <v>41.32693341313778</v>
      </c>
      <c r="GI76" s="36">
        <f t="shared" ca="1" si="189"/>
        <v>42.113191630917768</v>
      </c>
      <c r="GJ76" s="36">
        <f t="shared" ca="1" si="189"/>
        <v>42.19056260168702</v>
      </c>
      <c r="GK76" s="36">
        <f t="shared" ca="1" si="189"/>
        <v>42.600730971540941</v>
      </c>
      <c r="GL76" s="36">
        <f t="shared" ca="1" si="189"/>
        <v>42.444303850810456</v>
      </c>
      <c r="GM76" s="36">
        <f t="shared" ca="1" si="189"/>
        <v>43.336447233219261</v>
      </c>
      <c r="GN76" s="36">
        <f t="shared" ca="1" si="189"/>
        <v>42.913864632873221</v>
      </c>
      <c r="GO76" s="36">
        <f t="shared" ca="1" si="189"/>
        <v>42.531232363371487</v>
      </c>
      <c r="GP76" s="36">
        <f t="shared" ca="1" si="189"/>
        <v>42.406767878047283</v>
      </c>
      <c r="GQ76" s="36">
        <f t="shared" ca="1" si="189"/>
        <v>42.73199879039641</v>
      </c>
      <c r="GR76" s="36">
        <f t="shared" ca="1" si="189"/>
        <v>42.45707971334447</v>
      </c>
      <c r="GS76" s="36">
        <f t="shared" ca="1" si="189"/>
        <v>42.12942019187885</v>
      </c>
      <c r="GT76" s="36">
        <f t="shared" ca="1" si="189"/>
        <v>42.723245049402379</v>
      </c>
      <c r="GU76" s="36">
        <f t="shared" ca="1" si="189"/>
        <v>42.54629204635021</v>
      </c>
      <c r="GV76" s="36">
        <f t="shared" ca="1" si="189"/>
        <v>41.861477403151369</v>
      </c>
      <c r="GW76" s="36">
        <f t="shared" ca="1" si="189"/>
        <v>41.958086183083338</v>
      </c>
      <c r="GX76" s="36">
        <f t="shared" ca="1" si="189"/>
        <v>42.517315650096307</v>
      </c>
      <c r="GY76" s="36">
        <f t="shared" ca="1" si="189"/>
        <v>42.919586986375165</v>
      </c>
      <c r="GZ76" s="36">
        <f t="shared" ca="1" si="189"/>
        <v>42.338761354987966</v>
      </c>
      <c r="HA76" s="36">
        <f t="shared" ca="1" si="189"/>
        <v>42.161932278135275</v>
      </c>
      <c r="HB76" s="36">
        <f t="shared" ca="1" si="189"/>
        <v>42.992695017540242</v>
      </c>
      <c r="HC76" s="36">
        <f t="shared" ca="1" si="189"/>
        <v>43.144556368377415</v>
      </c>
      <c r="HD76" s="36">
        <f t="shared" ca="1" si="189"/>
        <v>42.951914543180877</v>
      </c>
      <c r="HE76" s="36">
        <f t="shared" ca="1" si="189"/>
        <v>42.608172154036041</v>
      </c>
      <c r="HF76" s="36">
        <f t="shared" ca="1" si="189"/>
        <v>42.469725486083526</v>
      </c>
      <c r="HG76" s="36">
        <f t="shared" ca="1" si="189"/>
        <v>42.196071342594969</v>
      </c>
      <c r="HH76" s="36">
        <f t="shared" ca="1" si="189"/>
        <v>42.470927780004011</v>
      </c>
      <c r="HI76" s="36">
        <f t="shared" ref="HI76" ca="1" si="190">HH76*EXP(($B$3-$B$4^2/2)*1+$B$4*_xlfn.NORM.S.INV(RAND()))</f>
        <v>42.433819972021482</v>
      </c>
      <c r="HJ76" s="36">
        <f t="shared" ca="1" si="177"/>
        <v>42.018834815725128</v>
      </c>
      <c r="HK76" s="36">
        <f t="shared" ca="1" si="177"/>
        <v>42.112590638211891</v>
      </c>
      <c r="HL76" s="36">
        <f t="shared" ca="1" si="177"/>
        <v>42.227636206023007</v>
      </c>
      <c r="HM76" s="36">
        <f t="shared" ca="1" si="177"/>
        <v>42.681978253598736</v>
      </c>
      <c r="HN76" s="36">
        <f t="shared" ca="1" si="177"/>
        <v>42.828312763307444</v>
      </c>
      <c r="HO76" s="36">
        <f t="shared" ca="1" si="177"/>
        <v>43.607415380865802</v>
      </c>
      <c r="HP76" s="36">
        <f t="shared" ca="1" si="177"/>
        <v>42.807190904404784</v>
      </c>
      <c r="HQ76" s="36">
        <f t="shared" ca="1" si="177"/>
        <v>43.332131850010477</v>
      </c>
      <c r="HR76" s="36">
        <f t="shared" ca="1" si="177"/>
        <v>44.007185564426827</v>
      </c>
      <c r="HS76" s="36">
        <f t="shared" ca="1" si="177"/>
        <v>44.660243656657933</v>
      </c>
      <c r="HT76" s="36">
        <f t="shared" ca="1" si="177"/>
        <v>45.606686547373343</v>
      </c>
      <c r="HU76" s="36">
        <f t="shared" ca="1" si="177"/>
        <v>44.663142776340443</v>
      </c>
      <c r="HV76" s="36">
        <f t="shared" ca="1" si="177"/>
        <v>44.957245726987864</v>
      </c>
      <c r="HW76" s="36">
        <f t="shared" ca="1" si="177"/>
        <v>44.155484434679906</v>
      </c>
      <c r="HX76" s="36">
        <f t="shared" ca="1" si="177"/>
        <v>44.55231058848549</v>
      </c>
      <c r="HY76" s="36">
        <f t="shared" ca="1" si="177"/>
        <v>44.902110579007136</v>
      </c>
      <c r="HZ76" s="36">
        <f t="shared" ref="HZ76:IU76" ca="1" si="191">HY76*EXP(($B$3-$B$4^2/2)*1+$B$4*_xlfn.NORM.S.INV(RAND()))</f>
        <v>44.14664983971528</v>
      </c>
      <c r="IA76" s="36">
        <f t="shared" ca="1" si="191"/>
        <v>43.567072345266944</v>
      </c>
      <c r="IB76" s="36">
        <f t="shared" ca="1" si="191"/>
        <v>43.122557810471001</v>
      </c>
      <c r="IC76" s="36">
        <f t="shared" ca="1" si="191"/>
        <v>44.543564382386137</v>
      </c>
      <c r="ID76" s="36">
        <f t="shared" ca="1" si="191"/>
        <v>44.502508964922065</v>
      </c>
      <c r="IE76" s="36">
        <f t="shared" ca="1" si="191"/>
        <v>44.264700505839741</v>
      </c>
      <c r="IF76" s="36">
        <f t="shared" ca="1" si="191"/>
        <v>43.53999407620838</v>
      </c>
      <c r="IG76" s="36">
        <f t="shared" ca="1" si="191"/>
        <v>43.125275335033741</v>
      </c>
      <c r="IH76" s="36">
        <f t="shared" ca="1" si="191"/>
        <v>43.666342351340028</v>
      </c>
      <c r="II76" s="36">
        <f t="shared" ca="1" si="191"/>
        <v>43.103337182004331</v>
      </c>
      <c r="IJ76" s="36">
        <f t="shared" ca="1" si="191"/>
        <v>43.103957927180318</v>
      </c>
      <c r="IK76" s="36">
        <f t="shared" ca="1" si="191"/>
        <v>42.828635639168759</v>
      </c>
      <c r="IL76" s="36">
        <f t="shared" ca="1" si="191"/>
        <v>42.379469856473655</v>
      </c>
      <c r="IM76" s="36">
        <f t="shared" ca="1" si="191"/>
        <v>42.001118071835435</v>
      </c>
      <c r="IN76" s="36">
        <f t="shared" ca="1" si="191"/>
        <v>43.562589709443095</v>
      </c>
      <c r="IO76" s="36">
        <f t="shared" ca="1" si="191"/>
        <v>44.41450522511672</v>
      </c>
      <c r="IP76" s="36">
        <f t="shared" ca="1" si="191"/>
        <v>45.273031160559995</v>
      </c>
      <c r="IQ76" s="36">
        <f t="shared" ca="1" si="191"/>
        <v>44.303879655358678</v>
      </c>
      <c r="IR76" s="36">
        <f t="shared" ca="1" si="191"/>
        <v>43.874878599109337</v>
      </c>
      <c r="IS76" s="36">
        <f t="shared" ca="1" si="191"/>
        <v>43.4794298180569</v>
      </c>
      <c r="IT76" s="36">
        <f t="shared" ca="1" si="191"/>
        <v>43.193998607665357</v>
      </c>
      <c r="IU76" s="36">
        <f t="shared" ca="1" si="191"/>
        <v>42.096306297143833</v>
      </c>
    </row>
    <row r="77" spans="1:255" x14ac:dyDescent="0.2">
      <c r="A77" s="36"/>
      <c r="B77">
        <v>67</v>
      </c>
      <c r="C77" s="36">
        <v>50</v>
      </c>
      <c r="D77" s="36">
        <f t="shared" ca="1" si="188"/>
        <v>50.596967790993894</v>
      </c>
      <c r="E77" s="36">
        <f t="shared" ca="1" si="188"/>
        <v>49.414914464520734</v>
      </c>
      <c r="F77" s="36">
        <f t="shared" ref="F77:T77" ca="1" si="192">E77*EXP(($B$3-$B$4^2/2)*1+$B$4*_xlfn.NORM.S.INV(RAND()))</f>
        <v>49.22622755890476</v>
      </c>
      <c r="G77" s="36">
        <f t="shared" ca="1" si="192"/>
        <v>48.840074506114625</v>
      </c>
      <c r="H77" s="36">
        <f t="shared" ca="1" si="192"/>
        <v>48.594574288584589</v>
      </c>
      <c r="I77" s="36">
        <f t="shared" ca="1" si="192"/>
        <v>48.449718747046127</v>
      </c>
      <c r="J77" s="36">
        <f t="shared" ca="1" si="192"/>
        <v>48.457320962898621</v>
      </c>
      <c r="K77" s="36">
        <f t="shared" ca="1" si="192"/>
        <v>47.267759588971835</v>
      </c>
      <c r="L77" s="36">
        <f t="shared" ca="1" si="192"/>
        <v>47.450251042286538</v>
      </c>
      <c r="M77" s="36">
        <f t="shared" ca="1" si="192"/>
        <v>47.529157846675048</v>
      </c>
      <c r="N77" s="36">
        <f t="shared" ca="1" si="192"/>
        <v>47.938283255109731</v>
      </c>
      <c r="O77" s="36">
        <f t="shared" ca="1" si="192"/>
        <v>48.254163173188203</v>
      </c>
      <c r="P77" s="36">
        <f t="shared" ca="1" si="192"/>
        <v>48.221334504070192</v>
      </c>
      <c r="Q77" s="36">
        <f t="shared" ca="1" si="192"/>
        <v>47.805750800101158</v>
      </c>
      <c r="R77" s="36">
        <f t="shared" ca="1" si="192"/>
        <v>47.412302244471562</v>
      </c>
      <c r="S77" s="36">
        <f t="shared" ca="1" si="192"/>
        <v>46.277835042146684</v>
      </c>
      <c r="T77" s="36">
        <f t="shared" ca="1" si="192"/>
        <v>45.657375340269155</v>
      </c>
      <c r="U77" s="36">
        <f t="shared" ca="1" si="181"/>
        <v>46.221950298658314</v>
      </c>
      <c r="V77" s="36">
        <f t="shared" ca="1" si="181"/>
        <v>46.636647110092014</v>
      </c>
      <c r="W77" s="36">
        <f t="shared" ca="1" si="181"/>
        <v>46.211880123916188</v>
      </c>
      <c r="X77" s="36">
        <f t="shared" ca="1" si="181"/>
        <v>46.852740555428603</v>
      </c>
      <c r="Y77" s="36">
        <f t="shared" ca="1" si="181"/>
        <v>47.057945042883205</v>
      </c>
      <c r="Z77" s="36">
        <f t="shared" ca="1" si="181"/>
        <v>45.745377451013823</v>
      </c>
      <c r="AA77" s="36">
        <f t="shared" ca="1" si="181"/>
        <v>45.875886354777393</v>
      </c>
      <c r="AB77" s="36">
        <f t="shared" ca="1" si="181"/>
        <v>45.292483969784676</v>
      </c>
      <c r="AC77" s="36">
        <f t="shared" ca="1" si="181"/>
        <v>45.754066720414642</v>
      </c>
      <c r="AD77" s="36">
        <f t="shared" ca="1" si="181"/>
        <v>45.227369896836976</v>
      </c>
      <c r="AE77" s="36">
        <f t="shared" ca="1" si="181"/>
        <v>45.346515443402616</v>
      </c>
      <c r="AF77" s="36">
        <f t="shared" ca="1" si="181"/>
        <v>45.792765060529007</v>
      </c>
      <c r="AG77" s="36">
        <f t="shared" ca="1" si="181"/>
        <v>45.676031396913956</v>
      </c>
      <c r="AH77" s="36">
        <f t="shared" ca="1" si="181"/>
        <v>45.485572540674667</v>
      </c>
      <c r="AI77" s="36">
        <f t="shared" ca="1" si="181"/>
        <v>45.933776493755971</v>
      </c>
      <c r="AJ77" s="36">
        <f t="shared" ca="1" si="181"/>
        <v>46.381611693538844</v>
      </c>
      <c r="AK77" s="36">
        <f t="shared" ca="1" si="181"/>
        <v>45.924028254023519</v>
      </c>
      <c r="AL77" s="36">
        <f t="shared" ca="1" si="181"/>
        <v>45.893552195736135</v>
      </c>
      <c r="AM77" s="36">
        <f t="shared" ca="1" si="181"/>
        <v>45.559765409862031</v>
      </c>
      <c r="AN77" s="36">
        <f t="shared" ca="1" si="181"/>
        <v>44.799293856409491</v>
      </c>
      <c r="AO77" s="36">
        <f t="shared" ca="1" si="181"/>
        <v>45.142688555449546</v>
      </c>
      <c r="AP77" s="36">
        <f t="shared" ca="1" si="181"/>
        <v>45.086515952175247</v>
      </c>
      <c r="AQ77" s="36">
        <f t="shared" ca="1" si="181"/>
        <v>45.79909978688513</v>
      </c>
      <c r="AR77" s="36">
        <f t="shared" ca="1" si="181"/>
        <v>46.733086496027298</v>
      </c>
      <c r="AS77" s="36">
        <f t="shared" ca="1" si="181"/>
        <v>46.956896388340041</v>
      </c>
      <c r="AT77" s="36">
        <f t="shared" ca="1" si="181"/>
        <v>46.635289690769199</v>
      </c>
      <c r="AU77" s="36">
        <f t="shared" ca="1" si="181"/>
        <v>46.303371942536373</v>
      </c>
      <c r="AV77" s="36">
        <f t="shared" ca="1" si="181"/>
        <v>46.112371899191054</v>
      </c>
      <c r="AW77" s="36">
        <f t="shared" ca="1" si="181"/>
        <v>46.728619715452396</v>
      </c>
      <c r="AX77" s="36">
        <f t="shared" ca="1" si="181"/>
        <v>46.704073684291785</v>
      </c>
      <c r="AY77" s="36">
        <f t="shared" ca="1" si="181"/>
        <v>46.529309339640982</v>
      </c>
      <c r="AZ77" s="36">
        <f t="shared" ca="1" si="181"/>
        <v>46.447798402526821</v>
      </c>
      <c r="BA77" s="36">
        <f t="shared" ca="1" si="181"/>
        <v>45.952684929331291</v>
      </c>
      <c r="BB77" s="36">
        <f t="shared" ca="1" si="181"/>
        <v>45.426481533939409</v>
      </c>
      <c r="BC77" s="36">
        <f t="shared" ca="1" si="181"/>
        <v>45.225908760181319</v>
      </c>
      <c r="BD77" s="36">
        <f t="shared" ca="1" si="181"/>
        <v>45.394815642009085</v>
      </c>
      <c r="BE77" s="36">
        <f t="shared" ca="1" si="181"/>
        <v>45.567003846233312</v>
      </c>
      <c r="BF77" s="36">
        <f t="shared" ca="1" si="181"/>
        <v>46.34769516537434</v>
      </c>
      <c r="BG77" s="36">
        <f t="shared" ca="1" si="181"/>
        <v>46.569669918137762</v>
      </c>
      <c r="BH77" s="36">
        <f t="shared" ca="1" si="181"/>
        <v>47.169924717897196</v>
      </c>
      <c r="BI77" s="36">
        <f t="shared" ca="1" si="181"/>
        <v>47.379117028763808</v>
      </c>
      <c r="BJ77" s="36">
        <f t="shared" ca="1" si="181"/>
        <v>46.871744383504215</v>
      </c>
      <c r="BK77" s="36">
        <f t="shared" ca="1" si="181"/>
        <v>46.929879785241752</v>
      </c>
      <c r="BL77" s="36">
        <f t="shared" ca="1" si="181"/>
        <v>46.790746028291849</v>
      </c>
      <c r="BM77" s="36">
        <f t="shared" ca="1" si="181"/>
        <v>46.391134252700411</v>
      </c>
      <c r="BN77" s="36">
        <f t="shared" ca="1" si="181"/>
        <v>45.169507124272677</v>
      </c>
      <c r="BO77" s="36">
        <f t="shared" ca="1" si="181"/>
        <v>44.726722332688063</v>
      </c>
      <c r="BP77" s="36">
        <f t="shared" ca="1" si="181"/>
        <v>44.456409449323608</v>
      </c>
      <c r="BQ77" s="36">
        <f t="shared" ca="1" si="181"/>
        <v>45.244814482601939</v>
      </c>
      <c r="BR77" s="36">
        <f t="shared" ca="1" si="178"/>
        <v>46.502455125500269</v>
      </c>
      <c r="BS77" s="36">
        <f t="shared" ca="1" si="178"/>
        <v>46.745710327228487</v>
      </c>
      <c r="BT77" s="36">
        <f t="shared" ref="BT77:EE92" ca="1" si="193">BS77*EXP(($B$3-$B$4^2/2)*1+$B$4*_xlfn.NORM.S.INV(RAND()))</f>
        <v>46.195144382446301</v>
      </c>
      <c r="BU77" s="36">
        <f t="shared" ca="1" si="193"/>
        <v>45.718512971597264</v>
      </c>
      <c r="BV77" s="36">
        <f t="shared" ca="1" si="193"/>
        <v>46.003616564487693</v>
      </c>
      <c r="BW77" s="36">
        <f t="shared" ca="1" si="193"/>
        <v>46.416339673213969</v>
      </c>
      <c r="BX77" s="36">
        <f t="shared" ca="1" si="193"/>
        <v>45.81093527648563</v>
      </c>
      <c r="BY77" s="36">
        <f t="shared" ca="1" si="193"/>
        <v>46.281759346256045</v>
      </c>
      <c r="BZ77" s="36">
        <f t="shared" ca="1" si="193"/>
        <v>45.44893541091713</v>
      </c>
      <c r="CA77" s="36">
        <f t="shared" ca="1" si="193"/>
        <v>45.522048837673736</v>
      </c>
      <c r="CB77" s="36">
        <f t="shared" ca="1" si="193"/>
        <v>45.970745792452945</v>
      </c>
      <c r="CC77" s="36">
        <f t="shared" ca="1" si="193"/>
        <v>46.130296669764299</v>
      </c>
      <c r="CD77" s="36">
        <f t="shared" ca="1" si="193"/>
        <v>46.721597446654826</v>
      </c>
      <c r="CE77" s="36">
        <f t="shared" ca="1" si="193"/>
        <v>46.152817234271161</v>
      </c>
      <c r="CF77" s="36">
        <f t="shared" ca="1" si="193"/>
        <v>46.061543568092418</v>
      </c>
      <c r="CG77" s="36">
        <f t="shared" ca="1" si="193"/>
        <v>46.002183884603873</v>
      </c>
      <c r="CH77" s="36">
        <f t="shared" ca="1" si="193"/>
        <v>44.551681288646122</v>
      </c>
      <c r="CI77" s="36">
        <f t="shared" ca="1" si="193"/>
        <v>45.365237474804751</v>
      </c>
      <c r="CJ77" s="36">
        <f t="shared" ca="1" si="193"/>
        <v>44.752768217906961</v>
      </c>
      <c r="CK77" s="36">
        <f t="shared" ca="1" si="193"/>
        <v>45.29261384585007</v>
      </c>
      <c r="CL77" s="36">
        <f t="shared" ca="1" si="193"/>
        <v>45.094646913424555</v>
      </c>
      <c r="CM77" s="36">
        <f t="shared" ca="1" si="193"/>
        <v>45.428492586664042</v>
      </c>
      <c r="CN77" s="36">
        <f t="shared" ca="1" si="193"/>
        <v>44.65373497096067</v>
      </c>
      <c r="CO77" s="36">
        <f t="shared" ca="1" si="193"/>
        <v>44.242519724516406</v>
      </c>
      <c r="CP77" s="36">
        <f t="shared" ca="1" si="193"/>
        <v>45.24895326638012</v>
      </c>
      <c r="CQ77" s="36">
        <f t="shared" ca="1" si="193"/>
        <v>45.791058896808757</v>
      </c>
      <c r="CR77" s="36">
        <f t="shared" ca="1" si="193"/>
        <v>45.422725803978793</v>
      </c>
      <c r="CS77" s="36">
        <f t="shared" ca="1" si="193"/>
        <v>45.3157228316269</v>
      </c>
      <c r="CT77" s="36">
        <f t="shared" ca="1" si="193"/>
        <v>45.547249642345399</v>
      </c>
      <c r="CU77" s="36">
        <f t="shared" ca="1" si="193"/>
        <v>45.426840327961358</v>
      </c>
      <c r="CV77" s="36">
        <f t="shared" ca="1" si="193"/>
        <v>45.541617408576727</v>
      </c>
      <c r="CW77" s="36">
        <f t="shared" ca="1" si="193"/>
        <v>46.106145665832621</v>
      </c>
      <c r="CX77" s="36">
        <f t="shared" ca="1" si="193"/>
        <v>45.667193546303075</v>
      </c>
      <c r="CY77" s="36">
        <f t="shared" ca="1" si="193"/>
        <v>45.117896729148725</v>
      </c>
      <c r="CZ77" s="36">
        <f t="shared" ca="1" si="193"/>
        <v>46.068218949607143</v>
      </c>
      <c r="DA77" s="36">
        <f t="shared" ca="1" si="193"/>
        <v>44.780749126843311</v>
      </c>
      <c r="DB77" s="36">
        <f t="shared" ca="1" si="193"/>
        <v>45.032465886489589</v>
      </c>
      <c r="DC77" s="36">
        <f t="shared" ca="1" si="193"/>
        <v>45.32912628687351</v>
      </c>
      <c r="DD77" s="36">
        <f t="shared" ca="1" si="193"/>
        <v>45.784097182067342</v>
      </c>
      <c r="DE77" s="36">
        <f t="shared" ca="1" si="193"/>
        <v>45.912090963434508</v>
      </c>
      <c r="DF77" s="36">
        <f t="shared" ca="1" si="193"/>
        <v>46.177791083745724</v>
      </c>
      <c r="DG77" s="36">
        <f t="shared" ca="1" si="193"/>
        <v>46.329958621175159</v>
      </c>
      <c r="DH77" s="36">
        <f t="shared" ca="1" si="193"/>
        <v>46.58094047713471</v>
      </c>
      <c r="DI77" s="36">
        <f t="shared" ca="1" si="193"/>
        <v>47.218843365397341</v>
      </c>
      <c r="DJ77" s="36">
        <f t="shared" ca="1" si="193"/>
        <v>46.946102940506108</v>
      </c>
      <c r="DK77" s="36">
        <f t="shared" ca="1" si="193"/>
        <v>46.538104230304484</v>
      </c>
      <c r="DL77" s="36">
        <f t="shared" ca="1" si="193"/>
        <v>46.874403932393427</v>
      </c>
      <c r="DM77" s="36">
        <f t="shared" ca="1" si="193"/>
        <v>46.8367813925652</v>
      </c>
      <c r="DN77" s="36">
        <f t="shared" ca="1" si="193"/>
        <v>46.327427132809383</v>
      </c>
      <c r="DO77" s="36">
        <f t="shared" ca="1" si="193"/>
        <v>45.379620184098201</v>
      </c>
      <c r="DP77" s="36">
        <f t="shared" ca="1" si="193"/>
        <v>45.63067353285706</v>
      </c>
      <c r="DQ77" s="36">
        <f t="shared" ca="1" si="193"/>
        <v>45.427667094300801</v>
      </c>
      <c r="DR77" s="36">
        <f t="shared" ca="1" si="193"/>
        <v>47.344132111446669</v>
      </c>
      <c r="DS77" s="36">
        <f t="shared" ca="1" si="193"/>
        <v>48.119215765724547</v>
      </c>
      <c r="DT77" s="36">
        <f t="shared" ca="1" si="193"/>
        <v>47.974873746245173</v>
      </c>
      <c r="DU77" s="36">
        <f t="shared" ca="1" si="193"/>
        <v>46.337322569214493</v>
      </c>
      <c r="DV77" s="36">
        <f t="shared" ca="1" si="193"/>
        <v>46.760464128998713</v>
      </c>
      <c r="DW77" s="36">
        <f t="shared" ca="1" si="193"/>
        <v>46.626956220432987</v>
      </c>
      <c r="DX77" s="36">
        <f t="shared" ca="1" si="193"/>
        <v>46.07887093977218</v>
      </c>
      <c r="DY77" s="36">
        <f t="shared" ca="1" si="193"/>
        <v>45.806901635602088</v>
      </c>
      <c r="DZ77" s="36">
        <f t="shared" ca="1" si="193"/>
        <v>45.33370885160975</v>
      </c>
      <c r="EA77" s="36">
        <f t="shared" ca="1" si="193"/>
        <v>44.950902670063961</v>
      </c>
      <c r="EB77" s="36">
        <f t="shared" ca="1" si="193"/>
        <v>45.256293050591502</v>
      </c>
      <c r="EC77" s="36">
        <f t="shared" ca="1" si="193"/>
        <v>45.423602182971351</v>
      </c>
      <c r="ED77" s="36">
        <f t="shared" ca="1" si="193"/>
        <v>45.995869770214632</v>
      </c>
      <c r="EE77" s="36">
        <f t="shared" ca="1" si="193"/>
        <v>45.993173557733506</v>
      </c>
      <c r="EF77" s="36">
        <f t="shared" ca="1" si="173"/>
        <v>45.430974107412226</v>
      </c>
      <c r="EG77" s="36">
        <f t="shared" ca="1" si="173"/>
        <v>45.831245567023863</v>
      </c>
      <c r="EH77" s="36">
        <f t="shared" ca="1" si="173"/>
        <v>46.135050201151707</v>
      </c>
      <c r="EI77" s="36">
        <f t="shared" ca="1" si="173"/>
        <v>45.828029592162743</v>
      </c>
      <c r="EJ77" s="36">
        <f t="shared" ca="1" si="173"/>
        <v>44.955981585561908</v>
      </c>
      <c r="EK77" s="36">
        <f t="shared" ca="1" si="173"/>
        <v>43.81471784062564</v>
      </c>
      <c r="EL77" s="36">
        <f t="shared" ca="1" si="173"/>
        <v>44.73096036714233</v>
      </c>
      <c r="EM77" s="36">
        <f t="shared" ca="1" si="173"/>
        <v>44.915571671249786</v>
      </c>
      <c r="EN77" s="36">
        <f t="shared" ca="1" si="173"/>
        <v>45.398392111828613</v>
      </c>
      <c r="EO77" s="36">
        <f t="shared" ca="1" si="173"/>
        <v>45.632948248284691</v>
      </c>
      <c r="EP77" s="36">
        <f t="shared" ca="1" si="173"/>
        <v>45.704831217928515</v>
      </c>
      <c r="EQ77" s="36">
        <f t="shared" ca="1" si="173"/>
        <v>46.161879284784995</v>
      </c>
      <c r="ER77" s="36">
        <f t="shared" ca="1" si="173"/>
        <v>46.106649746808429</v>
      </c>
      <c r="ES77" s="36">
        <f t="shared" ca="1" si="173"/>
        <v>46.183730843495226</v>
      </c>
      <c r="ET77" s="36">
        <f t="shared" ca="1" si="173"/>
        <v>45.711781113582958</v>
      </c>
      <c r="EU77" s="36">
        <f t="shared" ca="1" si="173"/>
        <v>45.80788868725125</v>
      </c>
      <c r="EV77" s="36">
        <f t="shared" ca="1" si="173"/>
        <v>45.736475043330458</v>
      </c>
      <c r="EW77" s="36">
        <f t="shared" ref="EW77:HH81" ca="1" si="194">EV77*EXP(($B$3-$B$4^2/2)*1+$B$4*_xlfn.NORM.S.INV(RAND()))</f>
        <v>46.019141032036153</v>
      </c>
      <c r="EX77" s="36">
        <f t="shared" ca="1" si="194"/>
        <v>46.154111592750219</v>
      </c>
      <c r="EY77" s="36">
        <f t="shared" ca="1" si="194"/>
        <v>46.551749541867437</v>
      </c>
      <c r="EZ77" s="36">
        <f t="shared" ca="1" si="194"/>
        <v>47.017893362184743</v>
      </c>
      <c r="FA77" s="36">
        <f t="shared" ca="1" si="194"/>
        <v>46.447409856636263</v>
      </c>
      <c r="FB77" s="36">
        <f t="shared" ca="1" si="194"/>
        <v>45.878983034683678</v>
      </c>
      <c r="FC77" s="36">
        <f t="shared" ca="1" si="194"/>
        <v>46.036438272050319</v>
      </c>
      <c r="FD77" s="36">
        <f t="shared" ca="1" si="194"/>
        <v>46.521358992073829</v>
      </c>
      <c r="FE77" s="36">
        <f t="shared" ca="1" si="194"/>
        <v>46.71806539372642</v>
      </c>
      <c r="FF77" s="36">
        <f t="shared" ca="1" si="194"/>
        <v>46.734555584544388</v>
      </c>
      <c r="FG77" s="36">
        <f t="shared" ca="1" si="194"/>
        <v>47.044636813722818</v>
      </c>
      <c r="FH77" s="36">
        <f t="shared" ca="1" si="194"/>
        <v>47.678834257990211</v>
      </c>
      <c r="FI77" s="36">
        <f t="shared" ca="1" si="194"/>
        <v>47.8138981738187</v>
      </c>
      <c r="FJ77" s="36">
        <f t="shared" ca="1" si="194"/>
        <v>48.918149213816335</v>
      </c>
      <c r="FK77" s="36">
        <f t="shared" ca="1" si="194"/>
        <v>49.34436132425342</v>
      </c>
      <c r="FL77" s="36">
        <f t="shared" ca="1" si="194"/>
        <v>48.511694770307436</v>
      </c>
      <c r="FM77" s="36">
        <f t="shared" ca="1" si="194"/>
        <v>47.710211565494419</v>
      </c>
      <c r="FN77" s="36">
        <f t="shared" ca="1" si="194"/>
        <v>47.520711579118391</v>
      </c>
      <c r="FO77" s="36">
        <f t="shared" ca="1" si="194"/>
        <v>47.15675374120628</v>
      </c>
      <c r="FP77" s="36">
        <f t="shared" ca="1" si="194"/>
        <v>47.346840494519235</v>
      </c>
      <c r="FQ77" s="36">
        <f t="shared" ca="1" si="194"/>
        <v>48.55807418166647</v>
      </c>
      <c r="FR77" s="36">
        <f t="shared" ca="1" si="194"/>
        <v>49.03747503394677</v>
      </c>
      <c r="FS77" s="36">
        <f t="shared" ca="1" si="194"/>
        <v>50.284611576570491</v>
      </c>
      <c r="FT77" s="36">
        <f t="shared" ca="1" si="194"/>
        <v>50.022857921521954</v>
      </c>
      <c r="FU77" s="36">
        <f t="shared" ca="1" si="194"/>
        <v>49.389455374742255</v>
      </c>
      <c r="FV77" s="36">
        <f t="shared" ca="1" si="194"/>
        <v>49.271318277582644</v>
      </c>
      <c r="FW77" s="36">
        <f t="shared" ca="1" si="194"/>
        <v>49.323795519777825</v>
      </c>
      <c r="FX77" s="36">
        <f t="shared" ca="1" si="194"/>
        <v>48.888942339897959</v>
      </c>
      <c r="FY77" s="36">
        <f t="shared" ca="1" si="194"/>
        <v>49.66874040107642</v>
      </c>
      <c r="FZ77" s="36">
        <f t="shared" ca="1" si="194"/>
        <v>49.511260158678319</v>
      </c>
      <c r="GA77" s="36">
        <f t="shared" ca="1" si="194"/>
        <v>47.58603512903391</v>
      </c>
      <c r="GB77" s="36">
        <f t="shared" ca="1" si="194"/>
        <v>48.653404400546641</v>
      </c>
      <c r="GC77" s="36">
        <f t="shared" ca="1" si="194"/>
        <v>47.95350967745442</v>
      </c>
      <c r="GD77" s="36">
        <f t="shared" ca="1" si="194"/>
        <v>48.579877858041471</v>
      </c>
      <c r="GE77" s="36">
        <f t="shared" ca="1" si="194"/>
        <v>49.227008763772233</v>
      </c>
      <c r="GF77" s="36">
        <f t="shared" ca="1" si="194"/>
        <v>49.618514408667529</v>
      </c>
      <c r="GG77" s="36">
        <f t="shared" ca="1" si="194"/>
        <v>49.170530676343141</v>
      </c>
      <c r="GH77" s="36">
        <f t="shared" ca="1" si="194"/>
        <v>48.010743881872415</v>
      </c>
      <c r="GI77" s="36">
        <f t="shared" ca="1" si="194"/>
        <v>48.971848585182727</v>
      </c>
      <c r="GJ77" s="36">
        <f t="shared" ca="1" si="194"/>
        <v>49.03346294697959</v>
      </c>
      <c r="GK77" s="36">
        <f t="shared" ca="1" si="194"/>
        <v>49.163762643930419</v>
      </c>
      <c r="GL77" s="36">
        <f t="shared" ca="1" si="194"/>
        <v>49.385242249232839</v>
      </c>
      <c r="GM77" s="36">
        <f t="shared" ca="1" si="194"/>
        <v>49.118944526426361</v>
      </c>
      <c r="GN77" s="36">
        <f t="shared" ca="1" si="194"/>
        <v>49.130714721536073</v>
      </c>
      <c r="GO77" s="36">
        <f t="shared" ca="1" si="194"/>
        <v>49.860561770134439</v>
      </c>
      <c r="GP77" s="36">
        <f t="shared" ca="1" si="194"/>
        <v>49.37691050325234</v>
      </c>
      <c r="GQ77" s="36">
        <f t="shared" ca="1" si="194"/>
        <v>49.12386391471091</v>
      </c>
      <c r="GR77" s="36">
        <f t="shared" ca="1" si="194"/>
        <v>49.19319781611479</v>
      </c>
      <c r="GS77" s="36">
        <f t="shared" ca="1" si="194"/>
        <v>47.88994397980732</v>
      </c>
      <c r="GT77" s="36">
        <f t="shared" ca="1" si="194"/>
        <v>47.577818188647178</v>
      </c>
      <c r="GU77" s="36">
        <f t="shared" ca="1" si="194"/>
        <v>48.143629816490467</v>
      </c>
      <c r="GV77" s="36">
        <f t="shared" ca="1" si="194"/>
        <v>47.416143095109412</v>
      </c>
      <c r="GW77" s="36">
        <f t="shared" ca="1" si="194"/>
        <v>46.869636395076022</v>
      </c>
      <c r="GX77" s="36">
        <f t="shared" ca="1" si="194"/>
        <v>45.616576541983029</v>
      </c>
      <c r="GY77" s="36">
        <f t="shared" ca="1" si="194"/>
        <v>45.814380865824241</v>
      </c>
      <c r="GZ77" s="36">
        <f t="shared" ca="1" si="194"/>
        <v>45.567930571185215</v>
      </c>
      <c r="HA77" s="36">
        <f t="shared" ca="1" si="194"/>
        <v>46.597730094214185</v>
      </c>
      <c r="HB77" s="36">
        <f t="shared" ca="1" si="194"/>
        <v>46.187631578876662</v>
      </c>
      <c r="HC77" s="36">
        <f t="shared" ca="1" si="194"/>
        <v>44.925657287488214</v>
      </c>
      <c r="HD77" s="36">
        <f t="shared" ca="1" si="194"/>
        <v>45.490734602346272</v>
      </c>
      <c r="HE77" s="36">
        <f t="shared" ca="1" si="194"/>
        <v>46.230841027393637</v>
      </c>
      <c r="HF77" s="36">
        <f t="shared" ca="1" si="194"/>
        <v>45.541569145120135</v>
      </c>
      <c r="HG77" s="36">
        <f t="shared" ca="1" si="194"/>
        <v>45.462194123871129</v>
      </c>
      <c r="HH77" s="36">
        <f t="shared" ca="1" si="194"/>
        <v>45.811661035458435</v>
      </c>
      <c r="HI77" s="36">
        <f t="shared" ref="HI77:HT80" ca="1" si="195">HH77*EXP(($B$3-$B$4^2/2)*1+$B$4*_xlfn.NORM.S.INV(RAND()))</f>
        <v>45.825872967889907</v>
      </c>
      <c r="HJ77" s="36">
        <f t="shared" ca="1" si="177"/>
        <v>45.459781766945639</v>
      </c>
      <c r="HK77" s="36">
        <f t="shared" ca="1" si="177"/>
        <v>45.279054877687763</v>
      </c>
      <c r="HL77" s="36">
        <f t="shared" ca="1" si="177"/>
        <v>45.31031263750711</v>
      </c>
      <c r="HM77" s="36">
        <f t="shared" ca="1" si="177"/>
        <v>44.830836922217607</v>
      </c>
      <c r="HN77" s="36">
        <f t="shared" ca="1" si="177"/>
        <v>45.031786123855397</v>
      </c>
      <c r="HO77" s="36">
        <f t="shared" ca="1" si="177"/>
        <v>44.634136030379295</v>
      </c>
      <c r="HP77" s="36">
        <f t="shared" ca="1" si="177"/>
        <v>45.994100187771608</v>
      </c>
      <c r="HQ77" s="36">
        <f t="shared" ca="1" si="177"/>
        <v>46.215808845754566</v>
      </c>
      <c r="HR77" s="36">
        <f t="shared" ca="1" si="177"/>
        <v>46.033497554375913</v>
      </c>
      <c r="HS77" s="36">
        <f t="shared" ca="1" si="177"/>
        <v>46.050718665901229</v>
      </c>
      <c r="HT77" s="36">
        <f t="shared" ca="1" si="177"/>
        <v>46.204627893079284</v>
      </c>
      <c r="HU77" s="36">
        <f t="shared" ca="1" si="177"/>
        <v>46.043341709584823</v>
      </c>
      <c r="HV77" s="36">
        <f t="shared" ca="1" si="177"/>
        <v>46.7636381494492</v>
      </c>
      <c r="HW77" s="36">
        <f t="shared" ca="1" si="177"/>
        <v>48.189966271473182</v>
      </c>
      <c r="HX77" s="36">
        <f t="shared" ca="1" si="177"/>
        <v>48.049001082995979</v>
      </c>
      <c r="HY77" s="36">
        <f t="shared" ca="1" si="177"/>
        <v>47.160802576622778</v>
      </c>
      <c r="HZ77" s="36">
        <f t="shared" ref="HZ77:IU87" ca="1" si="196">HY77*EXP(($B$3-$B$4^2/2)*1+$B$4*_xlfn.NORM.S.INV(RAND()))</f>
        <v>46.635682868419025</v>
      </c>
      <c r="IA77" s="36">
        <f t="shared" ca="1" si="196"/>
        <v>45.40408710470124</v>
      </c>
      <c r="IB77" s="36">
        <f t="shared" ca="1" si="196"/>
        <v>45.175409448246107</v>
      </c>
      <c r="IC77" s="36">
        <f t="shared" ca="1" si="196"/>
        <v>44.854968354854243</v>
      </c>
      <c r="ID77" s="36">
        <f t="shared" ca="1" si="196"/>
        <v>44.879654586399724</v>
      </c>
      <c r="IE77" s="36">
        <f t="shared" ca="1" si="196"/>
        <v>45.238457381150468</v>
      </c>
      <c r="IF77" s="36">
        <f t="shared" ca="1" si="196"/>
        <v>45.032141064270007</v>
      </c>
      <c r="IG77" s="36">
        <f t="shared" ca="1" si="196"/>
        <v>45.687112808718638</v>
      </c>
      <c r="IH77" s="36">
        <f t="shared" ca="1" si="196"/>
        <v>45.927770886068906</v>
      </c>
      <c r="II77" s="36">
        <f t="shared" ca="1" si="196"/>
        <v>45.899067994550094</v>
      </c>
      <c r="IJ77" s="36">
        <f t="shared" ca="1" si="196"/>
        <v>45.615449413990262</v>
      </c>
      <c r="IK77" s="36">
        <f t="shared" ca="1" si="196"/>
        <v>45.060959254905683</v>
      </c>
      <c r="IL77" s="36">
        <f t="shared" ca="1" si="196"/>
        <v>44.975924760307954</v>
      </c>
      <c r="IM77" s="36">
        <f t="shared" ca="1" si="196"/>
        <v>44.987104262589959</v>
      </c>
      <c r="IN77" s="36">
        <f t="shared" ca="1" si="196"/>
        <v>45.157300085629281</v>
      </c>
      <c r="IO77" s="36">
        <f t="shared" ca="1" si="196"/>
        <v>45.73620572091896</v>
      </c>
      <c r="IP77" s="36">
        <f t="shared" ca="1" si="196"/>
        <v>45.754420209311832</v>
      </c>
      <c r="IQ77" s="36">
        <f t="shared" ca="1" si="196"/>
        <v>46.079786402751736</v>
      </c>
      <c r="IR77" s="36">
        <f t="shared" ca="1" si="196"/>
        <v>47.170402095789512</v>
      </c>
      <c r="IS77" s="36">
        <f t="shared" ca="1" si="196"/>
        <v>47.203993156672375</v>
      </c>
      <c r="IT77" s="36">
        <f t="shared" ca="1" si="196"/>
        <v>47.873309247211665</v>
      </c>
      <c r="IU77" s="36">
        <f t="shared" ca="1" si="196"/>
        <v>47.130318435929674</v>
      </c>
    </row>
    <row r="78" spans="1:255" x14ac:dyDescent="0.2">
      <c r="A78" s="36"/>
      <c r="B78">
        <v>68</v>
      </c>
      <c r="C78" s="36">
        <v>50</v>
      </c>
      <c r="D78" s="36">
        <f t="shared" ca="1" si="188"/>
        <v>49.793689893186169</v>
      </c>
      <c r="E78" s="36">
        <f t="shared" ca="1" si="188"/>
        <v>49.385690535054827</v>
      </c>
      <c r="F78" s="36">
        <f t="shared" ref="F78:BQ81" ca="1" si="197">E78*EXP(($B$3-$B$4^2/2)*1+$B$4*_xlfn.NORM.S.INV(RAND()))</f>
        <v>48.863908759098116</v>
      </c>
      <c r="G78" s="36">
        <f t="shared" ca="1" si="197"/>
        <v>49.157303104882487</v>
      </c>
      <c r="H78" s="36">
        <f t="shared" ca="1" si="197"/>
        <v>48.121843918929031</v>
      </c>
      <c r="I78" s="36">
        <f t="shared" ca="1" si="197"/>
        <v>48.023156600494879</v>
      </c>
      <c r="J78" s="36">
        <f t="shared" ca="1" si="197"/>
        <v>47.392703124220702</v>
      </c>
      <c r="K78" s="36">
        <f t="shared" ca="1" si="197"/>
        <v>46.327647430420463</v>
      </c>
      <c r="L78" s="36">
        <f t="shared" ca="1" si="197"/>
        <v>47.077563324063171</v>
      </c>
      <c r="M78" s="36">
        <f t="shared" ca="1" si="197"/>
        <v>47.570044150370236</v>
      </c>
      <c r="N78" s="36">
        <f t="shared" ca="1" si="197"/>
        <v>47.996659352737197</v>
      </c>
      <c r="O78" s="36">
        <f t="shared" ca="1" si="197"/>
        <v>47.672299677121551</v>
      </c>
      <c r="P78" s="36">
        <f t="shared" ca="1" si="197"/>
        <v>46.86870796996665</v>
      </c>
      <c r="Q78" s="36">
        <f t="shared" ca="1" si="197"/>
        <v>46.648888680027966</v>
      </c>
      <c r="R78" s="36">
        <f t="shared" ca="1" si="197"/>
        <v>46.323365279134876</v>
      </c>
      <c r="S78" s="36">
        <f t="shared" ca="1" si="197"/>
        <v>45.783482768015539</v>
      </c>
      <c r="T78" s="36">
        <f t="shared" ca="1" si="197"/>
        <v>45.80137367314159</v>
      </c>
      <c r="U78" s="36">
        <f t="shared" ca="1" si="197"/>
        <v>46.049604564634279</v>
      </c>
      <c r="V78" s="36">
        <f t="shared" ca="1" si="197"/>
        <v>46.561016811841206</v>
      </c>
      <c r="W78" s="36">
        <f t="shared" ca="1" si="197"/>
        <v>46.79437409621422</v>
      </c>
      <c r="X78" s="36">
        <f t="shared" ca="1" si="197"/>
        <v>46.834937320190086</v>
      </c>
      <c r="Y78" s="36">
        <f t="shared" ca="1" si="197"/>
        <v>46.336433702637763</v>
      </c>
      <c r="Z78" s="36">
        <f t="shared" ca="1" si="197"/>
        <v>47.2022547838992</v>
      </c>
      <c r="AA78" s="36">
        <f t="shared" ca="1" si="197"/>
        <v>46.929450171361822</v>
      </c>
      <c r="AB78" s="36">
        <f t="shared" ca="1" si="197"/>
        <v>47.163307539412038</v>
      </c>
      <c r="AC78" s="36">
        <f t="shared" ca="1" si="197"/>
        <v>46.724477871201834</v>
      </c>
      <c r="AD78" s="36">
        <f t="shared" ca="1" si="197"/>
        <v>45.461427217545619</v>
      </c>
      <c r="AE78" s="36">
        <f t="shared" ca="1" si="197"/>
        <v>45.364440432063745</v>
      </c>
      <c r="AF78" s="36">
        <f t="shared" ca="1" si="197"/>
        <v>45.613311894963516</v>
      </c>
      <c r="AG78" s="36">
        <f t="shared" ca="1" si="197"/>
        <v>45.019640659643002</v>
      </c>
      <c r="AH78" s="36">
        <f t="shared" ca="1" si="197"/>
        <v>44.979984035181886</v>
      </c>
      <c r="AI78" s="36">
        <f t="shared" ca="1" si="197"/>
        <v>45.967008275299214</v>
      </c>
      <c r="AJ78" s="36">
        <f t="shared" ca="1" si="197"/>
        <v>46.11747438910016</v>
      </c>
      <c r="AK78" s="36">
        <f t="shared" ca="1" si="197"/>
        <v>46.04880372926219</v>
      </c>
      <c r="AL78" s="36">
        <f t="shared" ca="1" si="197"/>
        <v>45.44418970335834</v>
      </c>
      <c r="AM78" s="36">
        <f t="shared" ca="1" si="197"/>
        <v>45.340152418331783</v>
      </c>
      <c r="AN78" s="36">
        <f t="shared" ca="1" si="197"/>
        <v>44.936039559225264</v>
      </c>
      <c r="AO78" s="36">
        <f t="shared" ca="1" si="197"/>
        <v>45.03323577485142</v>
      </c>
      <c r="AP78" s="36">
        <f t="shared" ca="1" si="197"/>
        <v>44.44160478894792</v>
      </c>
      <c r="AQ78" s="36">
        <f t="shared" ca="1" si="197"/>
        <v>44.757353762476264</v>
      </c>
      <c r="AR78" s="36">
        <f t="shared" ca="1" si="197"/>
        <v>44.911728101554885</v>
      </c>
      <c r="AS78" s="36">
        <f t="shared" ca="1" si="197"/>
        <v>44.863748001124421</v>
      </c>
      <c r="AT78" s="36">
        <f t="shared" ca="1" si="197"/>
        <v>44.505449299057965</v>
      </c>
      <c r="AU78" s="36">
        <f t="shared" ca="1" si="197"/>
        <v>44.357528412844033</v>
      </c>
      <c r="AV78" s="36">
        <f t="shared" ca="1" si="197"/>
        <v>44.335496269625672</v>
      </c>
      <c r="AW78" s="36">
        <f t="shared" ca="1" si="197"/>
        <v>44.762692870976906</v>
      </c>
      <c r="AX78" s="36">
        <f t="shared" ca="1" si="197"/>
        <v>45.202285233648837</v>
      </c>
      <c r="AY78" s="36">
        <f t="shared" ca="1" si="197"/>
        <v>44.953891002657933</v>
      </c>
      <c r="AZ78" s="36">
        <f t="shared" ca="1" si="197"/>
        <v>45.698424112613154</v>
      </c>
      <c r="BA78" s="36">
        <f t="shared" ca="1" si="197"/>
        <v>46.382063108719812</v>
      </c>
      <c r="BB78" s="36">
        <f t="shared" ca="1" si="197"/>
        <v>45.996613631372327</v>
      </c>
      <c r="BC78" s="36">
        <f t="shared" ca="1" si="197"/>
        <v>46.531243357482303</v>
      </c>
      <c r="BD78" s="36">
        <f t="shared" ca="1" si="197"/>
        <v>46.367282723799455</v>
      </c>
      <c r="BE78" s="36">
        <f t="shared" ca="1" si="197"/>
        <v>45.570538293803544</v>
      </c>
      <c r="BF78" s="36">
        <f t="shared" ca="1" si="197"/>
        <v>45.871349779947074</v>
      </c>
      <c r="BG78" s="36">
        <f t="shared" ca="1" si="197"/>
        <v>44.799347214682449</v>
      </c>
      <c r="BH78" s="36">
        <f t="shared" ca="1" si="197"/>
        <v>44.701549103028185</v>
      </c>
      <c r="BI78" s="36">
        <f t="shared" ca="1" si="197"/>
        <v>44.149614718471071</v>
      </c>
      <c r="BJ78" s="36">
        <f t="shared" ca="1" si="197"/>
        <v>44.189316352264626</v>
      </c>
      <c r="BK78" s="36">
        <f t="shared" ca="1" si="197"/>
        <v>44.04843067629826</v>
      </c>
      <c r="BL78" s="36">
        <f t="shared" ca="1" si="197"/>
        <v>44.141062231966878</v>
      </c>
      <c r="BM78" s="36">
        <f t="shared" ca="1" si="197"/>
        <v>43.703860677081963</v>
      </c>
      <c r="BN78" s="36">
        <f t="shared" ca="1" si="197"/>
        <v>43.941711561046155</v>
      </c>
      <c r="BO78" s="36">
        <f t="shared" ca="1" si="197"/>
        <v>43.377188824733047</v>
      </c>
      <c r="BP78" s="36">
        <f t="shared" ca="1" si="197"/>
        <v>43.357649937473518</v>
      </c>
      <c r="BQ78" s="36">
        <f t="shared" ca="1" si="197"/>
        <v>44.292865065985467</v>
      </c>
      <c r="BR78" s="36">
        <f t="shared" ref="BR78:EC93" ca="1" si="198">BQ78*EXP(($B$3-$B$4^2/2)*1+$B$4*_xlfn.NORM.S.INV(RAND()))</f>
        <v>44.556517984062928</v>
      </c>
      <c r="BS78" s="36">
        <f t="shared" ca="1" si="198"/>
        <v>44.441427222893594</v>
      </c>
      <c r="BT78" s="36">
        <f t="shared" ca="1" si="198"/>
        <v>44.037400140099535</v>
      </c>
      <c r="BU78" s="36">
        <f t="shared" ca="1" si="198"/>
        <v>44.199778545886389</v>
      </c>
      <c r="BV78" s="36">
        <f t="shared" ca="1" si="198"/>
        <v>44.288700828207944</v>
      </c>
      <c r="BW78" s="36">
        <f t="shared" ca="1" si="198"/>
        <v>43.935501556572333</v>
      </c>
      <c r="BX78" s="36">
        <f t="shared" ca="1" si="198"/>
        <v>43.711992115389343</v>
      </c>
      <c r="BY78" s="36">
        <f t="shared" ca="1" si="198"/>
        <v>42.475885617133024</v>
      </c>
      <c r="BZ78" s="36">
        <f t="shared" ca="1" si="198"/>
        <v>42.476298159407996</v>
      </c>
      <c r="CA78" s="36">
        <f t="shared" ca="1" si="198"/>
        <v>43.012509868034726</v>
      </c>
      <c r="CB78" s="36">
        <f t="shared" ca="1" si="198"/>
        <v>42.7959097222843</v>
      </c>
      <c r="CC78" s="36">
        <f t="shared" ca="1" si="198"/>
        <v>41.899413691673594</v>
      </c>
      <c r="CD78" s="36">
        <f t="shared" ca="1" si="198"/>
        <v>42.973251367492232</v>
      </c>
      <c r="CE78" s="36">
        <f t="shared" ca="1" si="198"/>
        <v>42.426597345591667</v>
      </c>
      <c r="CF78" s="36">
        <f t="shared" ca="1" si="198"/>
        <v>42.442864340109566</v>
      </c>
      <c r="CG78" s="36">
        <f t="shared" ca="1" si="198"/>
        <v>42.376270164337754</v>
      </c>
      <c r="CH78" s="36">
        <f t="shared" ca="1" si="198"/>
        <v>42.601154268417289</v>
      </c>
      <c r="CI78" s="36">
        <f t="shared" ca="1" si="198"/>
        <v>42.763197688979176</v>
      </c>
      <c r="CJ78" s="36">
        <f t="shared" ca="1" si="198"/>
        <v>42.31568154411849</v>
      </c>
      <c r="CK78" s="36">
        <f t="shared" ca="1" si="198"/>
        <v>42.680885696039745</v>
      </c>
      <c r="CL78" s="36">
        <f t="shared" ca="1" si="198"/>
        <v>43.1221086415472</v>
      </c>
      <c r="CM78" s="36">
        <f t="shared" ca="1" si="198"/>
        <v>43.331701489204562</v>
      </c>
      <c r="CN78" s="36">
        <f t="shared" ca="1" si="198"/>
        <v>42.805606327787167</v>
      </c>
      <c r="CO78" s="36">
        <f t="shared" ca="1" si="198"/>
        <v>41.696432385255889</v>
      </c>
      <c r="CP78" s="36">
        <f t="shared" ca="1" si="198"/>
        <v>42.034482494332252</v>
      </c>
      <c r="CQ78" s="36">
        <f t="shared" ca="1" si="198"/>
        <v>42.147600742343222</v>
      </c>
      <c r="CR78" s="36">
        <f t="shared" ca="1" si="198"/>
        <v>42.704038422408203</v>
      </c>
      <c r="CS78" s="36">
        <f t="shared" ca="1" si="198"/>
        <v>42.822127468438524</v>
      </c>
      <c r="CT78" s="36">
        <f t="shared" ca="1" si="198"/>
        <v>42.239635480412858</v>
      </c>
      <c r="CU78" s="36">
        <f t="shared" ca="1" si="198"/>
        <v>42.747338712756125</v>
      </c>
      <c r="CV78" s="36">
        <f t="shared" ca="1" si="198"/>
        <v>43.453577806127491</v>
      </c>
      <c r="CW78" s="36">
        <f t="shared" ca="1" si="198"/>
        <v>43.658283818346874</v>
      </c>
      <c r="CX78" s="36">
        <f t="shared" ca="1" si="198"/>
        <v>43.290038040897095</v>
      </c>
      <c r="CY78" s="36">
        <f t="shared" ca="1" si="198"/>
        <v>43.445252454024988</v>
      </c>
      <c r="CZ78" s="36">
        <f t="shared" ca="1" si="198"/>
        <v>43.544775914679811</v>
      </c>
      <c r="DA78" s="36">
        <f t="shared" ca="1" si="198"/>
        <v>43.931487554364864</v>
      </c>
      <c r="DB78" s="36">
        <f t="shared" ca="1" si="198"/>
        <v>43.578939675287614</v>
      </c>
      <c r="DC78" s="36">
        <f t="shared" ca="1" si="198"/>
        <v>43.424580057294619</v>
      </c>
      <c r="DD78" s="36">
        <f t="shared" ca="1" si="198"/>
        <v>43.832800335344231</v>
      </c>
      <c r="DE78" s="36">
        <f t="shared" ca="1" si="198"/>
        <v>44.52763999228776</v>
      </c>
      <c r="DF78" s="36">
        <f t="shared" ca="1" si="198"/>
        <v>44.899179399536642</v>
      </c>
      <c r="DG78" s="36">
        <f t="shared" ca="1" si="198"/>
        <v>45.237510586845779</v>
      </c>
      <c r="DH78" s="36">
        <f t="shared" ca="1" si="198"/>
        <v>45.306543013690444</v>
      </c>
      <c r="DI78" s="36">
        <f t="shared" ca="1" si="198"/>
        <v>44.551711651378469</v>
      </c>
      <c r="DJ78" s="36">
        <f t="shared" ca="1" si="198"/>
        <v>43.619676635187339</v>
      </c>
      <c r="DK78" s="36">
        <f t="shared" ca="1" si="198"/>
        <v>44.271714809979343</v>
      </c>
      <c r="DL78" s="36">
        <f t="shared" ca="1" si="198"/>
        <v>43.830028650355203</v>
      </c>
      <c r="DM78" s="36">
        <f t="shared" ca="1" si="198"/>
        <v>43.204838771515618</v>
      </c>
      <c r="DN78" s="36">
        <f t="shared" ca="1" si="198"/>
        <v>43.349351973339708</v>
      </c>
      <c r="DO78" s="36">
        <f t="shared" ca="1" si="198"/>
        <v>42.656943933686925</v>
      </c>
      <c r="DP78" s="36">
        <f t="shared" ca="1" si="198"/>
        <v>43.123090318174832</v>
      </c>
      <c r="DQ78" s="36">
        <f t="shared" ca="1" si="198"/>
        <v>42.886077816331714</v>
      </c>
      <c r="DR78" s="36">
        <f t="shared" ca="1" si="198"/>
        <v>42.450127316070983</v>
      </c>
      <c r="DS78" s="36">
        <f t="shared" ca="1" si="198"/>
        <v>42.797148382966974</v>
      </c>
      <c r="DT78" s="36">
        <f t="shared" ca="1" si="198"/>
        <v>42.01727903222568</v>
      </c>
      <c r="DU78" s="36">
        <f t="shared" ca="1" si="198"/>
        <v>40.93042826641237</v>
      </c>
      <c r="DV78" s="36">
        <f t="shared" ca="1" si="198"/>
        <v>41.021109940461031</v>
      </c>
      <c r="DW78" s="36">
        <f t="shared" ca="1" si="198"/>
        <v>41.753760960423826</v>
      </c>
      <c r="DX78" s="36">
        <f t="shared" ca="1" si="198"/>
        <v>40.646499666652907</v>
      </c>
      <c r="DY78" s="36">
        <f t="shared" ca="1" si="198"/>
        <v>39.421043095155966</v>
      </c>
      <c r="DZ78" s="36">
        <f t="shared" ca="1" si="198"/>
        <v>39.177456827269609</v>
      </c>
      <c r="EA78" s="36">
        <f t="shared" ca="1" si="198"/>
        <v>39.424469819408948</v>
      </c>
      <c r="EB78" s="36">
        <f t="shared" ca="1" si="198"/>
        <v>38.45106772438745</v>
      </c>
      <c r="EC78" s="36">
        <f t="shared" ca="1" si="198"/>
        <v>38.821809575233544</v>
      </c>
      <c r="ED78" s="36">
        <f t="shared" ca="1" si="193"/>
        <v>39.300846903555055</v>
      </c>
      <c r="EE78" s="36">
        <f t="shared" ca="1" si="193"/>
        <v>39.444320960654188</v>
      </c>
      <c r="EF78" s="36">
        <f t="shared" ca="1" si="173"/>
        <v>40.647515730365811</v>
      </c>
      <c r="EG78" s="36">
        <f t="shared" ca="1" si="173"/>
        <v>40.874599609211728</v>
      </c>
      <c r="EH78" s="36">
        <f t="shared" ca="1" si="173"/>
        <v>39.709969105489989</v>
      </c>
      <c r="EI78" s="36">
        <f t="shared" ca="1" si="173"/>
        <v>39.046173734327745</v>
      </c>
      <c r="EJ78" s="36">
        <f t="shared" ca="1" si="173"/>
        <v>38.988066404688588</v>
      </c>
      <c r="EK78" s="36">
        <f t="shared" ca="1" si="173"/>
        <v>39.076411298328864</v>
      </c>
      <c r="EL78" s="36">
        <f t="shared" ca="1" si="173"/>
        <v>39.573603468881863</v>
      </c>
      <c r="EM78" s="36">
        <f t="shared" ca="1" si="173"/>
        <v>40.080978361335674</v>
      </c>
      <c r="EN78" s="36">
        <f t="shared" ca="1" si="173"/>
        <v>41.167712794970299</v>
      </c>
      <c r="EO78" s="36">
        <f t="shared" ca="1" si="173"/>
        <v>41.034540821940027</v>
      </c>
      <c r="EP78" s="36">
        <f t="shared" ca="1" si="173"/>
        <v>40.439512885698484</v>
      </c>
      <c r="EQ78" s="36">
        <f t="shared" ca="1" si="173"/>
        <v>40.417994480388181</v>
      </c>
      <c r="ER78" s="36">
        <f t="shared" ca="1" si="173"/>
        <v>40.477783440979692</v>
      </c>
      <c r="ES78" s="36">
        <f t="shared" ca="1" si="173"/>
        <v>40.402415189151739</v>
      </c>
      <c r="ET78" s="36">
        <f t="shared" ca="1" si="173"/>
        <v>40.475349632036831</v>
      </c>
      <c r="EU78" s="36">
        <f t="shared" ca="1" si="173"/>
        <v>41.240889939686177</v>
      </c>
      <c r="EV78" s="36">
        <f t="shared" ca="1" si="173"/>
        <v>40.826623650665958</v>
      </c>
      <c r="EW78" s="36">
        <f t="shared" ref="EW78" ca="1" si="199">EV78*EXP(($B$3-$B$4^2/2)*1+$B$4*_xlfn.NORM.S.INV(RAND()))</f>
        <v>41.347617361980205</v>
      </c>
      <c r="EX78" s="36">
        <f t="shared" ca="1" si="194"/>
        <v>41.875549947822051</v>
      </c>
      <c r="EY78" s="36">
        <f t="shared" ca="1" si="194"/>
        <v>42.286444429504414</v>
      </c>
      <c r="EZ78" s="36">
        <f t="shared" ca="1" si="194"/>
        <v>42.033867127594704</v>
      </c>
      <c r="FA78" s="36">
        <f t="shared" ca="1" si="194"/>
        <v>41.723132087969965</v>
      </c>
      <c r="FB78" s="36">
        <f t="shared" ca="1" si="194"/>
        <v>41.71167267597442</v>
      </c>
      <c r="FC78" s="36">
        <f t="shared" ca="1" si="194"/>
        <v>41.344312063218688</v>
      </c>
      <c r="FD78" s="36">
        <f t="shared" ca="1" si="194"/>
        <v>40.896087761562285</v>
      </c>
      <c r="FE78" s="36">
        <f t="shared" ca="1" si="194"/>
        <v>40.87383180015518</v>
      </c>
      <c r="FF78" s="36">
        <f t="shared" ca="1" si="194"/>
        <v>41.367512785025269</v>
      </c>
      <c r="FG78" s="36">
        <f t="shared" ca="1" si="194"/>
        <v>41.266515273655635</v>
      </c>
      <c r="FH78" s="36">
        <f t="shared" ca="1" si="194"/>
        <v>41.180958525532461</v>
      </c>
      <c r="FI78" s="36">
        <f t="shared" ca="1" si="194"/>
        <v>40.700591560614185</v>
      </c>
      <c r="FJ78" s="36">
        <f t="shared" ca="1" si="194"/>
        <v>40.630848714277242</v>
      </c>
      <c r="FK78" s="36">
        <f t="shared" ca="1" si="194"/>
        <v>40.417000779870037</v>
      </c>
      <c r="FL78" s="36">
        <f t="shared" ca="1" si="194"/>
        <v>38.978713442455707</v>
      </c>
      <c r="FM78" s="36">
        <f t="shared" ca="1" si="194"/>
        <v>39.499578190111428</v>
      </c>
      <c r="FN78" s="36">
        <f t="shared" ca="1" si="194"/>
        <v>39.391543614618989</v>
      </c>
      <c r="FO78" s="36">
        <f t="shared" ca="1" si="194"/>
        <v>39.598726401379658</v>
      </c>
      <c r="FP78" s="36">
        <f t="shared" ca="1" si="194"/>
        <v>39.441034284299995</v>
      </c>
      <c r="FQ78" s="36">
        <f t="shared" ca="1" si="194"/>
        <v>39.57235054201692</v>
      </c>
      <c r="FR78" s="36">
        <f t="shared" ca="1" si="194"/>
        <v>39.598833150186223</v>
      </c>
      <c r="FS78" s="36">
        <f t="shared" ca="1" si="194"/>
        <v>39.831067711984566</v>
      </c>
      <c r="FT78" s="36">
        <f t="shared" ca="1" si="194"/>
        <v>40.893716871740033</v>
      </c>
      <c r="FU78" s="36">
        <f t="shared" ca="1" si="194"/>
        <v>41.130779565368094</v>
      </c>
      <c r="FV78" s="36">
        <f t="shared" ca="1" si="194"/>
        <v>41.613177822817136</v>
      </c>
      <c r="FW78" s="36">
        <f t="shared" ca="1" si="194"/>
        <v>42.388861252434161</v>
      </c>
      <c r="FX78" s="36">
        <f t="shared" ca="1" si="194"/>
        <v>42.166616355857535</v>
      </c>
      <c r="FY78" s="36">
        <f t="shared" ca="1" si="194"/>
        <v>41.715506795318539</v>
      </c>
      <c r="FZ78" s="36">
        <f t="shared" ca="1" si="194"/>
        <v>41.261954368419019</v>
      </c>
      <c r="GA78" s="36">
        <f t="shared" ca="1" si="194"/>
        <v>41.54183494263448</v>
      </c>
      <c r="GB78" s="36">
        <f t="shared" ca="1" si="194"/>
        <v>41.692907996115828</v>
      </c>
      <c r="GC78" s="36">
        <f t="shared" ca="1" si="194"/>
        <v>41.502677967896673</v>
      </c>
      <c r="GD78" s="36">
        <f t="shared" ca="1" si="194"/>
        <v>40.721812276743542</v>
      </c>
      <c r="GE78" s="36">
        <f t="shared" ca="1" si="194"/>
        <v>41.330409158542359</v>
      </c>
      <c r="GF78" s="36">
        <f t="shared" ca="1" si="194"/>
        <v>41.503918819860083</v>
      </c>
      <c r="GG78" s="36">
        <f t="shared" ca="1" si="194"/>
        <v>42.078511067234224</v>
      </c>
      <c r="GH78" s="36">
        <f t="shared" ca="1" si="194"/>
        <v>42.18453306443574</v>
      </c>
      <c r="GI78" s="36">
        <f t="shared" ca="1" si="194"/>
        <v>42.868051901222763</v>
      </c>
      <c r="GJ78" s="36">
        <f t="shared" ca="1" si="194"/>
        <v>43.717490121800218</v>
      </c>
      <c r="GK78" s="36">
        <f t="shared" ca="1" si="194"/>
        <v>44.257751556725644</v>
      </c>
      <c r="GL78" s="36">
        <f t="shared" ca="1" si="194"/>
        <v>43.985475181621283</v>
      </c>
      <c r="GM78" s="36">
        <f t="shared" ca="1" si="194"/>
        <v>44.609548850455674</v>
      </c>
      <c r="GN78" s="36">
        <f t="shared" ca="1" si="194"/>
        <v>45.085475183385249</v>
      </c>
      <c r="GO78" s="36">
        <f t="shared" ca="1" si="194"/>
        <v>45.664709965818318</v>
      </c>
      <c r="GP78" s="36">
        <f t="shared" ca="1" si="194"/>
        <v>45.637042274652153</v>
      </c>
      <c r="GQ78" s="36">
        <f t="shared" ca="1" si="194"/>
        <v>45.110439682468019</v>
      </c>
      <c r="GR78" s="36">
        <f t="shared" ca="1" si="194"/>
        <v>44.275380270110155</v>
      </c>
      <c r="GS78" s="36">
        <f t="shared" ca="1" si="194"/>
        <v>44.17573317999544</v>
      </c>
      <c r="GT78" s="36">
        <f t="shared" ca="1" si="194"/>
        <v>44.037904634358654</v>
      </c>
      <c r="GU78" s="36">
        <f t="shared" ca="1" si="194"/>
        <v>43.807819213342619</v>
      </c>
      <c r="GV78" s="36">
        <f t="shared" ca="1" si="194"/>
        <v>43.090069780409507</v>
      </c>
      <c r="GW78" s="36">
        <f t="shared" ca="1" si="194"/>
        <v>43.458834261424698</v>
      </c>
      <c r="GX78" s="36">
        <f t="shared" ca="1" si="194"/>
        <v>43.736563128631502</v>
      </c>
      <c r="GY78" s="36">
        <f t="shared" ca="1" si="194"/>
        <v>43.777629442044244</v>
      </c>
      <c r="GZ78" s="36">
        <f t="shared" ca="1" si="194"/>
        <v>44.047699849520448</v>
      </c>
      <c r="HA78" s="36">
        <f t="shared" ca="1" si="194"/>
        <v>44.122478711878912</v>
      </c>
      <c r="HB78" s="36">
        <f t="shared" ca="1" si="194"/>
        <v>43.485730398748728</v>
      </c>
      <c r="HC78" s="36">
        <f t="shared" ca="1" si="194"/>
        <v>42.577593420121545</v>
      </c>
      <c r="HD78" s="36">
        <f t="shared" ca="1" si="194"/>
        <v>42.899776984570678</v>
      </c>
      <c r="HE78" s="36">
        <f t="shared" ca="1" si="194"/>
        <v>42.79172353686581</v>
      </c>
      <c r="HF78" s="36">
        <f t="shared" ca="1" si="194"/>
        <v>43.342545228431298</v>
      </c>
      <c r="HG78" s="36">
        <f t="shared" ca="1" si="194"/>
        <v>43.07239766351411</v>
      </c>
      <c r="HH78" s="36">
        <f t="shared" ca="1" si="194"/>
        <v>42.873895965474382</v>
      </c>
      <c r="HI78" s="36">
        <f t="shared" ca="1" si="195"/>
        <v>42.499333966243796</v>
      </c>
      <c r="HJ78" s="36">
        <f t="shared" ca="1" si="195"/>
        <v>42.747314027302771</v>
      </c>
      <c r="HK78" s="36">
        <f t="shared" ca="1" si="195"/>
        <v>42.956025733117798</v>
      </c>
      <c r="HL78" s="36">
        <f t="shared" ca="1" si="195"/>
        <v>42.731771545535437</v>
      </c>
      <c r="HM78" s="36">
        <f t="shared" ca="1" si="195"/>
        <v>42.409210757716487</v>
      </c>
      <c r="HN78" s="36">
        <f t="shared" ca="1" si="195"/>
        <v>41.702262760436454</v>
      </c>
      <c r="HO78" s="36">
        <f t="shared" ca="1" si="195"/>
        <v>40.983309577679528</v>
      </c>
      <c r="HP78" s="36">
        <f t="shared" ca="1" si="195"/>
        <v>40.70646762736154</v>
      </c>
      <c r="HQ78" s="36">
        <f t="shared" ca="1" si="195"/>
        <v>41.457956148791332</v>
      </c>
      <c r="HR78" s="36">
        <f t="shared" ca="1" si="195"/>
        <v>40.978420176350191</v>
      </c>
      <c r="HS78" s="36">
        <f t="shared" ca="1" si="195"/>
        <v>40.873736263929551</v>
      </c>
      <c r="HT78" s="36">
        <f t="shared" ca="1" si="195"/>
        <v>40.642108234931626</v>
      </c>
      <c r="HU78" s="36">
        <f t="shared" ca="1" si="177"/>
        <v>40.84038426079232</v>
      </c>
      <c r="HV78" s="36">
        <f t="shared" ca="1" si="177"/>
        <v>40.998546104795174</v>
      </c>
      <c r="HW78" s="36">
        <f t="shared" ca="1" si="177"/>
        <v>41.514424150966313</v>
      </c>
      <c r="HX78" s="36">
        <f t="shared" ca="1" si="177"/>
        <v>42.168573132086038</v>
      </c>
      <c r="HY78" s="36">
        <f t="shared" ca="1" si="177"/>
        <v>41.939637039488808</v>
      </c>
      <c r="HZ78" s="36">
        <f t="shared" ca="1" si="196"/>
        <v>41.416253663812959</v>
      </c>
      <c r="IA78" s="36">
        <f t="shared" ca="1" si="196"/>
        <v>40.935699600680898</v>
      </c>
      <c r="IB78" s="36">
        <f t="shared" ca="1" si="196"/>
        <v>40.690706524432656</v>
      </c>
      <c r="IC78" s="36">
        <f t="shared" ca="1" si="196"/>
        <v>40.723429805809701</v>
      </c>
      <c r="ID78" s="36">
        <f t="shared" ca="1" si="196"/>
        <v>40.837206112443901</v>
      </c>
      <c r="IE78" s="36">
        <f t="shared" ca="1" si="196"/>
        <v>40.782706887551399</v>
      </c>
      <c r="IF78" s="36">
        <f t="shared" ca="1" si="196"/>
        <v>40.912439720299858</v>
      </c>
      <c r="IG78" s="36">
        <f t="shared" ca="1" si="196"/>
        <v>41.248311920444287</v>
      </c>
      <c r="IH78" s="36">
        <f t="shared" ca="1" si="196"/>
        <v>41.281484148305829</v>
      </c>
      <c r="II78" s="36">
        <f t="shared" ca="1" si="196"/>
        <v>41.658836213939303</v>
      </c>
      <c r="IJ78" s="36">
        <f t="shared" ca="1" si="196"/>
        <v>40.794728115680755</v>
      </c>
      <c r="IK78" s="36">
        <f t="shared" ca="1" si="196"/>
        <v>40.405075986257202</v>
      </c>
      <c r="IL78" s="36">
        <f t="shared" ca="1" si="196"/>
        <v>40.243203913693662</v>
      </c>
      <c r="IM78" s="36">
        <f t="shared" ca="1" si="196"/>
        <v>40.60761719837285</v>
      </c>
      <c r="IN78" s="36">
        <f t="shared" ca="1" si="196"/>
        <v>39.993858822698016</v>
      </c>
      <c r="IO78" s="36">
        <f t="shared" ca="1" si="196"/>
        <v>38.712195900838275</v>
      </c>
      <c r="IP78" s="36">
        <f t="shared" ca="1" si="196"/>
        <v>38.786636179948189</v>
      </c>
      <c r="IQ78" s="36">
        <f t="shared" ca="1" si="196"/>
        <v>39.518785993610607</v>
      </c>
      <c r="IR78" s="36">
        <f t="shared" ca="1" si="196"/>
        <v>39.757472053803752</v>
      </c>
      <c r="IS78" s="36">
        <f t="shared" ca="1" si="196"/>
        <v>39.917297197884267</v>
      </c>
      <c r="IT78" s="36">
        <f t="shared" ca="1" si="196"/>
        <v>39.113822812290913</v>
      </c>
      <c r="IU78" s="36">
        <f t="shared" ca="1" si="196"/>
        <v>39.494064340128617</v>
      </c>
    </row>
    <row r="79" spans="1:255" x14ac:dyDescent="0.2">
      <c r="A79" s="36"/>
      <c r="B79">
        <v>69</v>
      </c>
      <c r="C79" s="36">
        <v>50</v>
      </c>
      <c r="D79" s="36">
        <f t="shared" ca="1" si="188"/>
        <v>50.359853080662162</v>
      </c>
      <c r="E79" s="36">
        <f t="shared" ca="1" si="188"/>
        <v>51.17337706796787</v>
      </c>
      <c r="F79" s="36">
        <f t="shared" ca="1" si="197"/>
        <v>51.155214189152922</v>
      </c>
      <c r="G79" s="36">
        <f t="shared" ca="1" si="197"/>
        <v>52.57049661649539</v>
      </c>
      <c r="H79" s="36">
        <f t="shared" ca="1" si="197"/>
        <v>52.638794019291801</v>
      </c>
      <c r="I79" s="36">
        <f t="shared" ca="1" si="197"/>
        <v>53.801573305292941</v>
      </c>
      <c r="J79" s="36">
        <f t="shared" ca="1" si="197"/>
        <v>54.593983418658517</v>
      </c>
      <c r="K79" s="36">
        <f t="shared" ca="1" si="197"/>
        <v>54.798533739062414</v>
      </c>
      <c r="L79" s="36">
        <f t="shared" ca="1" si="197"/>
        <v>53.893721136385047</v>
      </c>
      <c r="M79" s="36">
        <f t="shared" ca="1" si="197"/>
        <v>53.408294459201066</v>
      </c>
      <c r="N79" s="36">
        <f t="shared" ca="1" si="197"/>
        <v>52.891705498758249</v>
      </c>
      <c r="O79" s="36">
        <f t="shared" ca="1" si="197"/>
        <v>53.118830484873598</v>
      </c>
      <c r="P79" s="36">
        <f t="shared" ca="1" si="197"/>
        <v>52.344675162662483</v>
      </c>
      <c r="Q79" s="36">
        <f t="shared" ca="1" si="197"/>
        <v>51.738513347134436</v>
      </c>
      <c r="R79" s="36">
        <f t="shared" ca="1" si="197"/>
        <v>52.293218000400657</v>
      </c>
      <c r="S79" s="36">
        <f t="shared" ca="1" si="197"/>
        <v>52.507899216096206</v>
      </c>
      <c r="T79" s="36">
        <f t="shared" ca="1" si="197"/>
        <v>52.349047205357365</v>
      </c>
      <c r="U79" s="36">
        <f t="shared" ca="1" si="197"/>
        <v>51.941135906178175</v>
      </c>
      <c r="V79" s="36">
        <f t="shared" ca="1" si="197"/>
        <v>51.882501980506689</v>
      </c>
      <c r="W79" s="36">
        <f t="shared" ca="1" si="197"/>
        <v>52.07884848934173</v>
      </c>
      <c r="X79" s="36">
        <f t="shared" ca="1" si="197"/>
        <v>52.110330389064131</v>
      </c>
      <c r="Y79" s="36">
        <f t="shared" ca="1" si="197"/>
        <v>52.129310872400161</v>
      </c>
      <c r="Z79" s="36">
        <f t="shared" ca="1" si="197"/>
        <v>53.119610329315428</v>
      </c>
      <c r="AA79" s="36">
        <f t="shared" ca="1" si="197"/>
        <v>53.662521274940396</v>
      </c>
      <c r="AB79" s="36">
        <f t="shared" ca="1" si="197"/>
        <v>54.492582541746643</v>
      </c>
      <c r="AC79" s="36">
        <f t="shared" ca="1" si="197"/>
        <v>55.753617811557419</v>
      </c>
      <c r="AD79" s="36">
        <f t="shared" ca="1" si="197"/>
        <v>55.609313357303201</v>
      </c>
      <c r="AE79" s="36">
        <f t="shared" ca="1" si="197"/>
        <v>56.007883816580012</v>
      </c>
      <c r="AF79" s="36">
        <f t="shared" ca="1" si="197"/>
        <v>56.250131694102222</v>
      </c>
      <c r="AG79" s="36">
        <f t="shared" ca="1" si="197"/>
        <v>55.343881076797153</v>
      </c>
      <c r="AH79" s="36">
        <f t="shared" ca="1" si="197"/>
        <v>55.823090708502953</v>
      </c>
      <c r="AI79" s="36">
        <f t="shared" ca="1" si="197"/>
        <v>54.79905641130032</v>
      </c>
      <c r="AJ79" s="36">
        <f t="shared" ca="1" si="197"/>
        <v>54.966993345127591</v>
      </c>
      <c r="AK79" s="36">
        <f t="shared" ca="1" si="197"/>
        <v>54.262333539637289</v>
      </c>
      <c r="AL79" s="36">
        <f t="shared" ca="1" si="197"/>
        <v>53.93770326507989</v>
      </c>
      <c r="AM79" s="36">
        <f t="shared" ca="1" si="197"/>
        <v>52.725499410373743</v>
      </c>
      <c r="AN79" s="36">
        <f t="shared" ca="1" si="197"/>
        <v>52.935451719215095</v>
      </c>
      <c r="AO79" s="36">
        <f t="shared" ca="1" si="197"/>
        <v>53.835194791789569</v>
      </c>
      <c r="AP79" s="36">
        <f t="shared" ca="1" si="197"/>
        <v>54.959632735690683</v>
      </c>
      <c r="AQ79" s="36">
        <f t="shared" ca="1" si="197"/>
        <v>56.015480240915238</v>
      </c>
      <c r="AR79" s="36">
        <f t="shared" ca="1" si="197"/>
        <v>55.237661108670366</v>
      </c>
      <c r="AS79" s="36">
        <f t="shared" ca="1" si="197"/>
        <v>54.258008420163563</v>
      </c>
      <c r="AT79" s="36">
        <f t="shared" ca="1" si="197"/>
        <v>54.994040012635281</v>
      </c>
      <c r="AU79" s="36">
        <f t="shared" ca="1" si="197"/>
        <v>55.015992323977557</v>
      </c>
      <c r="AV79" s="36">
        <f t="shared" ca="1" si="197"/>
        <v>56.159987850997581</v>
      </c>
      <c r="AW79" s="36">
        <f t="shared" ca="1" si="197"/>
        <v>56.324311137399079</v>
      </c>
      <c r="AX79" s="36">
        <f t="shared" ca="1" si="197"/>
        <v>56.378680946187579</v>
      </c>
      <c r="AY79" s="36">
        <f t="shared" ca="1" si="197"/>
        <v>56.922607484108987</v>
      </c>
      <c r="AZ79" s="36">
        <f t="shared" ca="1" si="197"/>
        <v>56.994447854597126</v>
      </c>
      <c r="BA79" s="36">
        <f t="shared" ca="1" si="197"/>
        <v>56.808258667424134</v>
      </c>
      <c r="BB79" s="36">
        <f t="shared" ca="1" si="197"/>
        <v>57.487926661749711</v>
      </c>
      <c r="BC79" s="36">
        <f t="shared" ca="1" si="197"/>
        <v>58.861057509216721</v>
      </c>
      <c r="BD79" s="36">
        <f t="shared" ca="1" si="197"/>
        <v>58.860252003396269</v>
      </c>
      <c r="BE79" s="36">
        <f t="shared" ca="1" si="197"/>
        <v>59.599797184152855</v>
      </c>
      <c r="BF79" s="36">
        <f t="shared" ca="1" si="197"/>
        <v>58.203043875483544</v>
      </c>
      <c r="BG79" s="36">
        <f t="shared" ca="1" si="197"/>
        <v>58.911085310190131</v>
      </c>
      <c r="BH79" s="36">
        <f t="shared" ca="1" si="197"/>
        <v>58.927736152800421</v>
      </c>
      <c r="BI79" s="36">
        <f t="shared" ca="1" si="197"/>
        <v>59.589222742796764</v>
      </c>
      <c r="BJ79" s="36">
        <f t="shared" ca="1" si="197"/>
        <v>58.311938407074997</v>
      </c>
      <c r="BK79" s="36">
        <f t="shared" ca="1" si="197"/>
        <v>58.475676820105477</v>
      </c>
      <c r="BL79" s="36">
        <f t="shared" ca="1" si="197"/>
        <v>57.792056078709393</v>
      </c>
      <c r="BM79" s="36">
        <f t="shared" ca="1" si="197"/>
        <v>58.075595204115977</v>
      </c>
      <c r="BN79" s="36">
        <f t="shared" ca="1" si="197"/>
        <v>58.46050592449329</v>
      </c>
      <c r="BO79" s="36">
        <f t="shared" ca="1" si="197"/>
        <v>58.659965238675596</v>
      </c>
      <c r="BP79" s="36">
        <f t="shared" ca="1" si="197"/>
        <v>58.972211578491397</v>
      </c>
      <c r="BQ79" s="36">
        <f t="shared" ca="1" si="197"/>
        <v>57.842930248324627</v>
      </c>
      <c r="BR79" s="36">
        <f t="shared" ca="1" si="198"/>
        <v>59.28020342987363</v>
      </c>
      <c r="BS79" s="36">
        <f t="shared" ca="1" si="198"/>
        <v>59.119525886648645</v>
      </c>
      <c r="BT79" s="36">
        <f t="shared" ca="1" si="198"/>
        <v>59.664400742609082</v>
      </c>
      <c r="BU79" s="36">
        <f t="shared" ca="1" si="198"/>
        <v>59.394544133892801</v>
      </c>
      <c r="BV79" s="36">
        <f t="shared" ca="1" si="198"/>
        <v>58.195143054362298</v>
      </c>
      <c r="BW79" s="36">
        <f t="shared" ca="1" si="198"/>
        <v>56.596856743014122</v>
      </c>
      <c r="BX79" s="36">
        <f t="shared" ca="1" si="198"/>
        <v>56.46893625030841</v>
      </c>
      <c r="BY79" s="36">
        <f t="shared" ca="1" si="198"/>
        <v>57.22141031846126</v>
      </c>
      <c r="BZ79" s="36">
        <f t="shared" ca="1" si="198"/>
        <v>57.411511882280926</v>
      </c>
      <c r="CA79" s="36">
        <f t="shared" ca="1" si="198"/>
        <v>57.815062171415221</v>
      </c>
      <c r="CB79" s="36">
        <f t="shared" ca="1" si="198"/>
        <v>57.438734517678348</v>
      </c>
      <c r="CC79" s="36">
        <f t="shared" ca="1" si="198"/>
        <v>56.81766926851666</v>
      </c>
      <c r="CD79" s="36">
        <f t="shared" ca="1" si="198"/>
        <v>57.852983927499103</v>
      </c>
      <c r="CE79" s="36">
        <f t="shared" ca="1" si="198"/>
        <v>58.809385557519612</v>
      </c>
      <c r="CF79" s="36">
        <f t="shared" ca="1" si="198"/>
        <v>58.866197637332448</v>
      </c>
      <c r="CG79" s="36">
        <f t="shared" ca="1" si="198"/>
        <v>58.482024866398376</v>
      </c>
      <c r="CH79" s="36">
        <f t="shared" ca="1" si="198"/>
        <v>59.734803184091106</v>
      </c>
      <c r="CI79" s="36">
        <f t="shared" ca="1" si="198"/>
        <v>60.344402991794929</v>
      </c>
      <c r="CJ79" s="36">
        <f t="shared" ca="1" si="198"/>
        <v>61.126298491597382</v>
      </c>
      <c r="CK79" s="36">
        <f t="shared" ca="1" si="198"/>
        <v>61.96284670054289</v>
      </c>
      <c r="CL79" s="36">
        <f t="shared" ca="1" si="198"/>
        <v>62.007345064033103</v>
      </c>
      <c r="CM79" s="36">
        <f t="shared" ca="1" si="198"/>
        <v>61.429185128910859</v>
      </c>
      <c r="CN79" s="36">
        <f t="shared" ca="1" si="198"/>
        <v>60.340813756578562</v>
      </c>
      <c r="CO79" s="36">
        <f t="shared" ca="1" si="198"/>
        <v>61.130126746092579</v>
      </c>
      <c r="CP79" s="36">
        <f t="shared" ca="1" si="198"/>
        <v>61.546108768786887</v>
      </c>
      <c r="CQ79" s="36">
        <f t="shared" ca="1" si="198"/>
        <v>61.835812629263025</v>
      </c>
      <c r="CR79" s="36">
        <f t="shared" ca="1" si="198"/>
        <v>60.668592661988512</v>
      </c>
      <c r="CS79" s="36">
        <f t="shared" ca="1" si="198"/>
        <v>59.811574992717816</v>
      </c>
      <c r="CT79" s="36">
        <f t="shared" ca="1" si="198"/>
        <v>60.621955146752924</v>
      </c>
      <c r="CU79" s="36">
        <f t="shared" ca="1" si="198"/>
        <v>62.171045397718366</v>
      </c>
      <c r="CV79" s="36">
        <f t="shared" ca="1" si="198"/>
        <v>62.894165824465098</v>
      </c>
      <c r="CW79" s="36">
        <f t="shared" ca="1" si="198"/>
        <v>62.371018717943855</v>
      </c>
      <c r="CX79" s="36">
        <f t="shared" ca="1" si="198"/>
        <v>61.930657529490418</v>
      </c>
      <c r="CY79" s="36">
        <f t="shared" ca="1" si="198"/>
        <v>62.550971746994051</v>
      </c>
      <c r="CZ79" s="36">
        <f t="shared" ca="1" si="198"/>
        <v>63.229478255550234</v>
      </c>
      <c r="DA79" s="36">
        <f t="shared" ca="1" si="198"/>
        <v>62.74267572635673</v>
      </c>
      <c r="DB79" s="36">
        <f t="shared" ca="1" si="198"/>
        <v>63.378572355394176</v>
      </c>
      <c r="DC79" s="36">
        <f t="shared" ca="1" si="198"/>
        <v>63.163441383360045</v>
      </c>
      <c r="DD79" s="36">
        <f t="shared" ca="1" si="198"/>
        <v>65.291007862021686</v>
      </c>
      <c r="DE79" s="36">
        <f t="shared" ca="1" si="198"/>
        <v>65.839680689624615</v>
      </c>
      <c r="DF79" s="36">
        <f t="shared" ca="1" si="198"/>
        <v>66.294760207497248</v>
      </c>
      <c r="DG79" s="36">
        <f t="shared" ca="1" si="198"/>
        <v>66.879154252845339</v>
      </c>
      <c r="DH79" s="36">
        <f t="shared" ca="1" si="198"/>
        <v>67.348339595983106</v>
      </c>
      <c r="DI79" s="36">
        <f t="shared" ca="1" si="198"/>
        <v>65.843036142957132</v>
      </c>
      <c r="DJ79" s="36">
        <f t="shared" ca="1" si="198"/>
        <v>64.470249932825752</v>
      </c>
      <c r="DK79" s="36">
        <f t="shared" ca="1" si="198"/>
        <v>63.89642747578042</v>
      </c>
      <c r="DL79" s="36">
        <f t="shared" ca="1" si="198"/>
        <v>64.540763493310479</v>
      </c>
      <c r="DM79" s="36">
        <f t="shared" ca="1" si="198"/>
        <v>64.360950042153704</v>
      </c>
      <c r="DN79" s="36">
        <f t="shared" ca="1" si="198"/>
        <v>64.889270664172145</v>
      </c>
      <c r="DO79" s="36">
        <f t="shared" ca="1" si="198"/>
        <v>65.896629700373992</v>
      </c>
      <c r="DP79" s="36">
        <f t="shared" ca="1" si="198"/>
        <v>66.247761375207901</v>
      </c>
      <c r="DQ79" s="36">
        <f t="shared" ca="1" si="198"/>
        <v>64.816162980780746</v>
      </c>
      <c r="DR79" s="36">
        <f t="shared" ca="1" si="198"/>
        <v>64.571440720928351</v>
      </c>
      <c r="DS79" s="36">
        <f t="shared" ca="1" si="198"/>
        <v>64.977989002941555</v>
      </c>
      <c r="DT79" s="36">
        <f t="shared" ca="1" si="198"/>
        <v>65.322159070985677</v>
      </c>
      <c r="DU79" s="36">
        <f t="shared" ca="1" si="198"/>
        <v>65.699954914024786</v>
      </c>
      <c r="DV79" s="36">
        <f t="shared" ca="1" si="198"/>
        <v>65.376181390648085</v>
      </c>
      <c r="DW79" s="36">
        <f t="shared" ca="1" si="198"/>
        <v>64.022386367868307</v>
      </c>
      <c r="DX79" s="36">
        <f t="shared" ca="1" si="198"/>
        <v>64.57371836164414</v>
      </c>
      <c r="DY79" s="36">
        <f t="shared" ca="1" si="198"/>
        <v>63.877637520032799</v>
      </c>
      <c r="DZ79" s="36">
        <f t="shared" ca="1" si="198"/>
        <v>62.639916805491623</v>
      </c>
      <c r="EA79" s="36">
        <f t="shared" ca="1" si="198"/>
        <v>62.701219073515546</v>
      </c>
      <c r="EB79" s="36">
        <f t="shared" ca="1" si="198"/>
        <v>61.771034199911433</v>
      </c>
      <c r="EC79" s="36">
        <f t="shared" ca="1" si="198"/>
        <v>61.931148041825331</v>
      </c>
      <c r="ED79" s="36">
        <f t="shared" ca="1" si="193"/>
        <v>61.62048990050392</v>
      </c>
      <c r="EE79" s="36">
        <f t="shared" ca="1" si="193"/>
        <v>59.335917832480625</v>
      </c>
      <c r="EF79" s="36">
        <f t="shared" ca="1" si="173"/>
        <v>60.485642115244431</v>
      </c>
      <c r="EG79" s="36">
        <f t="shared" ca="1" si="173"/>
        <v>60.717188767119673</v>
      </c>
      <c r="EH79" s="36">
        <f t="shared" ca="1" si="173"/>
        <v>60.473481776689773</v>
      </c>
      <c r="EI79" s="36">
        <f t="shared" ca="1" si="173"/>
        <v>61.209552595696536</v>
      </c>
      <c r="EJ79" s="36">
        <f t="shared" ca="1" si="173"/>
        <v>62.247779135622437</v>
      </c>
      <c r="EK79" s="36">
        <f t="shared" ca="1" si="173"/>
        <v>61.360537194733766</v>
      </c>
      <c r="EL79" s="36">
        <f t="shared" ca="1" si="173"/>
        <v>61.062875852049132</v>
      </c>
      <c r="EM79" s="36">
        <f t="shared" ca="1" si="173"/>
        <v>60.39948163507529</v>
      </c>
      <c r="EN79" s="36">
        <f t="shared" ca="1" si="173"/>
        <v>61.513844479587235</v>
      </c>
      <c r="EO79" s="36">
        <f t="shared" ca="1" si="173"/>
        <v>62.244612280949092</v>
      </c>
      <c r="EP79" s="36">
        <f t="shared" ca="1" si="173"/>
        <v>63.535726039096595</v>
      </c>
      <c r="EQ79" s="36">
        <f t="shared" ca="1" si="173"/>
        <v>63.722754803442974</v>
      </c>
      <c r="ER79" s="36">
        <f t="shared" ca="1" si="173"/>
        <v>64.51269567894289</v>
      </c>
      <c r="ES79" s="36">
        <f t="shared" ca="1" si="173"/>
        <v>65.201534608140491</v>
      </c>
      <c r="ET79" s="36">
        <f t="shared" ca="1" si="173"/>
        <v>65.233662735937955</v>
      </c>
      <c r="EU79" s="36">
        <f t="shared" ca="1" si="173"/>
        <v>64.880914293371362</v>
      </c>
      <c r="EV79" s="36">
        <f t="shared" ca="1" si="173"/>
        <v>64.606381855043239</v>
      </c>
      <c r="EW79" s="36">
        <f t="shared" ref="EW79" ca="1" si="200">EV79*EXP(($B$3-$B$4^2/2)*1+$B$4*_xlfn.NORM.S.INV(RAND()))</f>
        <v>65.248509522619599</v>
      </c>
      <c r="EX79" s="36">
        <f t="shared" ca="1" si="194"/>
        <v>66.670810774065188</v>
      </c>
      <c r="EY79" s="36">
        <f t="shared" ca="1" si="194"/>
        <v>66.602538148893956</v>
      </c>
      <c r="EZ79" s="36">
        <f t="shared" ca="1" si="194"/>
        <v>66.729910169831882</v>
      </c>
      <c r="FA79" s="36">
        <f t="shared" ca="1" si="194"/>
        <v>66.793555893634931</v>
      </c>
      <c r="FB79" s="36">
        <f t="shared" ca="1" si="194"/>
        <v>67.415092409954596</v>
      </c>
      <c r="FC79" s="36">
        <f t="shared" ca="1" si="194"/>
        <v>67.691476721358441</v>
      </c>
      <c r="FD79" s="36">
        <f t="shared" ca="1" si="194"/>
        <v>66.906462084887266</v>
      </c>
      <c r="FE79" s="36">
        <f t="shared" ca="1" si="194"/>
        <v>67.8623261910992</v>
      </c>
      <c r="FF79" s="36">
        <f t="shared" ca="1" si="194"/>
        <v>67.564934806591836</v>
      </c>
      <c r="FG79" s="36">
        <f t="shared" ca="1" si="194"/>
        <v>68.093935149185</v>
      </c>
      <c r="FH79" s="36">
        <f t="shared" ca="1" si="194"/>
        <v>67.782328711048265</v>
      </c>
      <c r="FI79" s="36">
        <f t="shared" ca="1" si="194"/>
        <v>68.084076328654589</v>
      </c>
      <c r="FJ79" s="36">
        <f t="shared" ca="1" si="194"/>
        <v>68.206812559614079</v>
      </c>
      <c r="FK79" s="36">
        <f t="shared" ca="1" si="194"/>
        <v>67.740337376744733</v>
      </c>
      <c r="FL79" s="36">
        <f t="shared" ca="1" si="194"/>
        <v>68.507793776166395</v>
      </c>
      <c r="FM79" s="36">
        <f t="shared" ca="1" si="194"/>
        <v>68.361298093300846</v>
      </c>
      <c r="FN79" s="36">
        <f t="shared" ca="1" si="194"/>
        <v>68.16601547504419</v>
      </c>
      <c r="FO79" s="36">
        <f t="shared" ca="1" si="194"/>
        <v>68.600811721027341</v>
      </c>
      <c r="FP79" s="36">
        <f t="shared" ca="1" si="194"/>
        <v>69.102390811811844</v>
      </c>
      <c r="FQ79" s="36">
        <f t="shared" ca="1" si="194"/>
        <v>70.072343601052154</v>
      </c>
      <c r="FR79" s="36">
        <f t="shared" ca="1" si="194"/>
        <v>70.582834625165958</v>
      </c>
      <c r="FS79" s="36">
        <f t="shared" ca="1" si="194"/>
        <v>69.226872825967249</v>
      </c>
      <c r="FT79" s="36">
        <f t="shared" ca="1" si="194"/>
        <v>66.863427754980407</v>
      </c>
      <c r="FU79" s="36">
        <f t="shared" ca="1" si="194"/>
        <v>66.809649747141805</v>
      </c>
      <c r="FV79" s="36">
        <f t="shared" ca="1" si="194"/>
        <v>65.796412205678905</v>
      </c>
      <c r="FW79" s="36">
        <f t="shared" ca="1" si="194"/>
        <v>65.670072884730828</v>
      </c>
      <c r="FX79" s="36">
        <f t="shared" ca="1" si="194"/>
        <v>66.835621225641162</v>
      </c>
      <c r="FY79" s="36">
        <f t="shared" ca="1" si="194"/>
        <v>67.559242941315276</v>
      </c>
      <c r="FZ79" s="36">
        <f t="shared" ca="1" si="194"/>
        <v>68.212473425450938</v>
      </c>
      <c r="GA79" s="36">
        <f t="shared" ca="1" si="194"/>
        <v>66.319515277057604</v>
      </c>
      <c r="GB79" s="36">
        <f t="shared" ca="1" si="194"/>
        <v>66.182912813863197</v>
      </c>
      <c r="GC79" s="36">
        <f t="shared" ca="1" si="194"/>
        <v>65.80886909000337</v>
      </c>
      <c r="GD79" s="36">
        <f t="shared" ca="1" si="194"/>
        <v>66.210796696101767</v>
      </c>
      <c r="GE79" s="36">
        <f t="shared" ca="1" si="194"/>
        <v>65.772545969295265</v>
      </c>
      <c r="GF79" s="36">
        <f t="shared" ca="1" si="194"/>
        <v>66.594183517235223</v>
      </c>
      <c r="GG79" s="36">
        <f t="shared" ca="1" si="194"/>
        <v>66.347031135008365</v>
      </c>
      <c r="GH79" s="36">
        <f t="shared" ca="1" si="194"/>
        <v>66.627238128168756</v>
      </c>
      <c r="GI79" s="36">
        <f t="shared" ca="1" si="194"/>
        <v>65.261831860785065</v>
      </c>
      <c r="GJ79" s="36">
        <f t="shared" ca="1" si="194"/>
        <v>64.193515195032475</v>
      </c>
      <c r="GK79" s="36">
        <f t="shared" ca="1" si="194"/>
        <v>64.268371856852141</v>
      </c>
      <c r="GL79" s="36">
        <f t="shared" ca="1" si="194"/>
        <v>64.035230853503577</v>
      </c>
      <c r="GM79" s="36">
        <f t="shared" ca="1" si="194"/>
        <v>62.685744216281286</v>
      </c>
      <c r="GN79" s="36">
        <f t="shared" ca="1" si="194"/>
        <v>62.387274014224921</v>
      </c>
      <c r="GO79" s="36">
        <f t="shared" ca="1" si="194"/>
        <v>62.990975013479506</v>
      </c>
      <c r="GP79" s="36">
        <f t="shared" ca="1" si="194"/>
        <v>64.241927038444743</v>
      </c>
      <c r="GQ79" s="36">
        <f t="shared" ca="1" si="194"/>
        <v>63.503501971515135</v>
      </c>
      <c r="GR79" s="36">
        <f t="shared" ca="1" si="194"/>
        <v>63.885277975831059</v>
      </c>
      <c r="GS79" s="36">
        <f t="shared" ca="1" si="194"/>
        <v>61.977942281549574</v>
      </c>
      <c r="GT79" s="36">
        <f t="shared" ca="1" si="194"/>
        <v>61.672075842501322</v>
      </c>
      <c r="GU79" s="36">
        <f t="shared" ca="1" si="194"/>
        <v>61.243863765666646</v>
      </c>
      <c r="GV79" s="36">
        <f t="shared" ca="1" si="194"/>
        <v>60.188690108617436</v>
      </c>
      <c r="GW79" s="36">
        <f t="shared" ca="1" si="194"/>
        <v>59.653492185189727</v>
      </c>
      <c r="GX79" s="36">
        <f t="shared" ca="1" si="194"/>
        <v>60.600536562352801</v>
      </c>
      <c r="GY79" s="36">
        <f t="shared" ca="1" si="194"/>
        <v>60.592893545402411</v>
      </c>
      <c r="GZ79" s="36">
        <f t="shared" ca="1" si="194"/>
        <v>59.568474361951097</v>
      </c>
      <c r="HA79" s="36">
        <f t="shared" ca="1" si="194"/>
        <v>59.778534299776986</v>
      </c>
      <c r="HB79" s="36">
        <f t="shared" ca="1" si="194"/>
        <v>59.692716798426694</v>
      </c>
      <c r="HC79" s="36">
        <f t="shared" ca="1" si="194"/>
        <v>60.560781802360147</v>
      </c>
      <c r="HD79" s="36">
        <f t="shared" ca="1" si="194"/>
        <v>60.492004729505602</v>
      </c>
      <c r="HE79" s="36">
        <f t="shared" ca="1" si="194"/>
        <v>60.399202017622969</v>
      </c>
      <c r="HF79" s="36">
        <f t="shared" ca="1" si="194"/>
        <v>60.263623881472164</v>
      </c>
      <c r="HG79" s="36">
        <f t="shared" ca="1" si="194"/>
        <v>61.178263387763032</v>
      </c>
      <c r="HH79" s="36">
        <f t="shared" ca="1" si="194"/>
        <v>62.115532019138904</v>
      </c>
      <c r="HI79" s="36">
        <f t="shared" ca="1" si="195"/>
        <v>61.119818058041595</v>
      </c>
      <c r="HJ79" s="36">
        <f t="shared" ca="1" si="195"/>
        <v>60.247414192798573</v>
      </c>
      <c r="HK79" s="36">
        <f t="shared" ca="1" si="195"/>
        <v>60.508696661564613</v>
      </c>
      <c r="HL79" s="36">
        <f t="shared" ca="1" si="195"/>
        <v>60.435516913143481</v>
      </c>
      <c r="HM79" s="36">
        <f t="shared" ca="1" si="195"/>
        <v>58.89660420955375</v>
      </c>
      <c r="HN79" s="36">
        <f t="shared" ca="1" si="195"/>
        <v>58.815677293362711</v>
      </c>
      <c r="HO79" s="36">
        <f t="shared" ca="1" si="195"/>
        <v>58.181473638054747</v>
      </c>
      <c r="HP79" s="36">
        <f t="shared" ca="1" si="195"/>
        <v>59.316546464895723</v>
      </c>
      <c r="HQ79" s="36">
        <f t="shared" ca="1" si="195"/>
        <v>59.181663463269821</v>
      </c>
      <c r="HR79" s="36">
        <f t="shared" ca="1" si="195"/>
        <v>60.107706338760394</v>
      </c>
      <c r="HS79" s="36">
        <f t="shared" ca="1" si="195"/>
        <v>60.296405419016047</v>
      </c>
      <c r="HT79" s="36">
        <f t="shared" ca="1" si="195"/>
        <v>60.111521978585067</v>
      </c>
      <c r="HU79" s="36">
        <f t="shared" ca="1" si="177"/>
        <v>60.301431891213745</v>
      </c>
      <c r="HV79" s="36">
        <f t="shared" ca="1" si="177"/>
        <v>59.646399225455319</v>
      </c>
      <c r="HW79" s="36">
        <f t="shared" ca="1" si="177"/>
        <v>59.293553017952696</v>
      </c>
      <c r="HX79" s="36">
        <f t="shared" ca="1" si="177"/>
        <v>59.787302988358604</v>
      </c>
      <c r="HY79" s="36">
        <f t="shared" ca="1" si="177"/>
        <v>59.811519495593252</v>
      </c>
      <c r="HZ79" s="36">
        <f t="shared" ca="1" si="196"/>
        <v>58.621438780459719</v>
      </c>
      <c r="IA79" s="36">
        <f t="shared" ca="1" si="196"/>
        <v>58.257570688093814</v>
      </c>
      <c r="IB79" s="36">
        <f t="shared" ca="1" si="196"/>
        <v>58.477600638714655</v>
      </c>
      <c r="IC79" s="36">
        <f t="shared" ca="1" si="196"/>
        <v>58.644611835012881</v>
      </c>
      <c r="ID79" s="36">
        <f t="shared" ca="1" si="196"/>
        <v>58.439837226691786</v>
      </c>
      <c r="IE79" s="36">
        <f t="shared" ca="1" si="196"/>
        <v>58.477148425709558</v>
      </c>
      <c r="IF79" s="36">
        <f t="shared" ca="1" si="196"/>
        <v>58.488254671773035</v>
      </c>
      <c r="IG79" s="36">
        <f t="shared" ca="1" si="196"/>
        <v>58.891986398833645</v>
      </c>
      <c r="IH79" s="36">
        <f t="shared" ca="1" si="196"/>
        <v>58.528098824330392</v>
      </c>
      <c r="II79" s="36">
        <f t="shared" ca="1" si="196"/>
        <v>57.919905659533377</v>
      </c>
      <c r="IJ79" s="36">
        <f t="shared" ca="1" si="196"/>
        <v>57.655195307872233</v>
      </c>
      <c r="IK79" s="36">
        <f t="shared" ca="1" si="196"/>
        <v>57.14044290438175</v>
      </c>
      <c r="IL79" s="36">
        <f t="shared" ca="1" si="196"/>
        <v>57.419912256144713</v>
      </c>
      <c r="IM79" s="36">
        <f t="shared" ca="1" si="196"/>
        <v>56.802804081755632</v>
      </c>
      <c r="IN79" s="36">
        <f t="shared" ca="1" si="196"/>
        <v>57.936913602101725</v>
      </c>
      <c r="IO79" s="36">
        <f t="shared" ca="1" si="196"/>
        <v>57.479693058705742</v>
      </c>
      <c r="IP79" s="36">
        <f t="shared" ca="1" si="196"/>
        <v>58.541978279340171</v>
      </c>
      <c r="IQ79" s="36">
        <f t="shared" ca="1" si="196"/>
        <v>58.368221550166474</v>
      </c>
      <c r="IR79" s="36">
        <f t="shared" ca="1" si="196"/>
        <v>57.409510014918609</v>
      </c>
      <c r="IS79" s="36">
        <f t="shared" ca="1" si="196"/>
        <v>57.689238794027844</v>
      </c>
      <c r="IT79" s="36">
        <f t="shared" ca="1" si="196"/>
        <v>57.884789826141123</v>
      </c>
      <c r="IU79" s="36">
        <f t="shared" ca="1" si="196"/>
        <v>57.404356946335184</v>
      </c>
    </row>
    <row r="80" spans="1:255" x14ac:dyDescent="0.2">
      <c r="A80" s="36"/>
      <c r="B80">
        <v>70</v>
      </c>
      <c r="C80" s="36">
        <v>50</v>
      </c>
      <c r="D80" s="36">
        <f t="shared" ca="1" si="188"/>
        <v>49.003892992933586</v>
      </c>
      <c r="E80" s="36">
        <f t="shared" ca="1" si="188"/>
        <v>48.404045830487554</v>
      </c>
      <c r="F80" s="36">
        <f t="shared" ca="1" si="197"/>
        <v>48.822706782473098</v>
      </c>
      <c r="G80" s="36">
        <f t="shared" ca="1" si="197"/>
        <v>48.616181241549491</v>
      </c>
      <c r="H80" s="36">
        <f t="shared" ca="1" si="197"/>
        <v>49.8020147005954</v>
      </c>
      <c r="I80" s="36">
        <f t="shared" ca="1" si="197"/>
        <v>48.806304148743401</v>
      </c>
      <c r="J80" s="36">
        <f t="shared" ca="1" si="197"/>
        <v>48.331327647384299</v>
      </c>
      <c r="K80" s="36">
        <f t="shared" ca="1" si="197"/>
        <v>48.497938904577211</v>
      </c>
      <c r="L80" s="36">
        <f t="shared" ca="1" si="197"/>
        <v>47.196618480404723</v>
      </c>
      <c r="M80" s="36">
        <f t="shared" ca="1" si="197"/>
        <v>46.972532420109118</v>
      </c>
      <c r="N80" s="36">
        <f t="shared" ca="1" si="197"/>
        <v>47.102389429088745</v>
      </c>
      <c r="O80" s="36">
        <f t="shared" ca="1" si="197"/>
        <v>46.743844652323034</v>
      </c>
      <c r="P80" s="36">
        <f t="shared" ca="1" si="197"/>
        <v>46.560513752632943</v>
      </c>
      <c r="Q80" s="36">
        <f t="shared" ca="1" si="197"/>
        <v>45.574806500412031</v>
      </c>
      <c r="R80" s="36">
        <f t="shared" ca="1" si="197"/>
        <v>45.099935746686107</v>
      </c>
      <c r="S80" s="36">
        <f t="shared" ca="1" si="197"/>
        <v>43.994256110955114</v>
      </c>
      <c r="T80" s="36">
        <f t="shared" ca="1" si="197"/>
        <v>43.417987734754959</v>
      </c>
      <c r="U80" s="36">
        <f t="shared" ca="1" si="197"/>
        <v>42.694225669151301</v>
      </c>
      <c r="V80" s="36">
        <f t="shared" ca="1" si="197"/>
        <v>42.818964908597948</v>
      </c>
      <c r="W80" s="36">
        <f t="shared" ca="1" si="197"/>
        <v>43.162922861924883</v>
      </c>
      <c r="X80" s="36">
        <f t="shared" ca="1" si="197"/>
        <v>43.646134298232212</v>
      </c>
      <c r="Y80" s="36">
        <f t="shared" ca="1" si="197"/>
        <v>43.3984862424605</v>
      </c>
      <c r="Z80" s="36">
        <f t="shared" ca="1" si="197"/>
        <v>43.018961392706025</v>
      </c>
      <c r="AA80" s="36">
        <f t="shared" ca="1" si="197"/>
        <v>43.260437946885958</v>
      </c>
      <c r="AB80" s="36">
        <f t="shared" ca="1" si="197"/>
        <v>44.357333876806521</v>
      </c>
      <c r="AC80" s="36">
        <f t="shared" ca="1" si="197"/>
        <v>44.460170558944903</v>
      </c>
      <c r="AD80" s="36">
        <f t="shared" ca="1" si="197"/>
        <v>43.617824959523794</v>
      </c>
      <c r="AE80" s="36">
        <f t="shared" ca="1" si="197"/>
        <v>43.819440407510186</v>
      </c>
      <c r="AF80" s="36">
        <f t="shared" ca="1" si="197"/>
        <v>44.2960320007926</v>
      </c>
      <c r="AG80" s="36">
        <f t="shared" ca="1" si="197"/>
        <v>43.315055422081677</v>
      </c>
      <c r="AH80" s="36">
        <f t="shared" ca="1" si="197"/>
        <v>43.745443735629848</v>
      </c>
      <c r="AI80" s="36">
        <f t="shared" ca="1" si="197"/>
        <v>43.547711353451994</v>
      </c>
      <c r="AJ80" s="36">
        <f t="shared" ca="1" si="197"/>
        <v>42.829521218507772</v>
      </c>
      <c r="AK80" s="36">
        <f t="shared" ca="1" si="197"/>
        <v>42.139022176107972</v>
      </c>
      <c r="AL80" s="36">
        <f t="shared" ca="1" si="197"/>
        <v>42.144101134870326</v>
      </c>
      <c r="AM80" s="36">
        <f t="shared" ca="1" si="197"/>
        <v>42.449202180298876</v>
      </c>
      <c r="AN80" s="36">
        <f t="shared" ca="1" si="197"/>
        <v>42.486834792089418</v>
      </c>
      <c r="AO80" s="36">
        <f t="shared" ca="1" si="197"/>
        <v>42.112436101234245</v>
      </c>
      <c r="AP80" s="36">
        <f t="shared" ca="1" si="197"/>
        <v>42.114158121314937</v>
      </c>
      <c r="AQ80" s="36">
        <f t="shared" ca="1" si="197"/>
        <v>41.627143039210623</v>
      </c>
      <c r="AR80" s="36">
        <f t="shared" ca="1" si="197"/>
        <v>41.842150121883826</v>
      </c>
      <c r="AS80" s="36">
        <f t="shared" ca="1" si="197"/>
        <v>41.498202804259549</v>
      </c>
      <c r="AT80" s="36">
        <f t="shared" ca="1" si="197"/>
        <v>40.613674646942428</v>
      </c>
      <c r="AU80" s="36">
        <f t="shared" ca="1" si="197"/>
        <v>41.181681780206524</v>
      </c>
      <c r="AV80" s="36">
        <f t="shared" ca="1" si="197"/>
        <v>41.233480902341363</v>
      </c>
      <c r="AW80" s="36">
        <f t="shared" ca="1" si="197"/>
        <v>41.387569555961818</v>
      </c>
      <c r="AX80" s="36">
        <f t="shared" ca="1" si="197"/>
        <v>40.770022000926019</v>
      </c>
      <c r="AY80" s="36">
        <f t="shared" ca="1" si="197"/>
        <v>40.505664897324067</v>
      </c>
      <c r="AZ80" s="36">
        <f t="shared" ca="1" si="197"/>
        <v>39.976337210787811</v>
      </c>
      <c r="BA80" s="36">
        <f t="shared" ca="1" si="197"/>
        <v>39.369746857217116</v>
      </c>
      <c r="BB80" s="36">
        <f t="shared" ca="1" si="197"/>
        <v>39.545905907642506</v>
      </c>
      <c r="BC80" s="36">
        <f t="shared" ca="1" si="197"/>
        <v>39.299582619333634</v>
      </c>
      <c r="BD80" s="36">
        <f t="shared" ca="1" si="197"/>
        <v>39.255748614232722</v>
      </c>
      <c r="BE80" s="36">
        <f t="shared" ca="1" si="197"/>
        <v>39.376777592455781</v>
      </c>
      <c r="BF80" s="36">
        <f t="shared" ca="1" si="197"/>
        <v>39.735474648534151</v>
      </c>
      <c r="BG80" s="36">
        <f t="shared" ca="1" si="197"/>
        <v>39.302950752356104</v>
      </c>
      <c r="BH80" s="36">
        <f t="shared" ca="1" si="197"/>
        <v>39.839516637053407</v>
      </c>
      <c r="BI80" s="36">
        <f t="shared" ca="1" si="197"/>
        <v>40.346656218113083</v>
      </c>
      <c r="BJ80" s="36">
        <f t="shared" ca="1" si="197"/>
        <v>40.544557557598615</v>
      </c>
      <c r="BK80" s="36">
        <f t="shared" ca="1" si="197"/>
        <v>39.29133930762255</v>
      </c>
      <c r="BL80" s="36">
        <f t="shared" ca="1" si="197"/>
        <v>39.628047077579517</v>
      </c>
      <c r="BM80" s="36">
        <f t="shared" ca="1" si="197"/>
        <v>40.468290113411179</v>
      </c>
      <c r="BN80" s="36">
        <f t="shared" ca="1" si="197"/>
        <v>39.644296225629958</v>
      </c>
      <c r="BO80" s="36">
        <f t="shared" ca="1" si="197"/>
        <v>39.395757468526824</v>
      </c>
      <c r="BP80" s="36">
        <f t="shared" ca="1" si="197"/>
        <v>38.845738972492327</v>
      </c>
      <c r="BQ80" s="36">
        <f t="shared" ca="1" si="197"/>
        <v>38.371355098283118</v>
      </c>
      <c r="BR80" s="36">
        <f t="shared" ca="1" si="198"/>
        <v>38.924363704945904</v>
      </c>
      <c r="BS80" s="36">
        <f t="shared" ca="1" si="198"/>
        <v>39.099782999131477</v>
      </c>
      <c r="BT80" s="36">
        <f t="shared" ca="1" si="198"/>
        <v>38.668770765193628</v>
      </c>
      <c r="BU80" s="36">
        <f t="shared" ca="1" si="198"/>
        <v>39.132312684836059</v>
      </c>
      <c r="BV80" s="36">
        <f t="shared" ca="1" si="198"/>
        <v>39.943954823764408</v>
      </c>
      <c r="BW80" s="36">
        <f t="shared" ca="1" si="198"/>
        <v>40.139936657165933</v>
      </c>
      <c r="BX80" s="36">
        <f t="shared" ca="1" si="198"/>
        <v>40.005287282139641</v>
      </c>
      <c r="BY80" s="36">
        <f t="shared" ca="1" si="198"/>
        <v>39.719083689704675</v>
      </c>
      <c r="BZ80" s="36">
        <f t="shared" ca="1" si="198"/>
        <v>39.709637646924918</v>
      </c>
      <c r="CA80" s="36">
        <f t="shared" ca="1" si="198"/>
        <v>39.661178130629999</v>
      </c>
      <c r="CB80" s="36">
        <f t="shared" ca="1" si="198"/>
        <v>39.078298403307073</v>
      </c>
      <c r="CC80" s="36">
        <f t="shared" ca="1" si="198"/>
        <v>38.696333795469869</v>
      </c>
      <c r="CD80" s="36">
        <f t="shared" ca="1" si="198"/>
        <v>38.28529145044601</v>
      </c>
      <c r="CE80" s="36">
        <f t="shared" ca="1" si="198"/>
        <v>37.982942744276301</v>
      </c>
      <c r="CF80" s="36">
        <f t="shared" ca="1" si="198"/>
        <v>37.80885879286506</v>
      </c>
      <c r="CG80" s="36">
        <f t="shared" ca="1" si="198"/>
        <v>37.160097414436045</v>
      </c>
      <c r="CH80" s="36">
        <f t="shared" ca="1" si="198"/>
        <v>36.100376856752057</v>
      </c>
      <c r="CI80" s="36">
        <f t="shared" ca="1" si="198"/>
        <v>36.245119021935196</v>
      </c>
      <c r="CJ80" s="36">
        <f t="shared" ca="1" si="198"/>
        <v>37.113067765995702</v>
      </c>
      <c r="CK80" s="36">
        <f t="shared" ca="1" si="198"/>
        <v>37.322052991177372</v>
      </c>
      <c r="CL80" s="36">
        <f t="shared" ca="1" si="198"/>
        <v>37.381713280380367</v>
      </c>
      <c r="CM80" s="36">
        <f t="shared" ca="1" si="198"/>
        <v>37.362274922665115</v>
      </c>
      <c r="CN80" s="36">
        <f t="shared" ca="1" si="198"/>
        <v>37.200630786053274</v>
      </c>
      <c r="CO80" s="36">
        <f t="shared" ca="1" si="198"/>
        <v>37.162831386173423</v>
      </c>
      <c r="CP80" s="36">
        <f t="shared" ca="1" si="198"/>
        <v>36.909584978642712</v>
      </c>
      <c r="CQ80" s="36">
        <f t="shared" ca="1" si="198"/>
        <v>36.138637957109694</v>
      </c>
      <c r="CR80" s="36">
        <f t="shared" ca="1" si="198"/>
        <v>36.775864139490814</v>
      </c>
      <c r="CS80" s="36">
        <f t="shared" ca="1" si="198"/>
        <v>36.993933103507928</v>
      </c>
      <c r="CT80" s="36">
        <f t="shared" ca="1" si="198"/>
        <v>36.971810375357322</v>
      </c>
      <c r="CU80" s="36">
        <f t="shared" ca="1" si="198"/>
        <v>37.163739130583082</v>
      </c>
      <c r="CV80" s="36">
        <f t="shared" ca="1" si="198"/>
        <v>37.928354887112995</v>
      </c>
      <c r="CW80" s="36">
        <f t="shared" ca="1" si="198"/>
        <v>37.711641722937706</v>
      </c>
      <c r="CX80" s="36">
        <f t="shared" ca="1" si="198"/>
        <v>36.897385266597517</v>
      </c>
      <c r="CY80" s="36">
        <f t="shared" ca="1" si="198"/>
        <v>36.470516232680758</v>
      </c>
      <c r="CZ80" s="36">
        <f t="shared" ca="1" si="198"/>
        <v>36.570855033866714</v>
      </c>
      <c r="DA80" s="36">
        <f t="shared" ca="1" si="198"/>
        <v>36.469252855732663</v>
      </c>
      <c r="DB80" s="36">
        <f t="shared" ca="1" si="198"/>
        <v>36.842952471781913</v>
      </c>
      <c r="DC80" s="36">
        <f t="shared" ca="1" si="198"/>
        <v>36.340811267093073</v>
      </c>
      <c r="DD80" s="36">
        <f t="shared" ca="1" si="198"/>
        <v>36.094955800364197</v>
      </c>
      <c r="DE80" s="36">
        <f t="shared" ca="1" si="198"/>
        <v>35.654175301711646</v>
      </c>
      <c r="DF80" s="36">
        <f t="shared" ca="1" si="198"/>
        <v>35.809961096305521</v>
      </c>
      <c r="DG80" s="36">
        <f t="shared" ca="1" si="198"/>
        <v>35.243437868926627</v>
      </c>
      <c r="DH80" s="36">
        <f t="shared" ca="1" si="198"/>
        <v>35.690916148151146</v>
      </c>
      <c r="DI80" s="36">
        <f t="shared" ca="1" si="198"/>
        <v>35.035878188855534</v>
      </c>
      <c r="DJ80" s="36">
        <f t="shared" ca="1" si="198"/>
        <v>35.386719283666089</v>
      </c>
      <c r="DK80" s="36">
        <f t="shared" ca="1" si="198"/>
        <v>36.083979389033388</v>
      </c>
      <c r="DL80" s="36">
        <f t="shared" ca="1" si="198"/>
        <v>35.549138014236213</v>
      </c>
      <c r="DM80" s="36">
        <f t="shared" ca="1" si="198"/>
        <v>35.438368705391042</v>
      </c>
      <c r="DN80" s="36">
        <f t="shared" ca="1" si="198"/>
        <v>35.604557779539071</v>
      </c>
      <c r="DO80" s="36">
        <f t="shared" ca="1" si="198"/>
        <v>35.688257732597613</v>
      </c>
      <c r="DP80" s="36">
        <f t="shared" ca="1" si="198"/>
        <v>36.052911776076805</v>
      </c>
      <c r="DQ80" s="36">
        <f t="shared" ca="1" si="198"/>
        <v>36.270526370359377</v>
      </c>
      <c r="DR80" s="36">
        <f t="shared" ca="1" si="198"/>
        <v>36.220232132280593</v>
      </c>
      <c r="DS80" s="36">
        <f t="shared" ca="1" si="198"/>
        <v>35.924587091138115</v>
      </c>
      <c r="DT80" s="36">
        <f t="shared" ca="1" si="198"/>
        <v>35.14489963063842</v>
      </c>
      <c r="DU80" s="36">
        <f t="shared" ca="1" si="198"/>
        <v>36.045072996276531</v>
      </c>
      <c r="DV80" s="36">
        <f t="shared" ca="1" si="198"/>
        <v>36.209049753604063</v>
      </c>
      <c r="DW80" s="36">
        <f t="shared" ca="1" si="198"/>
        <v>36.414779287937051</v>
      </c>
      <c r="DX80" s="36">
        <f t="shared" ca="1" si="198"/>
        <v>36.199212380229682</v>
      </c>
      <c r="DY80" s="36">
        <f t="shared" ca="1" si="198"/>
        <v>36.354389884771592</v>
      </c>
      <c r="DZ80" s="36">
        <f t="shared" ca="1" si="198"/>
        <v>36.210638242325118</v>
      </c>
      <c r="EA80" s="36">
        <f t="shared" ca="1" si="198"/>
        <v>34.892689388330083</v>
      </c>
      <c r="EB80" s="36">
        <f t="shared" ca="1" si="198"/>
        <v>35.416595590672031</v>
      </c>
      <c r="EC80" s="36">
        <f t="shared" ca="1" si="198"/>
        <v>35.184618091019715</v>
      </c>
      <c r="ED80" s="36">
        <f t="shared" ca="1" si="193"/>
        <v>35.406761345209155</v>
      </c>
      <c r="EE80" s="36">
        <f t="shared" ca="1" si="193"/>
        <v>35.485426660540782</v>
      </c>
      <c r="EF80" s="36">
        <f t="shared" ca="1" si="173"/>
        <v>35.558352812576516</v>
      </c>
      <c r="EG80" s="36">
        <f t="shared" ca="1" si="173"/>
        <v>36.216801900513744</v>
      </c>
      <c r="EH80" s="36">
        <f t="shared" ca="1" si="173"/>
        <v>36.984756846710269</v>
      </c>
      <c r="EI80" s="36">
        <f t="shared" ca="1" si="173"/>
        <v>36.350910362792554</v>
      </c>
      <c r="EJ80" s="36">
        <f t="shared" ca="1" si="173"/>
        <v>35.533679376731236</v>
      </c>
      <c r="EK80" s="36">
        <f t="shared" ca="1" si="173"/>
        <v>35.27184516262713</v>
      </c>
      <c r="EL80" s="36">
        <f t="shared" ca="1" si="173"/>
        <v>35.353792456615849</v>
      </c>
      <c r="EM80" s="36">
        <f t="shared" ca="1" si="173"/>
        <v>35.269178313747986</v>
      </c>
      <c r="EN80" s="36">
        <f t="shared" ca="1" si="173"/>
        <v>35.20442369415202</v>
      </c>
      <c r="EO80" s="36">
        <f t="shared" ca="1" si="173"/>
        <v>35.105608819242462</v>
      </c>
      <c r="EP80" s="36">
        <f t="shared" ca="1" si="173"/>
        <v>35.151359344689318</v>
      </c>
      <c r="EQ80" s="36">
        <f t="shared" ca="1" si="173"/>
        <v>35.070954722890512</v>
      </c>
      <c r="ER80" s="36">
        <f t="shared" ca="1" si="173"/>
        <v>34.880349240548213</v>
      </c>
      <c r="ES80" s="36">
        <f t="shared" ca="1" si="173"/>
        <v>34.228319802725835</v>
      </c>
      <c r="ET80" s="36">
        <f t="shared" ca="1" si="173"/>
        <v>33.682632861154502</v>
      </c>
      <c r="EU80" s="36">
        <f t="shared" ca="1" si="173"/>
        <v>34.223999384360425</v>
      </c>
      <c r="EV80" s="36">
        <f t="shared" ca="1" si="173"/>
        <v>34.288332799208483</v>
      </c>
      <c r="EW80" s="36">
        <f t="shared" ref="EW80" ca="1" si="201">EV80*EXP(($B$3-$B$4^2/2)*1+$B$4*_xlfn.NORM.S.INV(RAND()))</f>
        <v>33.635779578770659</v>
      </c>
      <c r="EX80" s="36">
        <f t="shared" ca="1" si="194"/>
        <v>33.709093077638514</v>
      </c>
      <c r="EY80" s="36">
        <f t="shared" ca="1" si="194"/>
        <v>34.154402314995146</v>
      </c>
      <c r="EZ80" s="36">
        <f t="shared" ca="1" si="194"/>
        <v>34.02780786716874</v>
      </c>
      <c r="FA80" s="36">
        <f t="shared" ca="1" si="194"/>
        <v>33.868249370395844</v>
      </c>
      <c r="FB80" s="36">
        <f t="shared" ca="1" si="194"/>
        <v>34.462116330099697</v>
      </c>
      <c r="FC80" s="36">
        <f t="shared" ca="1" si="194"/>
        <v>33.761282397414</v>
      </c>
      <c r="FD80" s="36">
        <f t="shared" ca="1" si="194"/>
        <v>33.684016852849773</v>
      </c>
      <c r="FE80" s="36">
        <f t="shared" ca="1" si="194"/>
        <v>33.471346776618937</v>
      </c>
      <c r="FF80" s="36">
        <f t="shared" ca="1" si="194"/>
        <v>33.227591116672116</v>
      </c>
      <c r="FG80" s="36">
        <f t="shared" ca="1" si="194"/>
        <v>33.733299481004273</v>
      </c>
      <c r="FH80" s="36">
        <f t="shared" ca="1" si="194"/>
        <v>32.909587364799116</v>
      </c>
      <c r="FI80" s="36">
        <f t="shared" ca="1" si="194"/>
        <v>32.790980470549869</v>
      </c>
      <c r="FJ80" s="36">
        <f t="shared" ca="1" si="194"/>
        <v>32.422133381351841</v>
      </c>
      <c r="FK80" s="36">
        <f t="shared" ca="1" si="194"/>
        <v>32.203231346802511</v>
      </c>
      <c r="FL80" s="36">
        <f t="shared" ca="1" si="194"/>
        <v>31.792516652071601</v>
      </c>
      <c r="FM80" s="36">
        <f t="shared" ca="1" si="194"/>
        <v>31.815279297109388</v>
      </c>
      <c r="FN80" s="36">
        <f t="shared" ca="1" si="194"/>
        <v>32.40134114338052</v>
      </c>
      <c r="FO80" s="36">
        <f t="shared" ca="1" si="194"/>
        <v>32.719896405292715</v>
      </c>
      <c r="FP80" s="36">
        <f t="shared" ca="1" si="194"/>
        <v>32.727339321147745</v>
      </c>
      <c r="FQ80" s="36">
        <f t="shared" ca="1" si="194"/>
        <v>32.914870178986845</v>
      </c>
      <c r="FR80" s="36">
        <f t="shared" ca="1" si="194"/>
        <v>32.809580994961287</v>
      </c>
      <c r="FS80" s="36">
        <f t="shared" ca="1" si="194"/>
        <v>33.1327498673758</v>
      </c>
      <c r="FT80" s="36">
        <f t="shared" ca="1" si="194"/>
        <v>32.957715138843803</v>
      </c>
      <c r="FU80" s="36">
        <f t="shared" ca="1" si="194"/>
        <v>33.0944013796692</v>
      </c>
      <c r="FV80" s="36">
        <f t="shared" ca="1" si="194"/>
        <v>33.618632837398728</v>
      </c>
      <c r="FW80" s="36">
        <f t="shared" ca="1" si="194"/>
        <v>34.148285675984958</v>
      </c>
      <c r="FX80" s="36">
        <f t="shared" ca="1" si="194"/>
        <v>33.332274533080707</v>
      </c>
      <c r="FY80" s="36">
        <f t="shared" ca="1" si="194"/>
        <v>33.333501052476961</v>
      </c>
      <c r="FZ80" s="36">
        <f t="shared" ca="1" si="194"/>
        <v>33.378964999260049</v>
      </c>
      <c r="GA80" s="36">
        <f t="shared" ca="1" si="194"/>
        <v>32.996322615402079</v>
      </c>
      <c r="GB80" s="36">
        <f t="shared" ca="1" si="194"/>
        <v>33.167728492683892</v>
      </c>
      <c r="GC80" s="36">
        <f t="shared" ca="1" si="194"/>
        <v>33.008708546877152</v>
      </c>
      <c r="GD80" s="36">
        <f t="shared" ca="1" si="194"/>
        <v>32.802053108698679</v>
      </c>
      <c r="GE80" s="36">
        <f t="shared" ca="1" si="194"/>
        <v>33.154489550060042</v>
      </c>
      <c r="GF80" s="36">
        <f t="shared" ca="1" si="194"/>
        <v>32.918646111382124</v>
      </c>
      <c r="GG80" s="36">
        <f t="shared" ca="1" si="194"/>
        <v>32.959498168626254</v>
      </c>
      <c r="GH80" s="36">
        <f t="shared" ca="1" si="194"/>
        <v>33.15290731204842</v>
      </c>
      <c r="GI80" s="36">
        <f t="shared" ca="1" si="194"/>
        <v>32.81653892637496</v>
      </c>
      <c r="GJ80" s="36">
        <f t="shared" ca="1" si="194"/>
        <v>32.721600856772433</v>
      </c>
      <c r="GK80" s="36">
        <f t="shared" ca="1" si="194"/>
        <v>32.695765788781991</v>
      </c>
      <c r="GL80" s="36">
        <f t="shared" ca="1" si="194"/>
        <v>32.06713176461939</v>
      </c>
      <c r="GM80" s="36">
        <f t="shared" ca="1" si="194"/>
        <v>32.142266358397748</v>
      </c>
      <c r="GN80" s="36">
        <f t="shared" ca="1" si="194"/>
        <v>31.975917311617462</v>
      </c>
      <c r="GO80" s="36">
        <f t="shared" ca="1" si="194"/>
        <v>32.327056144012786</v>
      </c>
      <c r="GP80" s="36">
        <f t="shared" ca="1" si="194"/>
        <v>32.345764130003218</v>
      </c>
      <c r="GQ80" s="36">
        <f t="shared" ca="1" si="194"/>
        <v>32.359271846937958</v>
      </c>
      <c r="GR80" s="36">
        <f t="shared" ca="1" si="194"/>
        <v>31.903175629903643</v>
      </c>
      <c r="GS80" s="36">
        <f t="shared" ca="1" si="194"/>
        <v>31.919933998896294</v>
      </c>
      <c r="GT80" s="36">
        <f t="shared" ca="1" si="194"/>
        <v>31.71944824719348</v>
      </c>
      <c r="GU80" s="36">
        <f t="shared" ca="1" si="194"/>
        <v>31.886145015790316</v>
      </c>
      <c r="GV80" s="36">
        <f t="shared" ca="1" si="194"/>
        <v>32.053866713737264</v>
      </c>
      <c r="GW80" s="36">
        <f t="shared" ca="1" si="194"/>
        <v>31.558605948392692</v>
      </c>
      <c r="GX80" s="36">
        <f t="shared" ca="1" si="194"/>
        <v>31.227985365492508</v>
      </c>
      <c r="GY80" s="36">
        <f t="shared" ca="1" si="194"/>
        <v>31.716747183018228</v>
      </c>
      <c r="GZ80" s="36">
        <f t="shared" ca="1" si="194"/>
        <v>31.971994297998684</v>
      </c>
      <c r="HA80" s="36">
        <f t="shared" ca="1" si="194"/>
        <v>32.336346932792331</v>
      </c>
      <c r="HB80" s="36">
        <f t="shared" ca="1" si="194"/>
        <v>32.681452765429789</v>
      </c>
      <c r="HC80" s="36">
        <f t="shared" ca="1" si="194"/>
        <v>32.764507608703092</v>
      </c>
      <c r="HD80" s="36">
        <f t="shared" ca="1" si="194"/>
        <v>32.928933566248062</v>
      </c>
      <c r="HE80" s="36">
        <f t="shared" ca="1" si="194"/>
        <v>32.543410247310476</v>
      </c>
      <c r="HF80" s="36">
        <f t="shared" ca="1" si="194"/>
        <v>33.061445133905266</v>
      </c>
      <c r="HG80" s="36">
        <f t="shared" ca="1" si="194"/>
        <v>32.752999322978461</v>
      </c>
      <c r="HH80" s="36">
        <f t="shared" ca="1" si="194"/>
        <v>32.475036474488661</v>
      </c>
      <c r="HI80" s="36">
        <f t="shared" ca="1" si="195"/>
        <v>32.875475155990493</v>
      </c>
      <c r="HJ80" s="36">
        <f t="shared" ca="1" si="195"/>
        <v>32.78727608794685</v>
      </c>
      <c r="HK80" s="36">
        <f t="shared" ca="1" si="195"/>
        <v>33.227275889442446</v>
      </c>
      <c r="HL80" s="36">
        <f t="shared" ca="1" si="195"/>
        <v>32.88944072426829</v>
      </c>
      <c r="HM80" s="36">
        <f t="shared" ca="1" si="195"/>
        <v>33.043390563406732</v>
      </c>
      <c r="HN80" s="36">
        <f t="shared" ca="1" si="195"/>
        <v>33.120694732892005</v>
      </c>
      <c r="HO80" s="36">
        <f t="shared" ca="1" si="195"/>
        <v>33.383687205946494</v>
      </c>
      <c r="HP80" s="36">
        <f t="shared" ca="1" si="195"/>
        <v>34.544211359332991</v>
      </c>
      <c r="HQ80" s="36">
        <f t="shared" ca="1" si="195"/>
        <v>34.743306895296655</v>
      </c>
      <c r="HR80" s="36">
        <f t="shared" ca="1" si="195"/>
        <v>34.490704405406561</v>
      </c>
      <c r="HS80" s="36">
        <f t="shared" ca="1" si="195"/>
        <v>34.118423998174627</v>
      </c>
      <c r="HT80" s="36">
        <f t="shared" ca="1" si="195"/>
        <v>33.531958228499725</v>
      </c>
      <c r="HU80" s="36">
        <f t="shared" ca="1" si="177"/>
        <v>33.920466544627146</v>
      </c>
      <c r="HV80" s="36">
        <f t="shared" ca="1" si="177"/>
        <v>34.660722785195816</v>
      </c>
      <c r="HW80" s="36">
        <f t="shared" ca="1" si="177"/>
        <v>34.619280645065601</v>
      </c>
      <c r="HX80" s="36">
        <f t="shared" ca="1" si="177"/>
        <v>34.768899966158422</v>
      </c>
      <c r="HY80" s="36">
        <f t="shared" ca="1" si="177"/>
        <v>35.306057153978159</v>
      </c>
      <c r="HZ80" s="36">
        <f t="shared" ca="1" si="196"/>
        <v>35.233229676455181</v>
      </c>
      <c r="IA80" s="36">
        <f t="shared" ca="1" si="196"/>
        <v>35.011790186775919</v>
      </c>
      <c r="IB80" s="36">
        <f t="shared" ca="1" si="196"/>
        <v>34.20318992821575</v>
      </c>
      <c r="IC80" s="36">
        <f t="shared" ca="1" si="196"/>
        <v>33.95629649746791</v>
      </c>
      <c r="ID80" s="36">
        <f t="shared" ca="1" si="196"/>
        <v>34.189703383420948</v>
      </c>
      <c r="IE80" s="36">
        <f t="shared" ca="1" si="196"/>
        <v>34.010285228373711</v>
      </c>
      <c r="IF80" s="36">
        <f t="shared" ca="1" si="196"/>
        <v>34.114042677347051</v>
      </c>
      <c r="IG80" s="36">
        <f t="shared" ca="1" si="196"/>
        <v>33.660092677696042</v>
      </c>
      <c r="IH80" s="36">
        <f t="shared" ca="1" si="196"/>
        <v>33.65354877240965</v>
      </c>
      <c r="II80" s="36">
        <f t="shared" ca="1" si="196"/>
        <v>33.714466257286105</v>
      </c>
      <c r="IJ80" s="36">
        <f t="shared" ca="1" si="196"/>
        <v>33.759415058460647</v>
      </c>
      <c r="IK80" s="36">
        <f t="shared" ca="1" si="196"/>
        <v>33.543108796931726</v>
      </c>
      <c r="IL80" s="36">
        <f t="shared" ca="1" si="196"/>
        <v>32.949810799702064</v>
      </c>
      <c r="IM80" s="36">
        <f t="shared" ca="1" si="196"/>
        <v>32.665898749998782</v>
      </c>
      <c r="IN80" s="36">
        <f t="shared" ca="1" si="196"/>
        <v>32.765032712332292</v>
      </c>
      <c r="IO80" s="36">
        <f t="shared" ca="1" si="196"/>
        <v>32.833364356756974</v>
      </c>
      <c r="IP80" s="36">
        <f t="shared" ca="1" si="196"/>
        <v>32.52473636222809</v>
      </c>
      <c r="IQ80" s="36">
        <f t="shared" ca="1" si="196"/>
        <v>32.86567736077032</v>
      </c>
      <c r="IR80" s="36">
        <f t="shared" ca="1" si="196"/>
        <v>32.475184244140344</v>
      </c>
      <c r="IS80" s="36">
        <f t="shared" ca="1" si="196"/>
        <v>33.367014809950767</v>
      </c>
      <c r="IT80" s="36">
        <f t="shared" ca="1" si="196"/>
        <v>32.81391545360453</v>
      </c>
      <c r="IU80" s="36">
        <f t="shared" ca="1" si="196"/>
        <v>32.551984538100271</v>
      </c>
    </row>
    <row r="81" spans="1:255" x14ac:dyDescent="0.2">
      <c r="A81" s="36"/>
      <c r="B81">
        <v>71</v>
      </c>
      <c r="C81" s="36">
        <v>50</v>
      </c>
      <c r="D81" s="36">
        <f t="shared" ca="1" si="188"/>
        <v>49.889689807690942</v>
      </c>
      <c r="E81" s="36">
        <f t="shared" ca="1" si="188"/>
        <v>49.292847951629405</v>
      </c>
      <c r="F81" s="36">
        <f t="shared" ca="1" si="197"/>
        <v>48.93950808339801</v>
      </c>
      <c r="G81" s="36">
        <f t="shared" ca="1" si="197"/>
        <v>49.326497061942163</v>
      </c>
      <c r="H81" s="36">
        <f t="shared" ca="1" si="197"/>
        <v>48.60073449075734</v>
      </c>
      <c r="I81" s="36">
        <f t="shared" ca="1" si="197"/>
        <v>48.176345626812193</v>
      </c>
      <c r="J81" s="36">
        <f t="shared" ca="1" si="197"/>
        <v>49.035281048057811</v>
      </c>
      <c r="K81" s="36">
        <f t="shared" ca="1" si="197"/>
        <v>48.534777863327513</v>
      </c>
      <c r="L81" s="36">
        <f t="shared" ca="1" si="197"/>
        <v>49.06146309445122</v>
      </c>
      <c r="M81" s="36">
        <f t="shared" ca="1" si="197"/>
        <v>49.895628544162236</v>
      </c>
      <c r="N81" s="36">
        <f t="shared" ca="1" si="197"/>
        <v>50.374595359676128</v>
      </c>
      <c r="O81" s="36">
        <f t="shared" ca="1" si="197"/>
        <v>49.845540855348304</v>
      </c>
      <c r="P81" s="36">
        <f t="shared" ca="1" si="197"/>
        <v>49.342642940116043</v>
      </c>
      <c r="Q81" s="36">
        <f t="shared" ca="1" si="197"/>
        <v>49.673632257387894</v>
      </c>
      <c r="R81" s="36">
        <f t="shared" ca="1" si="197"/>
        <v>49.861290748792804</v>
      </c>
      <c r="S81" s="36">
        <f t="shared" ca="1" si="197"/>
        <v>50.323680469344275</v>
      </c>
      <c r="T81" s="36">
        <f t="shared" ca="1" si="197"/>
        <v>49.601007099226649</v>
      </c>
      <c r="U81" s="36">
        <f t="shared" ca="1" si="197"/>
        <v>50.458621579433398</v>
      </c>
      <c r="V81" s="36">
        <f t="shared" ca="1" si="197"/>
        <v>50.522257499051399</v>
      </c>
      <c r="W81" s="36">
        <f t="shared" ca="1" si="197"/>
        <v>49.845523237568706</v>
      </c>
      <c r="X81" s="36">
        <f t="shared" ca="1" si="197"/>
        <v>49.02744093894816</v>
      </c>
      <c r="Y81" s="36">
        <f t="shared" ca="1" si="197"/>
        <v>48.706028274784479</v>
      </c>
      <c r="Z81" s="36">
        <f t="shared" ca="1" si="197"/>
        <v>47.56812807068917</v>
      </c>
      <c r="AA81" s="36">
        <f t="shared" ca="1" si="197"/>
        <v>46.872664445361025</v>
      </c>
      <c r="AB81" s="36">
        <f t="shared" ca="1" si="197"/>
        <v>46.240341868581076</v>
      </c>
      <c r="AC81" s="36">
        <f t="shared" ca="1" si="197"/>
        <v>46.980808237625475</v>
      </c>
      <c r="AD81" s="36">
        <f t="shared" ca="1" si="197"/>
        <v>47.866574259931944</v>
      </c>
      <c r="AE81" s="36">
        <f t="shared" ca="1" si="197"/>
        <v>47.107423843707913</v>
      </c>
      <c r="AF81" s="36">
        <f t="shared" ca="1" si="197"/>
        <v>46.661500615810255</v>
      </c>
      <c r="AG81" s="36">
        <f t="shared" ca="1" si="197"/>
        <v>46.623581699970984</v>
      </c>
      <c r="AH81" s="36">
        <f t="shared" ca="1" si="197"/>
        <v>47.252831657307517</v>
      </c>
      <c r="AI81" s="36">
        <f t="shared" ca="1" si="197"/>
        <v>46.454518082930825</v>
      </c>
      <c r="AJ81" s="36">
        <f t="shared" ca="1" si="197"/>
        <v>46.43271803734207</v>
      </c>
      <c r="AK81" s="36">
        <f t="shared" ca="1" si="197"/>
        <v>46.749029488538987</v>
      </c>
      <c r="AL81" s="36">
        <f t="shared" ca="1" si="197"/>
        <v>46.188144877520472</v>
      </c>
      <c r="AM81" s="36">
        <f t="shared" ca="1" si="197"/>
        <v>45.378064722872359</v>
      </c>
      <c r="AN81" s="36">
        <f t="shared" ca="1" si="197"/>
        <v>45.6216896635813</v>
      </c>
      <c r="AO81" s="36">
        <f t="shared" ca="1" si="197"/>
        <v>46.077766284995676</v>
      </c>
      <c r="AP81" s="36">
        <f t="shared" ca="1" si="197"/>
        <v>46.139965561363852</v>
      </c>
      <c r="AQ81" s="36">
        <f t="shared" ca="1" si="197"/>
        <v>46.64753453428149</v>
      </c>
      <c r="AR81" s="36">
        <f t="shared" ca="1" si="197"/>
        <v>46.318834622500475</v>
      </c>
      <c r="AS81" s="36">
        <f t="shared" ca="1" si="197"/>
        <v>45.172576049977096</v>
      </c>
      <c r="AT81" s="36">
        <f t="shared" ca="1" si="197"/>
        <v>46.232540871309915</v>
      </c>
      <c r="AU81" s="36">
        <f t="shared" ca="1" si="197"/>
        <v>46.851902627346412</v>
      </c>
      <c r="AV81" s="36">
        <f t="shared" ca="1" si="197"/>
        <v>46.916813101572451</v>
      </c>
      <c r="AW81" s="36">
        <f t="shared" ca="1" si="197"/>
        <v>47.244998442405929</v>
      </c>
      <c r="AX81" s="36">
        <f t="shared" ca="1" si="197"/>
        <v>47.135438985014922</v>
      </c>
      <c r="AY81" s="36">
        <f t="shared" ca="1" si="197"/>
        <v>45.873818007272313</v>
      </c>
      <c r="AZ81" s="36">
        <f t="shared" ca="1" si="197"/>
        <v>46.34810956582038</v>
      </c>
      <c r="BA81" s="36">
        <f t="shared" ca="1" si="197"/>
        <v>46.387529191999242</v>
      </c>
      <c r="BB81" s="36">
        <f t="shared" ca="1" si="197"/>
        <v>46.838521575427094</v>
      </c>
      <c r="BC81" s="36">
        <f t="shared" ca="1" si="197"/>
        <v>46.425483975021805</v>
      </c>
      <c r="BD81" s="36">
        <f t="shared" ca="1" si="197"/>
        <v>46.836122574824628</v>
      </c>
      <c r="BE81" s="36">
        <f t="shared" ca="1" si="197"/>
        <v>46.809739085053423</v>
      </c>
      <c r="BF81" s="36">
        <f t="shared" ca="1" si="197"/>
        <v>45.783198203748775</v>
      </c>
      <c r="BG81" s="36">
        <f t="shared" ca="1" si="197"/>
        <v>46.818416573423733</v>
      </c>
      <c r="BH81" s="36">
        <f t="shared" ca="1" si="197"/>
        <v>46.758332221128505</v>
      </c>
      <c r="BI81" s="36">
        <f t="shared" ca="1" si="197"/>
        <v>48.035486229028137</v>
      </c>
      <c r="BJ81" s="36">
        <f t="shared" ca="1" si="197"/>
        <v>48.484001220887016</v>
      </c>
      <c r="BK81" s="36">
        <f t="shared" ca="1" si="197"/>
        <v>48.450738874808508</v>
      </c>
      <c r="BL81" s="36">
        <f t="shared" ca="1" si="197"/>
        <v>48.868433495702469</v>
      </c>
      <c r="BM81" s="36">
        <f t="shared" ca="1" si="197"/>
        <v>49.317666745960892</v>
      </c>
      <c r="BN81" s="36">
        <f t="shared" ca="1" si="197"/>
        <v>49.436536298251617</v>
      </c>
      <c r="BO81" s="36">
        <f t="shared" ca="1" si="197"/>
        <v>49.791021724197087</v>
      </c>
      <c r="BP81" s="36">
        <f t="shared" ca="1" si="197"/>
        <v>49.751446030987687</v>
      </c>
      <c r="BQ81" s="36">
        <f t="shared" ref="BQ81:EB84" ca="1" si="202">BP81*EXP(($B$3-$B$4^2/2)*1+$B$4*_xlfn.NORM.S.INV(RAND()))</f>
        <v>50.360402484764414</v>
      </c>
      <c r="BR81" s="36">
        <f t="shared" ca="1" si="202"/>
        <v>49.898622972988896</v>
      </c>
      <c r="BS81" s="36">
        <f t="shared" ca="1" si="202"/>
        <v>48.653593533719381</v>
      </c>
      <c r="BT81" s="36">
        <f t="shared" ca="1" si="202"/>
        <v>49.394472460417674</v>
      </c>
      <c r="BU81" s="36">
        <f t="shared" ca="1" si="202"/>
        <v>49.295770350442233</v>
      </c>
      <c r="BV81" s="36">
        <f t="shared" ca="1" si="202"/>
        <v>49.952707321454</v>
      </c>
      <c r="BW81" s="36">
        <f t="shared" ca="1" si="202"/>
        <v>49.920269713699859</v>
      </c>
      <c r="BX81" s="36">
        <f t="shared" ca="1" si="202"/>
        <v>50.201914849069873</v>
      </c>
      <c r="BY81" s="36">
        <f t="shared" ca="1" si="202"/>
        <v>48.707103603474664</v>
      </c>
      <c r="BZ81" s="36">
        <f t="shared" ca="1" si="202"/>
        <v>49.565065246721034</v>
      </c>
      <c r="CA81" s="36">
        <f t="shared" ca="1" si="202"/>
        <v>50.005395444201028</v>
      </c>
      <c r="CB81" s="36">
        <f t="shared" ca="1" si="202"/>
        <v>49.484389589985021</v>
      </c>
      <c r="CC81" s="36">
        <f t="shared" ca="1" si="202"/>
        <v>49.40880163190451</v>
      </c>
      <c r="CD81" s="36">
        <f t="shared" ca="1" si="202"/>
        <v>50.244511233609721</v>
      </c>
      <c r="CE81" s="36">
        <f t="shared" ca="1" si="202"/>
        <v>49.179738361010031</v>
      </c>
      <c r="CF81" s="36">
        <f t="shared" ca="1" si="202"/>
        <v>49.922373752239345</v>
      </c>
      <c r="CG81" s="36">
        <f t="shared" ca="1" si="202"/>
        <v>49.234484408186916</v>
      </c>
      <c r="CH81" s="36">
        <f t="shared" ca="1" si="202"/>
        <v>50.176518685622547</v>
      </c>
      <c r="CI81" s="36">
        <f t="shared" ca="1" si="202"/>
        <v>49.822922608677139</v>
      </c>
      <c r="CJ81" s="36">
        <f t="shared" ca="1" si="202"/>
        <v>49.575859783931946</v>
      </c>
      <c r="CK81" s="36">
        <f t="shared" ca="1" si="202"/>
        <v>49.959645299036445</v>
      </c>
      <c r="CL81" s="36">
        <f t="shared" ca="1" si="202"/>
        <v>49.373339390014628</v>
      </c>
      <c r="CM81" s="36">
        <f t="shared" ca="1" si="202"/>
        <v>48.677879318324869</v>
      </c>
      <c r="CN81" s="36">
        <f t="shared" ca="1" si="202"/>
        <v>48.234768176597271</v>
      </c>
      <c r="CO81" s="36">
        <f t="shared" ca="1" si="202"/>
        <v>48.283570453221216</v>
      </c>
      <c r="CP81" s="36">
        <f t="shared" ca="1" si="202"/>
        <v>49.226800915499219</v>
      </c>
      <c r="CQ81" s="36">
        <f t="shared" ca="1" si="202"/>
        <v>48.822408783304226</v>
      </c>
      <c r="CR81" s="36">
        <f t="shared" ca="1" si="202"/>
        <v>47.843905659439194</v>
      </c>
      <c r="CS81" s="36">
        <f t="shared" ca="1" si="202"/>
        <v>48.552124609424538</v>
      </c>
      <c r="CT81" s="36">
        <f t="shared" ca="1" si="202"/>
        <v>48.8000394481531</v>
      </c>
      <c r="CU81" s="36">
        <f t="shared" ca="1" si="202"/>
        <v>48.505676970182343</v>
      </c>
      <c r="CV81" s="36">
        <f t="shared" ca="1" si="202"/>
        <v>48.551200474154058</v>
      </c>
      <c r="CW81" s="36">
        <f t="shared" ca="1" si="202"/>
        <v>48.677313360553754</v>
      </c>
      <c r="CX81" s="36">
        <f t="shared" ca="1" si="202"/>
        <v>48.04679310630867</v>
      </c>
      <c r="CY81" s="36">
        <f t="shared" ca="1" si="202"/>
        <v>47.967778507060821</v>
      </c>
      <c r="CZ81" s="36">
        <f t="shared" ca="1" si="202"/>
        <v>48.543504666893547</v>
      </c>
      <c r="DA81" s="36">
        <f t="shared" ca="1" si="202"/>
        <v>47.962803085188106</v>
      </c>
      <c r="DB81" s="36">
        <f t="shared" ca="1" si="202"/>
        <v>48.449349567299343</v>
      </c>
      <c r="DC81" s="36">
        <f t="shared" ca="1" si="202"/>
        <v>46.993596111225621</v>
      </c>
      <c r="DD81" s="36">
        <f t="shared" ca="1" si="202"/>
        <v>46.244959649088706</v>
      </c>
      <c r="DE81" s="36">
        <f t="shared" ca="1" si="202"/>
        <v>45.838126182347892</v>
      </c>
      <c r="DF81" s="36">
        <f t="shared" ca="1" si="202"/>
        <v>45.550662600783191</v>
      </c>
      <c r="DG81" s="36">
        <f t="shared" ca="1" si="202"/>
        <v>46.235545022301245</v>
      </c>
      <c r="DH81" s="36">
        <f t="shared" ca="1" si="202"/>
        <v>46.406554023260128</v>
      </c>
      <c r="DI81" s="36">
        <f t="shared" ca="1" si="202"/>
        <v>46.299504876858265</v>
      </c>
      <c r="DJ81" s="36">
        <f t="shared" ca="1" si="202"/>
        <v>46.955044471102902</v>
      </c>
      <c r="DK81" s="36">
        <f t="shared" ca="1" si="202"/>
        <v>46.988331427673366</v>
      </c>
      <c r="DL81" s="36">
        <f t="shared" ca="1" si="202"/>
        <v>46.773920528956182</v>
      </c>
      <c r="DM81" s="36">
        <f t="shared" ca="1" si="202"/>
        <v>47.093823445400226</v>
      </c>
      <c r="DN81" s="36">
        <f t="shared" ca="1" si="202"/>
        <v>46.659695499183165</v>
      </c>
      <c r="DO81" s="36">
        <f t="shared" ca="1" si="202"/>
        <v>45.471011456271107</v>
      </c>
      <c r="DP81" s="36">
        <f t="shared" ca="1" si="202"/>
        <v>45.069015654460834</v>
      </c>
      <c r="DQ81" s="36">
        <f t="shared" ca="1" si="202"/>
        <v>45.417775404134957</v>
      </c>
      <c r="DR81" s="36">
        <f t="shared" ca="1" si="202"/>
        <v>44.575177736080882</v>
      </c>
      <c r="DS81" s="36">
        <f t="shared" ca="1" si="202"/>
        <v>43.972353188137042</v>
      </c>
      <c r="DT81" s="36">
        <f t="shared" ca="1" si="202"/>
        <v>44.44895977059813</v>
      </c>
      <c r="DU81" s="36">
        <f t="shared" ca="1" si="202"/>
        <v>43.900977669740989</v>
      </c>
      <c r="DV81" s="36">
        <f t="shared" ca="1" si="202"/>
        <v>43.284585971571076</v>
      </c>
      <c r="DW81" s="36">
        <f t="shared" ca="1" si="202"/>
        <v>44.165330307016021</v>
      </c>
      <c r="DX81" s="36">
        <f t="shared" ca="1" si="202"/>
        <v>44.364187370219703</v>
      </c>
      <c r="DY81" s="36">
        <f t="shared" ca="1" si="202"/>
        <v>44.888703051167667</v>
      </c>
      <c r="DZ81" s="36">
        <f t="shared" ca="1" si="202"/>
        <v>45.005172087155877</v>
      </c>
      <c r="EA81" s="36">
        <f t="shared" ca="1" si="202"/>
        <v>45.195168717061996</v>
      </c>
      <c r="EB81" s="36">
        <f t="shared" ca="1" si="202"/>
        <v>43.957520014259281</v>
      </c>
      <c r="EC81" s="36">
        <f t="shared" ca="1" si="198"/>
        <v>44.890500603822339</v>
      </c>
      <c r="ED81" s="36">
        <f t="shared" ca="1" si="193"/>
        <v>45.336986969019854</v>
      </c>
      <c r="EE81" s="36">
        <f t="shared" ca="1" si="193"/>
        <v>45.448201301871528</v>
      </c>
      <c r="EF81" s="36">
        <f t="shared" ca="1" si="173"/>
        <v>45.591969758459726</v>
      </c>
      <c r="EG81" s="36">
        <f t="shared" ca="1" si="173"/>
        <v>45.525020203642121</v>
      </c>
      <c r="EH81" s="36">
        <f t="shared" ca="1" si="173"/>
        <v>45.21324759538588</v>
      </c>
      <c r="EI81" s="36">
        <f t="shared" ca="1" si="173"/>
        <v>45.842822592452869</v>
      </c>
      <c r="EJ81" s="36">
        <f t="shared" ca="1" si="173"/>
        <v>46.703249386340111</v>
      </c>
      <c r="EK81" s="36">
        <f t="shared" ca="1" si="173"/>
        <v>46.67132773021995</v>
      </c>
      <c r="EL81" s="36">
        <f t="shared" ca="1" si="173"/>
        <v>48.287875679733474</v>
      </c>
      <c r="EM81" s="36">
        <f t="shared" ca="1" si="173"/>
        <v>48.595018852246234</v>
      </c>
      <c r="EN81" s="36">
        <f t="shared" ca="1" si="173"/>
        <v>48.674205287056452</v>
      </c>
      <c r="EO81" s="36">
        <f t="shared" ca="1" si="173"/>
        <v>48.087902371024384</v>
      </c>
      <c r="EP81" s="36">
        <f t="shared" ca="1" si="173"/>
        <v>47.952209028429408</v>
      </c>
      <c r="EQ81" s="36">
        <f t="shared" ca="1" si="173"/>
        <v>47.755332781322117</v>
      </c>
      <c r="ER81" s="36">
        <f t="shared" ca="1" si="173"/>
        <v>47.830916255857744</v>
      </c>
      <c r="ES81" s="36">
        <f t="shared" ca="1" si="173"/>
        <v>48.178388005249957</v>
      </c>
      <c r="ET81" s="36">
        <f t="shared" ca="1" si="173"/>
        <v>47.738312077323883</v>
      </c>
      <c r="EU81" s="36">
        <f t="shared" ca="1" si="173"/>
        <v>47.188809847457506</v>
      </c>
      <c r="EV81" s="36">
        <f t="shared" ca="1" si="173"/>
        <v>47.684805740063787</v>
      </c>
      <c r="EW81" s="36">
        <f t="shared" ref="EW81" ca="1" si="203">EV81*EXP(($B$3-$B$4^2/2)*1+$B$4*_xlfn.NORM.S.INV(RAND()))</f>
        <v>47.603366604512125</v>
      </c>
      <c r="EX81" s="36">
        <f t="shared" ca="1" si="194"/>
        <v>47.987833962939831</v>
      </c>
      <c r="EY81" s="36">
        <f t="shared" ca="1" si="194"/>
        <v>48.201887383100022</v>
      </c>
      <c r="EZ81" s="36">
        <f t="shared" ref="EZ81:HK84" ca="1" si="204">EY81*EXP(($B$3-$B$4^2/2)*1+$B$4*_xlfn.NORM.S.INV(RAND()))</f>
        <v>48.722415853958971</v>
      </c>
      <c r="FA81" s="36">
        <f t="shared" ca="1" si="204"/>
        <v>47.921928680625548</v>
      </c>
      <c r="FB81" s="36">
        <f t="shared" ca="1" si="204"/>
        <v>48.068697474385054</v>
      </c>
      <c r="FC81" s="36">
        <f t="shared" ca="1" si="204"/>
        <v>47.162376567528241</v>
      </c>
      <c r="FD81" s="36">
        <f t="shared" ca="1" si="204"/>
        <v>47.469035099255912</v>
      </c>
      <c r="FE81" s="36">
        <f t="shared" ca="1" si="204"/>
        <v>47.756124255843666</v>
      </c>
      <c r="FF81" s="36">
        <f t="shared" ca="1" si="204"/>
        <v>48.714690396035479</v>
      </c>
      <c r="FG81" s="36">
        <f t="shared" ca="1" si="204"/>
        <v>48.734484164663073</v>
      </c>
      <c r="FH81" s="36">
        <f t="shared" ca="1" si="204"/>
        <v>49.795450281044396</v>
      </c>
      <c r="FI81" s="36">
        <f t="shared" ca="1" si="204"/>
        <v>49.039563228815773</v>
      </c>
      <c r="FJ81" s="36">
        <f t="shared" ca="1" si="204"/>
        <v>49.767051869842263</v>
      </c>
      <c r="FK81" s="36">
        <f t="shared" ca="1" si="204"/>
        <v>50.532634077961482</v>
      </c>
      <c r="FL81" s="36">
        <f t="shared" ca="1" si="204"/>
        <v>50.116783797353953</v>
      </c>
      <c r="FM81" s="36">
        <f t="shared" ca="1" si="204"/>
        <v>49.591046793381729</v>
      </c>
      <c r="FN81" s="36">
        <f t="shared" ca="1" si="204"/>
        <v>49.705215512213613</v>
      </c>
      <c r="FO81" s="36">
        <f t="shared" ca="1" si="204"/>
        <v>49.95450192865998</v>
      </c>
      <c r="FP81" s="36">
        <f t="shared" ca="1" si="204"/>
        <v>49.203982213037186</v>
      </c>
      <c r="FQ81" s="36">
        <f t="shared" ca="1" si="204"/>
        <v>49.856520932623951</v>
      </c>
      <c r="FR81" s="36">
        <f t="shared" ca="1" si="204"/>
        <v>50.376481967420659</v>
      </c>
      <c r="FS81" s="36">
        <f t="shared" ca="1" si="204"/>
        <v>50.172626151971798</v>
      </c>
      <c r="FT81" s="36">
        <f t="shared" ca="1" si="204"/>
        <v>50.621837872064553</v>
      </c>
      <c r="FU81" s="36">
        <f t="shared" ca="1" si="204"/>
        <v>50.691077401924701</v>
      </c>
      <c r="FV81" s="36">
        <f t="shared" ca="1" si="204"/>
        <v>49.376976317719254</v>
      </c>
      <c r="FW81" s="36">
        <f t="shared" ca="1" si="204"/>
        <v>49.433514257696928</v>
      </c>
      <c r="FX81" s="36">
        <f t="shared" ca="1" si="204"/>
        <v>49.814797643039917</v>
      </c>
      <c r="FY81" s="36">
        <f t="shared" ca="1" si="204"/>
        <v>48.769443405092751</v>
      </c>
      <c r="FZ81" s="36">
        <f t="shared" ca="1" si="204"/>
        <v>48.085776432504161</v>
      </c>
      <c r="GA81" s="36">
        <f t="shared" ca="1" si="204"/>
        <v>47.731446443068933</v>
      </c>
      <c r="GB81" s="36">
        <f t="shared" ca="1" si="204"/>
        <v>46.901936764057695</v>
      </c>
      <c r="GC81" s="36">
        <f t="shared" ca="1" si="204"/>
        <v>46.272774898315141</v>
      </c>
      <c r="GD81" s="36">
        <f t="shared" ca="1" si="204"/>
        <v>45.739176427256083</v>
      </c>
      <c r="GE81" s="36">
        <f t="shared" ca="1" si="204"/>
        <v>46.290284490173356</v>
      </c>
      <c r="GF81" s="36">
        <f t="shared" ca="1" si="204"/>
        <v>46.086505971799447</v>
      </c>
      <c r="GG81" s="36">
        <f t="shared" ca="1" si="204"/>
        <v>45.364973437382531</v>
      </c>
      <c r="GH81" s="36">
        <f t="shared" ca="1" si="204"/>
        <v>44.093218250739902</v>
      </c>
      <c r="GI81" s="36">
        <f t="shared" ca="1" si="204"/>
        <v>45.030346451343028</v>
      </c>
      <c r="GJ81" s="36">
        <f t="shared" ca="1" si="204"/>
        <v>44.257147209251819</v>
      </c>
      <c r="GK81" s="36">
        <f t="shared" ca="1" si="204"/>
        <v>43.038363975923808</v>
      </c>
      <c r="GL81" s="36">
        <f t="shared" ca="1" si="204"/>
        <v>42.879869313603898</v>
      </c>
      <c r="GM81" s="36">
        <f t="shared" ca="1" si="204"/>
        <v>42.704423764755269</v>
      </c>
      <c r="GN81" s="36">
        <f t="shared" ca="1" si="204"/>
        <v>42.567370290751988</v>
      </c>
      <c r="GO81" s="36">
        <f t="shared" ca="1" si="204"/>
        <v>41.686736543119437</v>
      </c>
      <c r="GP81" s="36">
        <f t="shared" ca="1" si="204"/>
        <v>41.432472829341201</v>
      </c>
      <c r="GQ81" s="36">
        <f t="shared" ca="1" si="204"/>
        <v>40.875967431584989</v>
      </c>
      <c r="GR81" s="36">
        <f t="shared" ca="1" si="204"/>
        <v>40.60086407375681</v>
      </c>
      <c r="GS81" s="36">
        <f t="shared" ca="1" si="204"/>
        <v>40.117242889380897</v>
      </c>
      <c r="GT81" s="36">
        <f t="shared" ca="1" si="204"/>
        <v>40.373834828656449</v>
      </c>
      <c r="GU81" s="36">
        <f t="shared" ca="1" si="204"/>
        <v>40.491115072735333</v>
      </c>
      <c r="GV81" s="36">
        <f t="shared" ca="1" si="204"/>
        <v>40.643240254491083</v>
      </c>
      <c r="GW81" s="36">
        <f t="shared" ca="1" si="204"/>
        <v>41.329581875660637</v>
      </c>
      <c r="GX81" s="36">
        <f t="shared" ca="1" si="204"/>
        <v>41.040769957593071</v>
      </c>
      <c r="GY81" s="36">
        <f t="shared" ca="1" si="204"/>
        <v>41.727838733142704</v>
      </c>
      <c r="GZ81" s="36">
        <f t="shared" ca="1" si="204"/>
        <v>41.200110812908463</v>
      </c>
      <c r="HA81" s="36">
        <f t="shared" ca="1" si="204"/>
        <v>40.143596229009283</v>
      </c>
      <c r="HB81" s="36">
        <f t="shared" ca="1" si="204"/>
        <v>39.098981133283836</v>
      </c>
      <c r="HC81" s="36">
        <f t="shared" ca="1" si="204"/>
        <v>38.513530000266769</v>
      </c>
      <c r="HD81" s="36">
        <f t="shared" ca="1" si="204"/>
        <v>38.835457975880068</v>
      </c>
      <c r="HE81" s="36">
        <f t="shared" ca="1" si="204"/>
        <v>39.907919869179068</v>
      </c>
      <c r="HF81" s="36">
        <f t="shared" ca="1" si="204"/>
        <v>39.496908709055297</v>
      </c>
      <c r="HG81" s="36">
        <f t="shared" ca="1" si="204"/>
        <v>39.287256464844347</v>
      </c>
      <c r="HH81" s="36">
        <f t="shared" ca="1" si="204"/>
        <v>38.554508248015509</v>
      </c>
      <c r="HI81" s="36">
        <f t="shared" ca="1" si="204"/>
        <v>38.089654140240434</v>
      </c>
      <c r="HJ81" s="36">
        <f t="shared" ca="1" si="204"/>
        <v>38.992887682735841</v>
      </c>
      <c r="HK81" s="36">
        <f t="shared" ca="1" si="204"/>
        <v>39.276668538475278</v>
      </c>
      <c r="HL81" s="36">
        <f t="shared" ref="HL81:HT81" ca="1" si="205">HK81*EXP(($B$3-$B$4^2/2)*1+$B$4*_xlfn.NORM.S.INV(RAND()))</f>
        <v>39.023423180964301</v>
      </c>
      <c r="HM81" s="36">
        <f t="shared" ca="1" si="205"/>
        <v>38.851301310821839</v>
      </c>
      <c r="HN81" s="36">
        <f t="shared" ca="1" si="205"/>
        <v>38.839302303026948</v>
      </c>
      <c r="HO81" s="36">
        <f t="shared" ca="1" si="205"/>
        <v>39.111706921864496</v>
      </c>
      <c r="HP81" s="36">
        <f t="shared" ca="1" si="205"/>
        <v>38.536152367293646</v>
      </c>
      <c r="HQ81" s="36">
        <f t="shared" ca="1" si="205"/>
        <v>38.370000035078725</v>
      </c>
      <c r="HR81" s="36">
        <f t="shared" ca="1" si="205"/>
        <v>38.734881372681421</v>
      </c>
      <c r="HS81" s="36">
        <f t="shared" ca="1" si="205"/>
        <v>38.792283870918482</v>
      </c>
      <c r="HT81" s="36">
        <f t="shared" ca="1" si="205"/>
        <v>37.936868875869465</v>
      </c>
      <c r="HU81" s="36">
        <f t="shared" ca="1" si="177"/>
        <v>37.96742105658759</v>
      </c>
      <c r="HV81" s="36">
        <f t="shared" ca="1" si="177"/>
        <v>38.880976170152891</v>
      </c>
      <c r="HW81" s="36">
        <f t="shared" ca="1" si="177"/>
        <v>38.278066994878472</v>
      </c>
      <c r="HX81" s="36">
        <f t="shared" ca="1" si="177"/>
        <v>38.790345955430539</v>
      </c>
      <c r="HY81" s="36">
        <f t="shared" ca="1" si="177"/>
        <v>39.199408048322738</v>
      </c>
      <c r="HZ81" s="36">
        <f t="shared" ca="1" si="196"/>
        <v>39.624543640463941</v>
      </c>
      <c r="IA81" s="36">
        <f t="shared" ca="1" si="196"/>
        <v>39.802806964927797</v>
      </c>
      <c r="IB81" s="36">
        <f t="shared" ca="1" si="196"/>
        <v>39.836070954949719</v>
      </c>
      <c r="IC81" s="36">
        <f t="shared" ca="1" si="196"/>
        <v>40.479707485281722</v>
      </c>
      <c r="ID81" s="36">
        <f t="shared" ca="1" si="196"/>
        <v>40.255548004692315</v>
      </c>
      <c r="IE81" s="36">
        <f t="shared" ca="1" si="196"/>
        <v>40.405114837349771</v>
      </c>
      <c r="IF81" s="36">
        <f t="shared" ca="1" si="196"/>
        <v>41.230908643814793</v>
      </c>
      <c r="IG81" s="36">
        <f t="shared" ca="1" si="196"/>
        <v>40.741717533940218</v>
      </c>
      <c r="IH81" s="36">
        <f t="shared" ca="1" si="196"/>
        <v>39.627810637301415</v>
      </c>
      <c r="II81" s="36">
        <f t="shared" ca="1" si="196"/>
        <v>39.585332411872784</v>
      </c>
      <c r="IJ81" s="36">
        <f t="shared" ca="1" si="196"/>
        <v>39.200618678727388</v>
      </c>
      <c r="IK81" s="36">
        <f t="shared" ca="1" si="196"/>
        <v>39.590392258618643</v>
      </c>
      <c r="IL81" s="36">
        <f t="shared" ca="1" si="196"/>
        <v>39.831110822856623</v>
      </c>
      <c r="IM81" s="36">
        <f t="shared" ca="1" si="196"/>
        <v>38.964686760515598</v>
      </c>
      <c r="IN81" s="36">
        <f t="shared" ca="1" si="196"/>
        <v>39.648692880836322</v>
      </c>
      <c r="IO81" s="36">
        <f t="shared" ca="1" si="196"/>
        <v>39.664413143199539</v>
      </c>
      <c r="IP81" s="36">
        <f t="shared" ca="1" si="196"/>
        <v>41.28850656978166</v>
      </c>
      <c r="IQ81" s="36">
        <f t="shared" ca="1" si="196"/>
        <v>40.998044591537713</v>
      </c>
      <c r="IR81" s="36">
        <f t="shared" ca="1" si="196"/>
        <v>41.084796697463986</v>
      </c>
      <c r="IS81" s="36">
        <f t="shared" ca="1" si="196"/>
        <v>41.064805783920853</v>
      </c>
      <c r="IT81" s="36">
        <f t="shared" ca="1" si="196"/>
        <v>41.229577756122843</v>
      </c>
      <c r="IU81" s="36">
        <f t="shared" ca="1" si="196"/>
        <v>41.248556191767044</v>
      </c>
    </row>
    <row r="82" spans="1:255" x14ac:dyDescent="0.2">
      <c r="A82" s="36"/>
      <c r="B82">
        <v>72</v>
      </c>
      <c r="C82" s="36">
        <v>50</v>
      </c>
      <c r="D82" s="36">
        <f t="shared" ca="1" si="188"/>
        <v>51.224602511768801</v>
      </c>
      <c r="E82" s="36">
        <f t="shared" ca="1" si="188"/>
        <v>51.975472808307039</v>
      </c>
      <c r="F82" s="36">
        <f t="shared" ref="F82:BQ85" ca="1" si="206">E82*EXP(($B$3-$B$4^2/2)*1+$B$4*_xlfn.NORM.S.INV(RAND()))</f>
        <v>50.809339877376047</v>
      </c>
      <c r="G82" s="36">
        <f t="shared" ca="1" si="206"/>
        <v>50.432521819652642</v>
      </c>
      <c r="H82" s="36">
        <f t="shared" ca="1" si="206"/>
        <v>50.505406558804815</v>
      </c>
      <c r="I82" s="36">
        <f t="shared" ca="1" si="206"/>
        <v>51.536423455570429</v>
      </c>
      <c r="J82" s="36">
        <f t="shared" ca="1" si="206"/>
        <v>52.374147093059278</v>
      </c>
      <c r="K82" s="36">
        <f t="shared" ca="1" si="206"/>
        <v>53.144232053794873</v>
      </c>
      <c r="L82" s="36">
        <f t="shared" ca="1" si="206"/>
        <v>52.668374821611003</v>
      </c>
      <c r="M82" s="36">
        <f t="shared" ca="1" si="206"/>
        <v>53.374359555875756</v>
      </c>
      <c r="N82" s="36">
        <f t="shared" ca="1" si="206"/>
        <v>53.014467436158654</v>
      </c>
      <c r="O82" s="36">
        <f t="shared" ca="1" si="206"/>
        <v>52.945260173044488</v>
      </c>
      <c r="P82" s="36">
        <f t="shared" ca="1" si="206"/>
        <v>53.219248808602764</v>
      </c>
      <c r="Q82" s="36">
        <f t="shared" ca="1" si="206"/>
        <v>52.740122039870492</v>
      </c>
      <c r="R82" s="36">
        <f t="shared" ca="1" si="206"/>
        <v>54.204976873092612</v>
      </c>
      <c r="S82" s="36">
        <f t="shared" ca="1" si="206"/>
        <v>53.78782510606387</v>
      </c>
      <c r="T82" s="36">
        <f t="shared" ca="1" si="206"/>
        <v>53.540949663502126</v>
      </c>
      <c r="U82" s="36">
        <f t="shared" ca="1" si="206"/>
        <v>53.49765387015119</v>
      </c>
      <c r="V82" s="36">
        <f t="shared" ca="1" si="206"/>
        <v>53.602130916939011</v>
      </c>
      <c r="W82" s="36">
        <f t="shared" ca="1" si="206"/>
        <v>53.295273459511755</v>
      </c>
      <c r="X82" s="36">
        <f t="shared" ca="1" si="206"/>
        <v>53.249617939723137</v>
      </c>
      <c r="Y82" s="36">
        <f t="shared" ca="1" si="206"/>
        <v>52.202191721225603</v>
      </c>
      <c r="Z82" s="36">
        <f t="shared" ca="1" si="206"/>
        <v>52.598138755448701</v>
      </c>
      <c r="AA82" s="36">
        <f t="shared" ca="1" si="206"/>
        <v>52.927038469323385</v>
      </c>
      <c r="AB82" s="36">
        <f t="shared" ca="1" si="206"/>
        <v>53.203192937728943</v>
      </c>
      <c r="AC82" s="36">
        <f t="shared" ca="1" si="206"/>
        <v>53.511657754406706</v>
      </c>
      <c r="AD82" s="36">
        <f t="shared" ca="1" si="206"/>
        <v>52.621062565261475</v>
      </c>
      <c r="AE82" s="36">
        <f t="shared" ca="1" si="206"/>
        <v>51.957708418644302</v>
      </c>
      <c r="AF82" s="36">
        <f t="shared" ca="1" si="206"/>
        <v>51.709260000208388</v>
      </c>
      <c r="AG82" s="36">
        <f t="shared" ca="1" si="206"/>
        <v>52.040734680234337</v>
      </c>
      <c r="AH82" s="36">
        <f t="shared" ca="1" si="206"/>
        <v>51.251223896850775</v>
      </c>
      <c r="AI82" s="36">
        <f t="shared" ca="1" si="206"/>
        <v>51.138858094942947</v>
      </c>
      <c r="AJ82" s="36">
        <f t="shared" ca="1" si="206"/>
        <v>52.502553629507226</v>
      </c>
      <c r="AK82" s="36">
        <f t="shared" ca="1" si="206"/>
        <v>52.150790799749416</v>
      </c>
      <c r="AL82" s="36">
        <f t="shared" ca="1" si="206"/>
        <v>52.618917564958778</v>
      </c>
      <c r="AM82" s="36">
        <f t="shared" ca="1" si="206"/>
        <v>53.144187876159144</v>
      </c>
      <c r="AN82" s="36">
        <f t="shared" ca="1" si="206"/>
        <v>53.6602513785216</v>
      </c>
      <c r="AO82" s="36">
        <f t="shared" ca="1" si="206"/>
        <v>52.411439896026543</v>
      </c>
      <c r="AP82" s="36">
        <f t="shared" ca="1" si="206"/>
        <v>52.014221878870465</v>
      </c>
      <c r="AQ82" s="36">
        <f t="shared" ca="1" si="206"/>
        <v>52.184161543658803</v>
      </c>
      <c r="AR82" s="36">
        <f t="shared" ca="1" si="206"/>
        <v>51.776780431483516</v>
      </c>
      <c r="AS82" s="36">
        <f t="shared" ca="1" si="206"/>
        <v>51.743486632313086</v>
      </c>
      <c r="AT82" s="36">
        <f t="shared" ca="1" si="206"/>
        <v>50.845030960742307</v>
      </c>
      <c r="AU82" s="36">
        <f t="shared" ca="1" si="206"/>
        <v>50.532553179790369</v>
      </c>
      <c r="AV82" s="36">
        <f t="shared" ca="1" si="206"/>
        <v>50.024154503418096</v>
      </c>
      <c r="AW82" s="36">
        <f t="shared" ca="1" si="206"/>
        <v>48.895240335574073</v>
      </c>
      <c r="AX82" s="36">
        <f t="shared" ca="1" si="206"/>
        <v>48.591263328797297</v>
      </c>
      <c r="AY82" s="36">
        <f t="shared" ca="1" si="206"/>
        <v>49.812582066193187</v>
      </c>
      <c r="AZ82" s="36">
        <f t="shared" ca="1" si="206"/>
        <v>48.838829880596037</v>
      </c>
      <c r="BA82" s="36">
        <f t="shared" ca="1" si="206"/>
        <v>48.622152644523858</v>
      </c>
      <c r="BB82" s="36">
        <f t="shared" ca="1" si="206"/>
        <v>48.542065835150936</v>
      </c>
      <c r="BC82" s="36">
        <f t="shared" ca="1" si="206"/>
        <v>49.524882409077513</v>
      </c>
      <c r="BD82" s="36">
        <f t="shared" ca="1" si="206"/>
        <v>49.110006706984144</v>
      </c>
      <c r="BE82" s="36">
        <f t="shared" ca="1" si="206"/>
        <v>48.973539984938455</v>
      </c>
      <c r="BF82" s="36">
        <f t="shared" ca="1" si="206"/>
        <v>49.233506137723843</v>
      </c>
      <c r="BG82" s="36">
        <f t="shared" ca="1" si="206"/>
        <v>49.553066054932913</v>
      </c>
      <c r="BH82" s="36">
        <f t="shared" ca="1" si="206"/>
        <v>50.180365789465895</v>
      </c>
      <c r="BI82" s="36">
        <f t="shared" ca="1" si="206"/>
        <v>49.955968654541408</v>
      </c>
      <c r="BJ82" s="36">
        <f t="shared" ca="1" si="206"/>
        <v>49.19882018735062</v>
      </c>
      <c r="BK82" s="36">
        <f t="shared" ca="1" si="206"/>
        <v>50.124101028368401</v>
      </c>
      <c r="BL82" s="36">
        <f t="shared" ca="1" si="206"/>
        <v>51.073740023026119</v>
      </c>
      <c r="BM82" s="36">
        <f t="shared" ca="1" si="206"/>
        <v>50.998055786298778</v>
      </c>
      <c r="BN82" s="36">
        <f t="shared" ca="1" si="206"/>
        <v>50.621057487738888</v>
      </c>
      <c r="BO82" s="36">
        <f t="shared" ca="1" si="206"/>
        <v>49.785591692352234</v>
      </c>
      <c r="BP82" s="36">
        <f t="shared" ca="1" si="206"/>
        <v>48.63925572934054</v>
      </c>
      <c r="BQ82" s="36">
        <f t="shared" ca="1" si="206"/>
        <v>49.010496721492778</v>
      </c>
      <c r="BR82" s="36">
        <f t="shared" ca="1" si="202"/>
        <v>48.937187010572593</v>
      </c>
      <c r="BS82" s="36">
        <f t="shared" ca="1" si="202"/>
        <v>48.93224102555051</v>
      </c>
      <c r="BT82" s="36">
        <f t="shared" ca="1" si="202"/>
        <v>49.435283156496197</v>
      </c>
      <c r="BU82" s="36">
        <f t="shared" ca="1" si="202"/>
        <v>49.346676623266625</v>
      </c>
      <c r="BV82" s="36">
        <f t="shared" ca="1" si="202"/>
        <v>49.106297207038622</v>
      </c>
      <c r="BW82" s="36">
        <f t="shared" ca="1" si="202"/>
        <v>49.297464159142308</v>
      </c>
      <c r="BX82" s="36">
        <f t="shared" ca="1" si="202"/>
        <v>48.523687491161951</v>
      </c>
      <c r="BY82" s="36">
        <f t="shared" ca="1" si="202"/>
        <v>48.836435354329403</v>
      </c>
      <c r="BZ82" s="36">
        <f t="shared" ca="1" si="202"/>
        <v>48.633870212967921</v>
      </c>
      <c r="CA82" s="36">
        <f t="shared" ca="1" si="202"/>
        <v>48.008433283715085</v>
      </c>
      <c r="CB82" s="36">
        <f t="shared" ca="1" si="202"/>
        <v>47.288076226449128</v>
      </c>
      <c r="CC82" s="36">
        <f t="shared" ca="1" si="202"/>
        <v>47.369773691907945</v>
      </c>
      <c r="CD82" s="36">
        <f t="shared" ca="1" si="202"/>
        <v>47.540019699505244</v>
      </c>
      <c r="CE82" s="36">
        <f t="shared" ca="1" si="202"/>
        <v>47.993749126727622</v>
      </c>
      <c r="CF82" s="36">
        <f t="shared" ca="1" si="202"/>
        <v>48.736394692473702</v>
      </c>
      <c r="CG82" s="36">
        <f t="shared" ca="1" si="202"/>
        <v>49.094980199845992</v>
      </c>
      <c r="CH82" s="36">
        <f t="shared" ca="1" si="202"/>
        <v>49.786929710688824</v>
      </c>
      <c r="CI82" s="36">
        <f t="shared" ca="1" si="202"/>
        <v>50.005565072392656</v>
      </c>
      <c r="CJ82" s="36">
        <f t="shared" ca="1" si="202"/>
        <v>49.082513379162187</v>
      </c>
      <c r="CK82" s="36">
        <f t="shared" ca="1" si="202"/>
        <v>48.200934853664911</v>
      </c>
      <c r="CL82" s="36">
        <f t="shared" ca="1" si="202"/>
        <v>48.570934858347883</v>
      </c>
      <c r="CM82" s="36">
        <f t="shared" ca="1" si="202"/>
        <v>48.638942449325512</v>
      </c>
      <c r="CN82" s="36">
        <f t="shared" ca="1" si="202"/>
        <v>49.210196859536367</v>
      </c>
      <c r="CO82" s="36">
        <f t="shared" ca="1" si="202"/>
        <v>49.409420997933957</v>
      </c>
      <c r="CP82" s="36">
        <f t="shared" ca="1" si="202"/>
        <v>48.49482086154088</v>
      </c>
      <c r="CQ82" s="36">
        <f t="shared" ca="1" si="202"/>
        <v>48.002255066909491</v>
      </c>
      <c r="CR82" s="36">
        <f t="shared" ca="1" si="202"/>
        <v>48.237747554890888</v>
      </c>
      <c r="CS82" s="36">
        <f t="shared" ca="1" si="202"/>
        <v>49.028517273269522</v>
      </c>
      <c r="CT82" s="36">
        <f t="shared" ca="1" si="202"/>
        <v>49.487176197306269</v>
      </c>
      <c r="CU82" s="36">
        <f t="shared" ca="1" si="202"/>
        <v>49.598763213695349</v>
      </c>
      <c r="CV82" s="36">
        <f t="shared" ca="1" si="202"/>
        <v>48.624322466279693</v>
      </c>
      <c r="CW82" s="36">
        <f t="shared" ca="1" si="202"/>
        <v>48.717709920279752</v>
      </c>
      <c r="CX82" s="36">
        <f t="shared" ca="1" si="202"/>
        <v>49.274179898490331</v>
      </c>
      <c r="CY82" s="36">
        <f t="shared" ca="1" si="202"/>
        <v>50.005497848286858</v>
      </c>
      <c r="CZ82" s="36">
        <f t="shared" ca="1" si="202"/>
        <v>50.591488642730376</v>
      </c>
      <c r="DA82" s="36">
        <f t="shared" ca="1" si="202"/>
        <v>50.622770556787074</v>
      </c>
      <c r="DB82" s="36">
        <f t="shared" ca="1" si="202"/>
        <v>50.404798703366112</v>
      </c>
      <c r="DC82" s="36">
        <f t="shared" ca="1" si="202"/>
        <v>49.498017497907291</v>
      </c>
      <c r="DD82" s="36">
        <f t="shared" ca="1" si="202"/>
        <v>49.284836042686294</v>
      </c>
      <c r="DE82" s="36">
        <f t="shared" ca="1" si="202"/>
        <v>48.756543847773031</v>
      </c>
      <c r="DF82" s="36">
        <f t="shared" ca="1" si="202"/>
        <v>48.501295804730496</v>
      </c>
      <c r="DG82" s="36">
        <f t="shared" ca="1" si="202"/>
        <v>48.332552933738377</v>
      </c>
      <c r="DH82" s="36">
        <f t="shared" ca="1" si="202"/>
        <v>47.792365774436789</v>
      </c>
      <c r="DI82" s="36">
        <f t="shared" ca="1" si="202"/>
        <v>47.877669614713206</v>
      </c>
      <c r="DJ82" s="36">
        <f t="shared" ca="1" si="202"/>
        <v>48.381845122421829</v>
      </c>
      <c r="DK82" s="36">
        <f t="shared" ca="1" si="202"/>
        <v>48.069187078661031</v>
      </c>
      <c r="DL82" s="36">
        <f t="shared" ca="1" si="202"/>
        <v>47.861395075019111</v>
      </c>
      <c r="DM82" s="36">
        <f t="shared" ca="1" si="202"/>
        <v>48.37383093089791</v>
      </c>
      <c r="DN82" s="36">
        <f t="shared" ca="1" si="202"/>
        <v>48.950276034941965</v>
      </c>
      <c r="DO82" s="36">
        <f t="shared" ca="1" si="202"/>
        <v>48.752830906412164</v>
      </c>
      <c r="DP82" s="36">
        <f t="shared" ca="1" si="202"/>
        <v>48.113531996234457</v>
      </c>
      <c r="DQ82" s="36">
        <f t="shared" ca="1" si="202"/>
        <v>46.930489050451456</v>
      </c>
      <c r="DR82" s="36">
        <f t="shared" ca="1" si="202"/>
        <v>46.335675907834165</v>
      </c>
      <c r="DS82" s="36">
        <f t="shared" ca="1" si="202"/>
        <v>46.679378463322742</v>
      </c>
      <c r="DT82" s="36">
        <f t="shared" ca="1" si="202"/>
        <v>46.402433053052128</v>
      </c>
      <c r="DU82" s="36">
        <f t="shared" ca="1" si="202"/>
        <v>45.867169476317287</v>
      </c>
      <c r="DV82" s="36">
        <f t="shared" ca="1" si="202"/>
        <v>46.277534830209262</v>
      </c>
      <c r="DW82" s="36">
        <f t="shared" ca="1" si="202"/>
        <v>46.785036482124525</v>
      </c>
      <c r="DX82" s="36">
        <f t="shared" ca="1" si="202"/>
        <v>47.182132069869922</v>
      </c>
      <c r="DY82" s="36">
        <f t="shared" ca="1" si="202"/>
        <v>47.995793943189135</v>
      </c>
      <c r="DZ82" s="36">
        <f t="shared" ca="1" si="202"/>
        <v>47.768627214484056</v>
      </c>
      <c r="EA82" s="36">
        <f t="shared" ca="1" si="202"/>
        <v>47.268515826929779</v>
      </c>
      <c r="EB82" s="36">
        <f t="shared" ca="1" si="202"/>
        <v>47.745378592516197</v>
      </c>
      <c r="EC82" s="36">
        <f t="shared" ca="1" si="198"/>
        <v>47.382368752179325</v>
      </c>
      <c r="ED82" s="36">
        <f t="shared" ca="1" si="193"/>
        <v>47.646726917151959</v>
      </c>
      <c r="EE82" s="36">
        <f t="shared" ca="1" si="193"/>
        <v>47.969652794975239</v>
      </c>
      <c r="EF82" s="36">
        <f t="shared" ca="1" si="173"/>
        <v>48.550283941521428</v>
      </c>
      <c r="EG82" s="36">
        <f t="shared" ca="1" si="173"/>
        <v>47.928585059139436</v>
      </c>
      <c r="EH82" s="36">
        <f t="shared" ca="1" si="173"/>
        <v>49.731591849342742</v>
      </c>
      <c r="EI82" s="36">
        <f t="shared" ca="1" si="173"/>
        <v>50.513931667756985</v>
      </c>
      <c r="EJ82" s="36">
        <f t="shared" ca="1" si="173"/>
        <v>50.217476642310594</v>
      </c>
      <c r="EK82" s="36">
        <f t="shared" ca="1" si="173"/>
        <v>49.553434629863979</v>
      </c>
      <c r="EL82" s="36">
        <f t="shared" ca="1" si="173"/>
        <v>50.379737088297674</v>
      </c>
      <c r="EM82" s="36">
        <f t="shared" ca="1" si="173"/>
        <v>49.344139028615047</v>
      </c>
      <c r="EN82" s="36">
        <f t="shared" ca="1" si="173"/>
        <v>48.167700298248221</v>
      </c>
      <c r="EO82" s="36">
        <f t="shared" ca="1" si="173"/>
        <v>48.407010083406256</v>
      </c>
      <c r="EP82" s="36">
        <f t="shared" ca="1" si="173"/>
        <v>48.273826791476885</v>
      </c>
      <c r="EQ82" s="36">
        <f t="shared" ca="1" si="173"/>
        <v>47.369342014704984</v>
      </c>
      <c r="ER82" s="36">
        <f t="shared" ca="1" si="173"/>
        <v>46.615230892779209</v>
      </c>
      <c r="ES82" s="36">
        <f t="shared" ca="1" si="173"/>
        <v>46.182221322631129</v>
      </c>
      <c r="ET82" s="36">
        <f t="shared" ca="1" si="173"/>
        <v>46.470707331785022</v>
      </c>
      <c r="EU82" s="36">
        <f t="shared" ca="1" si="173"/>
        <v>45.920147648574883</v>
      </c>
      <c r="EV82" s="36">
        <f t="shared" ca="1" si="173"/>
        <v>45.676949947957141</v>
      </c>
      <c r="EW82" s="36">
        <f t="shared" ref="EW82:HH86" ca="1" si="207">EV82*EXP(($B$3-$B$4^2/2)*1+$B$4*_xlfn.NORM.S.INV(RAND()))</f>
        <v>45.459452370803341</v>
      </c>
      <c r="EX82" s="36">
        <f t="shared" ca="1" si="207"/>
        <v>45.368723280916292</v>
      </c>
      <c r="EY82" s="36">
        <f t="shared" ca="1" si="207"/>
        <v>45.095696010670082</v>
      </c>
      <c r="EZ82" s="36">
        <f t="shared" ca="1" si="207"/>
        <v>44.466410659656276</v>
      </c>
      <c r="FA82" s="36">
        <f t="shared" ca="1" si="207"/>
        <v>44.271671824364311</v>
      </c>
      <c r="FB82" s="36">
        <f t="shared" ca="1" si="207"/>
        <v>44.159570553442315</v>
      </c>
      <c r="FC82" s="36">
        <f t="shared" ca="1" si="207"/>
        <v>43.435229962780923</v>
      </c>
      <c r="FD82" s="36">
        <f t="shared" ca="1" si="207"/>
        <v>43.134674211125919</v>
      </c>
      <c r="FE82" s="36">
        <f t="shared" ca="1" si="207"/>
        <v>42.074179538439722</v>
      </c>
      <c r="FF82" s="36">
        <f t="shared" ca="1" si="207"/>
        <v>41.720081150218363</v>
      </c>
      <c r="FG82" s="36">
        <f t="shared" ca="1" si="207"/>
        <v>41.530672414831329</v>
      </c>
      <c r="FH82" s="36">
        <f t="shared" ca="1" si="207"/>
        <v>39.781873581095162</v>
      </c>
      <c r="FI82" s="36">
        <f t="shared" ca="1" si="207"/>
        <v>38.557393658154261</v>
      </c>
      <c r="FJ82" s="36">
        <f t="shared" ca="1" si="207"/>
        <v>37.891465993869012</v>
      </c>
      <c r="FK82" s="36">
        <f t="shared" ca="1" si="207"/>
        <v>37.999244510623328</v>
      </c>
      <c r="FL82" s="36">
        <f t="shared" ca="1" si="207"/>
        <v>37.646412276713527</v>
      </c>
      <c r="FM82" s="36">
        <f t="shared" ca="1" si="207"/>
        <v>37.555755969422634</v>
      </c>
      <c r="FN82" s="36">
        <f t="shared" ca="1" si="207"/>
        <v>37.342062208505403</v>
      </c>
      <c r="FO82" s="36">
        <f t="shared" ca="1" si="207"/>
        <v>36.95300490277377</v>
      </c>
      <c r="FP82" s="36">
        <f t="shared" ca="1" si="207"/>
        <v>37.165296141681431</v>
      </c>
      <c r="FQ82" s="36">
        <f t="shared" ca="1" si="207"/>
        <v>36.371576038067069</v>
      </c>
      <c r="FR82" s="36">
        <f t="shared" ca="1" si="207"/>
        <v>36.465107292047321</v>
      </c>
      <c r="FS82" s="36">
        <f t="shared" ca="1" si="207"/>
        <v>36.761693823217023</v>
      </c>
      <c r="FT82" s="36">
        <f t="shared" ca="1" si="207"/>
        <v>37.563203818586523</v>
      </c>
      <c r="FU82" s="36">
        <f t="shared" ca="1" si="207"/>
        <v>37.40394009629712</v>
      </c>
      <c r="FV82" s="36">
        <f t="shared" ca="1" si="207"/>
        <v>37.310488283005547</v>
      </c>
      <c r="FW82" s="36">
        <f t="shared" ca="1" si="207"/>
        <v>37.772682802754865</v>
      </c>
      <c r="FX82" s="36">
        <f t="shared" ca="1" si="207"/>
        <v>37.673671651671384</v>
      </c>
      <c r="FY82" s="36">
        <f t="shared" ca="1" si="207"/>
        <v>38.454189475536197</v>
      </c>
      <c r="FZ82" s="36">
        <f t="shared" ca="1" si="207"/>
        <v>39.566494260611641</v>
      </c>
      <c r="GA82" s="36">
        <f t="shared" ca="1" si="207"/>
        <v>39.005566328469406</v>
      </c>
      <c r="GB82" s="36">
        <f t="shared" ca="1" si="207"/>
        <v>38.969584123264561</v>
      </c>
      <c r="GC82" s="36">
        <f t="shared" ca="1" si="207"/>
        <v>39.050907934365945</v>
      </c>
      <c r="GD82" s="36">
        <f t="shared" ca="1" si="207"/>
        <v>39.221954602258961</v>
      </c>
      <c r="GE82" s="36">
        <f t="shared" ca="1" si="207"/>
        <v>39.544199910915545</v>
      </c>
      <c r="GF82" s="36">
        <f t="shared" ca="1" si="207"/>
        <v>39.900163354795694</v>
      </c>
      <c r="GG82" s="36">
        <f t="shared" ca="1" si="207"/>
        <v>39.968918592046904</v>
      </c>
      <c r="GH82" s="36">
        <f t="shared" ca="1" si="207"/>
        <v>39.466399889158062</v>
      </c>
      <c r="GI82" s="36">
        <f t="shared" ca="1" si="207"/>
        <v>39.848963314677299</v>
      </c>
      <c r="GJ82" s="36">
        <f t="shared" ca="1" si="207"/>
        <v>39.53092582376032</v>
      </c>
      <c r="GK82" s="36">
        <f t="shared" ca="1" si="207"/>
        <v>39.25129756088851</v>
      </c>
      <c r="GL82" s="36">
        <f t="shared" ca="1" si="207"/>
        <v>39.044004797989231</v>
      </c>
      <c r="GM82" s="36">
        <f t="shared" ca="1" si="207"/>
        <v>39.400957834949914</v>
      </c>
      <c r="GN82" s="36">
        <f t="shared" ca="1" si="207"/>
        <v>39.242409003942143</v>
      </c>
      <c r="GO82" s="36">
        <f t="shared" ca="1" si="207"/>
        <v>38.684735474046072</v>
      </c>
      <c r="GP82" s="36">
        <f t="shared" ca="1" si="207"/>
        <v>38.631950043524732</v>
      </c>
      <c r="GQ82" s="36">
        <f t="shared" ca="1" si="207"/>
        <v>38.89550298375034</v>
      </c>
      <c r="GR82" s="36">
        <f t="shared" ca="1" si="207"/>
        <v>38.37611028326257</v>
      </c>
      <c r="GS82" s="36">
        <f t="shared" ca="1" si="207"/>
        <v>38.349367874717615</v>
      </c>
      <c r="GT82" s="36">
        <f t="shared" ca="1" si="207"/>
        <v>37.879071173368352</v>
      </c>
      <c r="GU82" s="36">
        <f t="shared" ca="1" si="207"/>
        <v>38.418451747603903</v>
      </c>
      <c r="GV82" s="36">
        <f t="shared" ca="1" si="207"/>
        <v>39.395879411229764</v>
      </c>
      <c r="GW82" s="36">
        <f t="shared" ca="1" si="207"/>
        <v>39.829494293082817</v>
      </c>
      <c r="GX82" s="36">
        <f t="shared" ca="1" si="207"/>
        <v>39.949456570379553</v>
      </c>
      <c r="GY82" s="36">
        <f t="shared" ca="1" si="207"/>
        <v>39.758269091955142</v>
      </c>
      <c r="GZ82" s="36">
        <f t="shared" ca="1" si="207"/>
        <v>39.415596415610722</v>
      </c>
      <c r="HA82" s="36">
        <f t="shared" ca="1" si="207"/>
        <v>39.281787881467672</v>
      </c>
      <c r="HB82" s="36">
        <f t="shared" ca="1" si="207"/>
        <v>38.889488943976012</v>
      </c>
      <c r="HC82" s="36">
        <f t="shared" ca="1" si="207"/>
        <v>38.929655896309228</v>
      </c>
      <c r="HD82" s="36">
        <f t="shared" ca="1" si="207"/>
        <v>39.334291556190813</v>
      </c>
      <c r="HE82" s="36">
        <f t="shared" ca="1" si="207"/>
        <v>39.673941245593852</v>
      </c>
      <c r="HF82" s="36">
        <f t="shared" ca="1" si="207"/>
        <v>40.023012730035575</v>
      </c>
      <c r="HG82" s="36">
        <f t="shared" ca="1" si="207"/>
        <v>40.988483324264465</v>
      </c>
      <c r="HH82" s="36">
        <f t="shared" ca="1" si="207"/>
        <v>41.637849134198675</v>
      </c>
      <c r="HI82" s="36">
        <f t="shared" ca="1" si="204"/>
        <v>41.309609355850512</v>
      </c>
      <c r="HJ82" s="36">
        <f t="shared" ca="1" si="204"/>
        <v>42.062460063230574</v>
      </c>
      <c r="HK82" s="36">
        <f t="shared" ca="1" si="204"/>
        <v>41.975077272685233</v>
      </c>
      <c r="HL82" s="36">
        <f t="shared" ref="HL82:HT82" ca="1" si="208">HK82*EXP(($B$3-$B$4^2/2)*1+$B$4*_xlfn.NORM.S.INV(RAND()))</f>
        <v>41.083331322531457</v>
      </c>
      <c r="HM82" s="36">
        <f t="shared" ca="1" si="208"/>
        <v>41.128332499785103</v>
      </c>
      <c r="HN82" s="36">
        <f t="shared" ca="1" si="208"/>
        <v>41.52149042039602</v>
      </c>
      <c r="HO82" s="36">
        <f t="shared" ca="1" si="208"/>
        <v>42.078958581026562</v>
      </c>
      <c r="HP82" s="36">
        <f t="shared" ca="1" si="208"/>
        <v>42.614293109558517</v>
      </c>
      <c r="HQ82" s="36">
        <f t="shared" ca="1" si="208"/>
        <v>42.684327777668869</v>
      </c>
      <c r="HR82" s="36">
        <f t="shared" ca="1" si="208"/>
        <v>42.764547497262797</v>
      </c>
      <c r="HS82" s="36">
        <f t="shared" ca="1" si="208"/>
        <v>42.708228762991709</v>
      </c>
      <c r="HT82" s="36">
        <f t="shared" ca="1" si="208"/>
        <v>43.177632602129862</v>
      </c>
      <c r="HU82" s="36">
        <f t="shared" ca="1" si="177"/>
        <v>43.013704518025079</v>
      </c>
      <c r="HV82" s="36">
        <f t="shared" ca="1" si="177"/>
        <v>44.364781488256774</v>
      </c>
      <c r="HW82" s="36">
        <f t="shared" ca="1" si="177"/>
        <v>43.361454838026546</v>
      </c>
      <c r="HX82" s="36">
        <f t="shared" ca="1" si="177"/>
        <v>43.767367531629809</v>
      </c>
      <c r="HY82" s="36">
        <f t="shared" ca="1" si="177"/>
        <v>44.446844378445881</v>
      </c>
      <c r="HZ82" s="36">
        <f t="shared" ca="1" si="196"/>
        <v>43.754812786334647</v>
      </c>
      <c r="IA82" s="36">
        <f t="shared" ca="1" si="196"/>
        <v>44.109704931196227</v>
      </c>
      <c r="IB82" s="36">
        <f t="shared" ca="1" si="196"/>
        <v>43.213599370417143</v>
      </c>
      <c r="IC82" s="36">
        <f t="shared" ca="1" si="196"/>
        <v>43.920135492947857</v>
      </c>
      <c r="ID82" s="36">
        <f t="shared" ca="1" si="196"/>
        <v>44.106856438165657</v>
      </c>
      <c r="IE82" s="36">
        <f t="shared" ca="1" si="196"/>
        <v>43.708726984928049</v>
      </c>
      <c r="IF82" s="36">
        <f t="shared" ca="1" si="196"/>
        <v>44.474989729374649</v>
      </c>
      <c r="IG82" s="36">
        <f t="shared" ca="1" si="196"/>
        <v>44.746099350124396</v>
      </c>
      <c r="IH82" s="36">
        <f t="shared" ca="1" si="196"/>
        <v>45.048451365022359</v>
      </c>
      <c r="II82" s="36">
        <f t="shared" ca="1" si="196"/>
        <v>44.61323647838514</v>
      </c>
      <c r="IJ82" s="36">
        <f t="shared" ca="1" si="196"/>
        <v>43.825540898765851</v>
      </c>
      <c r="IK82" s="36">
        <f t="shared" ca="1" si="196"/>
        <v>44.551433751329036</v>
      </c>
      <c r="IL82" s="36">
        <f t="shared" ca="1" si="196"/>
        <v>44.42985331132769</v>
      </c>
      <c r="IM82" s="36">
        <f t="shared" ca="1" si="196"/>
        <v>43.731836762181494</v>
      </c>
      <c r="IN82" s="36">
        <f t="shared" ca="1" si="196"/>
        <v>44.29541726857591</v>
      </c>
      <c r="IO82" s="36">
        <f t="shared" ca="1" si="196"/>
        <v>44.467363403500137</v>
      </c>
      <c r="IP82" s="36">
        <f t="shared" ca="1" si="196"/>
        <v>44.398095771594122</v>
      </c>
      <c r="IQ82" s="36">
        <f t="shared" ca="1" si="196"/>
        <v>44.480628604312834</v>
      </c>
      <c r="IR82" s="36">
        <f t="shared" ca="1" si="196"/>
        <v>44.191727452237792</v>
      </c>
      <c r="IS82" s="36">
        <f t="shared" ca="1" si="196"/>
        <v>43.498957707852448</v>
      </c>
      <c r="IT82" s="36">
        <f t="shared" ca="1" si="196"/>
        <v>43.530755307964135</v>
      </c>
      <c r="IU82" s="36">
        <f t="shared" ca="1" si="196"/>
        <v>44.131687946675569</v>
      </c>
    </row>
    <row r="83" spans="1:255" x14ac:dyDescent="0.2">
      <c r="A83" s="36"/>
      <c r="B83">
        <v>73</v>
      </c>
      <c r="C83" s="36">
        <v>50</v>
      </c>
      <c r="D83" s="36">
        <f t="shared" ca="1" si="188"/>
        <v>49.258226145323313</v>
      </c>
      <c r="E83" s="36">
        <f t="shared" ca="1" si="188"/>
        <v>49.72274829675802</v>
      </c>
      <c r="F83" s="36">
        <f t="shared" ca="1" si="206"/>
        <v>48.981160948431224</v>
      </c>
      <c r="G83" s="36">
        <f t="shared" ca="1" si="206"/>
        <v>49.618877887070013</v>
      </c>
      <c r="H83" s="36">
        <f t="shared" ca="1" si="206"/>
        <v>48.807636684544953</v>
      </c>
      <c r="I83" s="36">
        <f t="shared" ca="1" si="206"/>
        <v>49.505839504076505</v>
      </c>
      <c r="J83" s="36">
        <f t="shared" ca="1" si="206"/>
        <v>49.954736317614909</v>
      </c>
      <c r="K83" s="36">
        <f t="shared" ca="1" si="206"/>
        <v>49.181914337436396</v>
      </c>
      <c r="L83" s="36">
        <f t="shared" ca="1" si="206"/>
        <v>48.453486407048025</v>
      </c>
      <c r="M83" s="36">
        <f t="shared" ca="1" si="206"/>
        <v>48.086876600026294</v>
      </c>
      <c r="N83" s="36">
        <f t="shared" ca="1" si="206"/>
        <v>48.054419547596758</v>
      </c>
      <c r="O83" s="36">
        <f t="shared" ca="1" si="206"/>
        <v>48.153218952582407</v>
      </c>
      <c r="P83" s="36">
        <f t="shared" ca="1" si="206"/>
        <v>48.196707887400173</v>
      </c>
      <c r="Q83" s="36">
        <f t="shared" ca="1" si="206"/>
        <v>49.093534654599146</v>
      </c>
      <c r="R83" s="36">
        <f t="shared" ca="1" si="206"/>
        <v>49.524983651102687</v>
      </c>
      <c r="S83" s="36">
        <f t="shared" ca="1" si="206"/>
        <v>50.009209331691494</v>
      </c>
      <c r="T83" s="36">
        <f t="shared" ca="1" si="206"/>
        <v>50.610188728184589</v>
      </c>
      <c r="U83" s="36">
        <f t="shared" ca="1" si="206"/>
        <v>49.879531071091115</v>
      </c>
      <c r="V83" s="36">
        <f t="shared" ca="1" si="206"/>
        <v>49.82860307111283</v>
      </c>
      <c r="W83" s="36">
        <f t="shared" ca="1" si="206"/>
        <v>49.628869442163065</v>
      </c>
      <c r="X83" s="36">
        <f t="shared" ca="1" si="206"/>
        <v>49.67065098451743</v>
      </c>
      <c r="Y83" s="36">
        <f t="shared" ca="1" si="206"/>
        <v>50.17754468891917</v>
      </c>
      <c r="Z83" s="36">
        <f t="shared" ca="1" si="206"/>
        <v>50.776312132541726</v>
      </c>
      <c r="AA83" s="36">
        <f t="shared" ca="1" si="206"/>
        <v>51.968035639129667</v>
      </c>
      <c r="AB83" s="36">
        <f t="shared" ca="1" si="206"/>
        <v>52.381545896691982</v>
      </c>
      <c r="AC83" s="36">
        <f t="shared" ca="1" si="206"/>
        <v>51.675710864261731</v>
      </c>
      <c r="AD83" s="36">
        <f t="shared" ca="1" si="206"/>
        <v>52.041431313363276</v>
      </c>
      <c r="AE83" s="36">
        <f t="shared" ca="1" si="206"/>
        <v>51.804960122746301</v>
      </c>
      <c r="AF83" s="36">
        <f t="shared" ca="1" si="206"/>
        <v>52.599003814913246</v>
      </c>
      <c r="AG83" s="36">
        <f t="shared" ca="1" si="206"/>
        <v>52.074896901693897</v>
      </c>
      <c r="AH83" s="36">
        <f t="shared" ca="1" si="206"/>
        <v>52.222799533036614</v>
      </c>
      <c r="AI83" s="36">
        <f t="shared" ca="1" si="206"/>
        <v>52.168304504477973</v>
      </c>
      <c r="AJ83" s="36">
        <f t="shared" ca="1" si="206"/>
        <v>52.278956599078029</v>
      </c>
      <c r="AK83" s="36">
        <f t="shared" ca="1" si="206"/>
        <v>53.385865153925977</v>
      </c>
      <c r="AL83" s="36">
        <f t="shared" ca="1" si="206"/>
        <v>53.518720491696662</v>
      </c>
      <c r="AM83" s="36">
        <f t="shared" ca="1" si="206"/>
        <v>53.752401938896313</v>
      </c>
      <c r="AN83" s="36">
        <f t="shared" ca="1" si="206"/>
        <v>54.113591020453129</v>
      </c>
      <c r="AO83" s="36">
        <f t="shared" ca="1" si="206"/>
        <v>53.160945168107574</v>
      </c>
      <c r="AP83" s="36">
        <f t="shared" ca="1" si="206"/>
        <v>53.256399747997847</v>
      </c>
      <c r="AQ83" s="36">
        <f t="shared" ca="1" si="206"/>
        <v>53.737401593836765</v>
      </c>
      <c r="AR83" s="36">
        <f t="shared" ca="1" si="206"/>
        <v>55.196956219433666</v>
      </c>
      <c r="AS83" s="36">
        <f t="shared" ca="1" si="206"/>
        <v>56.555590489894819</v>
      </c>
      <c r="AT83" s="36">
        <f t="shared" ca="1" si="206"/>
        <v>56.963524249521562</v>
      </c>
      <c r="AU83" s="36">
        <f t="shared" ca="1" si="206"/>
        <v>57.282353973913281</v>
      </c>
      <c r="AV83" s="36">
        <f t="shared" ca="1" si="206"/>
        <v>56.775969088609472</v>
      </c>
      <c r="AW83" s="36">
        <f t="shared" ca="1" si="206"/>
        <v>56.106965734743831</v>
      </c>
      <c r="AX83" s="36">
        <f t="shared" ca="1" si="206"/>
        <v>55.61691197309009</v>
      </c>
      <c r="AY83" s="36">
        <f t="shared" ca="1" si="206"/>
        <v>56.091133011284192</v>
      </c>
      <c r="AZ83" s="36">
        <f t="shared" ca="1" si="206"/>
        <v>56.535259442890862</v>
      </c>
      <c r="BA83" s="36">
        <f t="shared" ca="1" si="206"/>
        <v>56.072389052021158</v>
      </c>
      <c r="BB83" s="36">
        <f t="shared" ca="1" si="206"/>
        <v>54.961317219319028</v>
      </c>
      <c r="BC83" s="36">
        <f t="shared" ca="1" si="206"/>
        <v>55.969096624585312</v>
      </c>
      <c r="BD83" s="36">
        <f t="shared" ca="1" si="206"/>
        <v>56.873007551053817</v>
      </c>
      <c r="BE83" s="36">
        <f t="shared" ca="1" si="206"/>
        <v>57.041954900931508</v>
      </c>
      <c r="BF83" s="36">
        <f t="shared" ca="1" si="206"/>
        <v>58.586292365073952</v>
      </c>
      <c r="BG83" s="36">
        <f t="shared" ca="1" si="206"/>
        <v>59.297927130408461</v>
      </c>
      <c r="BH83" s="36">
        <f t="shared" ca="1" si="206"/>
        <v>58.429556230172992</v>
      </c>
      <c r="BI83" s="36">
        <f t="shared" ca="1" si="206"/>
        <v>57.912633733074372</v>
      </c>
      <c r="BJ83" s="36">
        <f t="shared" ca="1" si="206"/>
        <v>58.413250411219991</v>
      </c>
      <c r="BK83" s="36">
        <f t="shared" ca="1" si="206"/>
        <v>58.583406174845443</v>
      </c>
      <c r="BL83" s="36">
        <f t="shared" ca="1" si="206"/>
        <v>58.625294107560244</v>
      </c>
      <c r="BM83" s="36">
        <f t="shared" ca="1" si="206"/>
        <v>58.557038459793759</v>
      </c>
      <c r="BN83" s="36">
        <f t="shared" ca="1" si="206"/>
        <v>59.342994535723761</v>
      </c>
      <c r="BO83" s="36">
        <f t="shared" ca="1" si="206"/>
        <v>59.435766359638137</v>
      </c>
      <c r="BP83" s="36">
        <f t="shared" ca="1" si="206"/>
        <v>59.288050882183477</v>
      </c>
      <c r="BQ83" s="36">
        <f t="shared" ca="1" si="206"/>
        <v>59.377617989765334</v>
      </c>
      <c r="BR83" s="36">
        <f t="shared" ca="1" si="202"/>
        <v>58.482469838694264</v>
      </c>
      <c r="BS83" s="36">
        <f t="shared" ca="1" si="202"/>
        <v>58.835597364171356</v>
      </c>
      <c r="BT83" s="36">
        <f t="shared" ca="1" si="202"/>
        <v>57.723825502626674</v>
      </c>
      <c r="BU83" s="36">
        <f t="shared" ca="1" si="202"/>
        <v>57.591491113247969</v>
      </c>
      <c r="BV83" s="36">
        <f t="shared" ca="1" si="202"/>
        <v>57.734147478386227</v>
      </c>
      <c r="BW83" s="36">
        <f t="shared" ca="1" si="202"/>
        <v>58.362740443250587</v>
      </c>
      <c r="BX83" s="36">
        <f t="shared" ca="1" si="202"/>
        <v>59.341050982002606</v>
      </c>
      <c r="BY83" s="36">
        <f t="shared" ca="1" si="202"/>
        <v>58.803336631052034</v>
      </c>
      <c r="BZ83" s="36">
        <f t="shared" ca="1" si="202"/>
        <v>59.454489217120368</v>
      </c>
      <c r="CA83" s="36">
        <f t="shared" ca="1" si="202"/>
        <v>58.422081163805863</v>
      </c>
      <c r="CB83" s="36">
        <f t="shared" ca="1" si="202"/>
        <v>58.137832240339641</v>
      </c>
      <c r="CC83" s="36">
        <f t="shared" ca="1" si="202"/>
        <v>58.081622249303635</v>
      </c>
      <c r="CD83" s="36">
        <f t="shared" ca="1" si="202"/>
        <v>59.003773979283729</v>
      </c>
      <c r="CE83" s="36">
        <f t="shared" ca="1" si="202"/>
        <v>60.050484629399016</v>
      </c>
      <c r="CF83" s="36">
        <f t="shared" ca="1" si="202"/>
        <v>60.940748842907453</v>
      </c>
      <c r="CG83" s="36">
        <f t="shared" ca="1" si="202"/>
        <v>60.051492074626239</v>
      </c>
      <c r="CH83" s="36">
        <f t="shared" ca="1" si="202"/>
        <v>60.399380374230383</v>
      </c>
      <c r="CI83" s="36">
        <f t="shared" ca="1" si="202"/>
        <v>60.043533365799334</v>
      </c>
      <c r="CJ83" s="36">
        <f t="shared" ca="1" si="202"/>
        <v>58.984802515984107</v>
      </c>
      <c r="CK83" s="36">
        <f t="shared" ca="1" si="202"/>
        <v>59.152206599887236</v>
      </c>
      <c r="CL83" s="36">
        <f t="shared" ca="1" si="202"/>
        <v>59.542623822427927</v>
      </c>
      <c r="CM83" s="36">
        <f t="shared" ca="1" si="202"/>
        <v>59.746155050843903</v>
      </c>
      <c r="CN83" s="36">
        <f t="shared" ca="1" si="202"/>
        <v>59.667578545403003</v>
      </c>
      <c r="CO83" s="36">
        <f t="shared" ca="1" si="202"/>
        <v>59.541622826099356</v>
      </c>
      <c r="CP83" s="36">
        <f t="shared" ca="1" si="202"/>
        <v>58.398012217142558</v>
      </c>
      <c r="CQ83" s="36">
        <f t="shared" ca="1" si="202"/>
        <v>60.247064365847685</v>
      </c>
      <c r="CR83" s="36">
        <f t="shared" ca="1" si="202"/>
        <v>59.703710641763337</v>
      </c>
      <c r="CS83" s="36">
        <f t="shared" ca="1" si="202"/>
        <v>59.694922092383656</v>
      </c>
      <c r="CT83" s="36">
        <f t="shared" ca="1" si="202"/>
        <v>59.21591426845184</v>
      </c>
      <c r="CU83" s="36">
        <f t="shared" ca="1" si="202"/>
        <v>58.762605280414355</v>
      </c>
      <c r="CV83" s="36">
        <f t="shared" ca="1" si="202"/>
        <v>59.362630896671206</v>
      </c>
      <c r="CW83" s="36">
        <f t="shared" ca="1" si="202"/>
        <v>60.458062086869305</v>
      </c>
      <c r="CX83" s="36">
        <f t="shared" ca="1" si="202"/>
        <v>60.309044715484163</v>
      </c>
      <c r="CY83" s="36">
        <f t="shared" ca="1" si="202"/>
        <v>59.681502636529117</v>
      </c>
      <c r="CZ83" s="36">
        <f t="shared" ca="1" si="202"/>
        <v>60.37289204839297</v>
      </c>
      <c r="DA83" s="36">
        <f t="shared" ca="1" si="202"/>
        <v>61.401410294203572</v>
      </c>
      <c r="DB83" s="36">
        <f t="shared" ca="1" si="202"/>
        <v>61.524217283916606</v>
      </c>
      <c r="DC83" s="36">
        <f t="shared" ca="1" si="202"/>
        <v>60.113540008486254</v>
      </c>
      <c r="DD83" s="36">
        <f t="shared" ca="1" si="202"/>
        <v>61.101991057403936</v>
      </c>
      <c r="DE83" s="36">
        <f t="shared" ca="1" si="202"/>
        <v>61.216969183386475</v>
      </c>
      <c r="DF83" s="36">
        <f t="shared" ca="1" si="202"/>
        <v>61.162337167175984</v>
      </c>
      <c r="DG83" s="36">
        <f t="shared" ca="1" si="202"/>
        <v>61.49788038325508</v>
      </c>
      <c r="DH83" s="36">
        <f t="shared" ca="1" si="202"/>
        <v>62.161653665945067</v>
      </c>
      <c r="DI83" s="36">
        <f t="shared" ca="1" si="202"/>
        <v>61.420675205487861</v>
      </c>
      <c r="DJ83" s="36">
        <f t="shared" ca="1" si="202"/>
        <v>60.43712438386013</v>
      </c>
      <c r="DK83" s="36">
        <f t="shared" ca="1" si="202"/>
        <v>60.997433495091478</v>
      </c>
      <c r="DL83" s="36">
        <f t="shared" ca="1" si="202"/>
        <v>62.067467683497256</v>
      </c>
      <c r="DM83" s="36">
        <f t="shared" ca="1" si="202"/>
        <v>62.626784424478132</v>
      </c>
      <c r="DN83" s="36">
        <f t="shared" ca="1" si="202"/>
        <v>63.258932545719745</v>
      </c>
      <c r="DO83" s="36">
        <f t="shared" ca="1" si="202"/>
        <v>64.17408331857672</v>
      </c>
      <c r="DP83" s="36">
        <f t="shared" ca="1" si="202"/>
        <v>63.461300838451557</v>
      </c>
      <c r="DQ83" s="36">
        <f t="shared" ca="1" si="202"/>
        <v>63.862504873128394</v>
      </c>
      <c r="DR83" s="36">
        <f t="shared" ca="1" si="202"/>
        <v>64.449582286155064</v>
      </c>
      <c r="DS83" s="36">
        <f t="shared" ca="1" si="202"/>
        <v>64.337017346372392</v>
      </c>
      <c r="DT83" s="36">
        <f t="shared" ca="1" si="202"/>
        <v>63.554409845444169</v>
      </c>
      <c r="DU83" s="36">
        <f t="shared" ca="1" si="202"/>
        <v>63.281548787954407</v>
      </c>
      <c r="DV83" s="36">
        <f t="shared" ca="1" si="202"/>
        <v>63.741379400897017</v>
      </c>
      <c r="DW83" s="36">
        <f t="shared" ca="1" si="202"/>
        <v>63.832558785217969</v>
      </c>
      <c r="DX83" s="36">
        <f t="shared" ca="1" si="202"/>
        <v>64.494082900386417</v>
      </c>
      <c r="DY83" s="36">
        <f t="shared" ca="1" si="202"/>
        <v>63.519058498419902</v>
      </c>
      <c r="DZ83" s="36">
        <f t="shared" ca="1" si="202"/>
        <v>63.22904776989774</v>
      </c>
      <c r="EA83" s="36">
        <f t="shared" ca="1" si="202"/>
        <v>63.419012946564258</v>
      </c>
      <c r="EB83" s="36">
        <f t="shared" ca="1" si="202"/>
        <v>63.375992478157869</v>
      </c>
      <c r="EC83" s="36">
        <f t="shared" ca="1" si="198"/>
        <v>64.205208922110472</v>
      </c>
      <c r="ED83" s="36">
        <f t="shared" ca="1" si="193"/>
        <v>63.59828115822058</v>
      </c>
      <c r="EE83" s="36">
        <f t="shared" ca="1" si="193"/>
        <v>63.247594077799043</v>
      </c>
      <c r="EF83" s="36">
        <f t="shared" ca="1" si="173"/>
        <v>62.95749373746478</v>
      </c>
      <c r="EG83" s="36">
        <f t="shared" ca="1" si="173"/>
        <v>62.358897754992981</v>
      </c>
      <c r="EH83" s="36">
        <f t="shared" ca="1" si="173"/>
        <v>62.658090593525252</v>
      </c>
      <c r="EI83" s="36">
        <f t="shared" ca="1" si="173"/>
        <v>63.456036057822217</v>
      </c>
      <c r="EJ83" s="36">
        <f t="shared" ca="1" si="173"/>
        <v>64.045302586136302</v>
      </c>
      <c r="EK83" s="36">
        <f t="shared" ca="1" si="173"/>
        <v>63.761228427367158</v>
      </c>
      <c r="EL83" s="36">
        <f t="shared" ca="1" si="173"/>
        <v>65.178243632112029</v>
      </c>
      <c r="EM83" s="36">
        <f t="shared" ca="1" si="173"/>
        <v>66.849045533619261</v>
      </c>
      <c r="EN83" s="36">
        <f t="shared" ca="1" si="173"/>
        <v>66.188727792817261</v>
      </c>
      <c r="EO83" s="36">
        <f t="shared" ca="1" si="173"/>
        <v>66.865986163007676</v>
      </c>
      <c r="EP83" s="36">
        <f t="shared" ca="1" si="173"/>
        <v>67.214194823015333</v>
      </c>
      <c r="EQ83" s="36">
        <f t="shared" ca="1" si="173"/>
        <v>67.180136558712107</v>
      </c>
      <c r="ER83" s="36">
        <f t="shared" ca="1" si="173"/>
        <v>66.630396412664822</v>
      </c>
      <c r="ES83" s="36">
        <f t="shared" ca="1" si="173"/>
        <v>67.083038478273224</v>
      </c>
      <c r="ET83" s="36">
        <f t="shared" ca="1" si="173"/>
        <v>67.935745135081604</v>
      </c>
      <c r="EU83" s="36">
        <f t="shared" ca="1" si="173"/>
        <v>69.320297674740971</v>
      </c>
      <c r="EV83" s="36">
        <f t="shared" ca="1" si="173"/>
        <v>70.91357569373784</v>
      </c>
      <c r="EW83" s="36">
        <f t="shared" ref="EW83" ca="1" si="209">EV83*EXP(($B$3-$B$4^2/2)*1+$B$4*_xlfn.NORM.S.INV(RAND()))</f>
        <v>71.769471101037226</v>
      </c>
      <c r="EX83" s="36">
        <f t="shared" ca="1" si="207"/>
        <v>72.668214034351394</v>
      </c>
      <c r="EY83" s="36">
        <f t="shared" ca="1" si="207"/>
        <v>73.468394852053777</v>
      </c>
      <c r="EZ83" s="36">
        <f t="shared" ca="1" si="207"/>
        <v>73.949657924212843</v>
      </c>
      <c r="FA83" s="36">
        <f t="shared" ca="1" si="207"/>
        <v>71.896787021206379</v>
      </c>
      <c r="FB83" s="36">
        <f t="shared" ca="1" si="207"/>
        <v>73.125146222232502</v>
      </c>
      <c r="FC83" s="36">
        <f t="shared" ca="1" si="207"/>
        <v>73.764001073520745</v>
      </c>
      <c r="FD83" s="36">
        <f t="shared" ca="1" si="207"/>
        <v>75.209251174874595</v>
      </c>
      <c r="FE83" s="36">
        <f t="shared" ca="1" si="207"/>
        <v>73.246342750866972</v>
      </c>
      <c r="FF83" s="36">
        <f t="shared" ca="1" si="207"/>
        <v>72.97151593556508</v>
      </c>
      <c r="FG83" s="36">
        <f t="shared" ca="1" si="207"/>
        <v>72.701441705459303</v>
      </c>
      <c r="FH83" s="36">
        <f t="shared" ca="1" si="207"/>
        <v>71.67038638588329</v>
      </c>
      <c r="FI83" s="36">
        <f t="shared" ca="1" si="207"/>
        <v>73.341419947429415</v>
      </c>
      <c r="FJ83" s="36">
        <f t="shared" ca="1" si="207"/>
        <v>72.373147556755981</v>
      </c>
      <c r="FK83" s="36">
        <f t="shared" ca="1" si="207"/>
        <v>71.314596166067176</v>
      </c>
      <c r="FL83" s="36">
        <f t="shared" ca="1" si="207"/>
        <v>71.667993054517055</v>
      </c>
      <c r="FM83" s="36">
        <f t="shared" ca="1" si="207"/>
        <v>68.179615671433552</v>
      </c>
      <c r="FN83" s="36">
        <f t="shared" ca="1" si="207"/>
        <v>69.48665578261577</v>
      </c>
      <c r="FO83" s="36">
        <f t="shared" ca="1" si="207"/>
        <v>70.497093483186688</v>
      </c>
      <c r="FP83" s="36">
        <f t="shared" ca="1" si="207"/>
        <v>70.843771587906105</v>
      </c>
      <c r="FQ83" s="36">
        <f t="shared" ca="1" si="207"/>
        <v>72.145823030496601</v>
      </c>
      <c r="FR83" s="36">
        <f t="shared" ca="1" si="207"/>
        <v>72.65466932241911</v>
      </c>
      <c r="FS83" s="36">
        <f t="shared" ca="1" si="207"/>
        <v>72.742719698027983</v>
      </c>
      <c r="FT83" s="36">
        <f t="shared" ca="1" si="207"/>
        <v>72.694003548405703</v>
      </c>
      <c r="FU83" s="36">
        <f t="shared" ca="1" si="207"/>
        <v>73.03435356742159</v>
      </c>
      <c r="FV83" s="36">
        <f t="shared" ca="1" si="207"/>
        <v>73.66404016712778</v>
      </c>
      <c r="FW83" s="36">
        <f t="shared" ca="1" si="207"/>
        <v>73.387301101736071</v>
      </c>
      <c r="FX83" s="36">
        <f t="shared" ca="1" si="207"/>
        <v>73.129343210687111</v>
      </c>
      <c r="FY83" s="36">
        <f t="shared" ca="1" si="207"/>
        <v>72.819304412252194</v>
      </c>
      <c r="FZ83" s="36">
        <f t="shared" ca="1" si="207"/>
        <v>72.585808516375153</v>
      </c>
      <c r="GA83" s="36">
        <f t="shared" ca="1" si="207"/>
        <v>72.853028336429261</v>
      </c>
      <c r="GB83" s="36">
        <f t="shared" ca="1" si="207"/>
        <v>73.49692208247771</v>
      </c>
      <c r="GC83" s="36">
        <f t="shared" ca="1" si="207"/>
        <v>74.275131268365087</v>
      </c>
      <c r="GD83" s="36">
        <f t="shared" ca="1" si="207"/>
        <v>73.373746851596479</v>
      </c>
      <c r="GE83" s="36">
        <f t="shared" ca="1" si="207"/>
        <v>73.338377143202592</v>
      </c>
      <c r="GF83" s="36">
        <f t="shared" ca="1" si="207"/>
        <v>73.184775195771337</v>
      </c>
      <c r="GG83" s="36">
        <f t="shared" ca="1" si="207"/>
        <v>75.159443893797842</v>
      </c>
      <c r="GH83" s="36">
        <f t="shared" ca="1" si="207"/>
        <v>74.388966728142748</v>
      </c>
      <c r="GI83" s="36">
        <f t="shared" ca="1" si="207"/>
        <v>74.518045786025198</v>
      </c>
      <c r="GJ83" s="36">
        <f t="shared" ca="1" si="207"/>
        <v>76.105487263600708</v>
      </c>
      <c r="GK83" s="36">
        <f t="shared" ca="1" si="207"/>
        <v>76.50040371787199</v>
      </c>
      <c r="GL83" s="36">
        <f t="shared" ca="1" si="207"/>
        <v>76.628785336168875</v>
      </c>
      <c r="GM83" s="36">
        <f t="shared" ca="1" si="207"/>
        <v>76.589632775111681</v>
      </c>
      <c r="GN83" s="36">
        <f t="shared" ca="1" si="207"/>
        <v>75.86836598407686</v>
      </c>
      <c r="GO83" s="36">
        <f t="shared" ca="1" si="207"/>
        <v>77.01516168412698</v>
      </c>
      <c r="GP83" s="36">
        <f t="shared" ca="1" si="207"/>
        <v>75.885762865242754</v>
      </c>
      <c r="GQ83" s="36">
        <f t="shared" ca="1" si="207"/>
        <v>76.403097815297201</v>
      </c>
      <c r="GR83" s="36">
        <f t="shared" ca="1" si="207"/>
        <v>75.319926296929808</v>
      </c>
      <c r="GS83" s="36">
        <f t="shared" ca="1" si="207"/>
        <v>75.958791096330174</v>
      </c>
      <c r="GT83" s="36">
        <f t="shared" ca="1" si="207"/>
        <v>74.386394581864835</v>
      </c>
      <c r="GU83" s="36">
        <f t="shared" ca="1" si="207"/>
        <v>72.911745452189052</v>
      </c>
      <c r="GV83" s="36">
        <f t="shared" ca="1" si="207"/>
        <v>73.34282590522217</v>
      </c>
      <c r="GW83" s="36">
        <f t="shared" ca="1" si="207"/>
        <v>73.992971720489095</v>
      </c>
      <c r="GX83" s="36">
        <f t="shared" ca="1" si="207"/>
        <v>73.731844345977265</v>
      </c>
      <c r="GY83" s="36">
        <f t="shared" ca="1" si="207"/>
        <v>74.930604434951206</v>
      </c>
      <c r="GZ83" s="36">
        <f t="shared" ca="1" si="207"/>
        <v>75.421922660265778</v>
      </c>
      <c r="HA83" s="36">
        <f t="shared" ca="1" si="207"/>
        <v>76.379754500997976</v>
      </c>
      <c r="HB83" s="36">
        <f t="shared" ca="1" si="207"/>
        <v>76.142106238827481</v>
      </c>
      <c r="HC83" s="36">
        <f t="shared" ca="1" si="207"/>
        <v>76.463362616907304</v>
      </c>
      <c r="HD83" s="36">
        <f t="shared" ca="1" si="207"/>
        <v>76.743389035763173</v>
      </c>
      <c r="HE83" s="36">
        <f t="shared" ca="1" si="207"/>
        <v>77.974406898762894</v>
      </c>
      <c r="HF83" s="36">
        <f t="shared" ca="1" si="207"/>
        <v>76.03463371749416</v>
      </c>
      <c r="HG83" s="36">
        <f t="shared" ca="1" si="207"/>
        <v>77.230436856604854</v>
      </c>
      <c r="HH83" s="36">
        <f t="shared" ca="1" si="207"/>
        <v>78.257453778380267</v>
      </c>
      <c r="HI83" s="36">
        <f t="shared" ca="1" si="204"/>
        <v>76.521348244086781</v>
      </c>
      <c r="HJ83" s="36">
        <f t="shared" ca="1" si="204"/>
        <v>76.432878987350932</v>
      </c>
      <c r="HK83" s="36">
        <f t="shared" ca="1" si="204"/>
        <v>77.504254900450107</v>
      </c>
      <c r="HL83" s="36">
        <f t="shared" ref="HL83:HT83" ca="1" si="210">HK83*EXP(($B$3-$B$4^2/2)*1+$B$4*_xlfn.NORM.S.INV(RAND()))</f>
        <v>78.907482019944041</v>
      </c>
      <c r="HM83" s="36">
        <f t="shared" ca="1" si="210"/>
        <v>77.092894630156835</v>
      </c>
      <c r="HN83" s="36">
        <f t="shared" ca="1" si="210"/>
        <v>76.506541443124277</v>
      </c>
      <c r="HO83" s="36">
        <f t="shared" ca="1" si="210"/>
        <v>78.152720889924638</v>
      </c>
      <c r="HP83" s="36">
        <f t="shared" ca="1" si="210"/>
        <v>76.493857305312559</v>
      </c>
      <c r="HQ83" s="36">
        <f t="shared" ca="1" si="210"/>
        <v>76.781493200948077</v>
      </c>
      <c r="HR83" s="36">
        <f t="shared" ca="1" si="210"/>
        <v>75.78547513591964</v>
      </c>
      <c r="HS83" s="36">
        <f t="shared" ca="1" si="210"/>
        <v>76.161294217730031</v>
      </c>
      <c r="HT83" s="36">
        <f t="shared" ca="1" si="210"/>
        <v>75.806268228775068</v>
      </c>
      <c r="HU83" s="36">
        <f t="shared" ca="1" si="177"/>
        <v>75.267428943216458</v>
      </c>
      <c r="HV83" s="36">
        <f t="shared" ca="1" si="177"/>
        <v>75.743308792279294</v>
      </c>
      <c r="HW83" s="36">
        <f t="shared" ca="1" si="177"/>
        <v>76.03682410676879</v>
      </c>
      <c r="HX83" s="36">
        <f t="shared" ca="1" si="177"/>
        <v>76.399924567341756</v>
      </c>
      <c r="HY83" s="36">
        <f t="shared" ca="1" si="177"/>
        <v>78.087421393399325</v>
      </c>
      <c r="HZ83" s="36">
        <f t="shared" ca="1" si="196"/>
        <v>79.188716273455881</v>
      </c>
      <c r="IA83" s="36">
        <f t="shared" ca="1" si="196"/>
        <v>79.512283498440695</v>
      </c>
      <c r="IB83" s="36">
        <f t="shared" ca="1" si="196"/>
        <v>79.545211590147801</v>
      </c>
      <c r="IC83" s="36">
        <f t="shared" ca="1" si="196"/>
        <v>77.817169845668005</v>
      </c>
      <c r="ID83" s="36">
        <f t="shared" ca="1" si="196"/>
        <v>77.554540193371324</v>
      </c>
      <c r="IE83" s="36">
        <f t="shared" ca="1" si="196"/>
        <v>79.397316896016193</v>
      </c>
      <c r="IF83" s="36">
        <f t="shared" ca="1" si="196"/>
        <v>80.518773821962498</v>
      </c>
      <c r="IG83" s="36">
        <f t="shared" ca="1" si="196"/>
        <v>78.895690478795714</v>
      </c>
      <c r="IH83" s="36">
        <f t="shared" ca="1" si="196"/>
        <v>78.700437873895737</v>
      </c>
      <c r="II83" s="36">
        <f t="shared" ca="1" si="196"/>
        <v>79.109668544932191</v>
      </c>
      <c r="IJ83" s="36">
        <f t="shared" ca="1" si="196"/>
        <v>78.633756638322836</v>
      </c>
      <c r="IK83" s="36">
        <f t="shared" ca="1" si="196"/>
        <v>78.588576947054804</v>
      </c>
      <c r="IL83" s="36">
        <f t="shared" ca="1" si="196"/>
        <v>77.554800784645721</v>
      </c>
      <c r="IM83" s="36">
        <f t="shared" ca="1" si="196"/>
        <v>78.631024520829669</v>
      </c>
      <c r="IN83" s="36">
        <f t="shared" ca="1" si="196"/>
        <v>78.927413559699431</v>
      </c>
      <c r="IO83" s="36">
        <f t="shared" ca="1" si="196"/>
        <v>78.968044590633497</v>
      </c>
      <c r="IP83" s="36">
        <f t="shared" ca="1" si="196"/>
        <v>78.21152402566436</v>
      </c>
      <c r="IQ83" s="36">
        <f t="shared" ca="1" si="196"/>
        <v>78.929537321034047</v>
      </c>
      <c r="IR83" s="36">
        <f t="shared" ca="1" si="196"/>
        <v>79.967654692867441</v>
      </c>
      <c r="IS83" s="36">
        <f t="shared" ca="1" si="196"/>
        <v>79.209355804238015</v>
      </c>
      <c r="IT83" s="36">
        <f t="shared" ca="1" si="196"/>
        <v>79.228429667723802</v>
      </c>
      <c r="IU83" s="36">
        <f t="shared" ca="1" si="196"/>
        <v>77.878585902426963</v>
      </c>
    </row>
    <row r="84" spans="1:255" x14ac:dyDescent="0.2">
      <c r="A84" s="36"/>
      <c r="B84">
        <v>74</v>
      </c>
      <c r="C84" s="36">
        <v>50</v>
      </c>
      <c r="D84" s="36">
        <f t="shared" ca="1" si="188"/>
        <v>49.965674843310545</v>
      </c>
      <c r="E84" s="36">
        <f t="shared" ca="1" si="188"/>
        <v>49.566876845846011</v>
      </c>
      <c r="F84" s="36">
        <f t="shared" ca="1" si="206"/>
        <v>49.215799661636488</v>
      </c>
      <c r="G84" s="36">
        <f t="shared" ca="1" si="206"/>
        <v>49.039080890253921</v>
      </c>
      <c r="H84" s="36">
        <f t="shared" ca="1" si="206"/>
        <v>49.709560857106588</v>
      </c>
      <c r="I84" s="36">
        <f t="shared" ca="1" si="206"/>
        <v>49.898501775596806</v>
      </c>
      <c r="J84" s="36">
        <f t="shared" ca="1" si="206"/>
        <v>49.795022892978189</v>
      </c>
      <c r="K84" s="36">
        <f t="shared" ca="1" si="206"/>
        <v>49.551800919874964</v>
      </c>
      <c r="L84" s="36">
        <f t="shared" ca="1" si="206"/>
        <v>49.660620929803144</v>
      </c>
      <c r="M84" s="36">
        <f t="shared" ca="1" si="206"/>
        <v>49.455269190791853</v>
      </c>
      <c r="N84" s="36">
        <f t="shared" ca="1" si="206"/>
        <v>50.414001904095763</v>
      </c>
      <c r="O84" s="36">
        <f t="shared" ca="1" si="206"/>
        <v>50.928261306839417</v>
      </c>
      <c r="P84" s="36">
        <f t="shared" ca="1" si="206"/>
        <v>51.848757712277759</v>
      </c>
      <c r="Q84" s="36">
        <f t="shared" ca="1" si="206"/>
        <v>51.232254174420554</v>
      </c>
      <c r="R84" s="36">
        <f t="shared" ca="1" si="206"/>
        <v>51.069961731673502</v>
      </c>
      <c r="S84" s="36">
        <f t="shared" ca="1" si="206"/>
        <v>50.979310949361178</v>
      </c>
      <c r="T84" s="36">
        <f t="shared" ca="1" si="206"/>
        <v>50.857549862341308</v>
      </c>
      <c r="U84" s="36">
        <f t="shared" ca="1" si="206"/>
        <v>50.542172674656371</v>
      </c>
      <c r="V84" s="36">
        <f t="shared" ca="1" si="206"/>
        <v>50.649122744690168</v>
      </c>
      <c r="W84" s="36">
        <f t="shared" ca="1" si="206"/>
        <v>50.75310812787157</v>
      </c>
      <c r="X84" s="36">
        <f t="shared" ca="1" si="206"/>
        <v>50.087353056100731</v>
      </c>
      <c r="Y84" s="36">
        <f t="shared" ca="1" si="206"/>
        <v>50.638427787448975</v>
      </c>
      <c r="Z84" s="36">
        <f t="shared" ca="1" si="206"/>
        <v>52.691647012521145</v>
      </c>
      <c r="AA84" s="36">
        <f t="shared" ca="1" si="206"/>
        <v>52.972552248066741</v>
      </c>
      <c r="AB84" s="36">
        <f t="shared" ca="1" si="206"/>
        <v>53.114438110615211</v>
      </c>
      <c r="AC84" s="36">
        <f t="shared" ca="1" si="206"/>
        <v>53.246642726782312</v>
      </c>
      <c r="AD84" s="36">
        <f t="shared" ca="1" si="206"/>
        <v>53.001264392281733</v>
      </c>
      <c r="AE84" s="36">
        <f t="shared" ca="1" si="206"/>
        <v>53.521893919045326</v>
      </c>
      <c r="AF84" s="36">
        <f t="shared" ca="1" si="206"/>
        <v>52.247927349326929</v>
      </c>
      <c r="AG84" s="36">
        <f t="shared" ca="1" si="206"/>
        <v>52.825395246442895</v>
      </c>
      <c r="AH84" s="36">
        <f t="shared" ca="1" si="206"/>
        <v>53.473161669477037</v>
      </c>
      <c r="AI84" s="36">
        <f t="shared" ca="1" si="206"/>
        <v>53.393835117406148</v>
      </c>
      <c r="AJ84" s="36">
        <f t="shared" ca="1" si="206"/>
        <v>54.125139858841905</v>
      </c>
      <c r="AK84" s="36">
        <f t="shared" ca="1" si="206"/>
        <v>54.621627626021969</v>
      </c>
      <c r="AL84" s="36">
        <f t="shared" ca="1" si="206"/>
        <v>54.044341062270298</v>
      </c>
      <c r="AM84" s="36">
        <f t="shared" ca="1" si="206"/>
        <v>55.365025512027877</v>
      </c>
      <c r="AN84" s="36">
        <f t="shared" ca="1" si="206"/>
        <v>54.714988246363347</v>
      </c>
      <c r="AO84" s="36">
        <f t="shared" ca="1" si="206"/>
        <v>54.120753204108304</v>
      </c>
      <c r="AP84" s="36">
        <f t="shared" ca="1" si="206"/>
        <v>54.706127903672964</v>
      </c>
      <c r="AQ84" s="36">
        <f t="shared" ca="1" si="206"/>
        <v>55.246455244297707</v>
      </c>
      <c r="AR84" s="36">
        <f t="shared" ca="1" si="206"/>
        <v>55.154119512505872</v>
      </c>
      <c r="AS84" s="36">
        <f t="shared" ca="1" si="206"/>
        <v>54.550184592508259</v>
      </c>
      <c r="AT84" s="36">
        <f t="shared" ca="1" si="206"/>
        <v>54.158674641777765</v>
      </c>
      <c r="AU84" s="36">
        <f t="shared" ca="1" si="206"/>
        <v>54.039721265240445</v>
      </c>
      <c r="AV84" s="36">
        <f t="shared" ca="1" si="206"/>
        <v>53.486905103068146</v>
      </c>
      <c r="AW84" s="36">
        <f t="shared" ca="1" si="206"/>
        <v>52.230861661639203</v>
      </c>
      <c r="AX84" s="36">
        <f t="shared" ca="1" si="206"/>
        <v>51.375955440230541</v>
      </c>
      <c r="AY84" s="36">
        <f t="shared" ca="1" si="206"/>
        <v>50.729975247341507</v>
      </c>
      <c r="AZ84" s="36">
        <f t="shared" ca="1" si="206"/>
        <v>52.119538851392555</v>
      </c>
      <c r="BA84" s="36">
        <f t="shared" ca="1" si="206"/>
        <v>52.514117988212682</v>
      </c>
      <c r="BB84" s="36">
        <f t="shared" ca="1" si="206"/>
        <v>51.594533631189208</v>
      </c>
      <c r="BC84" s="36">
        <f t="shared" ca="1" si="206"/>
        <v>50.907059547447737</v>
      </c>
      <c r="BD84" s="36">
        <f t="shared" ca="1" si="206"/>
        <v>51.325510002587635</v>
      </c>
      <c r="BE84" s="36">
        <f t="shared" ca="1" si="206"/>
        <v>51.670617725897671</v>
      </c>
      <c r="BF84" s="36">
        <f t="shared" ca="1" si="206"/>
        <v>52.625073760846682</v>
      </c>
      <c r="BG84" s="36">
        <f t="shared" ca="1" si="206"/>
        <v>52.371657320551016</v>
      </c>
      <c r="BH84" s="36">
        <f t="shared" ca="1" si="206"/>
        <v>51.78026147025502</v>
      </c>
      <c r="BI84" s="36">
        <f t="shared" ca="1" si="206"/>
        <v>51.051178905338695</v>
      </c>
      <c r="BJ84" s="36">
        <f t="shared" ca="1" si="206"/>
        <v>50.988899519493387</v>
      </c>
      <c r="BK84" s="36">
        <f t="shared" ca="1" si="206"/>
        <v>50.479666731152129</v>
      </c>
      <c r="BL84" s="36">
        <f t="shared" ca="1" si="206"/>
        <v>49.598917359619556</v>
      </c>
      <c r="BM84" s="36">
        <f t="shared" ca="1" si="206"/>
        <v>49.677613346765128</v>
      </c>
      <c r="BN84" s="36">
        <f t="shared" ca="1" si="206"/>
        <v>49.176993863059543</v>
      </c>
      <c r="BO84" s="36">
        <f t="shared" ca="1" si="206"/>
        <v>49.033130314727387</v>
      </c>
      <c r="BP84" s="36">
        <f t="shared" ca="1" si="206"/>
        <v>49.218231920275237</v>
      </c>
      <c r="BQ84" s="36">
        <f t="shared" ca="1" si="206"/>
        <v>49.205586782822714</v>
      </c>
      <c r="BR84" s="36">
        <f t="shared" ca="1" si="202"/>
        <v>49.580426177247872</v>
      </c>
      <c r="BS84" s="36">
        <f t="shared" ca="1" si="202"/>
        <v>50.865143457627177</v>
      </c>
      <c r="BT84" s="36">
        <f t="shared" ca="1" si="202"/>
        <v>50.141660128426906</v>
      </c>
      <c r="BU84" s="36">
        <f t="shared" ca="1" si="202"/>
        <v>49.394671059264063</v>
      </c>
      <c r="BV84" s="36">
        <f t="shared" ca="1" si="202"/>
        <v>49.727142383067005</v>
      </c>
      <c r="BW84" s="36">
        <f t="shared" ca="1" si="202"/>
        <v>49.900429777217262</v>
      </c>
      <c r="BX84" s="36">
        <f t="shared" ca="1" si="202"/>
        <v>49.895452689283267</v>
      </c>
      <c r="BY84" s="36">
        <f t="shared" ca="1" si="202"/>
        <v>50.307012980974136</v>
      </c>
      <c r="BZ84" s="36">
        <f t="shared" ca="1" si="202"/>
        <v>50.419917904044397</v>
      </c>
      <c r="CA84" s="36">
        <f t="shared" ca="1" si="202"/>
        <v>50.123149679180749</v>
      </c>
      <c r="CB84" s="36">
        <f t="shared" ca="1" si="202"/>
        <v>50.618863925633654</v>
      </c>
      <c r="CC84" s="36">
        <f t="shared" ca="1" si="202"/>
        <v>50.588786501211402</v>
      </c>
      <c r="CD84" s="36">
        <f t="shared" ca="1" si="202"/>
        <v>51.246117469352384</v>
      </c>
      <c r="CE84" s="36">
        <f t="shared" ca="1" si="202"/>
        <v>51.848293740277491</v>
      </c>
      <c r="CF84" s="36">
        <f t="shared" ca="1" si="202"/>
        <v>51.601906804223944</v>
      </c>
      <c r="CG84" s="36">
        <f t="shared" ca="1" si="202"/>
        <v>52.175490217066546</v>
      </c>
      <c r="CH84" s="36">
        <f t="shared" ca="1" si="202"/>
        <v>51.427393284587801</v>
      </c>
      <c r="CI84" s="36">
        <f t="shared" ca="1" si="202"/>
        <v>52.11463151786311</v>
      </c>
      <c r="CJ84" s="36">
        <f t="shared" ca="1" si="202"/>
        <v>51.278033089633034</v>
      </c>
      <c r="CK84" s="36">
        <f t="shared" ca="1" si="202"/>
        <v>51.645629113246351</v>
      </c>
      <c r="CL84" s="36">
        <f t="shared" ca="1" si="202"/>
        <v>52.244948104494185</v>
      </c>
      <c r="CM84" s="36">
        <f t="shared" ca="1" si="202"/>
        <v>52.809866434653564</v>
      </c>
      <c r="CN84" s="36">
        <f t="shared" ca="1" si="202"/>
        <v>52.873304628528821</v>
      </c>
      <c r="CO84" s="36">
        <f t="shared" ca="1" si="202"/>
        <v>53.231097192434312</v>
      </c>
      <c r="CP84" s="36">
        <f t="shared" ca="1" si="202"/>
        <v>52.479245555711259</v>
      </c>
      <c r="CQ84" s="36">
        <f t="shared" ca="1" si="202"/>
        <v>52.734240775735046</v>
      </c>
      <c r="CR84" s="36">
        <f t="shared" ca="1" si="202"/>
        <v>54.500503207100387</v>
      </c>
      <c r="CS84" s="36">
        <f t="shared" ca="1" si="202"/>
        <v>53.318163343352424</v>
      </c>
      <c r="CT84" s="36">
        <f t="shared" ca="1" si="202"/>
        <v>52.600903912365737</v>
      </c>
      <c r="CU84" s="36">
        <f t="shared" ca="1" si="202"/>
        <v>52.461262529714887</v>
      </c>
      <c r="CV84" s="36">
        <f t="shared" ca="1" si="202"/>
        <v>51.558382709871722</v>
      </c>
      <c r="CW84" s="36">
        <f t="shared" ca="1" si="202"/>
        <v>52.736905813271157</v>
      </c>
      <c r="CX84" s="36">
        <f t="shared" ca="1" si="202"/>
        <v>52.504104388858316</v>
      </c>
      <c r="CY84" s="36">
        <f t="shared" ca="1" si="202"/>
        <v>52.49219160386626</v>
      </c>
      <c r="CZ84" s="36">
        <f t="shared" ca="1" si="202"/>
        <v>53.636021413286024</v>
      </c>
      <c r="DA84" s="36">
        <f t="shared" ca="1" si="202"/>
        <v>53.730994842688851</v>
      </c>
      <c r="DB84" s="36">
        <f t="shared" ca="1" si="202"/>
        <v>54.10550321670442</v>
      </c>
      <c r="DC84" s="36">
        <f t="shared" ca="1" si="202"/>
        <v>54.027000683007039</v>
      </c>
      <c r="DD84" s="36">
        <f t="shared" ca="1" si="202"/>
        <v>52.92694637256389</v>
      </c>
      <c r="DE84" s="36">
        <f t="shared" ca="1" si="202"/>
        <v>53.60589993363687</v>
      </c>
      <c r="DF84" s="36">
        <f t="shared" ca="1" si="202"/>
        <v>53.024717875954614</v>
      </c>
      <c r="DG84" s="36">
        <f t="shared" ca="1" si="202"/>
        <v>52.377656899780042</v>
      </c>
      <c r="DH84" s="36">
        <f t="shared" ca="1" si="202"/>
        <v>51.364404077218751</v>
      </c>
      <c r="DI84" s="36">
        <f t="shared" ca="1" si="202"/>
        <v>50.519672941079698</v>
      </c>
      <c r="DJ84" s="36">
        <f t="shared" ca="1" si="202"/>
        <v>51.489478776337052</v>
      </c>
      <c r="DK84" s="36">
        <f t="shared" ca="1" si="202"/>
        <v>51.017029318183418</v>
      </c>
      <c r="DL84" s="36">
        <f t="shared" ca="1" si="202"/>
        <v>50.726260115018015</v>
      </c>
      <c r="DM84" s="36">
        <f t="shared" ca="1" si="202"/>
        <v>51.173734251104236</v>
      </c>
      <c r="DN84" s="36">
        <f t="shared" ca="1" si="202"/>
        <v>50.810748617357795</v>
      </c>
      <c r="DO84" s="36">
        <f t="shared" ca="1" si="202"/>
        <v>50.692436350823257</v>
      </c>
      <c r="DP84" s="36">
        <f t="shared" ca="1" si="202"/>
        <v>49.565318309779059</v>
      </c>
      <c r="DQ84" s="36">
        <f t="shared" ca="1" si="202"/>
        <v>50.293821258764424</v>
      </c>
      <c r="DR84" s="36">
        <f t="shared" ca="1" si="202"/>
        <v>50.631086136965926</v>
      </c>
      <c r="DS84" s="36">
        <f t="shared" ca="1" si="202"/>
        <v>49.420326299080955</v>
      </c>
      <c r="DT84" s="36">
        <f t="shared" ca="1" si="202"/>
        <v>50.053359981635246</v>
      </c>
      <c r="DU84" s="36">
        <f t="shared" ca="1" si="202"/>
        <v>50.049103622333021</v>
      </c>
      <c r="DV84" s="36">
        <f t="shared" ca="1" si="202"/>
        <v>49.575702082046966</v>
      </c>
      <c r="DW84" s="36">
        <f t="shared" ca="1" si="202"/>
        <v>49.220131508653758</v>
      </c>
      <c r="DX84" s="36">
        <f t="shared" ca="1" si="202"/>
        <v>50.422800230657586</v>
      </c>
      <c r="DY84" s="36">
        <f t="shared" ca="1" si="202"/>
        <v>50.438138544609906</v>
      </c>
      <c r="DZ84" s="36">
        <f t="shared" ca="1" si="202"/>
        <v>50.713192058168701</v>
      </c>
      <c r="EA84" s="36">
        <f t="shared" ca="1" si="202"/>
        <v>50.565060101562537</v>
      </c>
      <c r="EB84" s="36">
        <f t="shared" ca="1" si="202"/>
        <v>50.496907253014896</v>
      </c>
      <c r="EC84" s="36">
        <f t="shared" ca="1" si="198"/>
        <v>50.604023197914522</v>
      </c>
      <c r="ED84" s="36">
        <f t="shared" ca="1" si="193"/>
        <v>50.586731408314876</v>
      </c>
      <c r="EE84" s="36">
        <f t="shared" ca="1" si="193"/>
        <v>50.931325643906973</v>
      </c>
      <c r="EF84" s="36">
        <f t="shared" ca="1" si="173"/>
        <v>52.344476651509979</v>
      </c>
      <c r="EG84" s="36">
        <f t="shared" ca="1" si="173"/>
        <v>51.584465071973504</v>
      </c>
      <c r="EH84" s="36">
        <f t="shared" ca="1" si="173"/>
        <v>51.181989854522456</v>
      </c>
      <c r="EI84" s="36">
        <f t="shared" ca="1" si="173"/>
        <v>51.949569106363192</v>
      </c>
      <c r="EJ84" s="36">
        <f t="shared" ca="1" si="173"/>
        <v>52.314433695989521</v>
      </c>
      <c r="EK84" s="36">
        <f t="shared" ca="1" si="173"/>
        <v>52.62344821510397</v>
      </c>
      <c r="EL84" s="36">
        <f t="shared" ca="1" si="173"/>
        <v>53.635295762536899</v>
      </c>
      <c r="EM84" s="36">
        <f t="shared" ca="1" si="173"/>
        <v>54.525863007824022</v>
      </c>
      <c r="EN84" s="36">
        <f t="shared" ca="1" si="173"/>
        <v>55.243016890780154</v>
      </c>
      <c r="EO84" s="36">
        <f t="shared" ca="1" si="173"/>
        <v>56.579231978406206</v>
      </c>
      <c r="EP84" s="36">
        <f t="shared" ca="1" si="173"/>
        <v>56.596871120476401</v>
      </c>
      <c r="EQ84" s="36">
        <f t="shared" ca="1" si="173"/>
        <v>56.560217965295877</v>
      </c>
      <c r="ER84" s="36">
        <f t="shared" ca="1" si="173"/>
        <v>56.719032489887752</v>
      </c>
      <c r="ES84" s="36">
        <f t="shared" ca="1" si="173"/>
        <v>57.081253508228599</v>
      </c>
      <c r="ET84" s="36">
        <f t="shared" ca="1" si="173"/>
        <v>57.600291762934098</v>
      </c>
      <c r="EU84" s="36">
        <f t="shared" ca="1" si="173"/>
        <v>58.958451506756305</v>
      </c>
      <c r="EV84" s="36">
        <f t="shared" ref="EV84:EW84" ca="1" si="211">EU84*EXP(($B$3-$B$4^2/2)*1+$B$4*_xlfn.NORM.S.INV(RAND()))</f>
        <v>58.423240213216424</v>
      </c>
      <c r="EW84" s="36">
        <f t="shared" ca="1" si="211"/>
        <v>57.54252635493576</v>
      </c>
      <c r="EX84" s="36">
        <f t="shared" ca="1" si="207"/>
        <v>57.618909793833467</v>
      </c>
      <c r="EY84" s="36">
        <f t="shared" ca="1" si="207"/>
        <v>57.939369319038114</v>
      </c>
      <c r="EZ84" s="36">
        <f t="shared" ca="1" si="207"/>
        <v>56.722983773700413</v>
      </c>
      <c r="FA84" s="36">
        <f t="shared" ca="1" si="207"/>
        <v>56.199743816449583</v>
      </c>
      <c r="FB84" s="36">
        <f t="shared" ca="1" si="207"/>
        <v>57.042838068691466</v>
      </c>
      <c r="FC84" s="36">
        <f t="shared" ca="1" si="207"/>
        <v>57.805364541283197</v>
      </c>
      <c r="FD84" s="36">
        <f t="shared" ca="1" si="207"/>
        <v>57.820979179798698</v>
      </c>
      <c r="FE84" s="36">
        <f t="shared" ca="1" si="207"/>
        <v>58.880216091819527</v>
      </c>
      <c r="FF84" s="36">
        <f t="shared" ca="1" si="207"/>
        <v>59.252654999786053</v>
      </c>
      <c r="FG84" s="36">
        <f t="shared" ca="1" si="207"/>
        <v>59.701116662589499</v>
      </c>
      <c r="FH84" s="36">
        <f t="shared" ca="1" si="207"/>
        <v>59.498924409812176</v>
      </c>
      <c r="FI84" s="36">
        <f t="shared" ca="1" si="207"/>
        <v>59.418647466772676</v>
      </c>
      <c r="FJ84" s="36">
        <f t="shared" ca="1" si="207"/>
        <v>60.202007210450972</v>
      </c>
      <c r="FK84" s="36">
        <f t="shared" ca="1" si="207"/>
        <v>59.934023419881548</v>
      </c>
      <c r="FL84" s="36">
        <f t="shared" ca="1" si="207"/>
        <v>60.573859668917173</v>
      </c>
      <c r="FM84" s="36">
        <f t="shared" ca="1" si="207"/>
        <v>59.877400687454688</v>
      </c>
      <c r="FN84" s="36">
        <f t="shared" ca="1" si="207"/>
        <v>62.323624289598094</v>
      </c>
      <c r="FO84" s="36">
        <f t="shared" ca="1" si="207"/>
        <v>62.460098392442532</v>
      </c>
      <c r="FP84" s="36">
        <f t="shared" ca="1" si="207"/>
        <v>62.125068093242263</v>
      </c>
      <c r="FQ84" s="36">
        <f t="shared" ca="1" si="207"/>
        <v>62.068595396916166</v>
      </c>
      <c r="FR84" s="36">
        <f t="shared" ca="1" si="207"/>
        <v>60.924331159137502</v>
      </c>
      <c r="FS84" s="36">
        <f t="shared" ca="1" si="207"/>
        <v>61.142465133138472</v>
      </c>
      <c r="FT84" s="36">
        <f t="shared" ca="1" si="207"/>
        <v>60.957270020648444</v>
      </c>
      <c r="FU84" s="36">
        <f t="shared" ca="1" si="207"/>
        <v>62.179780046228807</v>
      </c>
      <c r="FV84" s="36">
        <f t="shared" ca="1" si="207"/>
        <v>63.051518599904192</v>
      </c>
      <c r="FW84" s="36">
        <f t="shared" ca="1" si="207"/>
        <v>62.856311513228761</v>
      </c>
      <c r="FX84" s="36">
        <f t="shared" ca="1" si="207"/>
        <v>63.582084847500511</v>
      </c>
      <c r="FY84" s="36">
        <f t="shared" ca="1" si="207"/>
        <v>64.54692257834661</v>
      </c>
      <c r="FZ84" s="36">
        <f t="shared" ca="1" si="207"/>
        <v>64.900889928765125</v>
      </c>
      <c r="GA84" s="36">
        <f t="shared" ca="1" si="207"/>
        <v>64.659558258841713</v>
      </c>
      <c r="GB84" s="36">
        <f t="shared" ca="1" si="207"/>
        <v>64.555154074974325</v>
      </c>
      <c r="GC84" s="36">
        <f t="shared" ca="1" si="207"/>
        <v>63.547326462719617</v>
      </c>
      <c r="GD84" s="36">
        <f t="shared" ca="1" si="207"/>
        <v>63.704123483337</v>
      </c>
      <c r="GE84" s="36">
        <f t="shared" ca="1" si="207"/>
        <v>63.946728466737248</v>
      </c>
      <c r="GF84" s="36">
        <f t="shared" ca="1" si="207"/>
        <v>63.69239624036932</v>
      </c>
      <c r="GG84" s="36">
        <f t="shared" ca="1" si="207"/>
        <v>63.62234091905988</v>
      </c>
      <c r="GH84" s="36">
        <f t="shared" ca="1" si="207"/>
        <v>62.932822592622202</v>
      </c>
      <c r="GI84" s="36">
        <f t="shared" ca="1" si="207"/>
        <v>62.8925112357663</v>
      </c>
      <c r="GJ84" s="36">
        <f t="shared" ca="1" si="207"/>
        <v>63.520401928765999</v>
      </c>
      <c r="GK84" s="36">
        <f t="shared" ca="1" si="207"/>
        <v>62.992246552014969</v>
      </c>
      <c r="GL84" s="36">
        <f t="shared" ca="1" si="207"/>
        <v>63.568015615862052</v>
      </c>
      <c r="GM84" s="36">
        <f t="shared" ca="1" si="207"/>
        <v>63.733462084371126</v>
      </c>
      <c r="GN84" s="36">
        <f t="shared" ca="1" si="207"/>
        <v>65.731513104230146</v>
      </c>
      <c r="GO84" s="36">
        <f t="shared" ca="1" si="207"/>
        <v>66.807538736661613</v>
      </c>
      <c r="GP84" s="36">
        <f t="shared" ca="1" si="207"/>
        <v>66.73314187499335</v>
      </c>
      <c r="GQ84" s="36">
        <f t="shared" ca="1" si="207"/>
        <v>64.647800668482745</v>
      </c>
      <c r="GR84" s="36">
        <f t="shared" ca="1" si="207"/>
        <v>64.059694481503826</v>
      </c>
      <c r="GS84" s="36">
        <f t="shared" ca="1" si="207"/>
        <v>63.582701887545916</v>
      </c>
      <c r="GT84" s="36">
        <f t="shared" ca="1" si="207"/>
        <v>62.804342449327045</v>
      </c>
      <c r="GU84" s="36">
        <f t="shared" ca="1" si="207"/>
        <v>62.718758949766809</v>
      </c>
      <c r="GV84" s="36">
        <f t="shared" ca="1" si="207"/>
        <v>62.679436852706608</v>
      </c>
      <c r="GW84" s="36">
        <f t="shared" ca="1" si="207"/>
        <v>63.264926412323717</v>
      </c>
      <c r="GX84" s="36">
        <f t="shared" ca="1" si="207"/>
        <v>63.76948066690327</v>
      </c>
      <c r="GY84" s="36">
        <f t="shared" ca="1" si="207"/>
        <v>64.744963736049812</v>
      </c>
      <c r="GZ84" s="36">
        <f t="shared" ca="1" si="207"/>
        <v>64.446629115222549</v>
      </c>
      <c r="HA84" s="36">
        <f t="shared" ca="1" si="207"/>
        <v>63.8690865956967</v>
      </c>
      <c r="HB84" s="36">
        <f t="shared" ca="1" si="207"/>
        <v>63.783363976725539</v>
      </c>
      <c r="HC84" s="36">
        <f t="shared" ca="1" si="207"/>
        <v>63.007966978710023</v>
      </c>
      <c r="HD84" s="36">
        <f t="shared" ca="1" si="207"/>
        <v>63.316384054262251</v>
      </c>
      <c r="HE84" s="36">
        <f t="shared" ca="1" si="207"/>
        <v>61.713035165237649</v>
      </c>
      <c r="HF84" s="36">
        <f t="shared" ca="1" si="207"/>
        <v>61.040355914492238</v>
      </c>
      <c r="HG84" s="36">
        <f t="shared" ca="1" si="207"/>
        <v>61.189091370875488</v>
      </c>
      <c r="HH84" s="36">
        <f t="shared" ca="1" si="207"/>
        <v>61.541160757977472</v>
      </c>
      <c r="HI84" s="36">
        <f t="shared" ca="1" si="204"/>
        <v>61.211768804996979</v>
      </c>
      <c r="HJ84" s="36">
        <f t="shared" ca="1" si="204"/>
        <v>61.371347286458118</v>
      </c>
      <c r="HK84" s="36">
        <f t="shared" ca="1" si="204"/>
        <v>60.798098667337051</v>
      </c>
      <c r="HL84" s="36">
        <f t="shared" ref="HL84:HT84" ca="1" si="212">HK84*EXP(($B$3-$B$4^2/2)*1+$B$4*_xlfn.NORM.S.INV(RAND()))</f>
        <v>59.967587063335735</v>
      </c>
      <c r="HM84" s="36">
        <f t="shared" ca="1" si="212"/>
        <v>59.505202868110089</v>
      </c>
      <c r="HN84" s="36">
        <f t="shared" ca="1" si="212"/>
        <v>60.814336792381063</v>
      </c>
      <c r="HO84" s="36">
        <f t="shared" ca="1" si="212"/>
        <v>60.217619750949993</v>
      </c>
      <c r="HP84" s="36">
        <f t="shared" ca="1" si="212"/>
        <v>59.180823310243547</v>
      </c>
      <c r="HQ84" s="36">
        <f t="shared" ca="1" si="212"/>
        <v>58.966532928779841</v>
      </c>
      <c r="HR84" s="36">
        <f t="shared" ca="1" si="212"/>
        <v>58.243868504129509</v>
      </c>
      <c r="HS84" s="36">
        <f t="shared" ca="1" si="212"/>
        <v>59.011157927884746</v>
      </c>
      <c r="HT84" s="36">
        <f t="shared" ca="1" si="212"/>
        <v>58.908078590639775</v>
      </c>
      <c r="HU84" s="36">
        <f t="shared" ca="1" si="177"/>
        <v>60.155291475171772</v>
      </c>
      <c r="HV84" s="36">
        <f t="shared" ca="1" si="177"/>
        <v>59.195570502397437</v>
      </c>
      <c r="HW84" s="36">
        <f t="shared" ca="1" si="177"/>
        <v>59.374901877827931</v>
      </c>
      <c r="HX84" s="36">
        <f t="shared" ca="1" si="177"/>
        <v>59.261005103300619</v>
      </c>
      <c r="HY84" s="36">
        <f t="shared" ca="1" si="177"/>
        <v>60.194106321020854</v>
      </c>
      <c r="HZ84" s="36">
        <f t="shared" ca="1" si="196"/>
        <v>60.072472164366538</v>
      </c>
      <c r="IA84" s="36">
        <f t="shared" ca="1" si="196"/>
        <v>61.263356426540732</v>
      </c>
      <c r="IB84" s="36">
        <f t="shared" ca="1" si="196"/>
        <v>61.826081293079334</v>
      </c>
      <c r="IC84" s="36">
        <f t="shared" ca="1" si="196"/>
        <v>61.449580014900178</v>
      </c>
      <c r="ID84" s="36">
        <f t="shared" ca="1" si="196"/>
        <v>60.839503654221161</v>
      </c>
      <c r="IE84" s="36">
        <f t="shared" ca="1" si="196"/>
        <v>60.010288351457248</v>
      </c>
      <c r="IF84" s="36">
        <f t="shared" ca="1" si="196"/>
        <v>58.2637941523789</v>
      </c>
      <c r="IG84" s="36">
        <f t="shared" ca="1" si="196"/>
        <v>57.557888137952446</v>
      </c>
      <c r="IH84" s="36">
        <f t="shared" ca="1" si="196"/>
        <v>57.427644166502681</v>
      </c>
      <c r="II84" s="36">
        <f t="shared" ca="1" si="196"/>
        <v>56.639851561722203</v>
      </c>
      <c r="IJ84" s="36">
        <f t="shared" ca="1" si="196"/>
        <v>56.874548671988258</v>
      </c>
      <c r="IK84" s="36">
        <f t="shared" ca="1" si="196"/>
        <v>56.739491024817461</v>
      </c>
      <c r="IL84" s="36">
        <f t="shared" ca="1" si="196"/>
        <v>56.27633890635493</v>
      </c>
      <c r="IM84" s="36">
        <f t="shared" ca="1" si="196"/>
        <v>56.573536913191639</v>
      </c>
      <c r="IN84" s="36">
        <f t="shared" ca="1" si="196"/>
        <v>57.009386420533779</v>
      </c>
      <c r="IO84" s="36">
        <f t="shared" ca="1" si="196"/>
        <v>56.444238777587238</v>
      </c>
      <c r="IP84" s="36">
        <f t="shared" ca="1" si="196"/>
        <v>56.365808456657732</v>
      </c>
      <c r="IQ84" s="36">
        <f t="shared" ca="1" si="196"/>
        <v>57.145087144022654</v>
      </c>
      <c r="IR84" s="36">
        <f t="shared" ca="1" si="196"/>
        <v>57.370748475024151</v>
      </c>
      <c r="IS84" s="36">
        <f t="shared" ca="1" si="196"/>
        <v>56.842601814176582</v>
      </c>
      <c r="IT84" s="36">
        <f t="shared" ca="1" si="196"/>
        <v>56.635596635185337</v>
      </c>
      <c r="IU84" s="36">
        <f t="shared" ca="1" si="196"/>
        <v>57.014829158548963</v>
      </c>
    </row>
    <row r="85" spans="1:255" x14ac:dyDescent="0.2">
      <c r="A85" s="36"/>
      <c r="B85">
        <v>75</v>
      </c>
      <c r="C85" s="36">
        <v>50</v>
      </c>
      <c r="D85" s="36">
        <f t="shared" ca="1" si="188"/>
        <v>50.291108990298596</v>
      </c>
      <c r="E85" s="36">
        <f t="shared" ca="1" si="188"/>
        <v>50.448591705860082</v>
      </c>
      <c r="F85" s="36">
        <f t="shared" ca="1" si="206"/>
        <v>50.191126183752445</v>
      </c>
      <c r="G85" s="36">
        <f t="shared" ca="1" si="206"/>
        <v>50.667646584378318</v>
      </c>
      <c r="H85" s="36">
        <f t="shared" ca="1" si="206"/>
        <v>49.763174994598302</v>
      </c>
      <c r="I85" s="36">
        <f t="shared" ca="1" si="206"/>
        <v>48.577141204484249</v>
      </c>
      <c r="J85" s="36">
        <f t="shared" ca="1" si="206"/>
        <v>49.10539979391708</v>
      </c>
      <c r="K85" s="36">
        <f t="shared" ca="1" si="206"/>
        <v>49.164146061406591</v>
      </c>
      <c r="L85" s="36">
        <f t="shared" ca="1" si="206"/>
        <v>48.525817447600446</v>
      </c>
      <c r="M85" s="36">
        <f t="shared" ca="1" si="206"/>
        <v>48.033630596013872</v>
      </c>
      <c r="N85" s="36">
        <f t="shared" ca="1" si="206"/>
        <v>48.06517549125418</v>
      </c>
      <c r="O85" s="36">
        <f t="shared" ca="1" si="206"/>
        <v>47.661069881751629</v>
      </c>
      <c r="P85" s="36">
        <f t="shared" ca="1" si="206"/>
        <v>47.741924316993668</v>
      </c>
      <c r="Q85" s="36">
        <f t="shared" ca="1" si="206"/>
        <v>47.585279297291514</v>
      </c>
      <c r="R85" s="36">
        <f t="shared" ca="1" si="206"/>
        <v>47.613480479905419</v>
      </c>
      <c r="S85" s="36">
        <f t="shared" ca="1" si="206"/>
        <v>47.410711220824979</v>
      </c>
      <c r="T85" s="36">
        <f t="shared" ca="1" si="206"/>
        <v>47.716145248523432</v>
      </c>
      <c r="U85" s="36">
        <f t="shared" ca="1" si="206"/>
        <v>47.040803380350233</v>
      </c>
      <c r="V85" s="36">
        <f t="shared" ca="1" si="206"/>
        <v>46.915519602607255</v>
      </c>
      <c r="W85" s="36">
        <f t="shared" ca="1" si="206"/>
        <v>46.048427080498911</v>
      </c>
      <c r="X85" s="36">
        <f t="shared" ca="1" si="206"/>
        <v>46.044215000341318</v>
      </c>
      <c r="Y85" s="36">
        <f t="shared" ca="1" si="206"/>
        <v>45.915208533022962</v>
      </c>
      <c r="Z85" s="36">
        <f t="shared" ca="1" si="206"/>
        <v>45.691636935976526</v>
      </c>
      <c r="AA85" s="36">
        <f t="shared" ca="1" si="206"/>
        <v>45.951475967368303</v>
      </c>
      <c r="AB85" s="36">
        <f t="shared" ca="1" si="206"/>
        <v>46.295096874647484</v>
      </c>
      <c r="AC85" s="36">
        <f t="shared" ca="1" si="206"/>
        <v>46.059241066274211</v>
      </c>
      <c r="AD85" s="36">
        <f t="shared" ca="1" si="206"/>
        <v>45.617456196046291</v>
      </c>
      <c r="AE85" s="36">
        <f t="shared" ca="1" si="206"/>
        <v>45.996279620056178</v>
      </c>
      <c r="AF85" s="36">
        <f t="shared" ca="1" si="206"/>
        <v>45.918429476111022</v>
      </c>
      <c r="AG85" s="36">
        <f t="shared" ca="1" si="206"/>
        <v>45.941380525625249</v>
      </c>
      <c r="AH85" s="36">
        <f t="shared" ca="1" si="206"/>
        <v>45.975083824420786</v>
      </c>
      <c r="AI85" s="36">
        <f t="shared" ca="1" si="206"/>
        <v>45.597148498279743</v>
      </c>
      <c r="AJ85" s="36">
        <f t="shared" ca="1" si="206"/>
        <v>46.562460021130235</v>
      </c>
      <c r="AK85" s="36">
        <f t="shared" ca="1" si="206"/>
        <v>47.165679360854909</v>
      </c>
      <c r="AL85" s="36">
        <f t="shared" ca="1" si="206"/>
        <v>46.956115327185472</v>
      </c>
      <c r="AM85" s="36">
        <f t="shared" ca="1" si="206"/>
        <v>46.863014154016525</v>
      </c>
      <c r="AN85" s="36">
        <f t="shared" ca="1" si="206"/>
        <v>47.316936919201403</v>
      </c>
      <c r="AO85" s="36">
        <f t="shared" ca="1" si="206"/>
        <v>46.642525067924304</v>
      </c>
      <c r="AP85" s="36">
        <f t="shared" ca="1" si="206"/>
        <v>47.035133555742483</v>
      </c>
      <c r="AQ85" s="36">
        <f t="shared" ca="1" si="206"/>
        <v>47.120232961669444</v>
      </c>
      <c r="AR85" s="36">
        <f t="shared" ca="1" si="206"/>
        <v>46.751107789472869</v>
      </c>
      <c r="AS85" s="36">
        <f t="shared" ca="1" si="206"/>
        <v>47.115345701821852</v>
      </c>
      <c r="AT85" s="36">
        <f t="shared" ca="1" si="206"/>
        <v>48.060326328938345</v>
      </c>
      <c r="AU85" s="36">
        <f t="shared" ca="1" si="206"/>
        <v>47.789196693080456</v>
      </c>
      <c r="AV85" s="36">
        <f t="shared" ca="1" si="206"/>
        <v>47.499466050785237</v>
      </c>
      <c r="AW85" s="36">
        <f t="shared" ca="1" si="206"/>
        <v>47.626913811650567</v>
      </c>
      <c r="AX85" s="36">
        <f t="shared" ca="1" si="206"/>
        <v>48.429781263405509</v>
      </c>
      <c r="AY85" s="36">
        <f t="shared" ca="1" si="206"/>
        <v>48.659230926177841</v>
      </c>
      <c r="AZ85" s="36">
        <f t="shared" ca="1" si="206"/>
        <v>48.801590865310381</v>
      </c>
      <c r="BA85" s="36">
        <f t="shared" ca="1" si="206"/>
        <v>49.354885977400222</v>
      </c>
      <c r="BB85" s="36">
        <f t="shared" ca="1" si="206"/>
        <v>50.287894812490102</v>
      </c>
      <c r="BC85" s="36">
        <f t="shared" ca="1" si="206"/>
        <v>49.862849636997268</v>
      </c>
      <c r="BD85" s="36">
        <f t="shared" ca="1" si="206"/>
        <v>49.707622125628944</v>
      </c>
      <c r="BE85" s="36">
        <f t="shared" ca="1" si="206"/>
        <v>48.47851834512074</v>
      </c>
      <c r="BF85" s="36">
        <f t="shared" ca="1" si="206"/>
        <v>49.022285087221618</v>
      </c>
      <c r="BG85" s="36">
        <f t="shared" ca="1" si="206"/>
        <v>49.869651368658516</v>
      </c>
      <c r="BH85" s="36">
        <f t="shared" ca="1" si="206"/>
        <v>48.690645066024814</v>
      </c>
      <c r="BI85" s="36">
        <f t="shared" ca="1" si="206"/>
        <v>48.807574602114443</v>
      </c>
      <c r="BJ85" s="36">
        <f t="shared" ca="1" si="206"/>
        <v>48.929165083019456</v>
      </c>
      <c r="BK85" s="36">
        <f t="shared" ca="1" si="206"/>
        <v>48.589842242778687</v>
      </c>
      <c r="BL85" s="36">
        <f t="shared" ca="1" si="206"/>
        <v>48.787513750125619</v>
      </c>
      <c r="BM85" s="36">
        <f t="shared" ca="1" si="206"/>
        <v>48.707470300032178</v>
      </c>
      <c r="BN85" s="36">
        <f t="shared" ca="1" si="206"/>
        <v>47.658154930237686</v>
      </c>
      <c r="BO85" s="36">
        <f t="shared" ca="1" si="206"/>
        <v>48.076753755250067</v>
      </c>
      <c r="BP85" s="36">
        <f t="shared" ca="1" si="206"/>
        <v>47.855996092104448</v>
      </c>
      <c r="BQ85" s="36">
        <f t="shared" ref="BQ85:EB88" ca="1" si="213">BP85*EXP(($B$3-$B$4^2/2)*1+$B$4*_xlfn.NORM.S.INV(RAND()))</f>
        <v>48.372654972103732</v>
      </c>
      <c r="BR85" s="36">
        <f t="shared" ca="1" si="213"/>
        <v>47.162419827885479</v>
      </c>
      <c r="BS85" s="36">
        <f t="shared" ca="1" si="213"/>
        <v>48.92427181311708</v>
      </c>
      <c r="BT85" s="36">
        <f t="shared" ca="1" si="213"/>
        <v>48.641627987799438</v>
      </c>
      <c r="BU85" s="36">
        <f t="shared" ca="1" si="213"/>
        <v>48.89233111732095</v>
      </c>
      <c r="BV85" s="36">
        <f t="shared" ca="1" si="213"/>
        <v>50.03138321216975</v>
      </c>
      <c r="BW85" s="36">
        <f t="shared" ca="1" si="213"/>
        <v>51.670400828895218</v>
      </c>
      <c r="BX85" s="36">
        <f t="shared" ca="1" si="213"/>
        <v>50.447627509802345</v>
      </c>
      <c r="BY85" s="36">
        <f t="shared" ca="1" si="213"/>
        <v>50.177309732234221</v>
      </c>
      <c r="BZ85" s="36">
        <f t="shared" ca="1" si="213"/>
        <v>50.159974674120456</v>
      </c>
      <c r="CA85" s="36">
        <f t="shared" ca="1" si="213"/>
        <v>49.765382365593304</v>
      </c>
      <c r="CB85" s="36">
        <f t="shared" ca="1" si="213"/>
        <v>49.319636244076221</v>
      </c>
      <c r="CC85" s="36">
        <f t="shared" ca="1" si="213"/>
        <v>48.827586936169055</v>
      </c>
      <c r="CD85" s="36">
        <f t="shared" ca="1" si="213"/>
        <v>48.09735204094531</v>
      </c>
      <c r="CE85" s="36">
        <f t="shared" ca="1" si="213"/>
        <v>47.29559256234792</v>
      </c>
      <c r="CF85" s="36">
        <f t="shared" ca="1" si="213"/>
        <v>47.187386009173714</v>
      </c>
      <c r="CG85" s="36">
        <f t="shared" ca="1" si="213"/>
        <v>47.018643342167231</v>
      </c>
      <c r="CH85" s="36">
        <f t="shared" ca="1" si="213"/>
        <v>47.836115798956392</v>
      </c>
      <c r="CI85" s="36">
        <f t="shared" ca="1" si="213"/>
        <v>48.530358161583848</v>
      </c>
      <c r="CJ85" s="36">
        <f t="shared" ca="1" si="213"/>
        <v>47.681328115452814</v>
      </c>
      <c r="CK85" s="36">
        <f t="shared" ca="1" si="213"/>
        <v>48.27979599166126</v>
      </c>
      <c r="CL85" s="36">
        <f t="shared" ca="1" si="213"/>
        <v>47.490575958562737</v>
      </c>
      <c r="CM85" s="36">
        <f t="shared" ca="1" si="213"/>
        <v>47.135890823901661</v>
      </c>
      <c r="CN85" s="36">
        <f t="shared" ca="1" si="213"/>
        <v>47.510231656632683</v>
      </c>
      <c r="CO85" s="36">
        <f t="shared" ca="1" si="213"/>
        <v>47.694293303283423</v>
      </c>
      <c r="CP85" s="36">
        <f t="shared" ca="1" si="213"/>
        <v>47.935562213087842</v>
      </c>
      <c r="CQ85" s="36">
        <f t="shared" ca="1" si="213"/>
        <v>48.587792114697926</v>
      </c>
      <c r="CR85" s="36">
        <f t="shared" ca="1" si="213"/>
        <v>49.454761742822463</v>
      </c>
      <c r="CS85" s="36">
        <f t="shared" ca="1" si="213"/>
        <v>49.164260489135557</v>
      </c>
      <c r="CT85" s="36">
        <f t="shared" ca="1" si="213"/>
        <v>49.75371685057852</v>
      </c>
      <c r="CU85" s="36">
        <f t="shared" ca="1" si="213"/>
        <v>50.202656601923394</v>
      </c>
      <c r="CV85" s="36">
        <f t="shared" ca="1" si="213"/>
        <v>49.467943026646964</v>
      </c>
      <c r="CW85" s="36">
        <f t="shared" ca="1" si="213"/>
        <v>48.797827782509245</v>
      </c>
      <c r="CX85" s="36">
        <f t="shared" ca="1" si="213"/>
        <v>48.187643019355541</v>
      </c>
      <c r="CY85" s="36">
        <f t="shared" ca="1" si="213"/>
        <v>48.89809546890541</v>
      </c>
      <c r="CZ85" s="36">
        <f t="shared" ca="1" si="213"/>
        <v>48.176417493184523</v>
      </c>
      <c r="DA85" s="36">
        <f t="shared" ca="1" si="213"/>
        <v>47.33875870815131</v>
      </c>
      <c r="DB85" s="36">
        <f t="shared" ca="1" si="213"/>
        <v>46.657869618338069</v>
      </c>
      <c r="DC85" s="36">
        <f t="shared" ca="1" si="213"/>
        <v>46.682009675597435</v>
      </c>
      <c r="DD85" s="36">
        <f t="shared" ca="1" si="213"/>
        <v>46.545660508584291</v>
      </c>
      <c r="DE85" s="36">
        <f t="shared" ca="1" si="213"/>
        <v>46.234916263533343</v>
      </c>
      <c r="DF85" s="36">
        <f t="shared" ca="1" si="213"/>
        <v>46.789453537562189</v>
      </c>
      <c r="DG85" s="36">
        <f t="shared" ca="1" si="213"/>
        <v>46.692284163330065</v>
      </c>
      <c r="DH85" s="36">
        <f t="shared" ca="1" si="213"/>
        <v>46.535615771070063</v>
      </c>
      <c r="DI85" s="36">
        <f t="shared" ca="1" si="213"/>
        <v>46.389268082406723</v>
      </c>
      <c r="DJ85" s="36">
        <f t="shared" ca="1" si="213"/>
        <v>46.240409311235908</v>
      </c>
      <c r="DK85" s="36">
        <f t="shared" ca="1" si="213"/>
        <v>46.58335264726427</v>
      </c>
      <c r="DL85" s="36">
        <f t="shared" ca="1" si="213"/>
        <v>46.813600333238682</v>
      </c>
      <c r="DM85" s="36">
        <f t="shared" ca="1" si="213"/>
        <v>47.690377599574269</v>
      </c>
      <c r="DN85" s="36">
        <f t="shared" ca="1" si="213"/>
        <v>48.331014400476079</v>
      </c>
      <c r="DO85" s="36">
        <f t="shared" ca="1" si="213"/>
        <v>48.015947362886195</v>
      </c>
      <c r="DP85" s="36">
        <f t="shared" ca="1" si="213"/>
        <v>47.374018801012753</v>
      </c>
      <c r="DQ85" s="36">
        <f t="shared" ca="1" si="213"/>
        <v>48.076207671627202</v>
      </c>
      <c r="DR85" s="36">
        <f t="shared" ca="1" si="213"/>
        <v>48.225424931896725</v>
      </c>
      <c r="DS85" s="36">
        <f t="shared" ca="1" si="213"/>
        <v>47.347247502329949</v>
      </c>
      <c r="DT85" s="36">
        <f t="shared" ca="1" si="213"/>
        <v>46.977451106301373</v>
      </c>
      <c r="DU85" s="36">
        <f t="shared" ca="1" si="213"/>
        <v>47.562880066789852</v>
      </c>
      <c r="DV85" s="36">
        <f t="shared" ca="1" si="213"/>
        <v>47.499018198535019</v>
      </c>
      <c r="DW85" s="36">
        <f t="shared" ca="1" si="213"/>
        <v>47.096326999664463</v>
      </c>
      <c r="DX85" s="36">
        <f t="shared" ca="1" si="213"/>
        <v>46.914552873290845</v>
      </c>
      <c r="DY85" s="36">
        <f t="shared" ca="1" si="213"/>
        <v>46.873796806909461</v>
      </c>
      <c r="DZ85" s="36">
        <f t="shared" ca="1" si="213"/>
        <v>46.01338615762262</v>
      </c>
      <c r="EA85" s="36">
        <f t="shared" ca="1" si="213"/>
        <v>46.256914852692965</v>
      </c>
      <c r="EB85" s="36">
        <f t="shared" ca="1" si="213"/>
        <v>45.616535406095061</v>
      </c>
      <c r="EC85" s="36">
        <f t="shared" ca="1" si="198"/>
        <v>45.943766510235136</v>
      </c>
      <c r="ED85" s="36">
        <f t="shared" ca="1" si="193"/>
        <v>45.882570643414148</v>
      </c>
      <c r="EE85" s="36">
        <f t="shared" ca="1" si="193"/>
        <v>46.192449476553925</v>
      </c>
      <c r="EF85" s="36">
        <f t="shared" ref="EF85:EV92" ca="1" si="214">EE85*EXP(($B$3-$B$4^2/2)*1+$B$4*_xlfn.NORM.S.INV(RAND()))</f>
        <v>46.130297471662573</v>
      </c>
      <c r="EG85" s="36">
        <f t="shared" ca="1" si="214"/>
        <v>46.187010377262077</v>
      </c>
      <c r="EH85" s="36">
        <f t="shared" ca="1" si="214"/>
        <v>46.338209264338367</v>
      </c>
      <c r="EI85" s="36">
        <f t="shared" ca="1" si="214"/>
        <v>45.805383484432582</v>
      </c>
      <c r="EJ85" s="36">
        <f t="shared" ca="1" si="214"/>
        <v>46.072340972099127</v>
      </c>
      <c r="EK85" s="36">
        <f t="shared" ca="1" si="214"/>
        <v>46.09010253685075</v>
      </c>
      <c r="EL85" s="36">
        <f t="shared" ca="1" si="214"/>
        <v>46.531163391167645</v>
      </c>
      <c r="EM85" s="36">
        <f t="shared" ca="1" si="214"/>
        <v>46.889740828608701</v>
      </c>
      <c r="EN85" s="36">
        <f t="shared" ca="1" si="214"/>
        <v>46.66896022626787</v>
      </c>
      <c r="EO85" s="36">
        <f t="shared" ca="1" si="214"/>
        <v>46.252827944639783</v>
      </c>
      <c r="EP85" s="36">
        <f t="shared" ca="1" si="214"/>
        <v>45.972053057707114</v>
      </c>
      <c r="EQ85" s="36">
        <f t="shared" ca="1" si="214"/>
        <v>46.552708254621301</v>
      </c>
      <c r="ER85" s="36">
        <f t="shared" ca="1" si="214"/>
        <v>46.682598939827933</v>
      </c>
      <c r="ES85" s="36">
        <f t="shared" ca="1" si="214"/>
        <v>45.987827651875982</v>
      </c>
      <c r="ET85" s="36">
        <f t="shared" ca="1" si="214"/>
        <v>47.524475061231925</v>
      </c>
      <c r="EU85" s="36">
        <f t="shared" ca="1" si="214"/>
        <v>47.528412785587157</v>
      </c>
      <c r="EV85" s="36">
        <f t="shared" ca="1" si="214"/>
        <v>47.564582641955326</v>
      </c>
      <c r="EW85" s="36">
        <f t="shared" ref="EW85" ca="1" si="215">EV85*EXP(($B$3-$B$4^2/2)*1+$B$4*_xlfn.NORM.S.INV(RAND()))</f>
        <v>47.139559294605611</v>
      </c>
      <c r="EX85" s="36">
        <f t="shared" ca="1" si="207"/>
        <v>47.417302888546452</v>
      </c>
      <c r="EY85" s="36">
        <f t="shared" ca="1" si="207"/>
        <v>47.181329724647966</v>
      </c>
      <c r="EZ85" s="36">
        <f t="shared" ca="1" si="207"/>
        <v>47.93058670214505</v>
      </c>
      <c r="FA85" s="36">
        <f t="shared" ca="1" si="207"/>
        <v>48.345531214389155</v>
      </c>
      <c r="FB85" s="36">
        <f t="shared" ca="1" si="207"/>
        <v>47.458058912043541</v>
      </c>
      <c r="FC85" s="36">
        <f t="shared" ca="1" si="207"/>
        <v>48.363345200391869</v>
      </c>
      <c r="FD85" s="36">
        <f t="shared" ca="1" si="207"/>
        <v>48.742369654084087</v>
      </c>
      <c r="FE85" s="36">
        <f t="shared" ca="1" si="207"/>
        <v>49.33247887006727</v>
      </c>
      <c r="FF85" s="36">
        <f t="shared" ca="1" si="207"/>
        <v>49.243100596760122</v>
      </c>
      <c r="FG85" s="36">
        <f t="shared" ca="1" si="207"/>
        <v>48.233745093880934</v>
      </c>
      <c r="FH85" s="36">
        <f t="shared" ca="1" si="207"/>
        <v>48.230153465537818</v>
      </c>
      <c r="FI85" s="36">
        <f t="shared" ca="1" si="207"/>
        <v>47.695732843645004</v>
      </c>
      <c r="FJ85" s="36">
        <f t="shared" ca="1" si="207"/>
        <v>48.063378411639874</v>
      </c>
      <c r="FK85" s="36">
        <f t="shared" ca="1" si="207"/>
        <v>47.564367876242081</v>
      </c>
      <c r="FL85" s="36">
        <f t="shared" ca="1" si="207"/>
        <v>47.821708286744276</v>
      </c>
      <c r="FM85" s="36">
        <f t="shared" ca="1" si="207"/>
        <v>47.975746787482414</v>
      </c>
      <c r="FN85" s="36">
        <f t="shared" ca="1" si="207"/>
        <v>47.810784631637723</v>
      </c>
      <c r="FO85" s="36">
        <f t="shared" ca="1" si="207"/>
        <v>47.565445810670134</v>
      </c>
      <c r="FP85" s="36">
        <f t="shared" ca="1" si="207"/>
        <v>48.296688931526354</v>
      </c>
      <c r="FQ85" s="36">
        <f t="shared" ca="1" si="207"/>
        <v>48.863519838081828</v>
      </c>
      <c r="FR85" s="36">
        <f t="shared" ca="1" si="207"/>
        <v>49.34091994873296</v>
      </c>
      <c r="FS85" s="36">
        <f t="shared" ca="1" si="207"/>
        <v>48.680966880686896</v>
      </c>
      <c r="FT85" s="36">
        <f t="shared" ca="1" si="207"/>
        <v>49.306229920907896</v>
      </c>
      <c r="FU85" s="36">
        <f t="shared" ca="1" si="207"/>
        <v>49.233625375619312</v>
      </c>
      <c r="FV85" s="36">
        <f t="shared" ca="1" si="207"/>
        <v>50.720020598204314</v>
      </c>
      <c r="FW85" s="36">
        <f t="shared" ca="1" si="207"/>
        <v>50.515198280823384</v>
      </c>
      <c r="FX85" s="36">
        <f t="shared" ca="1" si="207"/>
        <v>50.0271496119761</v>
      </c>
      <c r="FY85" s="36">
        <f t="shared" ca="1" si="207"/>
        <v>49.935193397171709</v>
      </c>
      <c r="FZ85" s="36">
        <f t="shared" ca="1" si="207"/>
        <v>50.252649925311033</v>
      </c>
      <c r="GA85" s="36">
        <f t="shared" ca="1" si="207"/>
        <v>51.363882960692514</v>
      </c>
      <c r="GB85" s="36">
        <f t="shared" ca="1" si="207"/>
        <v>52.177087039401989</v>
      </c>
      <c r="GC85" s="36">
        <f t="shared" ca="1" si="207"/>
        <v>52.03739415801261</v>
      </c>
      <c r="GD85" s="36">
        <f t="shared" ca="1" si="207"/>
        <v>51.127027863740715</v>
      </c>
      <c r="GE85" s="36">
        <f t="shared" ca="1" si="207"/>
        <v>52.055770149021882</v>
      </c>
      <c r="GF85" s="36">
        <f t="shared" ca="1" si="207"/>
        <v>50.928869571653223</v>
      </c>
      <c r="GG85" s="36">
        <f t="shared" ca="1" si="207"/>
        <v>50.320052322411712</v>
      </c>
      <c r="GH85" s="36">
        <f t="shared" ca="1" si="207"/>
        <v>50.184366677457085</v>
      </c>
      <c r="GI85" s="36">
        <f t="shared" ca="1" si="207"/>
        <v>49.589671643122244</v>
      </c>
      <c r="GJ85" s="36">
        <f t="shared" ca="1" si="207"/>
        <v>50.587822348187125</v>
      </c>
      <c r="GK85" s="36">
        <f t="shared" ca="1" si="207"/>
        <v>49.511073390775067</v>
      </c>
      <c r="GL85" s="36">
        <f t="shared" ca="1" si="207"/>
        <v>49.709955952446997</v>
      </c>
      <c r="GM85" s="36">
        <f t="shared" ca="1" si="207"/>
        <v>50.045982677133559</v>
      </c>
      <c r="GN85" s="36">
        <f t="shared" ca="1" si="207"/>
        <v>50.653965757973161</v>
      </c>
      <c r="GO85" s="36">
        <f t="shared" ca="1" si="207"/>
        <v>50.833591686650706</v>
      </c>
      <c r="GP85" s="36">
        <f t="shared" ca="1" si="207"/>
        <v>51.072146714767612</v>
      </c>
      <c r="GQ85" s="36">
        <f t="shared" ca="1" si="207"/>
        <v>51.38282898492389</v>
      </c>
      <c r="GR85" s="36">
        <f t="shared" ca="1" si="207"/>
        <v>51.254662891573112</v>
      </c>
      <c r="GS85" s="36">
        <f t="shared" ca="1" si="207"/>
        <v>51.377332388077711</v>
      </c>
      <c r="GT85" s="36">
        <f t="shared" ca="1" si="207"/>
        <v>50.792009944526846</v>
      </c>
      <c r="GU85" s="36">
        <f t="shared" ca="1" si="207"/>
        <v>51.610358489870777</v>
      </c>
      <c r="GV85" s="36">
        <f t="shared" ca="1" si="207"/>
        <v>51.269013210340503</v>
      </c>
      <c r="GW85" s="36">
        <f t="shared" ca="1" si="207"/>
        <v>51.502579825573683</v>
      </c>
      <c r="GX85" s="36">
        <f t="shared" ca="1" si="207"/>
        <v>50.665325944460257</v>
      </c>
      <c r="GY85" s="36">
        <f t="shared" ca="1" si="207"/>
        <v>51.528283980530865</v>
      </c>
      <c r="GZ85" s="36">
        <f t="shared" ca="1" si="207"/>
        <v>51.03816360285407</v>
      </c>
      <c r="HA85" s="36">
        <f t="shared" ca="1" si="207"/>
        <v>51.044050496814613</v>
      </c>
      <c r="HB85" s="36">
        <f t="shared" ca="1" si="207"/>
        <v>52.272503290373798</v>
      </c>
      <c r="HC85" s="36">
        <f t="shared" ca="1" si="207"/>
        <v>51.871368883330888</v>
      </c>
      <c r="HD85" s="36">
        <f t="shared" ca="1" si="207"/>
        <v>51.435663639303101</v>
      </c>
      <c r="HE85" s="36">
        <f t="shared" ca="1" si="207"/>
        <v>51.204327197974841</v>
      </c>
      <c r="HF85" s="36">
        <f t="shared" ca="1" si="207"/>
        <v>52.341473719544062</v>
      </c>
      <c r="HG85" s="36">
        <f t="shared" ca="1" si="207"/>
        <v>52.553403411676641</v>
      </c>
      <c r="HH85" s="36">
        <f t="shared" ca="1" si="207"/>
        <v>52.294651307413197</v>
      </c>
      <c r="HI85" s="36">
        <f t="shared" ref="HI85:HT85" ca="1" si="216">HH85*EXP(($B$3-$B$4^2/2)*1+$B$4*_xlfn.NORM.S.INV(RAND()))</f>
        <v>52.589309261411742</v>
      </c>
      <c r="HJ85" s="36">
        <f t="shared" ca="1" si="216"/>
        <v>52.212956287709041</v>
      </c>
      <c r="HK85" s="36">
        <f t="shared" ca="1" si="216"/>
        <v>53.996950209011587</v>
      </c>
      <c r="HL85" s="36">
        <f t="shared" ca="1" si="216"/>
        <v>53.751765415857712</v>
      </c>
      <c r="HM85" s="36">
        <f t="shared" ca="1" si="216"/>
        <v>54.569224272094402</v>
      </c>
      <c r="HN85" s="36">
        <f t="shared" ca="1" si="216"/>
        <v>54.117759270847813</v>
      </c>
      <c r="HO85" s="36">
        <f t="shared" ca="1" si="216"/>
        <v>53.977068920772254</v>
      </c>
      <c r="HP85" s="36">
        <f t="shared" ca="1" si="216"/>
        <v>54.931317051205973</v>
      </c>
      <c r="HQ85" s="36">
        <f t="shared" ca="1" si="216"/>
        <v>55.325977641921241</v>
      </c>
      <c r="HR85" s="36">
        <f t="shared" ca="1" si="216"/>
        <v>55.860771101957326</v>
      </c>
      <c r="HS85" s="36">
        <f t="shared" ca="1" si="216"/>
        <v>56.218173561526172</v>
      </c>
      <c r="HT85" s="36">
        <f t="shared" ca="1" si="216"/>
        <v>56.178992263566094</v>
      </c>
      <c r="HU85" s="36">
        <f t="shared" ca="1" si="177"/>
        <v>56.380372450061465</v>
      </c>
      <c r="HV85" s="36">
        <f t="shared" ca="1" si="177"/>
        <v>56.191213612039164</v>
      </c>
      <c r="HW85" s="36">
        <f t="shared" ca="1" si="177"/>
        <v>55.780225047664374</v>
      </c>
      <c r="HX85" s="36">
        <f t="shared" ca="1" si="177"/>
        <v>56.271754350104104</v>
      </c>
      <c r="HY85" s="36">
        <f t="shared" ca="1" si="177"/>
        <v>55.763666207127415</v>
      </c>
      <c r="HZ85" s="36">
        <f t="shared" ca="1" si="196"/>
        <v>55.19079108749154</v>
      </c>
      <c r="IA85" s="36">
        <f t="shared" ca="1" si="196"/>
        <v>54.879668878521535</v>
      </c>
      <c r="IB85" s="36">
        <f t="shared" ca="1" si="196"/>
        <v>54.121784599309457</v>
      </c>
      <c r="IC85" s="36">
        <f t="shared" ca="1" si="196"/>
        <v>54.116970580326246</v>
      </c>
      <c r="ID85" s="36">
        <f t="shared" ca="1" si="196"/>
        <v>53.917276060968874</v>
      </c>
      <c r="IE85" s="36">
        <f t="shared" ca="1" si="196"/>
        <v>53.54708147493394</v>
      </c>
      <c r="IF85" s="36">
        <f t="shared" ca="1" si="196"/>
        <v>53.051150533695129</v>
      </c>
      <c r="IG85" s="36">
        <f t="shared" ca="1" si="196"/>
        <v>52.432626832663104</v>
      </c>
      <c r="IH85" s="36">
        <f t="shared" ca="1" si="196"/>
        <v>52.600250540463129</v>
      </c>
      <c r="II85" s="36">
        <f t="shared" ca="1" si="196"/>
        <v>53.394880897467289</v>
      </c>
      <c r="IJ85" s="36">
        <f t="shared" ca="1" si="196"/>
        <v>55.058949384601739</v>
      </c>
      <c r="IK85" s="36">
        <f t="shared" ca="1" si="196"/>
        <v>54.282926877682492</v>
      </c>
      <c r="IL85" s="36">
        <f t="shared" ca="1" si="196"/>
        <v>54.358191934602203</v>
      </c>
      <c r="IM85" s="36">
        <f t="shared" ca="1" si="196"/>
        <v>53.409994572056043</v>
      </c>
      <c r="IN85" s="36">
        <f t="shared" ca="1" si="196"/>
        <v>53.408267029674796</v>
      </c>
      <c r="IO85" s="36">
        <f t="shared" ca="1" si="196"/>
        <v>54.198025550111154</v>
      </c>
      <c r="IP85" s="36">
        <f t="shared" ca="1" si="196"/>
        <v>52.483099889777449</v>
      </c>
      <c r="IQ85" s="36">
        <f t="shared" ca="1" si="196"/>
        <v>52.673639106294353</v>
      </c>
      <c r="IR85" s="36">
        <f t="shared" ca="1" si="196"/>
        <v>53.205594028814609</v>
      </c>
      <c r="IS85" s="36">
        <f t="shared" ca="1" si="196"/>
        <v>51.688599638520536</v>
      </c>
      <c r="IT85" s="36">
        <f t="shared" ca="1" si="196"/>
        <v>51.619588525293651</v>
      </c>
      <c r="IU85" s="36">
        <f t="shared" ca="1" si="196"/>
        <v>51.494133871421617</v>
      </c>
    </row>
    <row r="86" spans="1:255" x14ac:dyDescent="0.2">
      <c r="A86" s="36"/>
      <c r="B86">
        <v>76</v>
      </c>
      <c r="C86" s="36">
        <v>50</v>
      </c>
      <c r="D86" s="36">
        <f t="shared" ca="1" si="188"/>
        <v>49.612981676980581</v>
      </c>
      <c r="E86" s="36">
        <f t="shared" ca="1" si="188"/>
        <v>49.715547196371837</v>
      </c>
      <c r="F86" s="36">
        <f t="shared" ref="F86:BQ89" ca="1" si="217">E86*EXP(($B$3-$B$4^2/2)*1+$B$4*_xlfn.NORM.S.INV(RAND()))</f>
        <v>49.901795175176957</v>
      </c>
      <c r="G86" s="36">
        <f t="shared" ca="1" si="217"/>
        <v>50.066671396324423</v>
      </c>
      <c r="H86" s="36">
        <f t="shared" ca="1" si="217"/>
        <v>49.971343674895145</v>
      </c>
      <c r="I86" s="36">
        <f t="shared" ca="1" si="217"/>
        <v>50.920661373358797</v>
      </c>
      <c r="J86" s="36">
        <f t="shared" ca="1" si="217"/>
        <v>51.039763199716603</v>
      </c>
      <c r="K86" s="36">
        <f t="shared" ca="1" si="217"/>
        <v>51.711863625132608</v>
      </c>
      <c r="L86" s="36">
        <f t="shared" ca="1" si="217"/>
        <v>51.402377873040315</v>
      </c>
      <c r="M86" s="36">
        <f t="shared" ca="1" si="217"/>
        <v>49.586786461949416</v>
      </c>
      <c r="N86" s="36">
        <f t="shared" ca="1" si="217"/>
        <v>48.523724225456824</v>
      </c>
      <c r="O86" s="36">
        <f t="shared" ca="1" si="217"/>
        <v>48.786522816357163</v>
      </c>
      <c r="P86" s="36">
        <f t="shared" ca="1" si="217"/>
        <v>50.051284214383337</v>
      </c>
      <c r="Q86" s="36">
        <f t="shared" ca="1" si="217"/>
        <v>49.859298070976877</v>
      </c>
      <c r="R86" s="36">
        <f t="shared" ca="1" si="217"/>
        <v>49.335287559159703</v>
      </c>
      <c r="S86" s="36">
        <f t="shared" ca="1" si="217"/>
        <v>49.399708673285566</v>
      </c>
      <c r="T86" s="36">
        <f t="shared" ca="1" si="217"/>
        <v>49.19074220234922</v>
      </c>
      <c r="U86" s="36">
        <f t="shared" ca="1" si="217"/>
        <v>49.23343760692957</v>
      </c>
      <c r="V86" s="36">
        <f t="shared" ca="1" si="217"/>
        <v>49.37588453495097</v>
      </c>
      <c r="W86" s="36">
        <f t="shared" ca="1" si="217"/>
        <v>51.215259158024949</v>
      </c>
      <c r="X86" s="36">
        <f t="shared" ca="1" si="217"/>
        <v>51.798436426210486</v>
      </c>
      <c r="Y86" s="36">
        <f t="shared" ca="1" si="217"/>
        <v>50.864884222711503</v>
      </c>
      <c r="Z86" s="36">
        <f t="shared" ca="1" si="217"/>
        <v>51.236741899798034</v>
      </c>
      <c r="AA86" s="36">
        <f t="shared" ca="1" si="217"/>
        <v>50.635373016935382</v>
      </c>
      <c r="AB86" s="36">
        <f t="shared" ca="1" si="217"/>
        <v>50.319321180887997</v>
      </c>
      <c r="AC86" s="36">
        <f t="shared" ca="1" si="217"/>
        <v>50.23560388373005</v>
      </c>
      <c r="AD86" s="36">
        <f t="shared" ca="1" si="217"/>
        <v>51.284464962054628</v>
      </c>
      <c r="AE86" s="36">
        <f t="shared" ca="1" si="217"/>
        <v>50.714095540833341</v>
      </c>
      <c r="AF86" s="36">
        <f t="shared" ca="1" si="217"/>
        <v>50.451510017913094</v>
      </c>
      <c r="AG86" s="36">
        <f t="shared" ca="1" si="217"/>
        <v>50.572576858385993</v>
      </c>
      <c r="AH86" s="36">
        <f t="shared" ca="1" si="217"/>
        <v>50.221294663133705</v>
      </c>
      <c r="AI86" s="36">
        <f t="shared" ca="1" si="217"/>
        <v>50.160168714146643</v>
      </c>
      <c r="AJ86" s="36">
        <f t="shared" ca="1" si="217"/>
        <v>51.154139528578042</v>
      </c>
      <c r="AK86" s="36">
        <f t="shared" ca="1" si="217"/>
        <v>51.543527524512093</v>
      </c>
      <c r="AL86" s="36">
        <f t="shared" ca="1" si="217"/>
        <v>51.363999732424126</v>
      </c>
      <c r="AM86" s="36">
        <f t="shared" ca="1" si="217"/>
        <v>51.746492831937829</v>
      </c>
      <c r="AN86" s="36">
        <f t="shared" ca="1" si="217"/>
        <v>51.425954689965558</v>
      </c>
      <c r="AO86" s="36">
        <f t="shared" ca="1" si="217"/>
        <v>51.836531628019614</v>
      </c>
      <c r="AP86" s="36">
        <f t="shared" ca="1" si="217"/>
        <v>53.589896206178025</v>
      </c>
      <c r="AQ86" s="36">
        <f t="shared" ca="1" si="217"/>
        <v>53.887118515275908</v>
      </c>
      <c r="AR86" s="36">
        <f t="shared" ca="1" si="217"/>
        <v>54.308369867329418</v>
      </c>
      <c r="AS86" s="36">
        <f t="shared" ca="1" si="217"/>
        <v>54.644960773712789</v>
      </c>
      <c r="AT86" s="36">
        <f t="shared" ca="1" si="217"/>
        <v>55.013150447644989</v>
      </c>
      <c r="AU86" s="36">
        <f t="shared" ca="1" si="217"/>
        <v>56.106052884331596</v>
      </c>
      <c r="AV86" s="36">
        <f t="shared" ca="1" si="217"/>
        <v>55.726492017210724</v>
      </c>
      <c r="AW86" s="36">
        <f t="shared" ca="1" si="217"/>
        <v>55.69781670833018</v>
      </c>
      <c r="AX86" s="36">
        <f t="shared" ca="1" si="217"/>
        <v>55.816246711409768</v>
      </c>
      <c r="AY86" s="36">
        <f t="shared" ca="1" si="217"/>
        <v>55.047594293965837</v>
      </c>
      <c r="AZ86" s="36">
        <f t="shared" ca="1" si="217"/>
        <v>54.234519992279509</v>
      </c>
      <c r="BA86" s="36">
        <f t="shared" ca="1" si="217"/>
        <v>55.235166321389961</v>
      </c>
      <c r="BB86" s="36">
        <f t="shared" ca="1" si="217"/>
        <v>54.0702609872911</v>
      </c>
      <c r="BC86" s="36">
        <f t="shared" ca="1" si="217"/>
        <v>53.438328046892387</v>
      </c>
      <c r="BD86" s="36">
        <f t="shared" ca="1" si="217"/>
        <v>52.699821917811448</v>
      </c>
      <c r="BE86" s="36">
        <f t="shared" ca="1" si="217"/>
        <v>52.993541934466492</v>
      </c>
      <c r="BF86" s="36">
        <f t="shared" ca="1" si="217"/>
        <v>52.764503136094589</v>
      </c>
      <c r="BG86" s="36">
        <f t="shared" ca="1" si="217"/>
        <v>52.444992388933599</v>
      </c>
      <c r="BH86" s="36">
        <f t="shared" ca="1" si="217"/>
        <v>53.468259650775572</v>
      </c>
      <c r="BI86" s="36">
        <f t="shared" ca="1" si="217"/>
        <v>54.155343293333694</v>
      </c>
      <c r="BJ86" s="36">
        <f t="shared" ca="1" si="217"/>
        <v>54.100374680201504</v>
      </c>
      <c r="BK86" s="36">
        <f t="shared" ca="1" si="217"/>
        <v>53.847000208945744</v>
      </c>
      <c r="BL86" s="36">
        <f t="shared" ca="1" si="217"/>
        <v>53.628985783546916</v>
      </c>
      <c r="BM86" s="36">
        <f t="shared" ca="1" si="217"/>
        <v>53.99559549616599</v>
      </c>
      <c r="BN86" s="36">
        <f t="shared" ca="1" si="217"/>
        <v>53.963089894315054</v>
      </c>
      <c r="BO86" s="36">
        <f t="shared" ca="1" si="217"/>
        <v>54.397395653294758</v>
      </c>
      <c r="BP86" s="36">
        <f t="shared" ca="1" si="217"/>
        <v>53.474466360577601</v>
      </c>
      <c r="BQ86" s="36">
        <f t="shared" ca="1" si="217"/>
        <v>54.343812478423409</v>
      </c>
      <c r="BR86" s="36">
        <f t="shared" ca="1" si="213"/>
        <v>54.982439816869977</v>
      </c>
      <c r="BS86" s="36">
        <f t="shared" ca="1" si="213"/>
        <v>54.764846448076547</v>
      </c>
      <c r="BT86" s="36">
        <f t="shared" ca="1" si="213"/>
        <v>55.254898306695246</v>
      </c>
      <c r="BU86" s="36">
        <f t="shared" ca="1" si="213"/>
        <v>55.552027528869992</v>
      </c>
      <c r="BV86" s="36">
        <f t="shared" ca="1" si="213"/>
        <v>55.760470863334298</v>
      </c>
      <c r="BW86" s="36">
        <f t="shared" ca="1" si="213"/>
        <v>55.733500082150215</v>
      </c>
      <c r="BX86" s="36">
        <f t="shared" ca="1" si="213"/>
        <v>56.763293333986724</v>
      </c>
      <c r="BY86" s="36">
        <f t="shared" ca="1" si="213"/>
        <v>55.750279928889661</v>
      </c>
      <c r="BZ86" s="36">
        <f t="shared" ca="1" si="213"/>
        <v>55.420990901862112</v>
      </c>
      <c r="CA86" s="36">
        <f t="shared" ca="1" si="213"/>
        <v>55.228757315767616</v>
      </c>
      <c r="CB86" s="36">
        <f t="shared" ca="1" si="213"/>
        <v>55.404726854511956</v>
      </c>
      <c r="CC86" s="36">
        <f t="shared" ca="1" si="213"/>
        <v>54.673565312106582</v>
      </c>
      <c r="CD86" s="36">
        <f t="shared" ca="1" si="213"/>
        <v>55.371536569009081</v>
      </c>
      <c r="CE86" s="36">
        <f t="shared" ca="1" si="213"/>
        <v>55.277538133189722</v>
      </c>
      <c r="CF86" s="36">
        <f t="shared" ca="1" si="213"/>
        <v>56.145497818513242</v>
      </c>
      <c r="CG86" s="36">
        <f t="shared" ca="1" si="213"/>
        <v>57.355862510989432</v>
      </c>
      <c r="CH86" s="36">
        <f t="shared" ca="1" si="213"/>
        <v>57.526728204923756</v>
      </c>
      <c r="CI86" s="36">
        <f t="shared" ca="1" si="213"/>
        <v>56.965767579176742</v>
      </c>
      <c r="CJ86" s="36">
        <f t="shared" ca="1" si="213"/>
        <v>57.144293517473479</v>
      </c>
      <c r="CK86" s="36">
        <f t="shared" ca="1" si="213"/>
        <v>57.920602254799476</v>
      </c>
      <c r="CL86" s="36">
        <f t="shared" ca="1" si="213"/>
        <v>58.574810653430653</v>
      </c>
      <c r="CM86" s="36">
        <f t="shared" ca="1" si="213"/>
        <v>58.29277421638421</v>
      </c>
      <c r="CN86" s="36">
        <f t="shared" ca="1" si="213"/>
        <v>57.911748635074368</v>
      </c>
      <c r="CO86" s="36">
        <f t="shared" ca="1" si="213"/>
        <v>57.877391606382744</v>
      </c>
      <c r="CP86" s="36">
        <f t="shared" ca="1" si="213"/>
        <v>57.116010952747075</v>
      </c>
      <c r="CQ86" s="36">
        <f t="shared" ca="1" si="213"/>
        <v>56.267487507854618</v>
      </c>
      <c r="CR86" s="36">
        <f t="shared" ca="1" si="213"/>
        <v>56.560686607261559</v>
      </c>
      <c r="CS86" s="36">
        <f t="shared" ca="1" si="213"/>
        <v>56.874612528502112</v>
      </c>
      <c r="CT86" s="36">
        <f t="shared" ca="1" si="213"/>
        <v>57.710661563208362</v>
      </c>
      <c r="CU86" s="36">
        <f t="shared" ca="1" si="213"/>
        <v>58.440132333343534</v>
      </c>
      <c r="CV86" s="36">
        <f t="shared" ca="1" si="213"/>
        <v>58.843876826324426</v>
      </c>
      <c r="CW86" s="36">
        <f t="shared" ca="1" si="213"/>
        <v>59.536087433258494</v>
      </c>
      <c r="CX86" s="36">
        <f t="shared" ca="1" si="213"/>
        <v>58.07790219286877</v>
      </c>
      <c r="CY86" s="36">
        <f t="shared" ca="1" si="213"/>
        <v>60.152299141034746</v>
      </c>
      <c r="CZ86" s="36">
        <f t="shared" ca="1" si="213"/>
        <v>60.28387988210671</v>
      </c>
      <c r="DA86" s="36">
        <f t="shared" ca="1" si="213"/>
        <v>60.635166446534924</v>
      </c>
      <c r="DB86" s="36">
        <f t="shared" ca="1" si="213"/>
        <v>60.705169447832738</v>
      </c>
      <c r="DC86" s="36">
        <f t="shared" ca="1" si="213"/>
        <v>60.901676793858179</v>
      </c>
      <c r="DD86" s="36">
        <f t="shared" ca="1" si="213"/>
        <v>60.403557512764436</v>
      </c>
      <c r="DE86" s="36">
        <f t="shared" ca="1" si="213"/>
        <v>61.166577699805799</v>
      </c>
      <c r="DF86" s="36">
        <f t="shared" ca="1" si="213"/>
        <v>61.860862568991365</v>
      </c>
      <c r="DG86" s="36">
        <f t="shared" ca="1" si="213"/>
        <v>61.795403843006895</v>
      </c>
      <c r="DH86" s="36">
        <f t="shared" ca="1" si="213"/>
        <v>61.588948762846826</v>
      </c>
      <c r="DI86" s="36">
        <f t="shared" ca="1" si="213"/>
        <v>61.625599501939512</v>
      </c>
      <c r="DJ86" s="36">
        <f t="shared" ca="1" si="213"/>
        <v>61.287378050815185</v>
      </c>
      <c r="DK86" s="36">
        <f t="shared" ca="1" si="213"/>
        <v>61.122389305024576</v>
      </c>
      <c r="DL86" s="36">
        <f t="shared" ca="1" si="213"/>
        <v>61.936253826147727</v>
      </c>
      <c r="DM86" s="36">
        <f t="shared" ca="1" si="213"/>
        <v>63.461551765052803</v>
      </c>
      <c r="DN86" s="36">
        <f t="shared" ca="1" si="213"/>
        <v>63.007969371489573</v>
      </c>
      <c r="DO86" s="36">
        <f t="shared" ca="1" si="213"/>
        <v>62.32425291522695</v>
      </c>
      <c r="DP86" s="36">
        <f t="shared" ca="1" si="213"/>
        <v>63.885133152990832</v>
      </c>
      <c r="DQ86" s="36">
        <f t="shared" ca="1" si="213"/>
        <v>62.9860248340757</v>
      </c>
      <c r="DR86" s="36">
        <f t="shared" ca="1" si="213"/>
        <v>61.994645355054701</v>
      </c>
      <c r="DS86" s="36">
        <f t="shared" ca="1" si="213"/>
        <v>61.357301477868702</v>
      </c>
      <c r="DT86" s="36">
        <f t="shared" ca="1" si="213"/>
        <v>62.355652462542942</v>
      </c>
      <c r="DU86" s="36">
        <f t="shared" ca="1" si="213"/>
        <v>62.24817560490203</v>
      </c>
      <c r="DV86" s="36">
        <f t="shared" ca="1" si="213"/>
        <v>62.465142163526991</v>
      </c>
      <c r="DW86" s="36">
        <f t="shared" ca="1" si="213"/>
        <v>62.573410933888695</v>
      </c>
      <c r="DX86" s="36">
        <f t="shared" ca="1" si="213"/>
        <v>62.682235974424792</v>
      </c>
      <c r="DY86" s="36">
        <f t="shared" ca="1" si="213"/>
        <v>62.749778022215018</v>
      </c>
      <c r="DZ86" s="36">
        <f t="shared" ca="1" si="213"/>
        <v>62.164379568058678</v>
      </c>
      <c r="EA86" s="36">
        <f t="shared" ca="1" si="213"/>
        <v>62.911221832082816</v>
      </c>
      <c r="EB86" s="36">
        <f t="shared" ca="1" si="213"/>
        <v>62.172839958078313</v>
      </c>
      <c r="EC86" s="36">
        <f t="shared" ca="1" si="198"/>
        <v>60.978269111392365</v>
      </c>
      <c r="ED86" s="36">
        <f t="shared" ca="1" si="193"/>
        <v>60.615473217448297</v>
      </c>
      <c r="EE86" s="36">
        <f t="shared" ca="1" si="193"/>
        <v>60.298724075217038</v>
      </c>
      <c r="EF86" s="36">
        <f t="shared" ca="1" si="214"/>
        <v>61.96625124133724</v>
      </c>
      <c r="EG86" s="36">
        <f t="shared" ca="1" si="214"/>
        <v>61.334148357091394</v>
      </c>
      <c r="EH86" s="36">
        <f t="shared" ca="1" si="214"/>
        <v>62.679488397056225</v>
      </c>
      <c r="EI86" s="36">
        <f t="shared" ca="1" si="214"/>
        <v>64.185082696354186</v>
      </c>
      <c r="EJ86" s="36">
        <f t="shared" ca="1" si="214"/>
        <v>64.097237111401085</v>
      </c>
      <c r="EK86" s="36">
        <f t="shared" ca="1" si="214"/>
        <v>62.761838898208147</v>
      </c>
      <c r="EL86" s="36">
        <f t="shared" ca="1" si="214"/>
        <v>63.238763650757924</v>
      </c>
      <c r="EM86" s="36">
        <f t="shared" ca="1" si="214"/>
        <v>62.173397493874596</v>
      </c>
      <c r="EN86" s="36">
        <f t="shared" ca="1" si="214"/>
        <v>62.768386819297255</v>
      </c>
      <c r="EO86" s="36">
        <f t="shared" ca="1" si="214"/>
        <v>62.31646361161178</v>
      </c>
      <c r="EP86" s="36">
        <f t="shared" ca="1" si="214"/>
        <v>61.918341858445189</v>
      </c>
      <c r="EQ86" s="36">
        <f t="shared" ca="1" si="214"/>
        <v>60.969632206408711</v>
      </c>
      <c r="ER86" s="36">
        <f t="shared" ca="1" si="214"/>
        <v>59.60127777908685</v>
      </c>
      <c r="ES86" s="36">
        <f t="shared" ca="1" si="214"/>
        <v>59.364905471536531</v>
      </c>
      <c r="ET86" s="36">
        <f t="shared" ca="1" si="214"/>
        <v>59.209798263552358</v>
      </c>
      <c r="EU86" s="36">
        <f t="shared" ca="1" si="214"/>
        <v>59.611974544154428</v>
      </c>
      <c r="EV86" s="36">
        <f t="shared" ca="1" si="214"/>
        <v>59.382401766032899</v>
      </c>
      <c r="EW86" s="36">
        <f t="shared" ref="EW86" ca="1" si="218">EV86*EXP(($B$3-$B$4^2/2)*1+$B$4*_xlfn.NORM.S.INV(RAND()))</f>
        <v>59.152444840583975</v>
      </c>
      <c r="EX86" s="36">
        <f t="shared" ca="1" si="207"/>
        <v>58.639316095957234</v>
      </c>
      <c r="EY86" s="36">
        <f t="shared" ca="1" si="207"/>
        <v>57.042962199512267</v>
      </c>
      <c r="EZ86" s="36">
        <f t="shared" ref="EZ86:HK88" ca="1" si="219">EY86*EXP(($B$3-$B$4^2/2)*1+$B$4*_xlfn.NORM.S.INV(RAND()))</f>
        <v>57.14066748563652</v>
      </c>
      <c r="FA86" s="36">
        <f t="shared" ca="1" si="219"/>
        <v>56.125689546898769</v>
      </c>
      <c r="FB86" s="36">
        <f t="shared" ca="1" si="219"/>
        <v>55.407510537226642</v>
      </c>
      <c r="FC86" s="36">
        <f t="shared" ca="1" si="219"/>
        <v>54.80396978059796</v>
      </c>
      <c r="FD86" s="36">
        <f t="shared" ca="1" si="219"/>
        <v>54.717461611687135</v>
      </c>
      <c r="FE86" s="36">
        <f t="shared" ca="1" si="219"/>
        <v>54.510802184628865</v>
      </c>
      <c r="FF86" s="36">
        <f t="shared" ca="1" si="219"/>
        <v>54.574321083339768</v>
      </c>
      <c r="FG86" s="36">
        <f t="shared" ca="1" si="219"/>
        <v>54.848897705586211</v>
      </c>
      <c r="FH86" s="36">
        <f t="shared" ca="1" si="219"/>
        <v>55.164240653942699</v>
      </c>
      <c r="FI86" s="36">
        <f t="shared" ca="1" si="219"/>
        <v>55.678595829485523</v>
      </c>
      <c r="FJ86" s="36">
        <f t="shared" ca="1" si="219"/>
        <v>55.21074676725982</v>
      </c>
      <c r="FK86" s="36">
        <f t="shared" ca="1" si="219"/>
        <v>55.562391205985378</v>
      </c>
      <c r="FL86" s="36">
        <f t="shared" ca="1" si="219"/>
        <v>54.439885373198074</v>
      </c>
      <c r="FM86" s="36">
        <f t="shared" ca="1" si="219"/>
        <v>54.894780023309174</v>
      </c>
      <c r="FN86" s="36">
        <f t="shared" ca="1" si="219"/>
        <v>55.290596662159082</v>
      </c>
      <c r="FO86" s="36">
        <f t="shared" ca="1" si="219"/>
        <v>55.863887271124128</v>
      </c>
      <c r="FP86" s="36">
        <f t="shared" ca="1" si="219"/>
        <v>56.333851976527633</v>
      </c>
      <c r="FQ86" s="36">
        <f t="shared" ca="1" si="219"/>
        <v>55.99438756280135</v>
      </c>
      <c r="FR86" s="36">
        <f t="shared" ca="1" si="219"/>
        <v>55.446269412913743</v>
      </c>
      <c r="FS86" s="36">
        <f t="shared" ca="1" si="219"/>
        <v>55.315567662989437</v>
      </c>
      <c r="FT86" s="36">
        <f t="shared" ca="1" si="219"/>
        <v>55.889117117216813</v>
      </c>
      <c r="FU86" s="36">
        <f t="shared" ca="1" si="219"/>
        <v>55.91823983839879</v>
      </c>
      <c r="FV86" s="36">
        <f t="shared" ca="1" si="219"/>
        <v>55.232964638101443</v>
      </c>
      <c r="FW86" s="36">
        <f t="shared" ca="1" si="219"/>
        <v>56.182992576458624</v>
      </c>
      <c r="FX86" s="36">
        <f t="shared" ca="1" si="219"/>
        <v>56.315502175017336</v>
      </c>
      <c r="FY86" s="36">
        <f t="shared" ca="1" si="219"/>
        <v>55.881170294780901</v>
      </c>
      <c r="FZ86" s="36">
        <f t="shared" ca="1" si="219"/>
        <v>55.708087763776042</v>
      </c>
      <c r="GA86" s="36">
        <f t="shared" ca="1" si="219"/>
        <v>56.600364346669636</v>
      </c>
      <c r="GB86" s="36">
        <f t="shared" ca="1" si="219"/>
        <v>56.393535023650067</v>
      </c>
      <c r="GC86" s="36">
        <f t="shared" ca="1" si="219"/>
        <v>55.935461358123568</v>
      </c>
      <c r="GD86" s="36">
        <f t="shared" ca="1" si="219"/>
        <v>55.895574680555072</v>
      </c>
      <c r="GE86" s="36">
        <f t="shared" ca="1" si="219"/>
        <v>55.387188746528857</v>
      </c>
      <c r="GF86" s="36">
        <f t="shared" ca="1" si="219"/>
        <v>55.205706708915308</v>
      </c>
      <c r="GG86" s="36">
        <f t="shared" ca="1" si="219"/>
        <v>55.365043882926621</v>
      </c>
      <c r="GH86" s="36">
        <f t="shared" ca="1" si="219"/>
        <v>56.311623676618161</v>
      </c>
      <c r="GI86" s="36">
        <f t="shared" ca="1" si="219"/>
        <v>56.127296526630857</v>
      </c>
      <c r="GJ86" s="36">
        <f t="shared" ca="1" si="219"/>
        <v>55.656801537367635</v>
      </c>
      <c r="GK86" s="36">
        <f t="shared" ca="1" si="219"/>
        <v>54.524688478951717</v>
      </c>
      <c r="GL86" s="36">
        <f t="shared" ca="1" si="219"/>
        <v>53.745970243872343</v>
      </c>
      <c r="GM86" s="36">
        <f t="shared" ca="1" si="219"/>
        <v>53.752316903324896</v>
      </c>
      <c r="GN86" s="36">
        <f t="shared" ca="1" si="219"/>
        <v>53.84538408465086</v>
      </c>
      <c r="GO86" s="36">
        <f t="shared" ca="1" si="219"/>
        <v>53.600758600773062</v>
      </c>
      <c r="GP86" s="36">
        <f t="shared" ca="1" si="219"/>
        <v>55.593434782528767</v>
      </c>
      <c r="GQ86" s="36">
        <f t="shared" ca="1" si="219"/>
        <v>56.332849934354712</v>
      </c>
      <c r="GR86" s="36">
        <f t="shared" ca="1" si="219"/>
        <v>55.411646351406212</v>
      </c>
      <c r="GS86" s="36">
        <f t="shared" ca="1" si="219"/>
        <v>54.581441855359891</v>
      </c>
      <c r="GT86" s="36">
        <f t="shared" ca="1" si="219"/>
        <v>54.915389663239495</v>
      </c>
      <c r="GU86" s="36">
        <f t="shared" ca="1" si="219"/>
        <v>54.246146386907149</v>
      </c>
      <c r="GV86" s="36">
        <f t="shared" ca="1" si="219"/>
        <v>54.37475981310709</v>
      </c>
      <c r="GW86" s="36">
        <f t="shared" ca="1" si="219"/>
        <v>53.41910363211543</v>
      </c>
      <c r="GX86" s="36">
        <f t="shared" ca="1" si="219"/>
        <v>51.983358341732725</v>
      </c>
      <c r="GY86" s="36">
        <f t="shared" ca="1" si="219"/>
        <v>52.579642636672581</v>
      </c>
      <c r="GZ86" s="36">
        <f t="shared" ca="1" si="219"/>
        <v>52.921138263410477</v>
      </c>
      <c r="HA86" s="36">
        <f t="shared" ca="1" si="219"/>
        <v>52.872210151296251</v>
      </c>
      <c r="HB86" s="36">
        <f t="shared" ca="1" si="219"/>
        <v>53.195102198280232</v>
      </c>
      <c r="HC86" s="36">
        <f t="shared" ca="1" si="219"/>
        <v>53.857296298231148</v>
      </c>
      <c r="HD86" s="36">
        <f t="shared" ca="1" si="219"/>
        <v>55.220949420196725</v>
      </c>
      <c r="HE86" s="36">
        <f t="shared" ca="1" si="219"/>
        <v>55.593872347327626</v>
      </c>
      <c r="HF86" s="36">
        <f t="shared" ca="1" si="219"/>
        <v>56.395032816886221</v>
      </c>
      <c r="HG86" s="36">
        <f t="shared" ca="1" si="219"/>
        <v>56.639690786024495</v>
      </c>
      <c r="HH86" s="36">
        <f t="shared" ca="1" si="219"/>
        <v>57.010809350376043</v>
      </c>
      <c r="HI86" s="36">
        <f t="shared" ca="1" si="219"/>
        <v>56.451258292911135</v>
      </c>
      <c r="HJ86" s="36">
        <f t="shared" ca="1" si="219"/>
        <v>55.513853720469392</v>
      </c>
      <c r="HK86" s="36">
        <f t="shared" ca="1" si="219"/>
        <v>54.767133550960686</v>
      </c>
      <c r="HL86" s="36">
        <f t="shared" ref="HL86:HT86" ca="1" si="220">HK86*EXP(($B$3-$B$4^2/2)*1+$B$4*_xlfn.NORM.S.INV(RAND()))</f>
        <v>55.192202407269235</v>
      </c>
      <c r="HM86" s="36">
        <f t="shared" ca="1" si="220"/>
        <v>54.934004197194973</v>
      </c>
      <c r="HN86" s="36">
        <f t="shared" ca="1" si="220"/>
        <v>54.443211009625635</v>
      </c>
      <c r="HO86" s="36">
        <f t="shared" ca="1" si="220"/>
        <v>55.687668151298084</v>
      </c>
      <c r="HP86" s="36">
        <f t="shared" ca="1" si="220"/>
        <v>56.290533311190714</v>
      </c>
      <c r="HQ86" s="36">
        <f t="shared" ca="1" si="220"/>
        <v>57.099577086193953</v>
      </c>
      <c r="HR86" s="36">
        <f t="shared" ca="1" si="220"/>
        <v>57.582739597903021</v>
      </c>
      <c r="HS86" s="36">
        <f t="shared" ca="1" si="220"/>
        <v>57.443353001979226</v>
      </c>
      <c r="HT86" s="36">
        <f t="shared" ca="1" si="220"/>
        <v>57.949759128479336</v>
      </c>
      <c r="HU86" s="36">
        <f t="shared" ca="1" si="177"/>
        <v>58.150681530056232</v>
      </c>
      <c r="HV86" s="36">
        <f t="shared" ca="1" si="177"/>
        <v>58.581442505276279</v>
      </c>
      <c r="HW86" s="36">
        <f t="shared" ca="1" si="177"/>
        <v>59.020129693367949</v>
      </c>
      <c r="HX86" s="36">
        <f t="shared" ca="1" si="177"/>
        <v>58.555362798459726</v>
      </c>
      <c r="HY86" s="36">
        <f t="shared" ca="1" si="177"/>
        <v>58.633956693306111</v>
      </c>
      <c r="HZ86" s="36">
        <f t="shared" ca="1" si="196"/>
        <v>59.581803968580971</v>
      </c>
      <c r="IA86" s="36">
        <f t="shared" ca="1" si="196"/>
        <v>59.427945558556047</v>
      </c>
      <c r="IB86" s="36">
        <f t="shared" ca="1" si="196"/>
        <v>60.723589199669149</v>
      </c>
      <c r="IC86" s="36">
        <f t="shared" ca="1" si="196"/>
        <v>58.801808471617925</v>
      </c>
      <c r="ID86" s="36">
        <f t="shared" ca="1" si="196"/>
        <v>58.348226478374684</v>
      </c>
      <c r="IE86" s="36">
        <f t="shared" ca="1" si="196"/>
        <v>59.642010810038848</v>
      </c>
      <c r="IF86" s="36">
        <f t="shared" ca="1" si="196"/>
        <v>58.743150343896033</v>
      </c>
      <c r="IG86" s="36">
        <f t="shared" ca="1" si="196"/>
        <v>59.601389051424015</v>
      </c>
      <c r="IH86" s="36">
        <f t="shared" ca="1" si="196"/>
        <v>59.8616107160681</v>
      </c>
      <c r="II86" s="36">
        <f t="shared" ca="1" si="196"/>
        <v>60.07896476856039</v>
      </c>
      <c r="IJ86" s="36">
        <f t="shared" ca="1" si="196"/>
        <v>59.645680897435497</v>
      </c>
      <c r="IK86" s="36">
        <f t="shared" ca="1" si="196"/>
        <v>59.671039263615363</v>
      </c>
      <c r="IL86" s="36">
        <f t="shared" ca="1" si="196"/>
        <v>59.495944621834894</v>
      </c>
      <c r="IM86" s="36">
        <f t="shared" ca="1" si="196"/>
        <v>60.636061359567606</v>
      </c>
      <c r="IN86" s="36">
        <f t="shared" ca="1" si="196"/>
        <v>61.307457608280835</v>
      </c>
      <c r="IO86" s="36">
        <f t="shared" ca="1" si="196"/>
        <v>60.841888342792359</v>
      </c>
      <c r="IP86" s="36">
        <f t="shared" ca="1" si="196"/>
        <v>60.660069219045184</v>
      </c>
      <c r="IQ86" s="36">
        <f t="shared" ca="1" si="196"/>
        <v>60.954651218247633</v>
      </c>
      <c r="IR86" s="36">
        <f t="shared" ca="1" si="196"/>
        <v>60.992142017605609</v>
      </c>
      <c r="IS86" s="36">
        <f t="shared" ca="1" si="196"/>
        <v>62.348029863588614</v>
      </c>
      <c r="IT86" s="36">
        <f t="shared" ca="1" si="196"/>
        <v>62.595165519020021</v>
      </c>
      <c r="IU86" s="36">
        <f t="shared" ca="1" si="196"/>
        <v>63.302272745087393</v>
      </c>
    </row>
    <row r="87" spans="1:255" x14ac:dyDescent="0.2">
      <c r="A87" s="36"/>
      <c r="B87">
        <v>77</v>
      </c>
      <c r="C87" s="36">
        <v>50</v>
      </c>
      <c r="D87" s="36">
        <f t="shared" ca="1" si="188"/>
        <v>49.087631159655658</v>
      </c>
      <c r="E87" s="36">
        <f t="shared" ca="1" si="188"/>
        <v>49.197449169720763</v>
      </c>
      <c r="F87" s="36">
        <f t="shared" ca="1" si="217"/>
        <v>49.243259545992252</v>
      </c>
      <c r="G87" s="36">
        <f t="shared" ca="1" si="217"/>
        <v>48.503896427396739</v>
      </c>
      <c r="H87" s="36">
        <f t="shared" ca="1" si="217"/>
        <v>48.638485023079987</v>
      </c>
      <c r="I87" s="36">
        <f t="shared" ca="1" si="217"/>
        <v>48.156890955529562</v>
      </c>
      <c r="J87" s="36">
        <f t="shared" ca="1" si="217"/>
        <v>47.767813830464618</v>
      </c>
      <c r="K87" s="36">
        <f t="shared" ca="1" si="217"/>
        <v>46.872361820116467</v>
      </c>
      <c r="L87" s="36">
        <f t="shared" ca="1" si="217"/>
        <v>45.768301720970506</v>
      </c>
      <c r="M87" s="36">
        <f t="shared" ca="1" si="217"/>
        <v>45.602763897016722</v>
      </c>
      <c r="N87" s="36">
        <f t="shared" ca="1" si="217"/>
        <v>44.983858309579659</v>
      </c>
      <c r="O87" s="36">
        <f t="shared" ca="1" si="217"/>
        <v>45.477918469229735</v>
      </c>
      <c r="P87" s="36">
        <f t="shared" ca="1" si="217"/>
        <v>44.267940823707214</v>
      </c>
      <c r="Q87" s="36">
        <f t="shared" ca="1" si="217"/>
        <v>43.991428565187128</v>
      </c>
      <c r="R87" s="36">
        <f t="shared" ca="1" si="217"/>
        <v>44.480590827129497</v>
      </c>
      <c r="S87" s="36">
        <f t="shared" ca="1" si="217"/>
        <v>44.798955474905817</v>
      </c>
      <c r="T87" s="36">
        <f t="shared" ca="1" si="217"/>
        <v>44.72769701657721</v>
      </c>
      <c r="U87" s="36">
        <f t="shared" ca="1" si="217"/>
        <v>45.154856964847681</v>
      </c>
      <c r="V87" s="36">
        <f t="shared" ca="1" si="217"/>
        <v>45.615297667851138</v>
      </c>
      <c r="W87" s="36">
        <f t="shared" ca="1" si="217"/>
        <v>45.504195592879178</v>
      </c>
      <c r="X87" s="36">
        <f t="shared" ca="1" si="217"/>
        <v>45.454592884348614</v>
      </c>
      <c r="Y87" s="36">
        <f t="shared" ca="1" si="217"/>
        <v>45.531414368206015</v>
      </c>
      <c r="Z87" s="36">
        <f t="shared" ca="1" si="217"/>
        <v>45.849332081428436</v>
      </c>
      <c r="AA87" s="36">
        <f t="shared" ca="1" si="217"/>
        <v>45.785686461116946</v>
      </c>
      <c r="AB87" s="36">
        <f t="shared" ca="1" si="217"/>
        <v>46.015348963095214</v>
      </c>
      <c r="AC87" s="36">
        <f t="shared" ca="1" si="217"/>
        <v>46.612350916439169</v>
      </c>
      <c r="AD87" s="36">
        <f t="shared" ca="1" si="217"/>
        <v>46.082066169742752</v>
      </c>
      <c r="AE87" s="36">
        <f t="shared" ca="1" si="217"/>
        <v>46.710099444990604</v>
      </c>
      <c r="AF87" s="36">
        <f t="shared" ca="1" si="217"/>
        <v>46.339655846425515</v>
      </c>
      <c r="AG87" s="36">
        <f t="shared" ca="1" si="217"/>
        <v>46.905063849044545</v>
      </c>
      <c r="AH87" s="36">
        <f t="shared" ca="1" si="217"/>
        <v>46.315997729942083</v>
      </c>
      <c r="AI87" s="36">
        <f t="shared" ca="1" si="217"/>
        <v>45.469795326845848</v>
      </c>
      <c r="AJ87" s="36">
        <f t="shared" ca="1" si="217"/>
        <v>45.286488181856726</v>
      </c>
      <c r="AK87" s="36">
        <f t="shared" ca="1" si="217"/>
        <v>45.52258415059066</v>
      </c>
      <c r="AL87" s="36">
        <f t="shared" ca="1" si="217"/>
        <v>44.899195869092765</v>
      </c>
      <c r="AM87" s="36">
        <f t="shared" ca="1" si="217"/>
        <v>45.161845030820686</v>
      </c>
      <c r="AN87" s="36">
        <f t="shared" ca="1" si="217"/>
        <v>45.259571291437908</v>
      </c>
      <c r="AO87" s="36">
        <f t="shared" ca="1" si="217"/>
        <v>45.196926314764177</v>
      </c>
      <c r="AP87" s="36">
        <f t="shared" ca="1" si="217"/>
        <v>44.929195170058939</v>
      </c>
      <c r="AQ87" s="36">
        <f t="shared" ca="1" si="217"/>
        <v>45.318607004882331</v>
      </c>
      <c r="AR87" s="36">
        <f t="shared" ca="1" si="217"/>
        <v>46.493892506600318</v>
      </c>
      <c r="AS87" s="36">
        <f t="shared" ca="1" si="217"/>
        <v>45.882324141334983</v>
      </c>
      <c r="AT87" s="36">
        <f t="shared" ca="1" si="217"/>
        <v>46.20935947460142</v>
      </c>
      <c r="AU87" s="36">
        <f t="shared" ca="1" si="217"/>
        <v>45.734576025592197</v>
      </c>
      <c r="AV87" s="36">
        <f t="shared" ca="1" si="217"/>
        <v>45.938969351158981</v>
      </c>
      <c r="AW87" s="36">
        <f t="shared" ca="1" si="217"/>
        <v>46.221205283362181</v>
      </c>
      <c r="AX87" s="36">
        <f t="shared" ca="1" si="217"/>
        <v>46.339135837475247</v>
      </c>
      <c r="AY87" s="36">
        <f t="shared" ca="1" si="217"/>
        <v>46.329566179194799</v>
      </c>
      <c r="AZ87" s="36">
        <f t="shared" ca="1" si="217"/>
        <v>46.094720467111948</v>
      </c>
      <c r="BA87" s="36">
        <f t="shared" ca="1" si="217"/>
        <v>46.62424120668269</v>
      </c>
      <c r="BB87" s="36">
        <f t="shared" ca="1" si="217"/>
        <v>46.160792420647027</v>
      </c>
      <c r="BC87" s="36">
        <f t="shared" ca="1" si="217"/>
        <v>45.641802871848512</v>
      </c>
      <c r="BD87" s="36">
        <f t="shared" ca="1" si="217"/>
        <v>45.901428666392938</v>
      </c>
      <c r="BE87" s="36">
        <f t="shared" ca="1" si="217"/>
        <v>46.338922077127954</v>
      </c>
      <c r="BF87" s="36">
        <f t="shared" ca="1" si="217"/>
        <v>45.205708914830183</v>
      </c>
      <c r="BG87" s="36">
        <f t="shared" ca="1" si="217"/>
        <v>45.024412596192356</v>
      </c>
      <c r="BH87" s="36">
        <f t="shared" ca="1" si="217"/>
        <v>45.951876726027756</v>
      </c>
      <c r="BI87" s="36">
        <f t="shared" ca="1" si="217"/>
        <v>45.450758755534871</v>
      </c>
      <c r="BJ87" s="36">
        <f t="shared" ca="1" si="217"/>
        <v>44.647054427510724</v>
      </c>
      <c r="BK87" s="36">
        <f t="shared" ca="1" si="217"/>
        <v>44.324912812238068</v>
      </c>
      <c r="BL87" s="36">
        <f t="shared" ca="1" si="217"/>
        <v>44.588168843918055</v>
      </c>
      <c r="BM87" s="36">
        <f t="shared" ca="1" si="217"/>
        <v>45.341826832926102</v>
      </c>
      <c r="BN87" s="36">
        <f t="shared" ca="1" si="217"/>
        <v>44.607498500596044</v>
      </c>
      <c r="BO87" s="36">
        <f t="shared" ca="1" si="217"/>
        <v>44.656603462042256</v>
      </c>
      <c r="BP87" s="36">
        <f t="shared" ca="1" si="217"/>
        <v>44.410820903525376</v>
      </c>
      <c r="BQ87" s="36">
        <f t="shared" ca="1" si="217"/>
        <v>44.745910286548153</v>
      </c>
      <c r="BR87" s="36">
        <f t="shared" ca="1" si="213"/>
        <v>44.90106812049725</v>
      </c>
      <c r="BS87" s="36">
        <f t="shared" ca="1" si="213"/>
        <v>44.466144525244509</v>
      </c>
      <c r="BT87" s="36">
        <f t="shared" ca="1" si="213"/>
        <v>44.477033613349676</v>
      </c>
      <c r="BU87" s="36">
        <f t="shared" ca="1" si="213"/>
        <v>44.55305130197376</v>
      </c>
      <c r="BV87" s="36">
        <f t="shared" ca="1" si="213"/>
        <v>44.437845094990983</v>
      </c>
      <c r="BW87" s="36">
        <f t="shared" ca="1" si="213"/>
        <v>45.09566537808189</v>
      </c>
      <c r="BX87" s="36">
        <f t="shared" ca="1" si="213"/>
        <v>45.517824005384021</v>
      </c>
      <c r="BY87" s="36">
        <f t="shared" ca="1" si="213"/>
        <v>45.760457092494846</v>
      </c>
      <c r="BZ87" s="36">
        <f t="shared" ca="1" si="213"/>
        <v>45.790266836834427</v>
      </c>
      <c r="CA87" s="36">
        <f t="shared" ca="1" si="213"/>
        <v>45.525338799534055</v>
      </c>
      <c r="CB87" s="36">
        <f t="shared" ca="1" si="213"/>
        <v>44.458415270762387</v>
      </c>
      <c r="CC87" s="36">
        <f t="shared" ca="1" si="213"/>
        <v>44.754852539519511</v>
      </c>
      <c r="CD87" s="36">
        <f t="shared" ca="1" si="213"/>
        <v>45.048630930285043</v>
      </c>
      <c r="CE87" s="36">
        <f t="shared" ca="1" si="213"/>
        <v>45.954742945900335</v>
      </c>
      <c r="CF87" s="36">
        <f t="shared" ca="1" si="213"/>
        <v>46.25893965965961</v>
      </c>
      <c r="CG87" s="36">
        <f t="shared" ca="1" si="213"/>
        <v>45.09944607553475</v>
      </c>
      <c r="CH87" s="36">
        <f t="shared" ca="1" si="213"/>
        <v>45.369722792985087</v>
      </c>
      <c r="CI87" s="36">
        <f t="shared" ca="1" si="213"/>
        <v>45.724991599976882</v>
      </c>
      <c r="CJ87" s="36">
        <f t="shared" ca="1" si="213"/>
        <v>46.258272258325206</v>
      </c>
      <c r="CK87" s="36">
        <f t="shared" ca="1" si="213"/>
        <v>46.080531796564614</v>
      </c>
      <c r="CL87" s="36">
        <f t="shared" ca="1" si="213"/>
        <v>46.012463428978378</v>
      </c>
      <c r="CM87" s="36">
        <f t="shared" ca="1" si="213"/>
        <v>46.449507911212372</v>
      </c>
      <c r="CN87" s="36">
        <f t="shared" ca="1" si="213"/>
        <v>47.384843766744467</v>
      </c>
      <c r="CO87" s="36">
        <f t="shared" ca="1" si="213"/>
        <v>47.124821732332293</v>
      </c>
      <c r="CP87" s="36">
        <f t="shared" ca="1" si="213"/>
        <v>47.087292275099692</v>
      </c>
      <c r="CQ87" s="36">
        <f t="shared" ca="1" si="213"/>
        <v>47.387171386076844</v>
      </c>
      <c r="CR87" s="36">
        <f t="shared" ca="1" si="213"/>
        <v>46.884616039090574</v>
      </c>
      <c r="CS87" s="36">
        <f t="shared" ca="1" si="213"/>
        <v>45.678179327968692</v>
      </c>
      <c r="CT87" s="36">
        <f t="shared" ca="1" si="213"/>
        <v>46.056969003460658</v>
      </c>
      <c r="CU87" s="36">
        <f t="shared" ca="1" si="213"/>
        <v>46.38720776422624</v>
      </c>
      <c r="CV87" s="36">
        <f t="shared" ca="1" si="213"/>
        <v>45.442948696264303</v>
      </c>
      <c r="CW87" s="36">
        <f t="shared" ca="1" si="213"/>
        <v>45.54961350017134</v>
      </c>
      <c r="CX87" s="36">
        <f t="shared" ca="1" si="213"/>
        <v>45.939720976013845</v>
      </c>
      <c r="CY87" s="36">
        <f t="shared" ca="1" si="213"/>
        <v>45.829686698821739</v>
      </c>
      <c r="CZ87" s="36">
        <f t="shared" ca="1" si="213"/>
        <v>46.233601306469232</v>
      </c>
      <c r="DA87" s="36">
        <f t="shared" ca="1" si="213"/>
        <v>46.496662429619903</v>
      </c>
      <c r="DB87" s="36">
        <f t="shared" ca="1" si="213"/>
        <v>45.604178975224066</v>
      </c>
      <c r="DC87" s="36">
        <f t="shared" ca="1" si="213"/>
        <v>45.624223520102682</v>
      </c>
      <c r="DD87" s="36">
        <f t="shared" ca="1" si="213"/>
        <v>45.860194613786142</v>
      </c>
      <c r="DE87" s="36">
        <f t="shared" ca="1" si="213"/>
        <v>45.739112842167877</v>
      </c>
      <c r="DF87" s="36">
        <f t="shared" ca="1" si="213"/>
        <v>45.170733598762446</v>
      </c>
      <c r="DG87" s="36">
        <f t="shared" ca="1" si="213"/>
        <v>44.894523259183231</v>
      </c>
      <c r="DH87" s="36">
        <f t="shared" ca="1" si="213"/>
        <v>44.203933079992289</v>
      </c>
      <c r="DI87" s="36">
        <f t="shared" ca="1" si="213"/>
        <v>43.792279946153492</v>
      </c>
      <c r="DJ87" s="36">
        <f t="shared" ca="1" si="213"/>
        <v>44.53673176255549</v>
      </c>
      <c r="DK87" s="36">
        <f t="shared" ca="1" si="213"/>
        <v>45.050134544338853</v>
      </c>
      <c r="DL87" s="36">
        <f t="shared" ca="1" si="213"/>
        <v>44.257710128722294</v>
      </c>
      <c r="DM87" s="36">
        <f t="shared" ca="1" si="213"/>
        <v>42.82921339617878</v>
      </c>
      <c r="DN87" s="36">
        <f t="shared" ca="1" si="213"/>
        <v>42.264001378849031</v>
      </c>
      <c r="DO87" s="36">
        <f t="shared" ca="1" si="213"/>
        <v>42.194039392744919</v>
      </c>
      <c r="DP87" s="36">
        <f t="shared" ca="1" si="213"/>
        <v>42.593693434252515</v>
      </c>
      <c r="DQ87" s="36">
        <f t="shared" ca="1" si="213"/>
        <v>42.361255526899313</v>
      </c>
      <c r="DR87" s="36">
        <f t="shared" ca="1" si="213"/>
        <v>42.656544713264239</v>
      </c>
      <c r="DS87" s="36">
        <f t="shared" ca="1" si="213"/>
        <v>43.02308934327435</v>
      </c>
      <c r="DT87" s="36">
        <f t="shared" ca="1" si="213"/>
        <v>43.338790398211685</v>
      </c>
      <c r="DU87" s="36">
        <f t="shared" ca="1" si="213"/>
        <v>43.181837478352293</v>
      </c>
      <c r="DV87" s="36">
        <f t="shared" ca="1" si="213"/>
        <v>43.549398734609284</v>
      </c>
      <c r="DW87" s="36">
        <f t="shared" ca="1" si="213"/>
        <v>43.967563954348513</v>
      </c>
      <c r="DX87" s="36">
        <f t="shared" ca="1" si="213"/>
        <v>44.515876996613251</v>
      </c>
      <c r="DY87" s="36">
        <f t="shared" ca="1" si="213"/>
        <v>44.991316133897669</v>
      </c>
      <c r="DZ87" s="36">
        <f t="shared" ca="1" si="213"/>
        <v>45.084166075092369</v>
      </c>
      <c r="EA87" s="36">
        <f t="shared" ca="1" si="213"/>
        <v>44.893726348959561</v>
      </c>
      <c r="EB87" s="36">
        <f t="shared" ca="1" si="213"/>
        <v>44.707809103509348</v>
      </c>
      <c r="EC87" s="36">
        <f t="shared" ca="1" si="198"/>
        <v>44.768122418801994</v>
      </c>
      <c r="ED87" s="36">
        <f t="shared" ca="1" si="193"/>
        <v>44.64976074928321</v>
      </c>
      <c r="EE87" s="36">
        <f t="shared" ca="1" si="193"/>
        <v>45.211993344757211</v>
      </c>
      <c r="EF87" s="36">
        <f t="shared" ca="1" si="214"/>
        <v>45.173491623842082</v>
      </c>
      <c r="EG87" s="36">
        <f t="shared" ca="1" si="214"/>
        <v>45.533017561491157</v>
      </c>
      <c r="EH87" s="36">
        <f t="shared" ca="1" si="214"/>
        <v>45.191161381538535</v>
      </c>
      <c r="EI87" s="36">
        <f t="shared" ca="1" si="214"/>
        <v>45.013278296537813</v>
      </c>
      <c r="EJ87" s="36">
        <f t="shared" ca="1" si="214"/>
        <v>45.068967157474503</v>
      </c>
      <c r="EK87" s="36">
        <f t="shared" ca="1" si="214"/>
        <v>44.78665811636462</v>
      </c>
      <c r="EL87" s="36">
        <f t="shared" ca="1" si="214"/>
        <v>44.560201369165668</v>
      </c>
      <c r="EM87" s="36">
        <f t="shared" ca="1" si="214"/>
        <v>45.294512657131285</v>
      </c>
      <c r="EN87" s="36">
        <f t="shared" ca="1" si="214"/>
        <v>44.698664636132065</v>
      </c>
      <c r="EO87" s="36">
        <f t="shared" ca="1" si="214"/>
        <v>45.218245230210414</v>
      </c>
      <c r="EP87" s="36">
        <f t="shared" ca="1" si="214"/>
        <v>46.059953127062045</v>
      </c>
      <c r="EQ87" s="36">
        <f t="shared" ca="1" si="214"/>
        <v>44.71819024017892</v>
      </c>
      <c r="ER87" s="36">
        <f t="shared" ca="1" si="214"/>
        <v>44.145223916477512</v>
      </c>
      <c r="ES87" s="36">
        <f t="shared" ca="1" si="214"/>
        <v>45.255161581021191</v>
      </c>
      <c r="ET87" s="36">
        <f t="shared" ca="1" si="214"/>
        <v>44.682054663026072</v>
      </c>
      <c r="EU87" s="36">
        <f t="shared" ca="1" si="214"/>
        <v>43.470696733431275</v>
      </c>
      <c r="EV87" s="36">
        <f t="shared" ca="1" si="214"/>
        <v>43.857865932826087</v>
      </c>
      <c r="EW87" s="36">
        <f t="shared" ref="EW87:HH91" ca="1" si="221">EV87*EXP(($B$3-$B$4^2/2)*1+$B$4*_xlfn.NORM.S.INV(RAND()))</f>
        <v>44.880719973138078</v>
      </c>
      <c r="EX87" s="36">
        <f t="shared" ca="1" si="221"/>
        <v>45.137848381647558</v>
      </c>
      <c r="EY87" s="36">
        <f t="shared" ca="1" si="221"/>
        <v>45.342239845633387</v>
      </c>
      <c r="EZ87" s="36">
        <f t="shared" ca="1" si="221"/>
        <v>46.185715643128276</v>
      </c>
      <c r="FA87" s="36">
        <f t="shared" ca="1" si="221"/>
        <v>45.51395364376328</v>
      </c>
      <c r="FB87" s="36">
        <f t="shared" ca="1" si="221"/>
        <v>44.834298295373003</v>
      </c>
      <c r="FC87" s="36">
        <f t="shared" ca="1" si="221"/>
        <v>43.992071641698146</v>
      </c>
      <c r="FD87" s="36">
        <f t="shared" ca="1" si="221"/>
        <v>44.870223178220527</v>
      </c>
      <c r="FE87" s="36">
        <f t="shared" ca="1" si="221"/>
        <v>45.517668716744446</v>
      </c>
      <c r="FF87" s="36">
        <f t="shared" ca="1" si="221"/>
        <v>45.538695342355801</v>
      </c>
      <c r="FG87" s="36">
        <f t="shared" ca="1" si="221"/>
        <v>46.271328173368921</v>
      </c>
      <c r="FH87" s="36">
        <f t="shared" ca="1" si="221"/>
        <v>46.540631388439955</v>
      </c>
      <c r="FI87" s="36">
        <f t="shared" ca="1" si="221"/>
        <v>46.217239755378472</v>
      </c>
      <c r="FJ87" s="36">
        <f t="shared" ca="1" si="221"/>
        <v>46.139640898942552</v>
      </c>
      <c r="FK87" s="36">
        <f t="shared" ca="1" si="221"/>
        <v>46.209933072475408</v>
      </c>
      <c r="FL87" s="36">
        <f t="shared" ca="1" si="221"/>
        <v>46.192158404331437</v>
      </c>
      <c r="FM87" s="36">
        <f t="shared" ca="1" si="221"/>
        <v>45.743404598047469</v>
      </c>
      <c r="FN87" s="36">
        <f t="shared" ca="1" si="221"/>
        <v>46.258699814300449</v>
      </c>
      <c r="FO87" s="36">
        <f t="shared" ca="1" si="221"/>
        <v>45.951143830063728</v>
      </c>
      <c r="FP87" s="36">
        <f t="shared" ca="1" si="221"/>
        <v>45.924930108494735</v>
      </c>
      <c r="FQ87" s="36">
        <f t="shared" ca="1" si="221"/>
        <v>45.561482814161145</v>
      </c>
      <c r="FR87" s="36">
        <f t="shared" ca="1" si="221"/>
        <v>45.40854737647981</v>
      </c>
      <c r="FS87" s="36">
        <f t="shared" ca="1" si="221"/>
        <v>45.596055972999018</v>
      </c>
      <c r="FT87" s="36">
        <f t="shared" ca="1" si="221"/>
        <v>46.40224483178698</v>
      </c>
      <c r="FU87" s="36">
        <f t="shared" ca="1" si="221"/>
        <v>45.905417874224739</v>
      </c>
      <c r="FV87" s="36">
        <f t="shared" ca="1" si="221"/>
        <v>46.282738872845847</v>
      </c>
      <c r="FW87" s="36">
        <f t="shared" ca="1" si="221"/>
        <v>45.808757141728712</v>
      </c>
      <c r="FX87" s="36">
        <f t="shared" ca="1" si="221"/>
        <v>47.063395977509501</v>
      </c>
      <c r="FY87" s="36">
        <f t="shared" ca="1" si="221"/>
        <v>47.24332110402959</v>
      </c>
      <c r="FZ87" s="36">
        <f t="shared" ca="1" si="221"/>
        <v>48.116687158124556</v>
      </c>
      <c r="GA87" s="36">
        <f t="shared" ca="1" si="221"/>
        <v>47.585823216740486</v>
      </c>
      <c r="GB87" s="36">
        <f t="shared" ca="1" si="221"/>
        <v>46.485183300996532</v>
      </c>
      <c r="GC87" s="36">
        <f t="shared" ca="1" si="221"/>
        <v>46.719613134044138</v>
      </c>
      <c r="GD87" s="36">
        <f t="shared" ca="1" si="221"/>
        <v>46.201081174111053</v>
      </c>
      <c r="GE87" s="36">
        <f t="shared" ca="1" si="221"/>
        <v>45.782681133744482</v>
      </c>
      <c r="GF87" s="36">
        <f t="shared" ca="1" si="221"/>
        <v>45.640860617486574</v>
      </c>
      <c r="GG87" s="36">
        <f t="shared" ca="1" si="221"/>
        <v>44.990262627107924</v>
      </c>
      <c r="GH87" s="36">
        <f t="shared" ca="1" si="221"/>
        <v>46.069679067642205</v>
      </c>
      <c r="GI87" s="36">
        <f t="shared" ca="1" si="221"/>
        <v>45.535419899514466</v>
      </c>
      <c r="GJ87" s="36">
        <f t="shared" ca="1" si="221"/>
        <v>45.964233246371997</v>
      </c>
      <c r="GK87" s="36">
        <f t="shared" ca="1" si="221"/>
        <v>46.409248262404546</v>
      </c>
      <c r="GL87" s="36">
        <f t="shared" ca="1" si="221"/>
        <v>47.251029204646017</v>
      </c>
      <c r="GM87" s="36">
        <f t="shared" ca="1" si="221"/>
        <v>47.204773868473119</v>
      </c>
      <c r="GN87" s="36">
        <f t="shared" ca="1" si="221"/>
        <v>46.591319654257532</v>
      </c>
      <c r="GO87" s="36">
        <f t="shared" ca="1" si="221"/>
        <v>46.738539293512808</v>
      </c>
      <c r="GP87" s="36">
        <f t="shared" ca="1" si="221"/>
        <v>46.202704245139593</v>
      </c>
      <c r="GQ87" s="36">
        <f t="shared" ca="1" si="221"/>
        <v>46.488929435955455</v>
      </c>
      <c r="GR87" s="36">
        <f t="shared" ca="1" si="221"/>
        <v>46.768594971743099</v>
      </c>
      <c r="GS87" s="36">
        <f t="shared" ca="1" si="221"/>
        <v>46.929986960154842</v>
      </c>
      <c r="GT87" s="36">
        <f t="shared" ca="1" si="221"/>
        <v>47.285244722604489</v>
      </c>
      <c r="GU87" s="36">
        <f t="shared" ca="1" si="221"/>
        <v>47.612548303286559</v>
      </c>
      <c r="GV87" s="36">
        <f t="shared" ca="1" si="221"/>
        <v>47.244466763034865</v>
      </c>
      <c r="GW87" s="36">
        <f t="shared" ca="1" si="221"/>
        <v>46.12247617203785</v>
      </c>
      <c r="GX87" s="36">
        <f t="shared" ca="1" si="221"/>
        <v>45.440527980557995</v>
      </c>
      <c r="GY87" s="36">
        <f t="shared" ca="1" si="221"/>
        <v>44.719922806652903</v>
      </c>
      <c r="GZ87" s="36">
        <f t="shared" ca="1" si="221"/>
        <v>44.034965195678481</v>
      </c>
      <c r="HA87" s="36">
        <f t="shared" ca="1" si="221"/>
        <v>44.283110887938733</v>
      </c>
      <c r="HB87" s="36">
        <f t="shared" ca="1" si="221"/>
        <v>44.043520089001689</v>
      </c>
      <c r="HC87" s="36">
        <f t="shared" ca="1" si="221"/>
        <v>43.729785198408969</v>
      </c>
      <c r="HD87" s="36">
        <f t="shared" ca="1" si="221"/>
        <v>43.920153157328386</v>
      </c>
      <c r="HE87" s="36">
        <f t="shared" ca="1" si="221"/>
        <v>44.992368642050685</v>
      </c>
      <c r="HF87" s="36">
        <f t="shared" ca="1" si="221"/>
        <v>44.306184397373286</v>
      </c>
      <c r="HG87" s="36">
        <f t="shared" ca="1" si="221"/>
        <v>44.538831246476356</v>
      </c>
      <c r="HH87" s="36">
        <f t="shared" ca="1" si="221"/>
        <v>45.416567064606397</v>
      </c>
      <c r="HI87" s="36">
        <f t="shared" ca="1" si="219"/>
        <v>45.632063378624792</v>
      </c>
      <c r="HJ87" s="36">
        <f t="shared" ca="1" si="219"/>
        <v>45.488698327973786</v>
      </c>
      <c r="HK87" s="36">
        <f t="shared" ca="1" si="219"/>
        <v>44.909567308880575</v>
      </c>
      <c r="HL87" s="36">
        <f t="shared" ref="HL87:HT87" ca="1" si="222">HK87*EXP(($B$3-$B$4^2/2)*1+$B$4*_xlfn.NORM.S.INV(RAND()))</f>
        <v>45.660503855579051</v>
      </c>
      <c r="HM87" s="36">
        <f t="shared" ca="1" si="222"/>
        <v>45.219897211331755</v>
      </c>
      <c r="HN87" s="36">
        <f t="shared" ca="1" si="222"/>
        <v>44.665756654308723</v>
      </c>
      <c r="HO87" s="36">
        <f t="shared" ca="1" si="222"/>
        <v>44.897273843285234</v>
      </c>
      <c r="HP87" s="36">
        <f t="shared" ca="1" si="222"/>
        <v>43.792162230821049</v>
      </c>
      <c r="HQ87" s="36">
        <f t="shared" ca="1" si="222"/>
        <v>43.594113759299567</v>
      </c>
      <c r="HR87" s="36">
        <f t="shared" ca="1" si="222"/>
        <v>43.307564411355955</v>
      </c>
      <c r="HS87" s="36">
        <f t="shared" ca="1" si="222"/>
        <v>44.145273462142185</v>
      </c>
      <c r="HT87" s="36">
        <f t="shared" ca="1" si="222"/>
        <v>43.559660948314743</v>
      </c>
      <c r="HU87" s="36">
        <f t="shared" ca="1" si="177"/>
        <v>43.965954054303893</v>
      </c>
      <c r="HV87" s="36">
        <f t="shared" ca="1" si="177"/>
        <v>43.731539854469602</v>
      </c>
      <c r="HW87" s="36">
        <f t="shared" ca="1" si="177"/>
        <v>43.597652512479797</v>
      </c>
      <c r="HX87" s="36">
        <f t="shared" ca="1" si="177"/>
        <v>43.15501215065737</v>
      </c>
      <c r="HY87" s="36">
        <f t="shared" ca="1" si="177"/>
        <v>42.865243497027294</v>
      </c>
      <c r="HZ87" s="36">
        <f t="shared" ca="1" si="196"/>
        <v>42.586377675939254</v>
      </c>
      <c r="IA87" s="36">
        <f t="shared" ca="1" si="196"/>
        <v>41.935525916220406</v>
      </c>
      <c r="IB87" s="36">
        <f t="shared" ca="1" si="196"/>
        <v>41.976198864294886</v>
      </c>
      <c r="IC87" s="36">
        <f t="shared" ca="1" si="196"/>
        <v>42.221859192484438</v>
      </c>
      <c r="ID87" s="36">
        <f t="shared" ca="1" si="196"/>
        <v>42.287039538953948</v>
      </c>
      <c r="IE87" s="36">
        <f t="shared" ca="1" si="196"/>
        <v>43.218683273573554</v>
      </c>
      <c r="IF87" s="36">
        <f t="shared" ca="1" si="196"/>
        <v>43.985213221564116</v>
      </c>
      <c r="IG87" s="36">
        <f t="shared" ca="1" si="196"/>
        <v>43.109172586855898</v>
      </c>
      <c r="IH87" s="36">
        <f t="shared" ca="1" si="196"/>
        <v>43.453608349855777</v>
      </c>
      <c r="II87" s="36">
        <f t="shared" ca="1" si="196"/>
        <v>43.963347517268495</v>
      </c>
      <c r="IJ87" s="36">
        <f t="shared" ca="1" si="196"/>
        <v>44.641533582222429</v>
      </c>
      <c r="IK87" s="36">
        <f t="shared" ca="1" si="196"/>
        <v>43.598182815070402</v>
      </c>
      <c r="IL87" s="36">
        <f t="shared" ca="1" si="196"/>
        <v>43.482044531384744</v>
      </c>
      <c r="IM87" s="36">
        <f t="shared" ca="1" si="196"/>
        <v>43.679375877028846</v>
      </c>
      <c r="IN87" s="36">
        <f t="shared" ca="1" si="196"/>
        <v>43.230446493690962</v>
      </c>
      <c r="IO87" s="36">
        <f t="shared" ca="1" si="196"/>
        <v>43.848185803073058</v>
      </c>
      <c r="IP87" s="36">
        <f t="shared" ca="1" si="196"/>
        <v>44.12945235343966</v>
      </c>
      <c r="IQ87" s="36">
        <f t="shared" ca="1" si="196"/>
        <v>43.443151468987992</v>
      </c>
      <c r="IR87" s="36">
        <f t="shared" ca="1" si="196"/>
        <v>43.815317392655295</v>
      </c>
      <c r="IS87" s="36">
        <f t="shared" ca="1" si="196"/>
        <v>43.510288308329393</v>
      </c>
      <c r="IT87" s="36">
        <f t="shared" ca="1" si="196"/>
        <v>43.424178518373019</v>
      </c>
      <c r="IU87" s="36">
        <f t="shared" ca="1" si="196"/>
        <v>44.271344197732667</v>
      </c>
    </row>
    <row r="88" spans="1:255" x14ac:dyDescent="0.2">
      <c r="A88" s="36"/>
      <c r="B88">
        <v>78</v>
      </c>
      <c r="C88" s="36">
        <v>50</v>
      </c>
      <c r="D88" s="36">
        <f t="shared" ca="1" si="188"/>
        <v>50.345259793528875</v>
      </c>
      <c r="E88" s="36">
        <f t="shared" ca="1" si="188"/>
        <v>50.753964398269105</v>
      </c>
      <c r="F88" s="36">
        <f t="shared" ca="1" si="217"/>
        <v>50.922535143056535</v>
      </c>
      <c r="G88" s="36">
        <f t="shared" ca="1" si="217"/>
        <v>49.889460647981871</v>
      </c>
      <c r="H88" s="36">
        <f t="shared" ca="1" si="217"/>
        <v>49.853374824661124</v>
      </c>
      <c r="I88" s="36">
        <f t="shared" ca="1" si="217"/>
        <v>50.603646674998132</v>
      </c>
      <c r="J88" s="36">
        <f t="shared" ca="1" si="217"/>
        <v>51.058838932196487</v>
      </c>
      <c r="K88" s="36">
        <f t="shared" ca="1" si="217"/>
        <v>50.765992371258804</v>
      </c>
      <c r="L88" s="36">
        <f t="shared" ca="1" si="217"/>
        <v>50.758128426255993</v>
      </c>
      <c r="M88" s="36">
        <f t="shared" ca="1" si="217"/>
        <v>51.067968936232859</v>
      </c>
      <c r="N88" s="36">
        <f t="shared" ca="1" si="217"/>
        <v>52.012783650170036</v>
      </c>
      <c r="O88" s="36">
        <f t="shared" ca="1" si="217"/>
        <v>51.261139819002196</v>
      </c>
      <c r="P88" s="36">
        <f t="shared" ca="1" si="217"/>
        <v>51.244063194356436</v>
      </c>
      <c r="Q88" s="36">
        <f t="shared" ca="1" si="217"/>
        <v>50.708712456222138</v>
      </c>
      <c r="R88" s="36">
        <f t="shared" ca="1" si="217"/>
        <v>50.913164067587211</v>
      </c>
      <c r="S88" s="36">
        <f t="shared" ca="1" si="217"/>
        <v>51.48328350923029</v>
      </c>
      <c r="T88" s="36">
        <f t="shared" ca="1" si="217"/>
        <v>52.14420548857855</v>
      </c>
      <c r="U88" s="36">
        <f t="shared" ca="1" si="217"/>
        <v>51.823797039389525</v>
      </c>
      <c r="V88" s="36">
        <f t="shared" ca="1" si="217"/>
        <v>50.38361074757173</v>
      </c>
      <c r="W88" s="36">
        <f t="shared" ca="1" si="217"/>
        <v>50.986801472670365</v>
      </c>
      <c r="X88" s="36">
        <f t="shared" ca="1" si="217"/>
        <v>51.431537999091482</v>
      </c>
      <c r="Y88" s="36">
        <f t="shared" ca="1" si="217"/>
        <v>51.508559652924987</v>
      </c>
      <c r="Z88" s="36">
        <f t="shared" ca="1" si="217"/>
        <v>51.483067164839646</v>
      </c>
      <c r="AA88" s="36">
        <f t="shared" ca="1" si="217"/>
        <v>52.213625109484894</v>
      </c>
      <c r="AB88" s="36">
        <f t="shared" ca="1" si="217"/>
        <v>53.024693524938797</v>
      </c>
      <c r="AC88" s="36">
        <f t="shared" ca="1" si="217"/>
        <v>52.758982378352968</v>
      </c>
      <c r="AD88" s="36">
        <f t="shared" ca="1" si="217"/>
        <v>52.852858656076116</v>
      </c>
      <c r="AE88" s="36">
        <f t="shared" ca="1" si="217"/>
        <v>53.115835225259325</v>
      </c>
      <c r="AF88" s="36">
        <f t="shared" ca="1" si="217"/>
        <v>53.54911654885187</v>
      </c>
      <c r="AG88" s="36">
        <f t="shared" ca="1" si="217"/>
        <v>53.293395794850738</v>
      </c>
      <c r="AH88" s="36">
        <f t="shared" ca="1" si="217"/>
        <v>53.535457043540674</v>
      </c>
      <c r="AI88" s="36">
        <f t="shared" ca="1" si="217"/>
        <v>54.277839390663338</v>
      </c>
      <c r="AJ88" s="36">
        <f t="shared" ca="1" si="217"/>
        <v>54.367784558840519</v>
      </c>
      <c r="AK88" s="36">
        <f t="shared" ca="1" si="217"/>
        <v>55.260956111487815</v>
      </c>
      <c r="AL88" s="36">
        <f t="shared" ca="1" si="217"/>
        <v>55.910527806068387</v>
      </c>
      <c r="AM88" s="36">
        <f t="shared" ca="1" si="217"/>
        <v>54.82706363371652</v>
      </c>
      <c r="AN88" s="36">
        <f t="shared" ca="1" si="217"/>
        <v>55.779174302268636</v>
      </c>
      <c r="AO88" s="36">
        <f t="shared" ca="1" si="217"/>
        <v>56.306184268103429</v>
      </c>
      <c r="AP88" s="36">
        <f t="shared" ca="1" si="217"/>
        <v>55.916140672432206</v>
      </c>
      <c r="AQ88" s="36">
        <f t="shared" ca="1" si="217"/>
        <v>56.417740201430448</v>
      </c>
      <c r="AR88" s="36">
        <f t="shared" ca="1" si="217"/>
        <v>56.424429753412397</v>
      </c>
      <c r="AS88" s="36">
        <f t="shared" ca="1" si="217"/>
        <v>56.575249467296494</v>
      </c>
      <c r="AT88" s="36">
        <f t="shared" ca="1" si="217"/>
        <v>56.355887118652582</v>
      </c>
      <c r="AU88" s="36">
        <f t="shared" ca="1" si="217"/>
        <v>55.977913183550832</v>
      </c>
      <c r="AV88" s="36">
        <f t="shared" ca="1" si="217"/>
        <v>56.534377968383872</v>
      </c>
      <c r="AW88" s="36">
        <f t="shared" ca="1" si="217"/>
        <v>56.316138168446948</v>
      </c>
      <c r="AX88" s="36">
        <f t="shared" ca="1" si="217"/>
        <v>56.251619143643531</v>
      </c>
      <c r="AY88" s="36">
        <f t="shared" ca="1" si="217"/>
        <v>56.527730244280157</v>
      </c>
      <c r="AZ88" s="36">
        <f t="shared" ca="1" si="217"/>
        <v>57.508238345593234</v>
      </c>
      <c r="BA88" s="36">
        <f t="shared" ca="1" si="217"/>
        <v>56.764554864992839</v>
      </c>
      <c r="BB88" s="36">
        <f t="shared" ca="1" si="217"/>
        <v>55.38388348529255</v>
      </c>
      <c r="BC88" s="36">
        <f t="shared" ca="1" si="217"/>
        <v>55.705896271098865</v>
      </c>
      <c r="BD88" s="36">
        <f t="shared" ca="1" si="217"/>
        <v>55.861884807323399</v>
      </c>
      <c r="BE88" s="36">
        <f t="shared" ca="1" si="217"/>
        <v>55.528049426900786</v>
      </c>
      <c r="BF88" s="36">
        <f t="shared" ca="1" si="217"/>
        <v>57.225713025584135</v>
      </c>
      <c r="BG88" s="36">
        <f t="shared" ca="1" si="217"/>
        <v>57.914662928277835</v>
      </c>
      <c r="BH88" s="36">
        <f t="shared" ca="1" si="217"/>
        <v>56.902505657096498</v>
      </c>
      <c r="BI88" s="36">
        <f t="shared" ca="1" si="217"/>
        <v>57.441677711941551</v>
      </c>
      <c r="BJ88" s="36">
        <f t="shared" ca="1" si="217"/>
        <v>58.782357310789706</v>
      </c>
      <c r="BK88" s="36">
        <f t="shared" ca="1" si="217"/>
        <v>59.738930551922969</v>
      </c>
      <c r="BL88" s="36">
        <f t="shared" ca="1" si="217"/>
        <v>59.724110397425591</v>
      </c>
      <c r="BM88" s="36">
        <f t="shared" ca="1" si="217"/>
        <v>58.391774602012333</v>
      </c>
      <c r="BN88" s="36">
        <f t="shared" ca="1" si="217"/>
        <v>57.004642736238388</v>
      </c>
      <c r="BO88" s="36">
        <f t="shared" ca="1" si="217"/>
        <v>56.508683505495164</v>
      </c>
      <c r="BP88" s="36">
        <f t="shared" ca="1" si="217"/>
        <v>55.593847440891977</v>
      </c>
      <c r="BQ88" s="36">
        <f t="shared" ca="1" si="217"/>
        <v>55.906272532279857</v>
      </c>
      <c r="BR88" s="36">
        <f t="shared" ca="1" si="213"/>
        <v>55.73440366506788</v>
      </c>
      <c r="BS88" s="36">
        <f t="shared" ca="1" si="213"/>
        <v>55.651470055223641</v>
      </c>
      <c r="BT88" s="36">
        <f t="shared" ca="1" si="213"/>
        <v>54.372428573619025</v>
      </c>
      <c r="BU88" s="36">
        <f t="shared" ca="1" si="213"/>
        <v>54.149702679559283</v>
      </c>
      <c r="BV88" s="36">
        <f t="shared" ca="1" si="213"/>
        <v>53.515216807473713</v>
      </c>
      <c r="BW88" s="36">
        <f t="shared" ca="1" si="213"/>
        <v>53.16513473977102</v>
      </c>
      <c r="BX88" s="36">
        <f t="shared" ca="1" si="213"/>
        <v>51.829152459495923</v>
      </c>
      <c r="BY88" s="36">
        <f t="shared" ca="1" si="213"/>
        <v>51.127265462571522</v>
      </c>
      <c r="BZ88" s="36">
        <f t="shared" ca="1" si="213"/>
        <v>50.783676904375973</v>
      </c>
      <c r="CA88" s="36">
        <f t="shared" ca="1" si="213"/>
        <v>50.219942944548841</v>
      </c>
      <c r="CB88" s="36">
        <f t="shared" ca="1" si="213"/>
        <v>51.044705131526392</v>
      </c>
      <c r="CC88" s="36">
        <f t="shared" ca="1" si="213"/>
        <v>50.765749645990866</v>
      </c>
      <c r="CD88" s="36">
        <f t="shared" ca="1" si="213"/>
        <v>50.801773513293448</v>
      </c>
      <c r="CE88" s="36">
        <f t="shared" ca="1" si="213"/>
        <v>50.962246417207282</v>
      </c>
      <c r="CF88" s="36">
        <f t="shared" ca="1" si="213"/>
        <v>50.692434391426808</v>
      </c>
      <c r="CG88" s="36">
        <f t="shared" ca="1" si="213"/>
        <v>50.569083639920073</v>
      </c>
      <c r="CH88" s="36">
        <f t="shared" ca="1" si="213"/>
        <v>51.369848312269063</v>
      </c>
      <c r="CI88" s="36">
        <f t="shared" ca="1" si="213"/>
        <v>52.091438779666539</v>
      </c>
      <c r="CJ88" s="36">
        <f t="shared" ca="1" si="213"/>
        <v>51.515534618950809</v>
      </c>
      <c r="CK88" s="36">
        <f t="shared" ca="1" si="213"/>
        <v>51.032585190396532</v>
      </c>
      <c r="CL88" s="36">
        <f t="shared" ca="1" si="213"/>
        <v>51.468257855574684</v>
      </c>
      <c r="CM88" s="36">
        <f t="shared" ca="1" si="213"/>
        <v>51.306343804655626</v>
      </c>
      <c r="CN88" s="36">
        <f t="shared" ca="1" si="213"/>
        <v>51.862963708437192</v>
      </c>
      <c r="CO88" s="36">
        <f t="shared" ca="1" si="213"/>
        <v>52.230827551862276</v>
      </c>
      <c r="CP88" s="36">
        <f t="shared" ca="1" si="213"/>
        <v>51.766468836940646</v>
      </c>
      <c r="CQ88" s="36">
        <f t="shared" ca="1" si="213"/>
        <v>50.805779482705297</v>
      </c>
      <c r="CR88" s="36">
        <f t="shared" ca="1" si="213"/>
        <v>50.397900319610152</v>
      </c>
      <c r="CS88" s="36">
        <f t="shared" ca="1" si="213"/>
        <v>49.560279608045384</v>
      </c>
      <c r="CT88" s="36">
        <f t="shared" ca="1" si="213"/>
        <v>51.061016355985601</v>
      </c>
      <c r="CU88" s="36">
        <f t="shared" ca="1" si="213"/>
        <v>51.090309133574415</v>
      </c>
      <c r="CV88" s="36">
        <f t="shared" ca="1" si="213"/>
        <v>51.206482509633432</v>
      </c>
      <c r="CW88" s="36">
        <f t="shared" ca="1" si="213"/>
        <v>51.501160018020869</v>
      </c>
      <c r="CX88" s="36">
        <f t="shared" ca="1" si="213"/>
        <v>51.965932288404659</v>
      </c>
      <c r="CY88" s="36">
        <f t="shared" ca="1" si="213"/>
        <v>52.122596498527301</v>
      </c>
      <c r="CZ88" s="36">
        <f t="shared" ca="1" si="213"/>
        <v>52.388229676563974</v>
      </c>
      <c r="DA88" s="36">
        <f t="shared" ca="1" si="213"/>
        <v>53.614078018394366</v>
      </c>
      <c r="DB88" s="36">
        <f t="shared" ca="1" si="213"/>
        <v>53.811761105675792</v>
      </c>
      <c r="DC88" s="36">
        <f t="shared" ca="1" si="213"/>
        <v>53.767517334639862</v>
      </c>
      <c r="DD88" s="36">
        <f t="shared" ca="1" si="213"/>
        <v>52.780075127775348</v>
      </c>
      <c r="DE88" s="36">
        <f t="shared" ca="1" si="213"/>
        <v>53.903611781361462</v>
      </c>
      <c r="DF88" s="36">
        <f t="shared" ca="1" si="213"/>
        <v>54.293652515564375</v>
      </c>
      <c r="DG88" s="36">
        <f t="shared" ca="1" si="213"/>
        <v>54.376570701059997</v>
      </c>
      <c r="DH88" s="36">
        <f t="shared" ca="1" si="213"/>
        <v>55.422859902973848</v>
      </c>
      <c r="DI88" s="36">
        <f t="shared" ca="1" si="213"/>
        <v>55.254202519268091</v>
      </c>
      <c r="DJ88" s="36">
        <f t="shared" ca="1" si="213"/>
        <v>55.191466391598929</v>
      </c>
      <c r="DK88" s="36">
        <f t="shared" ca="1" si="213"/>
        <v>56.013834388941625</v>
      </c>
      <c r="DL88" s="36">
        <f t="shared" ca="1" si="213"/>
        <v>56.078170965480375</v>
      </c>
      <c r="DM88" s="36">
        <f t="shared" ca="1" si="213"/>
        <v>57.265368566395637</v>
      </c>
      <c r="DN88" s="36">
        <f t="shared" ca="1" si="213"/>
        <v>57.312193221310906</v>
      </c>
      <c r="DO88" s="36">
        <f t="shared" ca="1" si="213"/>
        <v>56.186607812266011</v>
      </c>
      <c r="DP88" s="36">
        <f t="shared" ca="1" si="213"/>
        <v>56.517427997006578</v>
      </c>
      <c r="DQ88" s="36">
        <f t="shared" ca="1" si="213"/>
        <v>56.718344822750716</v>
      </c>
      <c r="DR88" s="36">
        <f t="shared" ca="1" si="213"/>
        <v>57.424115120769969</v>
      </c>
      <c r="DS88" s="36">
        <f t="shared" ca="1" si="213"/>
        <v>58.32834590214555</v>
      </c>
      <c r="DT88" s="36">
        <f t="shared" ca="1" si="213"/>
        <v>58.85488057857674</v>
      </c>
      <c r="DU88" s="36">
        <f t="shared" ca="1" si="213"/>
        <v>58.736105207952633</v>
      </c>
      <c r="DV88" s="36">
        <f t="shared" ca="1" si="213"/>
        <v>59.567766954326103</v>
      </c>
      <c r="DW88" s="36">
        <f t="shared" ca="1" si="213"/>
        <v>60.035584857638284</v>
      </c>
      <c r="DX88" s="36">
        <f t="shared" ca="1" si="213"/>
        <v>60.151171543516412</v>
      </c>
      <c r="DY88" s="36">
        <f t="shared" ca="1" si="213"/>
        <v>59.708765397882765</v>
      </c>
      <c r="DZ88" s="36">
        <f t="shared" ca="1" si="213"/>
        <v>58.247318890579315</v>
      </c>
      <c r="EA88" s="36">
        <f t="shared" ca="1" si="213"/>
        <v>58.971786727667173</v>
      </c>
      <c r="EB88" s="36">
        <f t="shared" ca="1" si="213"/>
        <v>57.733949367435201</v>
      </c>
      <c r="EC88" s="36">
        <f t="shared" ca="1" si="198"/>
        <v>57.011144804956345</v>
      </c>
      <c r="ED88" s="36">
        <f t="shared" ca="1" si="193"/>
        <v>57.005042075164383</v>
      </c>
      <c r="EE88" s="36">
        <f t="shared" ca="1" si="193"/>
        <v>57.030144401539907</v>
      </c>
      <c r="EF88" s="36">
        <f t="shared" ca="1" si="214"/>
        <v>57.494785642342727</v>
      </c>
      <c r="EG88" s="36">
        <f t="shared" ca="1" si="214"/>
        <v>56.090032869945567</v>
      </c>
      <c r="EH88" s="36">
        <f t="shared" ca="1" si="214"/>
        <v>56.627508195237347</v>
      </c>
      <c r="EI88" s="36">
        <f t="shared" ca="1" si="214"/>
        <v>56.500847965921068</v>
      </c>
      <c r="EJ88" s="36">
        <f t="shared" ca="1" si="214"/>
        <v>55.982500332118377</v>
      </c>
      <c r="EK88" s="36">
        <f t="shared" ca="1" si="214"/>
        <v>55.488806920136469</v>
      </c>
      <c r="EL88" s="36">
        <f t="shared" ca="1" si="214"/>
        <v>55.606041317148744</v>
      </c>
      <c r="EM88" s="36">
        <f t="shared" ca="1" si="214"/>
        <v>56.626215299616852</v>
      </c>
      <c r="EN88" s="36">
        <f t="shared" ca="1" si="214"/>
        <v>58.2358323652889</v>
      </c>
      <c r="EO88" s="36">
        <f t="shared" ca="1" si="214"/>
        <v>57.441914047456898</v>
      </c>
      <c r="EP88" s="36">
        <f t="shared" ca="1" si="214"/>
        <v>58.636177737042885</v>
      </c>
      <c r="EQ88" s="36">
        <f t="shared" ca="1" si="214"/>
        <v>58.592661481956824</v>
      </c>
      <c r="ER88" s="36">
        <f t="shared" ca="1" si="214"/>
        <v>58.538431244679934</v>
      </c>
      <c r="ES88" s="36">
        <f t="shared" ca="1" si="214"/>
        <v>59.506951006112914</v>
      </c>
      <c r="ET88" s="36">
        <f t="shared" ca="1" si="214"/>
        <v>58.668173667414955</v>
      </c>
      <c r="EU88" s="36">
        <f t="shared" ca="1" si="214"/>
        <v>57.359842522488982</v>
      </c>
      <c r="EV88" s="36">
        <f t="shared" ca="1" si="214"/>
        <v>56.041298079104529</v>
      </c>
      <c r="EW88" s="36">
        <f t="shared" ref="EW88" ca="1" si="223">EV88*EXP(($B$3-$B$4^2/2)*1+$B$4*_xlfn.NORM.S.INV(RAND()))</f>
        <v>55.924469497519766</v>
      </c>
      <c r="EX88" s="36">
        <f t="shared" ca="1" si="221"/>
        <v>55.576020818172715</v>
      </c>
      <c r="EY88" s="36">
        <f t="shared" ca="1" si="221"/>
        <v>56.231040081830571</v>
      </c>
      <c r="EZ88" s="36">
        <f t="shared" ca="1" si="221"/>
        <v>55.994380023336497</v>
      </c>
      <c r="FA88" s="36">
        <f t="shared" ca="1" si="221"/>
        <v>56.038125890549267</v>
      </c>
      <c r="FB88" s="36">
        <f t="shared" ca="1" si="221"/>
        <v>55.387131273225854</v>
      </c>
      <c r="FC88" s="36">
        <f t="shared" ca="1" si="221"/>
        <v>54.778296811432647</v>
      </c>
      <c r="FD88" s="36">
        <f t="shared" ca="1" si="221"/>
        <v>55.127315286037337</v>
      </c>
      <c r="FE88" s="36">
        <f t="shared" ca="1" si="221"/>
        <v>55.865331616455308</v>
      </c>
      <c r="FF88" s="36">
        <f t="shared" ca="1" si="221"/>
        <v>56.465885040309601</v>
      </c>
      <c r="FG88" s="36">
        <f t="shared" ca="1" si="221"/>
        <v>56.024505766938326</v>
      </c>
      <c r="FH88" s="36">
        <f t="shared" ca="1" si="221"/>
        <v>56.718534279341938</v>
      </c>
      <c r="FI88" s="36">
        <f t="shared" ca="1" si="221"/>
        <v>56.336149924468039</v>
      </c>
      <c r="FJ88" s="36">
        <f t="shared" ca="1" si="221"/>
        <v>56.366611466211012</v>
      </c>
      <c r="FK88" s="36">
        <f t="shared" ca="1" si="221"/>
        <v>57.43862445005815</v>
      </c>
      <c r="FL88" s="36">
        <f t="shared" ca="1" si="221"/>
        <v>57.010326115902487</v>
      </c>
      <c r="FM88" s="36">
        <f t="shared" ca="1" si="221"/>
        <v>57.076248197501783</v>
      </c>
      <c r="FN88" s="36">
        <f t="shared" ca="1" si="221"/>
        <v>57.769277121681732</v>
      </c>
      <c r="FO88" s="36">
        <f t="shared" ca="1" si="221"/>
        <v>59.683558845481322</v>
      </c>
      <c r="FP88" s="36">
        <f t="shared" ca="1" si="221"/>
        <v>59.395917472500706</v>
      </c>
      <c r="FQ88" s="36">
        <f t="shared" ca="1" si="221"/>
        <v>58.789146073612976</v>
      </c>
      <c r="FR88" s="36">
        <f t="shared" ca="1" si="221"/>
        <v>60.307617397734113</v>
      </c>
      <c r="FS88" s="36">
        <f t="shared" ca="1" si="221"/>
        <v>59.570139151458861</v>
      </c>
      <c r="FT88" s="36">
        <f t="shared" ca="1" si="221"/>
        <v>59.405188750487987</v>
      </c>
      <c r="FU88" s="36">
        <f t="shared" ca="1" si="221"/>
        <v>59.247933636828343</v>
      </c>
      <c r="FV88" s="36">
        <f t="shared" ca="1" si="221"/>
        <v>59.147097307581653</v>
      </c>
      <c r="FW88" s="36">
        <f t="shared" ca="1" si="221"/>
        <v>59.62668555016829</v>
      </c>
      <c r="FX88" s="36">
        <f t="shared" ca="1" si="221"/>
        <v>59.395197526584155</v>
      </c>
      <c r="FY88" s="36">
        <f t="shared" ca="1" si="221"/>
        <v>59.744876985913564</v>
      </c>
      <c r="FZ88" s="36">
        <f t="shared" ca="1" si="221"/>
        <v>60.40252095144286</v>
      </c>
      <c r="GA88" s="36">
        <f t="shared" ca="1" si="221"/>
        <v>59.369254711287866</v>
      </c>
      <c r="GB88" s="36">
        <f t="shared" ca="1" si="221"/>
        <v>58.41063079194393</v>
      </c>
      <c r="GC88" s="36">
        <f t="shared" ca="1" si="221"/>
        <v>58.558947525024799</v>
      </c>
      <c r="GD88" s="36">
        <f t="shared" ca="1" si="221"/>
        <v>58.661036357450946</v>
      </c>
      <c r="GE88" s="36">
        <f t="shared" ca="1" si="221"/>
        <v>57.145006652616701</v>
      </c>
      <c r="GF88" s="36">
        <f t="shared" ca="1" si="221"/>
        <v>58.084688577799213</v>
      </c>
      <c r="GG88" s="36">
        <f t="shared" ca="1" si="221"/>
        <v>57.853393155465412</v>
      </c>
      <c r="GH88" s="36">
        <f t="shared" ca="1" si="221"/>
        <v>58.581981612813472</v>
      </c>
      <c r="GI88" s="36">
        <f t="shared" ca="1" si="221"/>
        <v>59.670946815705598</v>
      </c>
      <c r="GJ88" s="36">
        <f t="shared" ca="1" si="221"/>
        <v>59.757881596132052</v>
      </c>
      <c r="GK88" s="36">
        <f t="shared" ca="1" si="221"/>
        <v>59.428005515585504</v>
      </c>
      <c r="GL88" s="36">
        <f t="shared" ca="1" si="221"/>
        <v>59.880483399732455</v>
      </c>
      <c r="GM88" s="36">
        <f t="shared" ca="1" si="221"/>
        <v>61.248713730133709</v>
      </c>
      <c r="GN88" s="36">
        <f t="shared" ca="1" si="221"/>
        <v>60.738756848479355</v>
      </c>
      <c r="GO88" s="36">
        <f t="shared" ca="1" si="221"/>
        <v>61.181065894084895</v>
      </c>
      <c r="GP88" s="36">
        <f t="shared" ca="1" si="221"/>
        <v>61.593164055696938</v>
      </c>
      <c r="GQ88" s="36">
        <f t="shared" ca="1" si="221"/>
        <v>60.586784969090992</v>
      </c>
      <c r="GR88" s="36">
        <f t="shared" ca="1" si="221"/>
        <v>60.27670979738626</v>
      </c>
      <c r="GS88" s="36">
        <f t="shared" ca="1" si="221"/>
        <v>59.784878532962104</v>
      </c>
      <c r="GT88" s="36">
        <f t="shared" ca="1" si="221"/>
        <v>59.812493793638559</v>
      </c>
      <c r="GU88" s="36">
        <f t="shared" ca="1" si="221"/>
        <v>60.092082657831384</v>
      </c>
      <c r="GV88" s="36">
        <f t="shared" ca="1" si="221"/>
        <v>60.687216051670561</v>
      </c>
      <c r="GW88" s="36">
        <f t="shared" ca="1" si="221"/>
        <v>62.336134822239146</v>
      </c>
      <c r="GX88" s="36">
        <f t="shared" ca="1" si="221"/>
        <v>62.225278518789366</v>
      </c>
      <c r="GY88" s="36">
        <f t="shared" ca="1" si="221"/>
        <v>62.614250470108772</v>
      </c>
      <c r="GZ88" s="36">
        <f t="shared" ca="1" si="221"/>
        <v>63.198160057908353</v>
      </c>
      <c r="HA88" s="36">
        <f t="shared" ca="1" si="221"/>
        <v>61.308302341437717</v>
      </c>
      <c r="HB88" s="36">
        <f t="shared" ca="1" si="221"/>
        <v>61.363332304534737</v>
      </c>
      <c r="HC88" s="36">
        <f t="shared" ca="1" si="221"/>
        <v>61.045241288670233</v>
      </c>
      <c r="HD88" s="36">
        <f t="shared" ca="1" si="221"/>
        <v>60.968845079162207</v>
      </c>
      <c r="HE88" s="36">
        <f t="shared" ca="1" si="221"/>
        <v>60.966950580636251</v>
      </c>
      <c r="HF88" s="36">
        <f t="shared" ca="1" si="221"/>
        <v>60.412227920571453</v>
      </c>
      <c r="HG88" s="36">
        <f t="shared" ca="1" si="221"/>
        <v>61.816934388308823</v>
      </c>
      <c r="HH88" s="36">
        <f t="shared" ca="1" si="221"/>
        <v>61.389665222657975</v>
      </c>
      <c r="HI88" s="36">
        <f t="shared" ca="1" si="219"/>
        <v>61.705738314869691</v>
      </c>
      <c r="HJ88" s="36">
        <f t="shared" ca="1" si="219"/>
        <v>62.100201560932717</v>
      </c>
      <c r="HK88" s="36">
        <f t="shared" ca="1" si="219"/>
        <v>62.909137063117953</v>
      </c>
      <c r="HL88" s="36">
        <f t="shared" ref="HL88:IU97" ca="1" si="224">HK88*EXP(($B$3-$B$4^2/2)*1+$B$4*_xlfn.NORM.S.INV(RAND()))</f>
        <v>63.395732344948883</v>
      </c>
      <c r="HM88" s="36">
        <f t="shared" ca="1" si="224"/>
        <v>63.485575350255829</v>
      </c>
      <c r="HN88" s="36">
        <f t="shared" ca="1" si="224"/>
        <v>63.484965731039416</v>
      </c>
      <c r="HO88" s="36">
        <f t="shared" ca="1" si="224"/>
        <v>64.785603749801552</v>
      </c>
      <c r="HP88" s="36">
        <f t="shared" ca="1" si="224"/>
        <v>63.920517913251146</v>
      </c>
      <c r="HQ88" s="36">
        <f t="shared" ca="1" si="224"/>
        <v>63.518730639214112</v>
      </c>
      <c r="HR88" s="36">
        <f t="shared" ca="1" si="224"/>
        <v>64.374362055025472</v>
      </c>
      <c r="HS88" s="36">
        <f t="shared" ca="1" si="224"/>
        <v>63.869711128035242</v>
      </c>
      <c r="HT88" s="36">
        <f t="shared" ca="1" si="224"/>
        <v>64.874397903526315</v>
      </c>
      <c r="HU88" s="36">
        <f t="shared" ca="1" si="224"/>
        <v>65.110700365273502</v>
      </c>
      <c r="HV88" s="36">
        <f t="shared" ca="1" si="224"/>
        <v>65.072437722479123</v>
      </c>
      <c r="HW88" s="36">
        <f t="shared" ca="1" si="224"/>
        <v>65.937178405990295</v>
      </c>
      <c r="HX88" s="36">
        <f t="shared" ca="1" si="224"/>
        <v>66.530041366624303</v>
      </c>
      <c r="HY88" s="36">
        <f t="shared" ca="1" si="224"/>
        <v>67.732750884525146</v>
      </c>
      <c r="HZ88" s="36">
        <f t="shared" ca="1" si="224"/>
        <v>68.064924224305059</v>
      </c>
      <c r="IA88" s="36">
        <f t="shared" ca="1" si="224"/>
        <v>69.102677480469225</v>
      </c>
      <c r="IB88" s="36">
        <f t="shared" ca="1" si="224"/>
        <v>68.361886843479923</v>
      </c>
      <c r="IC88" s="36">
        <f t="shared" ca="1" si="224"/>
        <v>68.912544263599827</v>
      </c>
      <c r="ID88" s="36">
        <f t="shared" ca="1" si="224"/>
        <v>67.996737282741378</v>
      </c>
      <c r="IE88" s="36">
        <f t="shared" ca="1" si="224"/>
        <v>69.075781679618885</v>
      </c>
      <c r="IF88" s="36">
        <f t="shared" ca="1" si="224"/>
        <v>68.88462372326029</v>
      </c>
      <c r="IG88" s="36">
        <f t="shared" ca="1" si="224"/>
        <v>69.669009996729628</v>
      </c>
      <c r="IH88" s="36">
        <f t="shared" ca="1" si="224"/>
        <v>69.068041987427961</v>
      </c>
      <c r="II88" s="36">
        <f t="shared" ca="1" si="224"/>
        <v>69.603980906519993</v>
      </c>
      <c r="IJ88" s="36">
        <f t="shared" ca="1" si="224"/>
        <v>67.94865170902294</v>
      </c>
      <c r="IK88" s="36">
        <f t="shared" ca="1" si="224"/>
        <v>68.620736980494456</v>
      </c>
      <c r="IL88" s="36">
        <f t="shared" ca="1" si="224"/>
        <v>70.292025907979053</v>
      </c>
      <c r="IM88" s="36">
        <f t="shared" ca="1" si="224"/>
        <v>69.693620401760953</v>
      </c>
      <c r="IN88" s="36">
        <f t="shared" ca="1" si="224"/>
        <v>70.320895629710478</v>
      </c>
      <c r="IO88" s="36">
        <f t="shared" ca="1" si="224"/>
        <v>70.478852118175794</v>
      </c>
      <c r="IP88" s="36">
        <f t="shared" ca="1" si="224"/>
        <v>70.781728686894311</v>
      </c>
      <c r="IQ88" s="36">
        <f t="shared" ca="1" si="224"/>
        <v>71.609259246667165</v>
      </c>
      <c r="IR88" s="36">
        <f t="shared" ca="1" si="224"/>
        <v>72.175356129174716</v>
      </c>
      <c r="IS88" s="36">
        <f t="shared" ca="1" si="224"/>
        <v>73.312545020648386</v>
      </c>
      <c r="IT88" s="36">
        <f t="shared" ca="1" si="224"/>
        <v>73.156546697891599</v>
      </c>
      <c r="IU88" s="36">
        <f t="shared" ca="1" si="224"/>
        <v>73.59194232695728</v>
      </c>
    </row>
    <row r="89" spans="1:255" x14ac:dyDescent="0.2">
      <c r="A89" s="36"/>
      <c r="B89">
        <v>79</v>
      </c>
      <c r="C89" s="36">
        <v>50</v>
      </c>
      <c r="D89" s="36">
        <f t="shared" ca="1" si="188"/>
        <v>48.570294902642559</v>
      </c>
      <c r="E89" s="36">
        <f t="shared" ca="1" si="188"/>
        <v>48.17580884015667</v>
      </c>
      <c r="F89" s="36">
        <f t="shared" ca="1" si="217"/>
        <v>48.340751086765884</v>
      </c>
      <c r="G89" s="36">
        <f t="shared" ca="1" si="217"/>
        <v>48.064154328012933</v>
      </c>
      <c r="H89" s="36">
        <f t="shared" ca="1" si="217"/>
        <v>47.820100538331758</v>
      </c>
      <c r="I89" s="36">
        <f t="shared" ca="1" si="217"/>
        <v>48.469645551736413</v>
      </c>
      <c r="J89" s="36">
        <f t="shared" ca="1" si="217"/>
        <v>47.609445418349821</v>
      </c>
      <c r="K89" s="36">
        <f t="shared" ca="1" si="217"/>
        <v>47.590388961314432</v>
      </c>
      <c r="L89" s="36">
        <f t="shared" ca="1" si="217"/>
        <v>48.702379578974138</v>
      </c>
      <c r="M89" s="36">
        <f t="shared" ca="1" si="217"/>
        <v>49.819744705603497</v>
      </c>
      <c r="N89" s="36">
        <f t="shared" ca="1" si="217"/>
        <v>49.661098704142624</v>
      </c>
      <c r="O89" s="36">
        <f t="shared" ca="1" si="217"/>
        <v>49.770769058073135</v>
      </c>
      <c r="P89" s="36">
        <f t="shared" ca="1" si="217"/>
        <v>49.473150738010624</v>
      </c>
      <c r="Q89" s="36">
        <f t="shared" ca="1" si="217"/>
        <v>50.056252315499506</v>
      </c>
      <c r="R89" s="36">
        <f t="shared" ca="1" si="217"/>
        <v>50.666083553864745</v>
      </c>
      <c r="S89" s="36">
        <f t="shared" ca="1" si="217"/>
        <v>51.116785672747397</v>
      </c>
      <c r="T89" s="36">
        <f t="shared" ca="1" si="217"/>
        <v>52.120459605825879</v>
      </c>
      <c r="U89" s="36">
        <f t="shared" ca="1" si="217"/>
        <v>52.690861644700661</v>
      </c>
      <c r="V89" s="36">
        <f t="shared" ca="1" si="217"/>
        <v>51.892611294849523</v>
      </c>
      <c r="W89" s="36">
        <f t="shared" ca="1" si="217"/>
        <v>52.493621513417601</v>
      </c>
      <c r="X89" s="36">
        <f t="shared" ca="1" si="217"/>
        <v>52.092170808158251</v>
      </c>
      <c r="Y89" s="36">
        <f t="shared" ca="1" si="217"/>
        <v>51.898929043260445</v>
      </c>
      <c r="Z89" s="36">
        <f t="shared" ca="1" si="217"/>
        <v>51.880863490854146</v>
      </c>
      <c r="AA89" s="36">
        <f t="shared" ca="1" si="217"/>
        <v>51.407759131818004</v>
      </c>
      <c r="AB89" s="36">
        <f t="shared" ca="1" si="217"/>
        <v>52.798844768883598</v>
      </c>
      <c r="AC89" s="36">
        <f t="shared" ca="1" si="217"/>
        <v>53.519265993629389</v>
      </c>
      <c r="AD89" s="36">
        <f t="shared" ca="1" si="217"/>
        <v>53.708858711517991</v>
      </c>
      <c r="AE89" s="36">
        <f t="shared" ca="1" si="217"/>
        <v>55.203366705919557</v>
      </c>
      <c r="AF89" s="36">
        <f t="shared" ca="1" si="217"/>
        <v>53.898976598731913</v>
      </c>
      <c r="AG89" s="36">
        <f t="shared" ca="1" si="217"/>
        <v>54.065756776264379</v>
      </c>
      <c r="AH89" s="36">
        <f t="shared" ca="1" si="217"/>
        <v>54.317529380906976</v>
      </c>
      <c r="AI89" s="36">
        <f t="shared" ca="1" si="217"/>
        <v>52.832366569940504</v>
      </c>
      <c r="AJ89" s="36">
        <f t="shared" ca="1" si="217"/>
        <v>52.152342952339154</v>
      </c>
      <c r="AK89" s="36">
        <f t="shared" ca="1" si="217"/>
        <v>53.136810131877574</v>
      </c>
      <c r="AL89" s="36">
        <f t="shared" ca="1" si="217"/>
        <v>52.931097227786587</v>
      </c>
      <c r="AM89" s="36">
        <f t="shared" ca="1" si="217"/>
        <v>53.726522831006562</v>
      </c>
      <c r="AN89" s="36">
        <f t="shared" ca="1" si="217"/>
        <v>54.057308437984808</v>
      </c>
      <c r="AO89" s="36">
        <f t="shared" ca="1" si="217"/>
        <v>54.298137939290712</v>
      </c>
      <c r="AP89" s="36">
        <f t="shared" ca="1" si="217"/>
        <v>53.96117043172638</v>
      </c>
      <c r="AQ89" s="36">
        <f t="shared" ca="1" si="217"/>
        <v>53.683401980900861</v>
      </c>
      <c r="AR89" s="36">
        <f t="shared" ca="1" si="217"/>
        <v>53.455265586460015</v>
      </c>
      <c r="AS89" s="36">
        <f t="shared" ca="1" si="217"/>
        <v>53.698799228867514</v>
      </c>
      <c r="AT89" s="36">
        <f t="shared" ca="1" si="217"/>
        <v>53.598929407209475</v>
      </c>
      <c r="AU89" s="36">
        <f t="shared" ca="1" si="217"/>
        <v>53.388807109329939</v>
      </c>
      <c r="AV89" s="36">
        <f t="shared" ca="1" si="217"/>
        <v>52.688959253148177</v>
      </c>
      <c r="AW89" s="36">
        <f t="shared" ca="1" si="217"/>
        <v>53.138546072763191</v>
      </c>
      <c r="AX89" s="36">
        <f t="shared" ca="1" si="217"/>
        <v>53.637217817677247</v>
      </c>
      <c r="AY89" s="36">
        <f t="shared" ca="1" si="217"/>
        <v>53.641620565956813</v>
      </c>
      <c r="AZ89" s="36">
        <f t="shared" ca="1" si="217"/>
        <v>52.783572872091796</v>
      </c>
      <c r="BA89" s="36">
        <f t="shared" ca="1" si="217"/>
        <v>52.875343317779517</v>
      </c>
      <c r="BB89" s="36">
        <f t="shared" ca="1" si="217"/>
        <v>52.417170815043754</v>
      </c>
      <c r="BC89" s="36">
        <f t="shared" ca="1" si="217"/>
        <v>51.72669833431987</v>
      </c>
      <c r="BD89" s="36">
        <f t="shared" ca="1" si="217"/>
        <v>52.196318565734785</v>
      </c>
      <c r="BE89" s="36">
        <f t="shared" ca="1" si="217"/>
        <v>52.546054124137946</v>
      </c>
      <c r="BF89" s="36">
        <f t="shared" ca="1" si="217"/>
        <v>51.692878965982345</v>
      </c>
      <c r="BG89" s="36">
        <f t="shared" ca="1" si="217"/>
        <v>51.796026769636271</v>
      </c>
      <c r="BH89" s="36">
        <f t="shared" ca="1" si="217"/>
        <v>52.111081841876263</v>
      </c>
      <c r="BI89" s="36">
        <f t="shared" ca="1" si="217"/>
        <v>52.165659155277879</v>
      </c>
      <c r="BJ89" s="36">
        <f t="shared" ca="1" si="217"/>
        <v>52.59981848136384</v>
      </c>
      <c r="BK89" s="36">
        <f t="shared" ca="1" si="217"/>
        <v>52.395457433137089</v>
      </c>
      <c r="BL89" s="36">
        <f t="shared" ca="1" si="217"/>
        <v>51.550855078423112</v>
      </c>
      <c r="BM89" s="36">
        <f t="shared" ca="1" si="217"/>
        <v>49.65186835083621</v>
      </c>
      <c r="BN89" s="36">
        <f t="shared" ca="1" si="217"/>
        <v>50.075981507402517</v>
      </c>
      <c r="BO89" s="36">
        <f t="shared" ca="1" si="217"/>
        <v>49.240007413403553</v>
      </c>
      <c r="BP89" s="36">
        <f t="shared" ca="1" si="217"/>
        <v>49.042847324959894</v>
      </c>
      <c r="BQ89" s="36">
        <f t="shared" ref="BQ89:EB92" ca="1" si="225">BP89*EXP(($B$3-$B$4^2/2)*1+$B$4*_xlfn.NORM.S.INV(RAND()))</f>
        <v>48.394959110209747</v>
      </c>
      <c r="BR89" s="36">
        <f t="shared" ca="1" si="225"/>
        <v>48.59115538515465</v>
      </c>
      <c r="BS89" s="36">
        <f t="shared" ca="1" si="225"/>
        <v>48.936947998263996</v>
      </c>
      <c r="BT89" s="36">
        <f t="shared" ca="1" si="225"/>
        <v>50.417182265924602</v>
      </c>
      <c r="BU89" s="36">
        <f t="shared" ca="1" si="225"/>
        <v>50.275645150313657</v>
      </c>
      <c r="BV89" s="36">
        <f t="shared" ca="1" si="225"/>
        <v>50.353512941308225</v>
      </c>
      <c r="BW89" s="36">
        <f t="shared" ca="1" si="225"/>
        <v>50.360641440130692</v>
      </c>
      <c r="BX89" s="36">
        <f t="shared" ca="1" si="225"/>
        <v>49.692955331467843</v>
      </c>
      <c r="BY89" s="36">
        <f t="shared" ca="1" si="225"/>
        <v>49.529302205206854</v>
      </c>
      <c r="BZ89" s="36">
        <f t="shared" ca="1" si="225"/>
        <v>49.186532484984689</v>
      </c>
      <c r="CA89" s="36">
        <f t="shared" ca="1" si="225"/>
        <v>49.490587049609445</v>
      </c>
      <c r="CB89" s="36">
        <f t="shared" ca="1" si="225"/>
        <v>50.189516786444322</v>
      </c>
      <c r="CC89" s="36">
        <f t="shared" ca="1" si="225"/>
        <v>51.426013590803336</v>
      </c>
      <c r="CD89" s="36">
        <f t="shared" ca="1" si="225"/>
        <v>50.674889379826467</v>
      </c>
      <c r="CE89" s="36">
        <f t="shared" ca="1" si="225"/>
        <v>50.622434933345723</v>
      </c>
      <c r="CF89" s="36">
        <f t="shared" ca="1" si="225"/>
        <v>50.297025890875055</v>
      </c>
      <c r="CG89" s="36">
        <f t="shared" ca="1" si="225"/>
        <v>50.236213502974891</v>
      </c>
      <c r="CH89" s="36">
        <f t="shared" ca="1" si="225"/>
        <v>50.640281246347755</v>
      </c>
      <c r="CI89" s="36">
        <f t="shared" ca="1" si="225"/>
        <v>51.462788018496845</v>
      </c>
      <c r="CJ89" s="36">
        <f t="shared" ca="1" si="225"/>
        <v>51.170275399378454</v>
      </c>
      <c r="CK89" s="36">
        <f t="shared" ca="1" si="225"/>
        <v>50.798617885666893</v>
      </c>
      <c r="CL89" s="36">
        <f t="shared" ca="1" si="225"/>
        <v>50.908866696911026</v>
      </c>
      <c r="CM89" s="36">
        <f t="shared" ca="1" si="225"/>
        <v>51.068757207780386</v>
      </c>
      <c r="CN89" s="36">
        <f t="shared" ca="1" si="225"/>
        <v>51.563111916591168</v>
      </c>
      <c r="CO89" s="36">
        <f t="shared" ca="1" si="225"/>
        <v>50.956926571402498</v>
      </c>
      <c r="CP89" s="36">
        <f t="shared" ca="1" si="225"/>
        <v>51.34165955132304</v>
      </c>
      <c r="CQ89" s="36">
        <f t="shared" ca="1" si="225"/>
        <v>51.548825673832596</v>
      </c>
      <c r="CR89" s="36">
        <f t="shared" ca="1" si="225"/>
        <v>52.008036700584924</v>
      </c>
      <c r="CS89" s="36">
        <f t="shared" ca="1" si="225"/>
        <v>52.831288812347289</v>
      </c>
      <c r="CT89" s="36">
        <f t="shared" ca="1" si="225"/>
        <v>53.457862885690638</v>
      </c>
      <c r="CU89" s="36">
        <f t="shared" ca="1" si="225"/>
        <v>53.860079220074752</v>
      </c>
      <c r="CV89" s="36">
        <f t="shared" ca="1" si="225"/>
        <v>55.101979221488811</v>
      </c>
      <c r="CW89" s="36">
        <f t="shared" ca="1" si="225"/>
        <v>55.047729992371387</v>
      </c>
      <c r="CX89" s="36">
        <f t="shared" ca="1" si="225"/>
        <v>55.591354998386471</v>
      </c>
      <c r="CY89" s="36">
        <f t="shared" ca="1" si="225"/>
        <v>55.036394922118923</v>
      </c>
      <c r="CZ89" s="36">
        <f t="shared" ca="1" si="225"/>
        <v>55.020887166474274</v>
      </c>
      <c r="DA89" s="36">
        <f t="shared" ca="1" si="225"/>
        <v>56.194896984140321</v>
      </c>
      <c r="DB89" s="36">
        <f t="shared" ca="1" si="225"/>
        <v>56.205669122775603</v>
      </c>
      <c r="DC89" s="36">
        <f t="shared" ca="1" si="225"/>
        <v>56.110019434520524</v>
      </c>
      <c r="DD89" s="36">
        <f t="shared" ca="1" si="225"/>
        <v>56.390105530642259</v>
      </c>
      <c r="DE89" s="36">
        <f t="shared" ca="1" si="225"/>
        <v>57.111064704784184</v>
      </c>
      <c r="DF89" s="36">
        <f t="shared" ca="1" si="225"/>
        <v>56.670505955742883</v>
      </c>
      <c r="DG89" s="36">
        <f t="shared" ca="1" si="225"/>
        <v>56.29075535626977</v>
      </c>
      <c r="DH89" s="36">
        <f t="shared" ca="1" si="225"/>
        <v>56.351879133555265</v>
      </c>
      <c r="DI89" s="36">
        <f t="shared" ca="1" si="225"/>
        <v>55.584021749318701</v>
      </c>
      <c r="DJ89" s="36">
        <f t="shared" ca="1" si="225"/>
        <v>55.566691179196404</v>
      </c>
      <c r="DK89" s="36">
        <f t="shared" ca="1" si="225"/>
        <v>55.415960637786569</v>
      </c>
      <c r="DL89" s="36">
        <f t="shared" ca="1" si="225"/>
        <v>55.577871509982018</v>
      </c>
      <c r="DM89" s="36">
        <f t="shared" ca="1" si="225"/>
        <v>55.466672092454147</v>
      </c>
      <c r="DN89" s="36">
        <f t="shared" ca="1" si="225"/>
        <v>55.213412562386559</v>
      </c>
      <c r="DO89" s="36">
        <f t="shared" ca="1" si="225"/>
        <v>54.977211574338249</v>
      </c>
      <c r="DP89" s="36">
        <f t="shared" ca="1" si="225"/>
        <v>55.029199821051073</v>
      </c>
      <c r="DQ89" s="36">
        <f t="shared" ca="1" si="225"/>
        <v>55.906184308526441</v>
      </c>
      <c r="DR89" s="36">
        <f t="shared" ca="1" si="225"/>
        <v>56.493021309970132</v>
      </c>
      <c r="DS89" s="36">
        <f t="shared" ca="1" si="225"/>
        <v>57.484535100602507</v>
      </c>
      <c r="DT89" s="36">
        <f t="shared" ca="1" si="225"/>
        <v>56.994735441044824</v>
      </c>
      <c r="DU89" s="36">
        <f t="shared" ca="1" si="225"/>
        <v>56.770068624280199</v>
      </c>
      <c r="DV89" s="36">
        <f t="shared" ca="1" si="225"/>
        <v>56.091610894833288</v>
      </c>
      <c r="DW89" s="36">
        <f t="shared" ca="1" si="225"/>
        <v>56.31368527658146</v>
      </c>
      <c r="DX89" s="36">
        <f t="shared" ca="1" si="225"/>
        <v>56.074375700963117</v>
      </c>
      <c r="DY89" s="36">
        <f t="shared" ca="1" si="225"/>
        <v>55.663463405468065</v>
      </c>
      <c r="DZ89" s="36">
        <f t="shared" ca="1" si="225"/>
        <v>55.903953309653744</v>
      </c>
      <c r="EA89" s="36">
        <f t="shared" ca="1" si="225"/>
        <v>55.633482270500465</v>
      </c>
      <c r="EB89" s="36">
        <f t="shared" ca="1" si="225"/>
        <v>56.485458320064772</v>
      </c>
      <c r="EC89" s="36">
        <f t="shared" ca="1" si="198"/>
        <v>56.487776437751378</v>
      </c>
      <c r="ED89" s="36">
        <f t="shared" ca="1" si="193"/>
        <v>57.218983130511653</v>
      </c>
      <c r="EE89" s="36">
        <f t="shared" ca="1" si="193"/>
        <v>57.702481046282784</v>
      </c>
      <c r="EF89" s="36">
        <f t="shared" ca="1" si="214"/>
        <v>57.992150459280339</v>
      </c>
      <c r="EG89" s="36">
        <f t="shared" ca="1" si="214"/>
        <v>59.256102683242979</v>
      </c>
      <c r="EH89" s="36">
        <f t="shared" ca="1" si="214"/>
        <v>59.579855855663347</v>
      </c>
      <c r="EI89" s="36">
        <f t="shared" ca="1" si="214"/>
        <v>59.074669169625075</v>
      </c>
      <c r="EJ89" s="36">
        <f t="shared" ca="1" si="214"/>
        <v>57.653431009027862</v>
      </c>
      <c r="EK89" s="36">
        <f t="shared" ca="1" si="214"/>
        <v>57.76885287553106</v>
      </c>
      <c r="EL89" s="36">
        <f t="shared" ca="1" si="214"/>
        <v>58.098457587040457</v>
      </c>
      <c r="EM89" s="36">
        <f t="shared" ca="1" si="214"/>
        <v>58.332515649823975</v>
      </c>
      <c r="EN89" s="36">
        <f t="shared" ca="1" si="214"/>
        <v>59.19662374395093</v>
      </c>
      <c r="EO89" s="36">
        <f t="shared" ca="1" si="214"/>
        <v>59.702813312817419</v>
      </c>
      <c r="EP89" s="36">
        <f t="shared" ca="1" si="214"/>
        <v>58.452799962335007</v>
      </c>
      <c r="EQ89" s="36">
        <f t="shared" ca="1" si="214"/>
        <v>57.284439657364764</v>
      </c>
      <c r="ER89" s="36">
        <f t="shared" ca="1" si="214"/>
        <v>57.872183746614112</v>
      </c>
      <c r="ES89" s="36">
        <f t="shared" ca="1" si="214"/>
        <v>57.378083290895006</v>
      </c>
      <c r="ET89" s="36">
        <f t="shared" ca="1" si="214"/>
        <v>57.54340795074868</v>
      </c>
      <c r="EU89" s="36">
        <f t="shared" ca="1" si="214"/>
        <v>56.723294168992105</v>
      </c>
      <c r="EV89" s="36">
        <f t="shared" ca="1" si="214"/>
        <v>57.365421653773268</v>
      </c>
      <c r="EW89" s="36">
        <f t="shared" ref="EW89" ca="1" si="226">EV89*EXP(($B$3-$B$4^2/2)*1+$B$4*_xlfn.NORM.S.INV(RAND()))</f>
        <v>56.401419539175492</v>
      </c>
      <c r="EX89" s="36">
        <f t="shared" ca="1" si="221"/>
        <v>56.756970680236599</v>
      </c>
      <c r="EY89" s="36">
        <f t="shared" ca="1" si="221"/>
        <v>57.223309252960064</v>
      </c>
      <c r="EZ89" s="36">
        <f t="shared" ca="1" si="221"/>
        <v>56.242492897990338</v>
      </c>
      <c r="FA89" s="36">
        <f t="shared" ca="1" si="221"/>
        <v>55.886559039170088</v>
      </c>
      <c r="FB89" s="36">
        <f t="shared" ca="1" si="221"/>
        <v>54.737969150406144</v>
      </c>
      <c r="FC89" s="36">
        <f t="shared" ca="1" si="221"/>
        <v>54.957380136401959</v>
      </c>
      <c r="FD89" s="36">
        <f t="shared" ca="1" si="221"/>
        <v>54.992511138105108</v>
      </c>
      <c r="FE89" s="36">
        <f t="shared" ca="1" si="221"/>
        <v>54.888565410256682</v>
      </c>
      <c r="FF89" s="36">
        <f t="shared" ca="1" si="221"/>
        <v>55.842681435236976</v>
      </c>
      <c r="FG89" s="36">
        <f t="shared" ca="1" si="221"/>
        <v>55.647865790520001</v>
      </c>
      <c r="FH89" s="36">
        <f t="shared" ca="1" si="221"/>
        <v>55.665658169615135</v>
      </c>
      <c r="FI89" s="36">
        <f t="shared" ca="1" si="221"/>
        <v>54.891146966651206</v>
      </c>
      <c r="FJ89" s="36">
        <f t="shared" ca="1" si="221"/>
        <v>54.384531844933768</v>
      </c>
      <c r="FK89" s="36">
        <f t="shared" ca="1" si="221"/>
        <v>53.133628739994386</v>
      </c>
      <c r="FL89" s="36">
        <f t="shared" ca="1" si="221"/>
        <v>53.436534906331865</v>
      </c>
      <c r="FM89" s="36">
        <f t="shared" ca="1" si="221"/>
        <v>53.573059970305543</v>
      </c>
      <c r="FN89" s="36">
        <f t="shared" ca="1" si="221"/>
        <v>53.242351868140616</v>
      </c>
      <c r="FO89" s="36">
        <f t="shared" ca="1" si="221"/>
        <v>52.775088896281922</v>
      </c>
      <c r="FP89" s="36">
        <f t="shared" ca="1" si="221"/>
        <v>51.975063441719172</v>
      </c>
      <c r="FQ89" s="36">
        <f t="shared" ca="1" si="221"/>
        <v>52.111871165944251</v>
      </c>
      <c r="FR89" s="36">
        <f t="shared" ca="1" si="221"/>
        <v>53.661679057505268</v>
      </c>
      <c r="FS89" s="36">
        <f t="shared" ca="1" si="221"/>
        <v>52.996138417223918</v>
      </c>
      <c r="FT89" s="36">
        <f t="shared" ca="1" si="221"/>
        <v>53.264286440229</v>
      </c>
      <c r="FU89" s="36">
        <f t="shared" ca="1" si="221"/>
        <v>53.175774911010592</v>
      </c>
      <c r="FV89" s="36">
        <f t="shared" ca="1" si="221"/>
        <v>53.029809202378935</v>
      </c>
      <c r="FW89" s="36">
        <f t="shared" ca="1" si="221"/>
        <v>54.591012108927735</v>
      </c>
      <c r="FX89" s="36">
        <f t="shared" ca="1" si="221"/>
        <v>54.736226333562783</v>
      </c>
      <c r="FY89" s="36">
        <f t="shared" ca="1" si="221"/>
        <v>55.469335862548064</v>
      </c>
      <c r="FZ89" s="36">
        <f t="shared" ca="1" si="221"/>
        <v>54.662317781646649</v>
      </c>
      <c r="GA89" s="36">
        <f t="shared" ca="1" si="221"/>
        <v>55.422848151366075</v>
      </c>
      <c r="GB89" s="36">
        <f t="shared" ca="1" si="221"/>
        <v>54.10012205041032</v>
      </c>
      <c r="GC89" s="36">
        <f t="shared" ca="1" si="221"/>
        <v>54.259079483857676</v>
      </c>
      <c r="GD89" s="36">
        <f t="shared" ca="1" si="221"/>
        <v>53.831281572341787</v>
      </c>
      <c r="GE89" s="36">
        <f t="shared" ca="1" si="221"/>
        <v>54.09252484993084</v>
      </c>
      <c r="GF89" s="36">
        <f t="shared" ca="1" si="221"/>
        <v>55.005232557661749</v>
      </c>
      <c r="GG89" s="36">
        <f t="shared" ca="1" si="221"/>
        <v>55.643874464404171</v>
      </c>
      <c r="GH89" s="36">
        <f t="shared" ca="1" si="221"/>
        <v>54.795317350215349</v>
      </c>
      <c r="GI89" s="36">
        <f t="shared" ca="1" si="221"/>
        <v>54.229189694008859</v>
      </c>
      <c r="GJ89" s="36">
        <f t="shared" ca="1" si="221"/>
        <v>54.964006827740825</v>
      </c>
      <c r="GK89" s="36">
        <f t="shared" ca="1" si="221"/>
        <v>54.231412955617699</v>
      </c>
      <c r="GL89" s="36">
        <f t="shared" ca="1" si="221"/>
        <v>54.217186900243341</v>
      </c>
      <c r="GM89" s="36">
        <f t="shared" ca="1" si="221"/>
        <v>54.055001418484913</v>
      </c>
      <c r="GN89" s="36">
        <f t="shared" ca="1" si="221"/>
        <v>53.759339329473086</v>
      </c>
      <c r="GO89" s="36">
        <f t="shared" ca="1" si="221"/>
        <v>54.43862578729459</v>
      </c>
      <c r="GP89" s="36">
        <f t="shared" ca="1" si="221"/>
        <v>54.508263584051818</v>
      </c>
      <c r="GQ89" s="36">
        <f t="shared" ca="1" si="221"/>
        <v>56.300247257348133</v>
      </c>
      <c r="GR89" s="36">
        <f t="shared" ca="1" si="221"/>
        <v>55.320388376044633</v>
      </c>
      <c r="GS89" s="36">
        <f t="shared" ca="1" si="221"/>
        <v>56.264393409042611</v>
      </c>
      <c r="GT89" s="36">
        <f t="shared" ca="1" si="221"/>
        <v>55.494525576079205</v>
      </c>
      <c r="GU89" s="36">
        <f t="shared" ca="1" si="221"/>
        <v>54.415115220554817</v>
      </c>
      <c r="GV89" s="36">
        <f t="shared" ca="1" si="221"/>
        <v>54.399374760307666</v>
      </c>
      <c r="GW89" s="36">
        <f t="shared" ca="1" si="221"/>
        <v>53.796338223846689</v>
      </c>
      <c r="GX89" s="36">
        <f t="shared" ca="1" si="221"/>
        <v>54.306631643146687</v>
      </c>
      <c r="GY89" s="36">
        <f t="shared" ca="1" si="221"/>
        <v>53.904292877717857</v>
      </c>
      <c r="GZ89" s="36">
        <f t="shared" ca="1" si="221"/>
        <v>54.002117206615836</v>
      </c>
      <c r="HA89" s="36">
        <f t="shared" ca="1" si="221"/>
        <v>54.213184530209922</v>
      </c>
      <c r="HB89" s="36">
        <f t="shared" ca="1" si="221"/>
        <v>53.373575168537201</v>
      </c>
      <c r="HC89" s="36">
        <f t="shared" ca="1" si="221"/>
        <v>54.300528351961191</v>
      </c>
      <c r="HD89" s="36">
        <f t="shared" ca="1" si="221"/>
        <v>54.948877742741772</v>
      </c>
      <c r="HE89" s="36">
        <f t="shared" ca="1" si="221"/>
        <v>56.011454735504202</v>
      </c>
      <c r="HF89" s="36">
        <f t="shared" ca="1" si="221"/>
        <v>55.658917199312469</v>
      </c>
      <c r="HG89" s="36">
        <f t="shared" ca="1" si="221"/>
        <v>55.510245303915397</v>
      </c>
      <c r="HH89" s="36">
        <f t="shared" ca="1" si="221"/>
        <v>55.472094510831951</v>
      </c>
      <c r="HI89" s="36">
        <f t="shared" ref="HI89:HT90" ca="1" si="227">HH89*EXP(($B$3-$B$4^2/2)*1+$B$4*_xlfn.NORM.S.INV(RAND()))</f>
        <v>54.687559230751155</v>
      </c>
      <c r="HJ89" s="36">
        <f t="shared" ca="1" si="227"/>
        <v>54.141173456019672</v>
      </c>
      <c r="HK89" s="36">
        <f t="shared" ca="1" si="227"/>
        <v>53.986177146353562</v>
      </c>
      <c r="HL89" s="36">
        <f t="shared" ca="1" si="227"/>
        <v>54.41328188237857</v>
      </c>
      <c r="HM89" s="36">
        <f t="shared" ca="1" si="227"/>
        <v>54.378157410225221</v>
      </c>
      <c r="HN89" s="36">
        <f t="shared" ca="1" si="227"/>
        <v>54.702960044834334</v>
      </c>
      <c r="HO89" s="36">
        <f t="shared" ca="1" si="227"/>
        <v>54.721193046160671</v>
      </c>
      <c r="HP89" s="36">
        <f t="shared" ca="1" si="227"/>
        <v>53.582581602370041</v>
      </c>
      <c r="HQ89" s="36">
        <f t="shared" ca="1" si="227"/>
        <v>53.232407116350231</v>
      </c>
      <c r="HR89" s="36">
        <f t="shared" ca="1" si="227"/>
        <v>52.395400848983655</v>
      </c>
      <c r="HS89" s="36">
        <f t="shared" ca="1" si="227"/>
        <v>52.744184855527784</v>
      </c>
      <c r="HT89" s="36">
        <f t="shared" ca="1" si="227"/>
        <v>53.660869414303988</v>
      </c>
      <c r="HU89" s="36">
        <f t="shared" ca="1" si="224"/>
        <v>53.850813795328477</v>
      </c>
      <c r="HV89" s="36">
        <f t="shared" ca="1" si="224"/>
        <v>54.063438919480213</v>
      </c>
      <c r="HW89" s="36">
        <f t="shared" ca="1" si="224"/>
        <v>53.300811595637008</v>
      </c>
      <c r="HX89" s="36">
        <f t="shared" ca="1" si="224"/>
        <v>53.68757879541122</v>
      </c>
      <c r="HY89" s="36">
        <f t="shared" ca="1" si="224"/>
        <v>52.705849639824102</v>
      </c>
      <c r="HZ89" s="36">
        <f t="shared" ca="1" si="224"/>
        <v>52.202916455916053</v>
      </c>
      <c r="IA89" s="36">
        <f t="shared" ca="1" si="224"/>
        <v>52.654025570511131</v>
      </c>
      <c r="IB89" s="36">
        <f t="shared" ca="1" si="224"/>
        <v>53.998263092305585</v>
      </c>
      <c r="IC89" s="36">
        <f t="shared" ca="1" si="224"/>
        <v>54.214143666917259</v>
      </c>
      <c r="ID89" s="36">
        <f t="shared" ca="1" si="224"/>
        <v>53.44836928278982</v>
      </c>
      <c r="IE89" s="36">
        <f t="shared" ca="1" si="224"/>
        <v>52.865726479690835</v>
      </c>
      <c r="IF89" s="36">
        <f t="shared" ca="1" si="224"/>
        <v>53.140060843206179</v>
      </c>
      <c r="IG89" s="36">
        <f t="shared" ca="1" si="224"/>
        <v>52.737780691387158</v>
      </c>
      <c r="IH89" s="36">
        <f t="shared" ca="1" si="224"/>
        <v>52.033837811146903</v>
      </c>
      <c r="II89" s="36">
        <f t="shared" ca="1" si="224"/>
        <v>51.38925073077813</v>
      </c>
      <c r="IJ89" s="36">
        <f t="shared" ca="1" si="224"/>
        <v>51.441975021842396</v>
      </c>
      <c r="IK89" s="36">
        <f t="shared" ca="1" si="224"/>
        <v>50.701141770486196</v>
      </c>
      <c r="IL89" s="36">
        <f t="shared" ca="1" si="224"/>
        <v>50.7383481906136</v>
      </c>
      <c r="IM89" s="36">
        <f t="shared" ca="1" si="224"/>
        <v>51.469394232502296</v>
      </c>
      <c r="IN89" s="36">
        <f t="shared" ca="1" si="224"/>
        <v>51.288317648863078</v>
      </c>
      <c r="IO89" s="36">
        <f t="shared" ca="1" si="224"/>
        <v>52.061592218410645</v>
      </c>
      <c r="IP89" s="36">
        <f t="shared" ca="1" si="224"/>
        <v>52.798170249564642</v>
      </c>
      <c r="IQ89" s="36">
        <f t="shared" ca="1" si="224"/>
        <v>51.835380500229448</v>
      </c>
      <c r="IR89" s="36">
        <f t="shared" ca="1" si="224"/>
        <v>51.385652362694287</v>
      </c>
      <c r="IS89" s="36">
        <f t="shared" ca="1" si="224"/>
        <v>50.806510359260372</v>
      </c>
      <c r="IT89" s="36">
        <f t="shared" ca="1" si="224"/>
        <v>51.249471380507352</v>
      </c>
      <c r="IU89" s="36">
        <f t="shared" ca="1" si="224"/>
        <v>51.075437054888589</v>
      </c>
    </row>
    <row r="90" spans="1:255" x14ac:dyDescent="0.2">
      <c r="A90" s="36"/>
      <c r="B90">
        <v>80</v>
      </c>
      <c r="C90" s="36">
        <v>50</v>
      </c>
      <c r="D90" s="36">
        <f t="shared" ca="1" si="188"/>
        <v>50.33619073474339</v>
      </c>
      <c r="E90" s="36">
        <f t="shared" ca="1" si="188"/>
        <v>49.963523488290456</v>
      </c>
      <c r="F90" s="36">
        <f t="shared" ref="F90:BQ93" ca="1" si="228">E90*EXP(($B$3-$B$4^2/2)*1+$B$4*_xlfn.NORM.S.INV(RAND()))</f>
        <v>49.43020157166378</v>
      </c>
      <c r="G90" s="36">
        <f t="shared" ca="1" si="228"/>
        <v>49.260478709535128</v>
      </c>
      <c r="H90" s="36">
        <f t="shared" ca="1" si="228"/>
        <v>49.4175756168476</v>
      </c>
      <c r="I90" s="36">
        <f t="shared" ca="1" si="228"/>
        <v>49.392547299780347</v>
      </c>
      <c r="J90" s="36">
        <f t="shared" ca="1" si="228"/>
        <v>48.503901096970843</v>
      </c>
      <c r="K90" s="36">
        <f t="shared" ca="1" si="228"/>
        <v>49.409291715751472</v>
      </c>
      <c r="L90" s="36">
        <f t="shared" ca="1" si="228"/>
        <v>49.451291073559211</v>
      </c>
      <c r="M90" s="36">
        <f t="shared" ca="1" si="228"/>
        <v>49.663102273378144</v>
      </c>
      <c r="N90" s="36">
        <f t="shared" ca="1" si="228"/>
        <v>49.64522238807541</v>
      </c>
      <c r="O90" s="36">
        <f t="shared" ca="1" si="228"/>
        <v>50.570893174913792</v>
      </c>
      <c r="P90" s="36">
        <f t="shared" ca="1" si="228"/>
        <v>50.650178740608432</v>
      </c>
      <c r="Q90" s="36">
        <f t="shared" ca="1" si="228"/>
        <v>50.56471060965896</v>
      </c>
      <c r="R90" s="36">
        <f t="shared" ca="1" si="228"/>
        <v>49.875538372210919</v>
      </c>
      <c r="S90" s="36">
        <f t="shared" ca="1" si="228"/>
        <v>49.282113758747471</v>
      </c>
      <c r="T90" s="36">
        <f t="shared" ca="1" si="228"/>
        <v>48.322268963299251</v>
      </c>
      <c r="U90" s="36">
        <f t="shared" ca="1" si="228"/>
        <v>48.494412830378018</v>
      </c>
      <c r="V90" s="36">
        <f t="shared" ca="1" si="228"/>
        <v>48.385051968994816</v>
      </c>
      <c r="W90" s="36">
        <f t="shared" ca="1" si="228"/>
        <v>48.369070166199215</v>
      </c>
      <c r="X90" s="36">
        <f t="shared" ca="1" si="228"/>
        <v>48.819167854139181</v>
      </c>
      <c r="Y90" s="36">
        <f t="shared" ca="1" si="228"/>
        <v>49.345932522488837</v>
      </c>
      <c r="Z90" s="36">
        <f t="shared" ca="1" si="228"/>
        <v>50.325486715044832</v>
      </c>
      <c r="AA90" s="36">
        <f t="shared" ca="1" si="228"/>
        <v>50.971604016549975</v>
      </c>
      <c r="AB90" s="36">
        <f t="shared" ca="1" si="228"/>
        <v>51.237772051364615</v>
      </c>
      <c r="AC90" s="36">
        <f t="shared" ca="1" si="228"/>
        <v>52.391948572575828</v>
      </c>
      <c r="AD90" s="36">
        <f t="shared" ca="1" si="228"/>
        <v>51.75142991528643</v>
      </c>
      <c r="AE90" s="36">
        <f t="shared" ca="1" si="228"/>
        <v>52.073579449659555</v>
      </c>
      <c r="AF90" s="36">
        <f t="shared" ca="1" si="228"/>
        <v>51.842481255534274</v>
      </c>
      <c r="AG90" s="36">
        <f t="shared" ca="1" si="228"/>
        <v>51.637548557353057</v>
      </c>
      <c r="AH90" s="36">
        <f t="shared" ca="1" si="228"/>
        <v>51.349663568156124</v>
      </c>
      <c r="AI90" s="36">
        <f t="shared" ca="1" si="228"/>
        <v>52.598595310179547</v>
      </c>
      <c r="AJ90" s="36">
        <f t="shared" ca="1" si="228"/>
        <v>52.588532668857781</v>
      </c>
      <c r="AK90" s="36">
        <f t="shared" ca="1" si="228"/>
        <v>52.480673504585269</v>
      </c>
      <c r="AL90" s="36">
        <f t="shared" ca="1" si="228"/>
        <v>53.149951047695218</v>
      </c>
      <c r="AM90" s="36">
        <f t="shared" ca="1" si="228"/>
        <v>53.580564509896199</v>
      </c>
      <c r="AN90" s="36">
        <f t="shared" ca="1" si="228"/>
        <v>53.540903832659851</v>
      </c>
      <c r="AO90" s="36">
        <f t="shared" ca="1" si="228"/>
        <v>54.270600686913319</v>
      </c>
      <c r="AP90" s="36">
        <f t="shared" ca="1" si="228"/>
        <v>53.945804448261235</v>
      </c>
      <c r="AQ90" s="36">
        <f t="shared" ca="1" si="228"/>
        <v>53.764417390321547</v>
      </c>
      <c r="AR90" s="36">
        <f t="shared" ca="1" si="228"/>
        <v>54.779164574262275</v>
      </c>
      <c r="AS90" s="36">
        <f t="shared" ca="1" si="228"/>
        <v>54.030583260126022</v>
      </c>
      <c r="AT90" s="36">
        <f t="shared" ca="1" si="228"/>
        <v>53.86064885794007</v>
      </c>
      <c r="AU90" s="36">
        <f t="shared" ca="1" si="228"/>
        <v>53.794633778395536</v>
      </c>
      <c r="AV90" s="36">
        <f t="shared" ca="1" si="228"/>
        <v>53.88118873231619</v>
      </c>
      <c r="AW90" s="36">
        <f t="shared" ca="1" si="228"/>
        <v>53.671328129681385</v>
      </c>
      <c r="AX90" s="36">
        <f t="shared" ca="1" si="228"/>
        <v>54.167548019949308</v>
      </c>
      <c r="AY90" s="36">
        <f t="shared" ca="1" si="228"/>
        <v>52.849489365591545</v>
      </c>
      <c r="AZ90" s="36">
        <f t="shared" ca="1" si="228"/>
        <v>52.307267499628033</v>
      </c>
      <c r="BA90" s="36">
        <f t="shared" ca="1" si="228"/>
        <v>52.8096967815749</v>
      </c>
      <c r="BB90" s="36">
        <f t="shared" ca="1" si="228"/>
        <v>52.250587672542501</v>
      </c>
      <c r="BC90" s="36">
        <f t="shared" ca="1" si="228"/>
        <v>53.010140906172282</v>
      </c>
      <c r="BD90" s="36">
        <f t="shared" ca="1" si="228"/>
        <v>52.274532955703592</v>
      </c>
      <c r="BE90" s="36">
        <f t="shared" ca="1" si="228"/>
        <v>52.508300271756134</v>
      </c>
      <c r="BF90" s="36">
        <f t="shared" ca="1" si="228"/>
        <v>51.897729133932351</v>
      </c>
      <c r="BG90" s="36">
        <f t="shared" ca="1" si="228"/>
        <v>52.347876930172518</v>
      </c>
      <c r="BH90" s="36">
        <f t="shared" ca="1" si="228"/>
        <v>50.897017067160903</v>
      </c>
      <c r="BI90" s="36">
        <f t="shared" ca="1" si="228"/>
        <v>50.366459258448891</v>
      </c>
      <c r="BJ90" s="36">
        <f t="shared" ca="1" si="228"/>
        <v>49.11427053968589</v>
      </c>
      <c r="BK90" s="36">
        <f t="shared" ca="1" si="228"/>
        <v>48.583205937803555</v>
      </c>
      <c r="BL90" s="36">
        <f t="shared" ca="1" si="228"/>
        <v>49.105788390574311</v>
      </c>
      <c r="BM90" s="36">
        <f t="shared" ca="1" si="228"/>
        <v>47.834560469086874</v>
      </c>
      <c r="BN90" s="36">
        <f t="shared" ca="1" si="228"/>
        <v>47.422774953370258</v>
      </c>
      <c r="BO90" s="36">
        <f t="shared" ca="1" si="228"/>
        <v>46.553540936612123</v>
      </c>
      <c r="BP90" s="36">
        <f t="shared" ca="1" si="228"/>
        <v>46.590436235918311</v>
      </c>
      <c r="BQ90" s="36">
        <f t="shared" ca="1" si="228"/>
        <v>46.493126794343233</v>
      </c>
      <c r="BR90" s="36">
        <f t="shared" ca="1" si="225"/>
        <v>45.272588482001304</v>
      </c>
      <c r="BS90" s="36">
        <f t="shared" ca="1" si="225"/>
        <v>45.063298157066413</v>
      </c>
      <c r="BT90" s="36">
        <f t="shared" ca="1" si="225"/>
        <v>44.268751015674631</v>
      </c>
      <c r="BU90" s="36">
        <f t="shared" ca="1" si="225"/>
        <v>44.090734345043828</v>
      </c>
      <c r="BV90" s="36">
        <f t="shared" ca="1" si="225"/>
        <v>43.786270956432155</v>
      </c>
      <c r="BW90" s="36">
        <f t="shared" ca="1" si="225"/>
        <v>43.757363015156457</v>
      </c>
      <c r="BX90" s="36">
        <f t="shared" ca="1" si="225"/>
        <v>42.281333064353433</v>
      </c>
      <c r="BY90" s="36">
        <f t="shared" ca="1" si="225"/>
        <v>42.069497385045381</v>
      </c>
      <c r="BZ90" s="36">
        <f t="shared" ca="1" si="225"/>
        <v>42.656070122734896</v>
      </c>
      <c r="CA90" s="36">
        <f t="shared" ca="1" si="225"/>
        <v>43.156846984942128</v>
      </c>
      <c r="CB90" s="36">
        <f t="shared" ca="1" si="225"/>
        <v>44.760643464693537</v>
      </c>
      <c r="CC90" s="36">
        <f t="shared" ca="1" si="225"/>
        <v>45.156289017348513</v>
      </c>
      <c r="CD90" s="36">
        <f t="shared" ca="1" si="225"/>
        <v>45.30319484171148</v>
      </c>
      <c r="CE90" s="36">
        <f t="shared" ca="1" si="225"/>
        <v>45.273303196438945</v>
      </c>
      <c r="CF90" s="36">
        <f t="shared" ca="1" si="225"/>
        <v>44.747537045377371</v>
      </c>
      <c r="CG90" s="36">
        <f t="shared" ca="1" si="225"/>
        <v>43.862428828910119</v>
      </c>
      <c r="CH90" s="36">
        <f t="shared" ca="1" si="225"/>
        <v>43.635834176670471</v>
      </c>
      <c r="CI90" s="36">
        <f t="shared" ca="1" si="225"/>
        <v>44.613754545679136</v>
      </c>
      <c r="CJ90" s="36">
        <f t="shared" ca="1" si="225"/>
        <v>43.283151880527356</v>
      </c>
      <c r="CK90" s="36">
        <f t="shared" ca="1" si="225"/>
        <v>43.552161505117944</v>
      </c>
      <c r="CL90" s="36">
        <f t="shared" ca="1" si="225"/>
        <v>43.907742947365939</v>
      </c>
      <c r="CM90" s="36">
        <f t="shared" ca="1" si="225"/>
        <v>43.676649114052907</v>
      </c>
      <c r="CN90" s="36">
        <f t="shared" ca="1" si="225"/>
        <v>43.218595102736167</v>
      </c>
      <c r="CO90" s="36">
        <f t="shared" ca="1" si="225"/>
        <v>43.987654747921049</v>
      </c>
      <c r="CP90" s="36">
        <f t="shared" ca="1" si="225"/>
        <v>44.110674239719174</v>
      </c>
      <c r="CQ90" s="36">
        <f t="shared" ca="1" si="225"/>
        <v>44.495234798250387</v>
      </c>
      <c r="CR90" s="36">
        <f t="shared" ca="1" si="225"/>
        <v>44.290709461416064</v>
      </c>
      <c r="CS90" s="36">
        <f t="shared" ca="1" si="225"/>
        <v>43.520707890296038</v>
      </c>
      <c r="CT90" s="36">
        <f t="shared" ca="1" si="225"/>
        <v>43.801085497355658</v>
      </c>
      <c r="CU90" s="36">
        <f t="shared" ca="1" si="225"/>
        <v>43.431806993924042</v>
      </c>
      <c r="CV90" s="36">
        <f t="shared" ca="1" si="225"/>
        <v>43.688342865892899</v>
      </c>
      <c r="CW90" s="36">
        <f t="shared" ca="1" si="225"/>
        <v>43.991263129580517</v>
      </c>
      <c r="CX90" s="36">
        <f t="shared" ca="1" si="225"/>
        <v>44.281613555923592</v>
      </c>
      <c r="CY90" s="36">
        <f t="shared" ca="1" si="225"/>
        <v>43.81961238698851</v>
      </c>
      <c r="CZ90" s="36">
        <f t="shared" ca="1" si="225"/>
        <v>44.266035686946246</v>
      </c>
      <c r="DA90" s="36">
        <f t="shared" ca="1" si="225"/>
        <v>44.40977409662419</v>
      </c>
      <c r="DB90" s="36">
        <f t="shared" ca="1" si="225"/>
        <v>44.990781600824704</v>
      </c>
      <c r="DC90" s="36">
        <f t="shared" ca="1" si="225"/>
        <v>44.981240907068859</v>
      </c>
      <c r="DD90" s="36">
        <f t="shared" ca="1" si="225"/>
        <v>44.053615939651607</v>
      </c>
      <c r="DE90" s="36">
        <f t="shared" ca="1" si="225"/>
        <v>44.11721560314772</v>
      </c>
      <c r="DF90" s="36">
        <f t="shared" ca="1" si="225"/>
        <v>43.592552030645614</v>
      </c>
      <c r="DG90" s="36">
        <f t="shared" ca="1" si="225"/>
        <v>42.745313601647283</v>
      </c>
      <c r="DH90" s="36">
        <f t="shared" ca="1" si="225"/>
        <v>43.045710300932903</v>
      </c>
      <c r="DI90" s="36">
        <f t="shared" ca="1" si="225"/>
        <v>43.494556221134182</v>
      </c>
      <c r="DJ90" s="36">
        <f t="shared" ca="1" si="225"/>
        <v>43.493615738051567</v>
      </c>
      <c r="DK90" s="36">
        <f t="shared" ca="1" si="225"/>
        <v>42.848601549355976</v>
      </c>
      <c r="DL90" s="36">
        <f t="shared" ca="1" si="225"/>
        <v>42.772886767120653</v>
      </c>
      <c r="DM90" s="36">
        <f t="shared" ca="1" si="225"/>
        <v>43.93483719252643</v>
      </c>
      <c r="DN90" s="36">
        <f t="shared" ca="1" si="225"/>
        <v>44.34568591232081</v>
      </c>
      <c r="DO90" s="36">
        <f t="shared" ca="1" si="225"/>
        <v>43.863706455376033</v>
      </c>
      <c r="DP90" s="36">
        <f t="shared" ca="1" si="225"/>
        <v>43.466911774472791</v>
      </c>
      <c r="DQ90" s="36">
        <f t="shared" ca="1" si="225"/>
        <v>43.306623780137151</v>
      </c>
      <c r="DR90" s="36">
        <f t="shared" ca="1" si="225"/>
        <v>43.305905103094119</v>
      </c>
      <c r="DS90" s="36">
        <f t="shared" ca="1" si="225"/>
        <v>43.150690869226679</v>
      </c>
      <c r="DT90" s="36">
        <f t="shared" ca="1" si="225"/>
        <v>42.297952574617774</v>
      </c>
      <c r="DU90" s="36">
        <f t="shared" ca="1" si="225"/>
        <v>42.005746748023888</v>
      </c>
      <c r="DV90" s="36">
        <f t="shared" ca="1" si="225"/>
        <v>42.751441400251011</v>
      </c>
      <c r="DW90" s="36">
        <f t="shared" ca="1" si="225"/>
        <v>42.220417700660782</v>
      </c>
      <c r="DX90" s="36">
        <f t="shared" ca="1" si="225"/>
        <v>41.58943029097707</v>
      </c>
      <c r="DY90" s="36">
        <f t="shared" ca="1" si="225"/>
        <v>41.421205077114074</v>
      </c>
      <c r="DZ90" s="36">
        <f t="shared" ca="1" si="225"/>
        <v>41.701619740810486</v>
      </c>
      <c r="EA90" s="36">
        <f t="shared" ca="1" si="225"/>
        <v>41.640359332353533</v>
      </c>
      <c r="EB90" s="36">
        <f t="shared" ca="1" si="225"/>
        <v>42.037320148107554</v>
      </c>
      <c r="EC90" s="36">
        <f t="shared" ca="1" si="198"/>
        <v>41.171254946249206</v>
      </c>
      <c r="ED90" s="36">
        <f t="shared" ca="1" si="193"/>
        <v>40.845719119351493</v>
      </c>
      <c r="EE90" s="36">
        <f t="shared" ca="1" si="193"/>
        <v>41.198330444637108</v>
      </c>
      <c r="EF90" s="36">
        <f t="shared" ca="1" si="214"/>
        <v>41.513576954459751</v>
      </c>
      <c r="EG90" s="36">
        <f t="shared" ca="1" si="214"/>
        <v>41.926448607815075</v>
      </c>
      <c r="EH90" s="36">
        <f t="shared" ca="1" si="214"/>
        <v>41.663848392956012</v>
      </c>
      <c r="EI90" s="36">
        <f t="shared" ca="1" si="214"/>
        <v>41.724516957084738</v>
      </c>
      <c r="EJ90" s="36">
        <f t="shared" ca="1" si="214"/>
        <v>41.65811181082087</v>
      </c>
      <c r="EK90" s="36">
        <f t="shared" ca="1" si="214"/>
        <v>42.614804312138347</v>
      </c>
      <c r="EL90" s="36">
        <f t="shared" ca="1" si="214"/>
        <v>42.695513264190652</v>
      </c>
      <c r="EM90" s="36">
        <f t="shared" ca="1" si="214"/>
        <v>42.949748504341102</v>
      </c>
      <c r="EN90" s="36">
        <f t="shared" ca="1" si="214"/>
        <v>42.660467543772057</v>
      </c>
      <c r="EO90" s="36">
        <f t="shared" ca="1" si="214"/>
        <v>43.757583923076929</v>
      </c>
      <c r="EP90" s="36">
        <f t="shared" ca="1" si="214"/>
        <v>44.039998665139898</v>
      </c>
      <c r="EQ90" s="36">
        <f t="shared" ca="1" si="214"/>
        <v>43.672860907932069</v>
      </c>
      <c r="ER90" s="36">
        <f t="shared" ca="1" si="214"/>
        <v>44.501939994107538</v>
      </c>
      <c r="ES90" s="36">
        <f t="shared" ca="1" si="214"/>
        <v>44.825010574309992</v>
      </c>
      <c r="ET90" s="36">
        <f t="shared" ca="1" si="214"/>
        <v>45.181481781934146</v>
      </c>
      <c r="EU90" s="36">
        <f t="shared" ca="1" si="214"/>
        <v>44.381952965153182</v>
      </c>
      <c r="EV90" s="36">
        <f t="shared" ca="1" si="214"/>
        <v>44.468298781138323</v>
      </c>
      <c r="EW90" s="36">
        <f t="shared" ref="EW90" ca="1" si="229">EV90*EXP(($B$3-$B$4^2/2)*1+$B$4*_xlfn.NORM.S.INV(RAND()))</f>
        <v>44.205587700858608</v>
      </c>
      <c r="EX90" s="36">
        <f t="shared" ca="1" si="221"/>
        <v>44.397897110348197</v>
      </c>
      <c r="EY90" s="36">
        <f t="shared" ca="1" si="221"/>
        <v>43.988315664327239</v>
      </c>
      <c r="EZ90" s="36">
        <f t="shared" ca="1" si="221"/>
        <v>43.981486443009992</v>
      </c>
      <c r="FA90" s="36">
        <f t="shared" ca="1" si="221"/>
        <v>43.49788331470144</v>
      </c>
      <c r="FB90" s="36">
        <f t="shared" ca="1" si="221"/>
        <v>43.313223584817393</v>
      </c>
      <c r="FC90" s="36">
        <f t="shared" ca="1" si="221"/>
        <v>42.18525525824726</v>
      </c>
      <c r="FD90" s="36">
        <f t="shared" ca="1" si="221"/>
        <v>43.244292848633613</v>
      </c>
      <c r="FE90" s="36">
        <f t="shared" ca="1" si="221"/>
        <v>43.049688841187908</v>
      </c>
      <c r="FF90" s="36">
        <f t="shared" ca="1" si="221"/>
        <v>41.93023868815061</v>
      </c>
      <c r="FG90" s="36">
        <f t="shared" ca="1" si="221"/>
        <v>41.78759438604655</v>
      </c>
      <c r="FH90" s="36">
        <f t="shared" ca="1" si="221"/>
        <v>41.479878864515342</v>
      </c>
      <c r="FI90" s="36">
        <f t="shared" ca="1" si="221"/>
        <v>40.951905920949599</v>
      </c>
      <c r="FJ90" s="36">
        <f t="shared" ca="1" si="221"/>
        <v>41.555238536842978</v>
      </c>
      <c r="FK90" s="36">
        <f t="shared" ca="1" si="221"/>
        <v>42.573117725465515</v>
      </c>
      <c r="FL90" s="36">
        <f t="shared" ca="1" si="221"/>
        <v>42.019941791335768</v>
      </c>
      <c r="FM90" s="36">
        <f t="shared" ca="1" si="221"/>
        <v>43.291928845573672</v>
      </c>
      <c r="FN90" s="36">
        <f t="shared" ca="1" si="221"/>
        <v>42.795926920507178</v>
      </c>
      <c r="FO90" s="36">
        <f t="shared" ca="1" si="221"/>
        <v>42.7672224147123</v>
      </c>
      <c r="FP90" s="36">
        <f t="shared" ca="1" si="221"/>
        <v>42.92643481316658</v>
      </c>
      <c r="FQ90" s="36">
        <f t="shared" ca="1" si="221"/>
        <v>43.318104081700419</v>
      </c>
      <c r="FR90" s="36">
        <f t="shared" ca="1" si="221"/>
        <v>43.772865884921785</v>
      </c>
      <c r="FS90" s="36">
        <f t="shared" ca="1" si="221"/>
        <v>42.777302260019574</v>
      </c>
      <c r="FT90" s="36">
        <f t="shared" ca="1" si="221"/>
        <v>43.017899593138573</v>
      </c>
      <c r="FU90" s="36">
        <f t="shared" ca="1" si="221"/>
        <v>43.435645356253289</v>
      </c>
      <c r="FV90" s="36">
        <f t="shared" ca="1" si="221"/>
        <v>42.773332473046366</v>
      </c>
      <c r="FW90" s="36">
        <f t="shared" ca="1" si="221"/>
        <v>42.288012574659874</v>
      </c>
      <c r="FX90" s="36">
        <f t="shared" ca="1" si="221"/>
        <v>42.367122062770854</v>
      </c>
      <c r="FY90" s="36">
        <f t="shared" ca="1" si="221"/>
        <v>42.854936824161435</v>
      </c>
      <c r="FZ90" s="36">
        <f t="shared" ca="1" si="221"/>
        <v>43.055721718643511</v>
      </c>
      <c r="GA90" s="36">
        <f t="shared" ca="1" si="221"/>
        <v>43.028814812719588</v>
      </c>
      <c r="GB90" s="36">
        <f t="shared" ca="1" si="221"/>
        <v>42.673376476895214</v>
      </c>
      <c r="GC90" s="36">
        <f t="shared" ca="1" si="221"/>
        <v>42.547788211069822</v>
      </c>
      <c r="GD90" s="36">
        <f t="shared" ca="1" si="221"/>
        <v>42.797639994157926</v>
      </c>
      <c r="GE90" s="36">
        <f t="shared" ca="1" si="221"/>
        <v>42.339660009283101</v>
      </c>
      <c r="GF90" s="36">
        <f t="shared" ca="1" si="221"/>
        <v>41.784415293592048</v>
      </c>
      <c r="GG90" s="36">
        <f t="shared" ca="1" si="221"/>
        <v>42.411131714754198</v>
      </c>
      <c r="GH90" s="36">
        <f t="shared" ca="1" si="221"/>
        <v>42.285417952487052</v>
      </c>
      <c r="GI90" s="36">
        <f t="shared" ca="1" si="221"/>
        <v>41.989262203470858</v>
      </c>
      <c r="GJ90" s="36">
        <f t="shared" ca="1" si="221"/>
        <v>42.153813322581236</v>
      </c>
      <c r="GK90" s="36">
        <f t="shared" ca="1" si="221"/>
        <v>41.988002429140622</v>
      </c>
      <c r="GL90" s="36">
        <f t="shared" ca="1" si="221"/>
        <v>41.790820767265174</v>
      </c>
      <c r="GM90" s="36">
        <f t="shared" ca="1" si="221"/>
        <v>41.797575243437954</v>
      </c>
      <c r="GN90" s="36">
        <f t="shared" ca="1" si="221"/>
        <v>42.363609056013516</v>
      </c>
      <c r="GO90" s="36">
        <f t="shared" ca="1" si="221"/>
        <v>42.830888305754762</v>
      </c>
      <c r="GP90" s="36">
        <f t="shared" ca="1" si="221"/>
        <v>41.979369411110312</v>
      </c>
      <c r="GQ90" s="36">
        <f t="shared" ca="1" si="221"/>
        <v>41.303256857748607</v>
      </c>
      <c r="GR90" s="36">
        <f t="shared" ca="1" si="221"/>
        <v>41.219848039388793</v>
      </c>
      <c r="GS90" s="36">
        <f t="shared" ca="1" si="221"/>
        <v>41.074880848738843</v>
      </c>
      <c r="GT90" s="36">
        <f t="shared" ca="1" si="221"/>
        <v>41.068353641759849</v>
      </c>
      <c r="GU90" s="36">
        <f t="shared" ca="1" si="221"/>
        <v>40.977957898921169</v>
      </c>
      <c r="GV90" s="36">
        <f t="shared" ca="1" si="221"/>
        <v>40.827083075178578</v>
      </c>
      <c r="GW90" s="36">
        <f t="shared" ca="1" si="221"/>
        <v>40.56340416661638</v>
      </c>
      <c r="GX90" s="36">
        <f t="shared" ca="1" si="221"/>
        <v>41.300440624846829</v>
      </c>
      <c r="GY90" s="36">
        <f t="shared" ca="1" si="221"/>
        <v>41.131131138185289</v>
      </c>
      <c r="GZ90" s="36">
        <f t="shared" ca="1" si="221"/>
        <v>41.069686316079022</v>
      </c>
      <c r="HA90" s="36">
        <f t="shared" ca="1" si="221"/>
        <v>40.621710417127055</v>
      </c>
      <c r="HB90" s="36">
        <f t="shared" ca="1" si="221"/>
        <v>40.834681532779825</v>
      </c>
      <c r="HC90" s="36">
        <f t="shared" ca="1" si="221"/>
        <v>41.131532763736999</v>
      </c>
      <c r="HD90" s="36">
        <f t="shared" ca="1" si="221"/>
        <v>41.232457703800485</v>
      </c>
      <c r="HE90" s="36">
        <f t="shared" ca="1" si="221"/>
        <v>41.353519742775653</v>
      </c>
      <c r="HF90" s="36">
        <f t="shared" ca="1" si="221"/>
        <v>41.120761232192912</v>
      </c>
      <c r="HG90" s="36">
        <f t="shared" ca="1" si="221"/>
        <v>40.84301482996576</v>
      </c>
      <c r="HH90" s="36">
        <f t="shared" ca="1" si="221"/>
        <v>40.303418769165077</v>
      </c>
      <c r="HI90" s="36">
        <f t="shared" ca="1" si="227"/>
        <v>40.105561266232918</v>
      </c>
      <c r="HJ90" s="36">
        <f t="shared" ca="1" si="227"/>
        <v>40.497907994022071</v>
      </c>
      <c r="HK90" s="36">
        <f t="shared" ca="1" si="227"/>
        <v>40.471313736557946</v>
      </c>
      <c r="HL90" s="36">
        <f t="shared" ca="1" si="227"/>
        <v>40.096401942769056</v>
      </c>
      <c r="HM90" s="36">
        <f t="shared" ca="1" si="227"/>
        <v>40.42229449972546</v>
      </c>
      <c r="HN90" s="36">
        <f t="shared" ca="1" si="227"/>
        <v>40.585989109248082</v>
      </c>
      <c r="HO90" s="36">
        <f t="shared" ca="1" si="227"/>
        <v>40.893489128439676</v>
      </c>
      <c r="HP90" s="36">
        <f t="shared" ca="1" si="227"/>
        <v>40.161063636027336</v>
      </c>
      <c r="HQ90" s="36">
        <f t="shared" ca="1" si="227"/>
        <v>38.928030508186801</v>
      </c>
      <c r="HR90" s="36">
        <f t="shared" ca="1" si="227"/>
        <v>39.110919559857003</v>
      </c>
      <c r="HS90" s="36">
        <f t="shared" ca="1" si="227"/>
        <v>38.584471694669212</v>
      </c>
      <c r="HT90" s="36">
        <f t="shared" ca="1" si="227"/>
        <v>39.012598117327848</v>
      </c>
      <c r="HU90" s="36">
        <f t="shared" ca="1" si="224"/>
        <v>40.049932166475067</v>
      </c>
      <c r="HV90" s="36">
        <f t="shared" ca="1" si="224"/>
        <v>39.524016878856962</v>
      </c>
      <c r="HW90" s="36">
        <f t="shared" ca="1" si="224"/>
        <v>39.655718275359888</v>
      </c>
      <c r="HX90" s="36">
        <f t="shared" ca="1" si="224"/>
        <v>39.427262768302469</v>
      </c>
      <c r="HY90" s="36">
        <f t="shared" ca="1" si="224"/>
        <v>39.474569511440755</v>
      </c>
      <c r="HZ90" s="36">
        <f t="shared" ca="1" si="224"/>
        <v>38.548138799971511</v>
      </c>
      <c r="IA90" s="36">
        <f t="shared" ca="1" si="224"/>
        <v>38.489357388557586</v>
      </c>
      <c r="IB90" s="36">
        <f t="shared" ca="1" si="224"/>
        <v>38.470608114542337</v>
      </c>
      <c r="IC90" s="36">
        <f t="shared" ca="1" si="224"/>
        <v>38.153351387577516</v>
      </c>
      <c r="ID90" s="36">
        <f t="shared" ca="1" si="224"/>
        <v>37.964421001203497</v>
      </c>
      <c r="IE90" s="36">
        <f t="shared" ca="1" si="224"/>
        <v>37.809667810674043</v>
      </c>
      <c r="IF90" s="36">
        <f t="shared" ca="1" si="224"/>
        <v>38.595932951697108</v>
      </c>
      <c r="IG90" s="36">
        <f t="shared" ca="1" si="224"/>
        <v>38.273426696184046</v>
      </c>
      <c r="IH90" s="36">
        <f t="shared" ca="1" si="224"/>
        <v>37.969418339409529</v>
      </c>
      <c r="II90" s="36">
        <f t="shared" ca="1" si="224"/>
        <v>38.381617731128856</v>
      </c>
      <c r="IJ90" s="36">
        <f t="shared" ca="1" si="224"/>
        <v>38.976769456809045</v>
      </c>
      <c r="IK90" s="36">
        <f t="shared" ca="1" si="224"/>
        <v>39.636952534363985</v>
      </c>
      <c r="IL90" s="36">
        <f t="shared" ca="1" si="224"/>
        <v>40.312069239578499</v>
      </c>
      <c r="IM90" s="36">
        <f t="shared" ca="1" si="224"/>
        <v>41.868506247227131</v>
      </c>
      <c r="IN90" s="36">
        <f t="shared" ca="1" si="224"/>
        <v>41.862406777509349</v>
      </c>
      <c r="IO90" s="36">
        <f t="shared" ca="1" si="224"/>
        <v>41.276709324211041</v>
      </c>
      <c r="IP90" s="36">
        <f t="shared" ca="1" si="224"/>
        <v>41.3875228054834</v>
      </c>
      <c r="IQ90" s="36">
        <f t="shared" ca="1" si="224"/>
        <v>40.745639605170595</v>
      </c>
      <c r="IR90" s="36">
        <f t="shared" ca="1" si="224"/>
        <v>41.042003935091316</v>
      </c>
      <c r="IS90" s="36">
        <f t="shared" ca="1" si="224"/>
        <v>40.906421938418184</v>
      </c>
      <c r="IT90" s="36">
        <f t="shared" ca="1" si="224"/>
        <v>41.385765707123383</v>
      </c>
      <c r="IU90" s="36">
        <f t="shared" ca="1" si="224"/>
        <v>41.108940177340344</v>
      </c>
    </row>
    <row r="91" spans="1:255" x14ac:dyDescent="0.2">
      <c r="A91" s="36"/>
      <c r="B91">
        <v>81</v>
      </c>
      <c r="C91" s="36">
        <v>50</v>
      </c>
      <c r="D91" s="36">
        <f t="shared" ca="1" si="188"/>
        <v>49.590638319322629</v>
      </c>
      <c r="E91" s="36">
        <f t="shared" ca="1" si="188"/>
        <v>49.731892070870188</v>
      </c>
      <c r="F91" s="36">
        <f t="shared" ca="1" si="228"/>
        <v>49.850541465783145</v>
      </c>
      <c r="G91" s="36">
        <f t="shared" ca="1" si="228"/>
        <v>49.535895243257521</v>
      </c>
      <c r="H91" s="36">
        <f t="shared" ca="1" si="228"/>
        <v>48.542054263244609</v>
      </c>
      <c r="I91" s="36">
        <f t="shared" ca="1" si="228"/>
        <v>46.697469695436553</v>
      </c>
      <c r="J91" s="36">
        <f t="shared" ca="1" si="228"/>
        <v>45.802412032874855</v>
      </c>
      <c r="K91" s="36">
        <f t="shared" ca="1" si="228"/>
        <v>44.752639580032437</v>
      </c>
      <c r="L91" s="36">
        <f t="shared" ca="1" si="228"/>
        <v>44.927391837048184</v>
      </c>
      <c r="M91" s="36">
        <f t="shared" ca="1" si="228"/>
        <v>45.26609618251122</v>
      </c>
      <c r="N91" s="36">
        <f t="shared" ca="1" si="228"/>
        <v>45.436797758549439</v>
      </c>
      <c r="O91" s="36">
        <f t="shared" ca="1" si="228"/>
        <v>46.54793790155599</v>
      </c>
      <c r="P91" s="36">
        <f t="shared" ca="1" si="228"/>
        <v>47.610785075548335</v>
      </c>
      <c r="Q91" s="36">
        <f t="shared" ca="1" si="228"/>
        <v>47.303189924119025</v>
      </c>
      <c r="R91" s="36">
        <f t="shared" ca="1" si="228"/>
        <v>47.513572456730273</v>
      </c>
      <c r="S91" s="36">
        <f t="shared" ca="1" si="228"/>
        <v>47.511900104868062</v>
      </c>
      <c r="T91" s="36">
        <f t="shared" ca="1" si="228"/>
        <v>47.490746607586395</v>
      </c>
      <c r="U91" s="36">
        <f t="shared" ca="1" si="228"/>
        <v>46.706120918094534</v>
      </c>
      <c r="V91" s="36">
        <f t="shared" ca="1" si="228"/>
        <v>45.501965440614917</v>
      </c>
      <c r="W91" s="36">
        <f t="shared" ca="1" si="228"/>
        <v>45.516536549870693</v>
      </c>
      <c r="X91" s="36">
        <f t="shared" ca="1" si="228"/>
        <v>45.603451872551197</v>
      </c>
      <c r="Y91" s="36">
        <f t="shared" ca="1" si="228"/>
        <v>45.036877717935489</v>
      </c>
      <c r="Z91" s="36">
        <f t="shared" ca="1" si="228"/>
        <v>45.135603491730755</v>
      </c>
      <c r="AA91" s="36">
        <f t="shared" ca="1" si="228"/>
        <v>45.539432473321028</v>
      </c>
      <c r="AB91" s="36">
        <f t="shared" ca="1" si="228"/>
        <v>45.386575737839863</v>
      </c>
      <c r="AC91" s="36">
        <f t="shared" ca="1" si="228"/>
        <v>45.255352617536794</v>
      </c>
      <c r="AD91" s="36">
        <f t="shared" ca="1" si="228"/>
        <v>46.194271457886607</v>
      </c>
      <c r="AE91" s="36">
        <f t="shared" ca="1" si="228"/>
        <v>45.387023334923889</v>
      </c>
      <c r="AF91" s="36">
        <f t="shared" ca="1" si="228"/>
        <v>45.306877199117622</v>
      </c>
      <c r="AG91" s="36">
        <f t="shared" ca="1" si="228"/>
        <v>45.562384062536104</v>
      </c>
      <c r="AH91" s="36">
        <f t="shared" ca="1" si="228"/>
        <v>45.897216351498308</v>
      </c>
      <c r="AI91" s="36">
        <f t="shared" ca="1" si="228"/>
        <v>45.90125838166292</v>
      </c>
      <c r="AJ91" s="36">
        <f t="shared" ca="1" si="228"/>
        <v>45.790847109816745</v>
      </c>
      <c r="AK91" s="36">
        <f t="shared" ca="1" si="228"/>
        <v>46.374842707441857</v>
      </c>
      <c r="AL91" s="36">
        <f t="shared" ca="1" si="228"/>
        <v>46.719028753604263</v>
      </c>
      <c r="AM91" s="36">
        <f t="shared" ca="1" si="228"/>
        <v>46.400092907617953</v>
      </c>
      <c r="AN91" s="36">
        <f t="shared" ca="1" si="228"/>
        <v>46.110981859463145</v>
      </c>
      <c r="AO91" s="36">
        <f t="shared" ca="1" si="228"/>
        <v>47.297675137196578</v>
      </c>
      <c r="AP91" s="36">
        <f t="shared" ca="1" si="228"/>
        <v>46.892333229404699</v>
      </c>
      <c r="AQ91" s="36">
        <f t="shared" ca="1" si="228"/>
        <v>46.581292404335606</v>
      </c>
      <c r="AR91" s="36">
        <f t="shared" ca="1" si="228"/>
        <v>46.244661510035534</v>
      </c>
      <c r="AS91" s="36">
        <f t="shared" ca="1" si="228"/>
        <v>47.462237750162615</v>
      </c>
      <c r="AT91" s="36">
        <f t="shared" ca="1" si="228"/>
        <v>47.638953187578508</v>
      </c>
      <c r="AU91" s="36">
        <f t="shared" ca="1" si="228"/>
        <v>47.229488574245451</v>
      </c>
      <c r="AV91" s="36">
        <f t="shared" ca="1" si="228"/>
        <v>47.118604926830848</v>
      </c>
      <c r="AW91" s="36">
        <f t="shared" ca="1" si="228"/>
        <v>48.528829789364572</v>
      </c>
      <c r="AX91" s="36">
        <f t="shared" ca="1" si="228"/>
        <v>48.930653077896942</v>
      </c>
      <c r="AY91" s="36">
        <f t="shared" ca="1" si="228"/>
        <v>48.616162383318077</v>
      </c>
      <c r="AZ91" s="36">
        <f t="shared" ca="1" si="228"/>
        <v>48.427392599689256</v>
      </c>
      <c r="BA91" s="36">
        <f t="shared" ca="1" si="228"/>
        <v>47.971107996012393</v>
      </c>
      <c r="BB91" s="36">
        <f t="shared" ca="1" si="228"/>
        <v>47.024741408963301</v>
      </c>
      <c r="BC91" s="36">
        <f t="shared" ca="1" si="228"/>
        <v>47.202910855039214</v>
      </c>
      <c r="BD91" s="36">
        <f t="shared" ca="1" si="228"/>
        <v>47.017554754999303</v>
      </c>
      <c r="BE91" s="36">
        <f t="shared" ca="1" si="228"/>
        <v>47.017592979492754</v>
      </c>
      <c r="BF91" s="36">
        <f t="shared" ca="1" si="228"/>
        <v>47.553900555860842</v>
      </c>
      <c r="BG91" s="36">
        <f t="shared" ca="1" si="228"/>
        <v>46.719598717279901</v>
      </c>
      <c r="BH91" s="36">
        <f t="shared" ca="1" si="228"/>
        <v>47.137095462526403</v>
      </c>
      <c r="BI91" s="36">
        <f t="shared" ca="1" si="228"/>
        <v>47.583300836473455</v>
      </c>
      <c r="BJ91" s="36">
        <f t="shared" ca="1" si="228"/>
        <v>48.116645258938085</v>
      </c>
      <c r="BK91" s="36">
        <f t="shared" ca="1" si="228"/>
        <v>48.842825936749534</v>
      </c>
      <c r="BL91" s="36">
        <f t="shared" ca="1" si="228"/>
        <v>50.041071854607473</v>
      </c>
      <c r="BM91" s="36">
        <f t="shared" ca="1" si="228"/>
        <v>49.093612338537</v>
      </c>
      <c r="BN91" s="36">
        <f t="shared" ca="1" si="228"/>
        <v>49.187098870870564</v>
      </c>
      <c r="BO91" s="36">
        <f t="shared" ca="1" si="228"/>
        <v>49.305882291319563</v>
      </c>
      <c r="BP91" s="36">
        <f t="shared" ca="1" si="228"/>
        <v>49.553428306444374</v>
      </c>
      <c r="BQ91" s="36">
        <f t="shared" ca="1" si="228"/>
        <v>49.402250762773789</v>
      </c>
      <c r="BR91" s="36">
        <f t="shared" ca="1" si="225"/>
        <v>49.529819401501335</v>
      </c>
      <c r="BS91" s="36">
        <f t="shared" ca="1" si="225"/>
        <v>49.474322481941101</v>
      </c>
      <c r="BT91" s="36">
        <f t="shared" ca="1" si="225"/>
        <v>48.082260185799939</v>
      </c>
      <c r="BU91" s="36">
        <f t="shared" ca="1" si="225"/>
        <v>47.707963060408638</v>
      </c>
      <c r="BV91" s="36">
        <f t="shared" ca="1" si="225"/>
        <v>47.485523250186986</v>
      </c>
      <c r="BW91" s="36">
        <f t="shared" ca="1" si="225"/>
        <v>46.746272566074715</v>
      </c>
      <c r="BX91" s="36">
        <f t="shared" ca="1" si="225"/>
        <v>47.209778384800444</v>
      </c>
      <c r="BY91" s="36">
        <f t="shared" ca="1" si="225"/>
        <v>47.870149548995137</v>
      </c>
      <c r="BZ91" s="36">
        <f t="shared" ca="1" si="225"/>
        <v>47.290567541494816</v>
      </c>
      <c r="CA91" s="36">
        <f t="shared" ca="1" si="225"/>
        <v>47.304604007663379</v>
      </c>
      <c r="CB91" s="36">
        <f t="shared" ca="1" si="225"/>
        <v>47.801938553406799</v>
      </c>
      <c r="CC91" s="36">
        <f t="shared" ca="1" si="225"/>
        <v>47.278343976230296</v>
      </c>
      <c r="CD91" s="36">
        <f t="shared" ca="1" si="225"/>
        <v>46.876147394679457</v>
      </c>
      <c r="CE91" s="36">
        <f t="shared" ca="1" si="225"/>
        <v>46.321333393745007</v>
      </c>
      <c r="CF91" s="36">
        <f t="shared" ca="1" si="225"/>
        <v>47.645605219291255</v>
      </c>
      <c r="CG91" s="36">
        <f t="shared" ca="1" si="225"/>
        <v>47.292995620976455</v>
      </c>
      <c r="CH91" s="36">
        <f t="shared" ca="1" si="225"/>
        <v>48.250013283065712</v>
      </c>
      <c r="CI91" s="36">
        <f t="shared" ca="1" si="225"/>
        <v>48.121363651189277</v>
      </c>
      <c r="CJ91" s="36">
        <f t="shared" ca="1" si="225"/>
        <v>48.411082957151606</v>
      </c>
      <c r="CK91" s="36">
        <f t="shared" ca="1" si="225"/>
        <v>48.467091026873504</v>
      </c>
      <c r="CL91" s="36">
        <f t="shared" ca="1" si="225"/>
        <v>49.130300743831945</v>
      </c>
      <c r="CM91" s="36">
        <f t="shared" ca="1" si="225"/>
        <v>48.42056426971692</v>
      </c>
      <c r="CN91" s="36">
        <f t="shared" ca="1" si="225"/>
        <v>48.590214756135644</v>
      </c>
      <c r="CO91" s="36">
        <f t="shared" ca="1" si="225"/>
        <v>48.7069407347254</v>
      </c>
      <c r="CP91" s="36">
        <f t="shared" ca="1" si="225"/>
        <v>47.996120298924616</v>
      </c>
      <c r="CQ91" s="36">
        <f t="shared" ca="1" si="225"/>
        <v>47.207246570993611</v>
      </c>
      <c r="CR91" s="36">
        <f t="shared" ca="1" si="225"/>
        <v>48.183403799321425</v>
      </c>
      <c r="CS91" s="36">
        <f t="shared" ca="1" si="225"/>
        <v>47.870656797681157</v>
      </c>
      <c r="CT91" s="36">
        <f t="shared" ca="1" si="225"/>
        <v>47.744343398487899</v>
      </c>
      <c r="CU91" s="36">
        <f t="shared" ca="1" si="225"/>
        <v>47.865297862398002</v>
      </c>
      <c r="CV91" s="36">
        <f t="shared" ca="1" si="225"/>
        <v>48.849216925701462</v>
      </c>
      <c r="CW91" s="36">
        <f t="shared" ca="1" si="225"/>
        <v>49.37861016806783</v>
      </c>
      <c r="CX91" s="36">
        <f t="shared" ca="1" si="225"/>
        <v>49.274366195087637</v>
      </c>
      <c r="CY91" s="36">
        <f t="shared" ca="1" si="225"/>
        <v>49.843918683816554</v>
      </c>
      <c r="CZ91" s="36">
        <f t="shared" ca="1" si="225"/>
        <v>48.565087224161438</v>
      </c>
      <c r="DA91" s="36">
        <f t="shared" ca="1" si="225"/>
        <v>48.605932696071186</v>
      </c>
      <c r="DB91" s="36">
        <f t="shared" ca="1" si="225"/>
        <v>48.57374133435809</v>
      </c>
      <c r="DC91" s="36">
        <f t="shared" ca="1" si="225"/>
        <v>48.486101603101325</v>
      </c>
      <c r="DD91" s="36">
        <f t="shared" ca="1" si="225"/>
        <v>48.354416254622073</v>
      </c>
      <c r="DE91" s="36">
        <f t="shared" ca="1" si="225"/>
        <v>47.827240001154188</v>
      </c>
      <c r="DF91" s="36">
        <f t="shared" ca="1" si="225"/>
        <v>47.797058225296787</v>
      </c>
      <c r="DG91" s="36">
        <f t="shared" ca="1" si="225"/>
        <v>48.604613575449889</v>
      </c>
      <c r="DH91" s="36">
        <f t="shared" ca="1" si="225"/>
        <v>49.052530410575059</v>
      </c>
      <c r="DI91" s="36">
        <f t="shared" ca="1" si="225"/>
        <v>49.905660422783001</v>
      </c>
      <c r="DJ91" s="36">
        <f t="shared" ca="1" si="225"/>
        <v>49.333078655049682</v>
      </c>
      <c r="DK91" s="36">
        <f t="shared" ca="1" si="225"/>
        <v>49.211175846153211</v>
      </c>
      <c r="DL91" s="36">
        <f t="shared" ca="1" si="225"/>
        <v>48.435228182442117</v>
      </c>
      <c r="DM91" s="36">
        <f t="shared" ca="1" si="225"/>
        <v>48.367393336431334</v>
      </c>
      <c r="DN91" s="36">
        <f t="shared" ca="1" si="225"/>
        <v>48.349302594544056</v>
      </c>
      <c r="DO91" s="36">
        <f t="shared" ca="1" si="225"/>
        <v>48.774084335669656</v>
      </c>
      <c r="DP91" s="36">
        <f t="shared" ca="1" si="225"/>
        <v>48.688659257380422</v>
      </c>
      <c r="DQ91" s="36">
        <f t="shared" ca="1" si="225"/>
        <v>47.664389299059906</v>
      </c>
      <c r="DR91" s="36">
        <f t="shared" ca="1" si="225"/>
        <v>47.429226156793057</v>
      </c>
      <c r="DS91" s="36">
        <f t="shared" ca="1" si="225"/>
        <v>48.04951335065897</v>
      </c>
      <c r="DT91" s="36">
        <f t="shared" ca="1" si="225"/>
        <v>47.537750472334544</v>
      </c>
      <c r="DU91" s="36">
        <f t="shared" ca="1" si="225"/>
        <v>47.887987372250286</v>
      </c>
      <c r="DV91" s="36">
        <f t="shared" ca="1" si="225"/>
        <v>47.65178720362038</v>
      </c>
      <c r="DW91" s="36">
        <f t="shared" ca="1" si="225"/>
        <v>47.709140877319129</v>
      </c>
      <c r="DX91" s="36">
        <f t="shared" ca="1" si="225"/>
        <v>46.933886119569657</v>
      </c>
      <c r="DY91" s="36">
        <f t="shared" ca="1" si="225"/>
        <v>46.323877420086525</v>
      </c>
      <c r="DZ91" s="36">
        <f t="shared" ca="1" si="225"/>
        <v>46.411019815639342</v>
      </c>
      <c r="EA91" s="36">
        <f t="shared" ca="1" si="225"/>
        <v>47.20874301844465</v>
      </c>
      <c r="EB91" s="36">
        <f t="shared" ca="1" si="225"/>
        <v>46.559606920845432</v>
      </c>
      <c r="EC91" s="36">
        <f t="shared" ca="1" si="198"/>
        <v>46.706929603000717</v>
      </c>
      <c r="ED91" s="36">
        <f t="shared" ca="1" si="193"/>
        <v>46.438092150696505</v>
      </c>
      <c r="EE91" s="36">
        <f t="shared" ca="1" si="193"/>
        <v>45.73476113899477</v>
      </c>
      <c r="EF91" s="36">
        <f t="shared" ca="1" si="214"/>
        <v>45.528949294800277</v>
      </c>
      <c r="EG91" s="36">
        <f t="shared" ca="1" si="214"/>
        <v>45.382729494650931</v>
      </c>
      <c r="EH91" s="36">
        <f t="shared" ca="1" si="214"/>
        <v>45.383209958200538</v>
      </c>
      <c r="EI91" s="36">
        <f t="shared" ca="1" si="214"/>
        <v>45.546222885237718</v>
      </c>
      <c r="EJ91" s="36">
        <f t="shared" ca="1" si="214"/>
        <v>44.758291469548212</v>
      </c>
      <c r="EK91" s="36">
        <f t="shared" ca="1" si="214"/>
        <v>44.917908100070996</v>
      </c>
      <c r="EL91" s="36">
        <f t="shared" ca="1" si="214"/>
        <v>45.840006674661964</v>
      </c>
      <c r="EM91" s="36">
        <f t="shared" ca="1" si="214"/>
        <v>46.198674666721061</v>
      </c>
      <c r="EN91" s="36">
        <f t="shared" ca="1" si="214"/>
        <v>46.585122264319523</v>
      </c>
      <c r="EO91" s="36">
        <f t="shared" ca="1" si="214"/>
        <v>46.776082455868803</v>
      </c>
      <c r="EP91" s="36">
        <f t="shared" ca="1" si="214"/>
        <v>46.431539546174584</v>
      </c>
      <c r="EQ91" s="36">
        <f t="shared" ca="1" si="214"/>
        <v>46.598353271723681</v>
      </c>
      <c r="ER91" s="36">
        <f t="shared" ca="1" si="214"/>
        <v>47.277447898779741</v>
      </c>
      <c r="ES91" s="36">
        <f t="shared" ca="1" si="214"/>
        <v>47.094865435181418</v>
      </c>
      <c r="ET91" s="36">
        <f t="shared" ca="1" si="214"/>
        <v>47.951028047693114</v>
      </c>
      <c r="EU91" s="36">
        <f t="shared" ca="1" si="214"/>
        <v>48.25619639159725</v>
      </c>
      <c r="EV91" s="36">
        <f t="shared" ca="1" si="214"/>
        <v>48.823256136258436</v>
      </c>
      <c r="EW91" s="36">
        <f t="shared" ref="EW91" ca="1" si="230">EV91*EXP(($B$3-$B$4^2/2)*1+$B$4*_xlfn.NORM.S.INV(RAND()))</f>
        <v>47.954566160787309</v>
      </c>
      <c r="EX91" s="36">
        <f t="shared" ca="1" si="221"/>
        <v>47.748308927799307</v>
      </c>
      <c r="EY91" s="36">
        <f t="shared" ca="1" si="221"/>
        <v>46.870910825843964</v>
      </c>
      <c r="EZ91" s="36">
        <f t="shared" ref="EZ91:HK92" ca="1" si="231">EY91*EXP(($B$3-$B$4^2/2)*1+$B$4*_xlfn.NORM.S.INV(RAND()))</f>
        <v>46.095703633144232</v>
      </c>
      <c r="FA91" s="36">
        <f t="shared" ca="1" si="231"/>
        <v>46.026673585392423</v>
      </c>
      <c r="FB91" s="36">
        <f t="shared" ca="1" si="231"/>
        <v>46.291822218033623</v>
      </c>
      <c r="FC91" s="36">
        <f t="shared" ca="1" si="231"/>
        <v>46.068810919143822</v>
      </c>
      <c r="FD91" s="36">
        <f t="shared" ca="1" si="231"/>
        <v>46.346833927844301</v>
      </c>
      <c r="FE91" s="36">
        <f t="shared" ca="1" si="231"/>
        <v>46.878215291220585</v>
      </c>
      <c r="FF91" s="36">
        <f t="shared" ca="1" si="231"/>
        <v>47.893016338106079</v>
      </c>
      <c r="FG91" s="36">
        <f t="shared" ca="1" si="231"/>
        <v>48.436767067727139</v>
      </c>
      <c r="FH91" s="36">
        <f t="shared" ca="1" si="231"/>
        <v>48.853963384520625</v>
      </c>
      <c r="FI91" s="36">
        <f t="shared" ca="1" si="231"/>
        <v>49.357656502998083</v>
      </c>
      <c r="FJ91" s="36">
        <f t="shared" ca="1" si="231"/>
        <v>50.372966363889773</v>
      </c>
      <c r="FK91" s="36">
        <f t="shared" ca="1" si="231"/>
        <v>49.924570057620706</v>
      </c>
      <c r="FL91" s="36">
        <f t="shared" ca="1" si="231"/>
        <v>50.474654381477343</v>
      </c>
      <c r="FM91" s="36">
        <f t="shared" ca="1" si="231"/>
        <v>50.546505447148256</v>
      </c>
      <c r="FN91" s="36">
        <f t="shared" ca="1" si="231"/>
        <v>50.154735265979518</v>
      </c>
      <c r="FO91" s="36">
        <f t="shared" ca="1" si="231"/>
        <v>50.904256377126188</v>
      </c>
      <c r="FP91" s="36">
        <f t="shared" ca="1" si="231"/>
        <v>51.844615228282429</v>
      </c>
      <c r="FQ91" s="36">
        <f t="shared" ca="1" si="231"/>
        <v>51.520389086786139</v>
      </c>
      <c r="FR91" s="36">
        <f t="shared" ca="1" si="231"/>
        <v>51.391306617042957</v>
      </c>
      <c r="FS91" s="36">
        <f t="shared" ca="1" si="231"/>
        <v>50.524917482903817</v>
      </c>
      <c r="FT91" s="36">
        <f t="shared" ca="1" si="231"/>
        <v>50.74566514081269</v>
      </c>
      <c r="FU91" s="36">
        <f t="shared" ca="1" si="231"/>
        <v>50.822478415333663</v>
      </c>
      <c r="FV91" s="36">
        <f t="shared" ca="1" si="231"/>
        <v>50.386412003347189</v>
      </c>
      <c r="FW91" s="36">
        <f t="shared" ca="1" si="231"/>
        <v>50.908101211191614</v>
      </c>
      <c r="FX91" s="36">
        <f t="shared" ca="1" si="231"/>
        <v>51.098376606815414</v>
      </c>
      <c r="FY91" s="36">
        <f t="shared" ca="1" si="231"/>
        <v>50.432351582067845</v>
      </c>
      <c r="FZ91" s="36">
        <f t="shared" ca="1" si="231"/>
        <v>49.767008599237819</v>
      </c>
      <c r="GA91" s="36">
        <f t="shared" ca="1" si="231"/>
        <v>50.175459270014862</v>
      </c>
      <c r="GB91" s="36">
        <f t="shared" ca="1" si="231"/>
        <v>49.458555825046787</v>
      </c>
      <c r="GC91" s="36">
        <f t="shared" ca="1" si="231"/>
        <v>49.411830609383578</v>
      </c>
      <c r="GD91" s="36">
        <f t="shared" ca="1" si="231"/>
        <v>49.054581733354652</v>
      </c>
      <c r="GE91" s="36">
        <f t="shared" ca="1" si="231"/>
        <v>49.74943808936186</v>
      </c>
      <c r="GF91" s="36">
        <f t="shared" ca="1" si="231"/>
        <v>48.930564526060792</v>
      </c>
      <c r="GG91" s="36">
        <f t="shared" ca="1" si="231"/>
        <v>48.106455740122342</v>
      </c>
      <c r="GH91" s="36">
        <f t="shared" ca="1" si="231"/>
        <v>47.779868746661371</v>
      </c>
      <c r="GI91" s="36">
        <f t="shared" ca="1" si="231"/>
        <v>48.336638022865081</v>
      </c>
      <c r="GJ91" s="36">
        <f t="shared" ca="1" si="231"/>
        <v>47.7655099544358</v>
      </c>
      <c r="GK91" s="36">
        <f t="shared" ca="1" si="231"/>
        <v>48.082849446062568</v>
      </c>
      <c r="GL91" s="36">
        <f t="shared" ca="1" si="231"/>
        <v>48.2493872422192</v>
      </c>
      <c r="GM91" s="36">
        <f t="shared" ca="1" si="231"/>
        <v>48.306589471218722</v>
      </c>
      <c r="GN91" s="36">
        <f t="shared" ca="1" si="231"/>
        <v>49.275085548582176</v>
      </c>
      <c r="GO91" s="36">
        <f t="shared" ca="1" si="231"/>
        <v>49.827168246941469</v>
      </c>
      <c r="GP91" s="36">
        <f t="shared" ca="1" si="231"/>
        <v>50.426403264322943</v>
      </c>
      <c r="GQ91" s="36">
        <f t="shared" ca="1" si="231"/>
        <v>50.231939096571857</v>
      </c>
      <c r="GR91" s="36">
        <f t="shared" ca="1" si="231"/>
        <v>50.138676453496615</v>
      </c>
      <c r="GS91" s="36">
        <f t="shared" ca="1" si="231"/>
        <v>49.46416699904902</v>
      </c>
      <c r="GT91" s="36">
        <f t="shared" ca="1" si="231"/>
        <v>49.24117358742906</v>
      </c>
      <c r="GU91" s="36">
        <f t="shared" ca="1" si="231"/>
        <v>49.391609557355693</v>
      </c>
      <c r="GV91" s="36">
        <f t="shared" ca="1" si="231"/>
        <v>49.880412762037906</v>
      </c>
      <c r="GW91" s="36">
        <f t="shared" ca="1" si="231"/>
        <v>50.275340161648941</v>
      </c>
      <c r="GX91" s="36">
        <f t="shared" ca="1" si="231"/>
        <v>50.80700335137508</v>
      </c>
      <c r="GY91" s="36">
        <f t="shared" ca="1" si="231"/>
        <v>50.924608272626294</v>
      </c>
      <c r="GZ91" s="36">
        <f t="shared" ca="1" si="231"/>
        <v>51.509260708469867</v>
      </c>
      <c r="HA91" s="36">
        <f t="shared" ca="1" si="231"/>
        <v>52.24075532026383</v>
      </c>
      <c r="HB91" s="36">
        <f t="shared" ca="1" si="231"/>
        <v>50.267823750762048</v>
      </c>
      <c r="HC91" s="36">
        <f t="shared" ca="1" si="231"/>
        <v>50.716445495595927</v>
      </c>
      <c r="HD91" s="36">
        <f t="shared" ca="1" si="231"/>
        <v>50.495337316406896</v>
      </c>
      <c r="HE91" s="36">
        <f t="shared" ca="1" si="231"/>
        <v>50.121986836317816</v>
      </c>
      <c r="HF91" s="36">
        <f t="shared" ca="1" si="231"/>
        <v>50.554695805283792</v>
      </c>
      <c r="HG91" s="36">
        <f t="shared" ca="1" si="231"/>
        <v>50.257008829171241</v>
      </c>
      <c r="HH91" s="36">
        <f t="shared" ca="1" si="231"/>
        <v>50.595365243315669</v>
      </c>
      <c r="HI91" s="36">
        <f t="shared" ca="1" si="231"/>
        <v>49.323067870897468</v>
      </c>
      <c r="HJ91" s="36">
        <f t="shared" ca="1" si="231"/>
        <v>49.397899017726509</v>
      </c>
      <c r="HK91" s="36">
        <f t="shared" ca="1" si="231"/>
        <v>49.212872728805664</v>
      </c>
      <c r="HL91" s="36">
        <f t="shared" ref="HL91:HT91" ca="1" si="232">HK91*EXP(($B$3-$B$4^2/2)*1+$B$4*_xlfn.NORM.S.INV(RAND()))</f>
        <v>49.432194005991889</v>
      </c>
      <c r="HM91" s="36">
        <f t="shared" ca="1" si="232"/>
        <v>49.182365355795341</v>
      </c>
      <c r="HN91" s="36">
        <f t="shared" ca="1" si="232"/>
        <v>48.339523873010073</v>
      </c>
      <c r="HO91" s="36">
        <f t="shared" ca="1" si="232"/>
        <v>47.902982938214997</v>
      </c>
      <c r="HP91" s="36">
        <f t="shared" ca="1" si="232"/>
        <v>48.528514720622205</v>
      </c>
      <c r="HQ91" s="36">
        <f t="shared" ca="1" si="232"/>
        <v>48.736537114876946</v>
      </c>
      <c r="HR91" s="36">
        <f t="shared" ca="1" si="232"/>
        <v>48.685344401146153</v>
      </c>
      <c r="HS91" s="36">
        <f t="shared" ca="1" si="232"/>
        <v>47.908530405561265</v>
      </c>
      <c r="HT91" s="36">
        <f t="shared" ca="1" si="232"/>
        <v>47.80221595808073</v>
      </c>
      <c r="HU91" s="36">
        <f t="shared" ca="1" si="224"/>
        <v>47.858606220704111</v>
      </c>
      <c r="HV91" s="36">
        <f t="shared" ca="1" si="224"/>
        <v>48.045272884028975</v>
      </c>
      <c r="HW91" s="36">
        <f t="shared" ca="1" si="224"/>
        <v>47.73757794642551</v>
      </c>
      <c r="HX91" s="36">
        <f t="shared" ca="1" si="224"/>
        <v>47.990443970188892</v>
      </c>
      <c r="HY91" s="36">
        <f t="shared" ca="1" si="224"/>
        <v>48.39738376521597</v>
      </c>
      <c r="HZ91" s="36">
        <f t="shared" ca="1" si="224"/>
        <v>48.652374795151687</v>
      </c>
      <c r="IA91" s="36">
        <f t="shared" ca="1" si="224"/>
        <v>48.666532322538792</v>
      </c>
      <c r="IB91" s="36">
        <f t="shared" ca="1" si="224"/>
        <v>49.239627720846578</v>
      </c>
      <c r="IC91" s="36">
        <f t="shared" ca="1" si="224"/>
        <v>48.76387712220702</v>
      </c>
      <c r="ID91" s="36">
        <f t="shared" ca="1" si="224"/>
        <v>48.406403124216503</v>
      </c>
      <c r="IE91" s="36">
        <f t="shared" ca="1" si="224"/>
        <v>48.793835504441319</v>
      </c>
      <c r="IF91" s="36">
        <f t="shared" ca="1" si="224"/>
        <v>48.917150005413177</v>
      </c>
      <c r="IG91" s="36">
        <f t="shared" ca="1" si="224"/>
        <v>48.462251536562931</v>
      </c>
      <c r="IH91" s="36">
        <f t="shared" ca="1" si="224"/>
        <v>47.825390972581786</v>
      </c>
      <c r="II91" s="36">
        <f t="shared" ca="1" si="224"/>
        <v>48.040185733255342</v>
      </c>
      <c r="IJ91" s="36">
        <f t="shared" ca="1" si="224"/>
        <v>48.187659434299299</v>
      </c>
      <c r="IK91" s="36">
        <f t="shared" ca="1" si="224"/>
        <v>47.759940201636745</v>
      </c>
      <c r="IL91" s="36">
        <f t="shared" ca="1" si="224"/>
        <v>48.054678829508958</v>
      </c>
      <c r="IM91" s="36">
        <f t="shared" ca="1" si="224"/>
        <v>48.143605186290408</v>
      </c>
      <c r="IN91" s="36">
        <f t="shared" ca="1" si="224"/>
        <v>48.984221085782288</v>
      </c>
      <c r="IO91" s="36">
        <f t="shared" ca="1" si="224"/>
        <v>49.755703037304279</v>
      </c>
      <c r="IP91" s="36">
        <f t="shared" ca="1" si="224"/>
        <v>49.689349769520888</v>
      </c>
      <c r="IQ91" s="36">
        <f t="shared" ca="1" si="224"/>
        <v>51.1624575636827</v>
      </c>
      <c r="IR91" s="36">
        <f t="shared" ca="1" si="224"/>
        <v>51.593815382242717</v>
      </c>
      <c r="IS91" s="36">
        <f t="shared" ca="1" si="224"/>
        <v>53.353883815666698</v>
      </c>
      <c r="IT91" s="36">
        <f t="shared" ca="1" si="224"/>
        <v>54.304423671370728</v>
      </c>
      <c r="IU91" s="36">
        <f t="shared" ca="1" si="224"/>
        <v>54.238925068194213</v>
      </c>
    </row>
    <row r="92" spans="1:255" x14ac:dyDescent="0.2">
      <c r="A92" s="36"/>
      <c r="B92">
        <v>82</v>
      </c>
      <c r="C92" s="36">
        <v>50</v>
      </c>
      <c r="D92" s="36">
        <f t="shared" ca="1" si="188"/>
        <v>49.211998413835339</v>
      </c>
      <c r="E92" s="36">
        <f t="shared" ca="1" si="188"/>
        <v>50.428265140177089</v>
      </c>
      <c r="F92" s="36">
        <f t="shared" ca="1" si="228"/>
        <v>51.474605509083027</v>
      </c>
      <c r="G92" s="36">
        <f t="shared" ca="1" si="228"/>
        <v>50.822969938408797</v>
      </c>
      <c r="H92" s="36">
        <f t="shared" ca="1" si="228"/>
        <v>51.348875526449142</v>
      </c>
      <c r="I92" s="36">
        <f t="shared" ca="1" si="228"/>
        <v>51.763934063362171</v>
      </c>
      <c r="J92" s="36">
        <f t="shared" ca="1" si="228"/>
        <v>51.398718392960369</v>
      </c>
      <c r="K92" s="36">
        <f t="shared" ca="1" si="228"/>
        <v>50.30556608566674</v>
      </c>
      <c r="L92" s="36">
        <f t="shared" ca="1" si="228"/>
        <v>49.54564835022061</v>
      </c>
      <c r="M92" s="36">
        <f t="shared" ca="1" si="228"/>
        <v>49.262705023353895</v>
      </c>
      <c r="N92" s="36">
        <f t="shared" ca="1" si="228"/>
        <v>48.880190808373165</v>
      </c>
      <c r="O92" s="36">
        <f t="shared" ca="1" si="228"/>
        <v>48.37556735777747</v>
      </c>
      <c r="P92" s="36">
        <f t="shared" ca="1" si="228"/>
        <v>49.313734633526138</v>
      </c>
      <c r="Q92" s="36">
        <f t="shared" ca="1" si="228"/>
        <v>49.145449748010243</v>
      </c>
      <c r="R92" s="36">
        <f t="shared" ca="1" si="228"/>
        <v>49.628227158036971</v>
      </c>
      <c r="S92" s="36">
        <f t="shared" ca="1" si="228"/>
        <v>50.439172152872452</v>
      </c>
      <c r="T92" s="36">
        <f t="shared" ca="1" si="228"/>
        <v>49.852005721258521</v>
      </c>
      <c r="U92" s="36">
        <f t="shared" ca="1" si="228"/>
        <v>49.818503863427836</v>
      </c>
      <c r="V92" s="36">
        <f t="shared" ca="1" si="228"/>
        <v>49.450266247757909</v>
      </c>
      <c r="W92" s="36">
        <f t="shared" ca="1" si="228"/>
        <v>48.119932947066474</v>
      </c>
      <c r="X92" s="36">
        <f t="shared" ca="1" si="228"/>
        <v>48.906288742103982</v>
      </c>
      <c r="Y92" s="36">
        <f t="shared" ca="1" si="228"/>
        <v>48.617163590581072</v>
      </c>
      <c r="Z92" s="36">
        <f t="shared" ca="1" si="228"/>
        <v>48.213051317926087</v>
      </c>
      <c r="AA92" s="36">
        <f t="shared" ca="1" si="228"/>
        <v>48.20063113864245</v>
      </c>
      <c r="AB92" s="36">
        <f t="shared" ca="1" si="228"/>
        <v>47.262974416895659</v>
      </c>
      <c r="AC92" s="36">
        <f t="shared" ca="1" si="228"/>
        <v>47.190101176067287</v>
      </c>
      <c r="AD92" s="36">
        <f t="shared" ca="1" si="228"/>
        <v>46.951846745834864</v>
      </c>
      <c r="AE92" s="36">
        <f t="shared" ca="1" si="228"/>
        <v>47.31253795803439</v>
      </c>
      <c r="AF92" s="36">
        <f t="shared" ca="1" si="228"/>
        <v>47.13110686996994</v>
      </c>
      <c r="AG92" s="36">
        <f t="shared" ca="1" si="228"/>
        <v>46.787223834404934</v>
      </c>
      <c r="AH92" s="36">
        <f t="shared" ca="1" si="228"/>
        <v>47.533756064817041</v>
      </c>
      <c r="AI92" s="36">
        <f t="shared" ca="1" si="228"/>
        <v>47.893747994715135</v>
      </c>
      <c r="AJ92" s="36">
        <f t="shared" ca="1" si="228"/>
        <v>48.548067278118985</v>
      </c>
      <c r="AK92" s="36">
        <f t="shared" ca="1" si="228"/>
        <v>47.249788067183871</v>
      </c>
      <c r="AL92" s="36">
        <f t="shared" ca="1" si="228"/>
        <v>47.66333908958385</v>
      </c>
      <c r="AM92" s="36">
        <f t="shared" ca="1" si="228"/>
        <v>47.487679011112874</v>
      </c>
      <c r="AN92" s="36">
        <f t="shared" ca="1" si="228"/>
        <v>47.428514572408055</v>
      </c>
      <c r="AO92" s="36">
        <f t="shared" ca="1" si="228"/>
        <v>46.360995105311375</v>
      </c>
      <c r="AP92" s="36">
        <f t="shared" ca="1" si="228"/>
        <v>46.248559096495875</v>
      </c>
      <c r="AQ92" s="36">
        <f t="shared" ca="1" si="228"/>
        <v>47.469333721934191</v>
      </c>
      <c r="AR92" s="36">
        <f t="shared" ca="1" si="228"/>
        <v>46.037003455375732</v>
      </c>
      <c r="AS92" s="36">
        <f t="shared" ca="1" si="228"/>
        <v>46.083354249182797</v>
      </c>
      <c r="AT92" s="36">
        <f t="shared" ca="1" si="228"/>
        <v>45.718017930124404</v>
      </c>
      <c r="AU92" s="36">
        <f t="shared" ca="1" si="228"/>
        <v>46.149068022679259</v>
      </c>
      <c r="AV92" s="36">
        <f t="shared" ca="1" si="228"/>
        <v>46.628000810144933</v>
      </c>
      <c r="AW92" s="36">
        <f t="shared" ca="1" si="228"/>
        <v>46.703813593593225</v>
      </c>
      <c r="AX92" s="36">
        <f t="shared" ca="1" si="228"/>
        <v>46.844456986687966</v>
      </c>
      <c r="AY92" s="36">
        <f t="shared" ca="1" si="228"/>
        <v>46.43206107874704</v>
      </c>
      <c r="AZ92" s="36">
        <f t="shared" ca="1" si="228"/>
        <v>45.793976896562235</v>
      </c>
      <c r="BA92" s="36">
        <f t="shared" ca="1" si="228"/>
        <v>46.762013206801512</v>
      </c>
      <c r="BB92" s="36">
        <f t="shared" ca="1" si="228"/>
        <v>48.172321040796803</v>
      </c>
      <c r="BC92" s="36">
        <f t="shared" ca="1" si="228"/>
        <v>47.367065772395534</v>
      </c>
      <c r="BD92" s="36">
        <f t="shared" ca="1" si="228"/>
        <v>47.658127621252341</v>
      </c>
      <c r="BE92" s="36">
        <f t="shared" ca="1" si="228"/>
        <v>48.49182091194556</v>
      </c>
      <c r="BF92" s="36">
        <f t="shared" ca="1" si="228"/>
        <v>49.317284966890767</v>
      </c>
      <c r="BG92" s="36">
        <f t="shared" ca="1" si="228"/>
        <v>50.051790708050454</v>
      </c>
      <c r="BH92" s="36">
        <f t="shared" ca="1" si="228"/>
        <v>49.332812981648829</v>
      </c>
      <c r="BI92" s="36">
        <f t="shared" ca="1" si="228"/>
        <v>50.003707829998099</v>
      </c>
      <c r="BJ92" s="36">
        <f t="shared" ca="1" si="228"/>
        <v>50.022259156634028</v>
      </c>
      <c r="BK92" s="36">
        <f t="shared" ca="1" si="228"/>
        <v>49.721543708309113</v>
      </c>
      <c r="BL92" s="36">
        <f t="shared" ca="1" si="228"/>
        <v>48.926494191712756</v>
      </c>
      <c r="BM92" s="36">
        <f t="shared" ca="1" si="228"/>
        <v>47.858764433843341</v>
      </c>
      <c r="BN92" s="36">
        <f t="shared" ca="1" si="228"/>
        <v>47.343524900032357</v>
      </c>
      <c r="BO92" s="36">
        <f t="shared" ca="1" si="228"/>
        <v>47.114506479748329</v>
      </c>
      <c r="BP92" s="36">
        <f t="shared" ca="1" si="228"/>
        <v>46.822235720741681</v>
      </c>
      <c r="BQ92" s="36">
        <f t="shared" ca="1" si="228"/>
        <v>47.114486389677872</v>
      </c>
      <c r="BR92" s="36">
        <f t="shared" ca="1" si="225"/>
        <v>47.705441196722603</v>
      </c>
      <c r="BS92" s="36">
        <f t="shared" ca="1" si="225"/>
        <v>47.58613915160042</v>
      </c>
      <c r="BT92" s="36">
        <f t="shared" ca="1" si="225"/>
        <v>48.250033884216307</v>
      </c>
      <c r="BU92" s="36">
        <f t="shared" ca="1" si="225"/>
        <v>46.857097293719399</v>
      </c>
      <c r="BV92" s="36">
        <f t="shared" ca="1" si="225"/>
        <v>47.207619942902205</v>
      </c>
      <c r="BW92" s="36">
        <f t="shared" ca="1" si="225"/>
        <v>46.271664871963509</v>
      </c>
      <c r="BX92" s="36">
        <f t="shared" ca="1" si="225"/>
        <v>46.56909445896391</v>
      </c>
      <c r="BY92" s="36">
        <f t="shared" ca="1" si="225"/>
        <v>46.24395406628615</v>
      </c>
      <c r="BZ92" s="36">
        <f t="shared" ca="1" si="225"/>
        <v>46.431144097896777</v>
      </c>
      <c r="CA92" s="36">
        <f t="shared" ca="1" si="225"/>
        <v>45.659303824667688</v>
      </c>
      <c r="CB92" s="36">
        <f t="shared" ca="1" si="225"/>
        <v>45.707475498406374</v>
      </c>
      <c r="CC92" s="36">
        <f t="shared" ca="1" si="225"/>
        <v>45.006208204175429</v>
      </c>
      <c r="CD92" s="36">
        <f t="shared" ca="1" si="225"/>
        <v>45.048762202818558</v>
      </c>
      <c r="CE92" s="36">
        <f t="shared" ca="1" si="225"/>
        <v>43.972888726397819</v>
      </c>
      <c r="CF92" s="36">
        <f t="shared" ca="1" si="225"/>
        <v>44.267573841035649</v>
      </c>
      <c r="CG92" s="36">
        <f t="shared" ca="1" si="225"/>
        <v>44.7665774866351</v>
      </c>
      <c r="CH92" s="36">
        <f t="shared" ca="1" si="225"/>
        <v>44.935017653808671</v>
      </c>
      <c r="CI92" s="36">
        <f t="shared" ca="1" si="225"/>
        <v>45.915907027409169</v>
      </c>
      <c r="CJ92" s="36">
        <f t="shared" ca="1" si="225"/>
        <v>46.745363063711054</v>
      </c>
      <c r="CK92" s="36">
        <f t="shared" ca="1" si="225"/>
        <v>46.010368791439888</v>
      </c>
      <c r="CL92" s="36">
        <f t="shared" ca="1" si="225"/>
        <v>46.200473865110546</v>
      </c>
      <c r="CM92" s="36">
        <f t="shared" ca="1" si="225"/>
        <v>46.871035949598884</v>
      </c>
      <c r="CN92" s="36">
        <f t="shared" ca="1" si="225"/>
        <v>47.129890877985524</v>
      </c>
      <c r="CO92" s="36">
        <f t="shared" ca="1" si="225"/>
        <v>47.245704677919498</v>
      </c>
      <c r="CP92" s="36">
        <f t="shared" ca="1" si="225"/>
        <v>47.029303193753556</v>
      </c>
      <c r="CQ92" s="36">
        <f t="shared" ca="1" si="225"/>
        <v>48.92235766854656</v>
      </c>
      <c r="CR92" s="36">
        <f t="shared" ca="1" si="225"/>
        <v>49.457788778556164</v>
      </c>
      <c r="CS92" s="36">
        <f t="shared" ca="1" si="225"/>
        <v>49.743384600987646</v>
      </c>
      <c r="CT92" s="36">
        <f t="shared" ca="1" si="225"/>
        <v>48.678022032384256</v>
      </c>
      <c r="CU92" s="36">
        <f t="shared" ca="1" si="225"/>
        <v>48.275136371052511</v>
      </c>
      <c r="CV92" s="36">
        <f t="shared" ca="1" si="225"/>
        <v>48.628171299306111</v>
      </c>
      <c r="CW92" s="36">
        <f t="shared" ca="1" si="225"/>
        <v>48.74380456358422</v>
      </c>
      <c r="CX92" s="36">
        <f t="shared" ca="1" si="225"/>
        <v>49.233557044686307</v>
      </c>
      <c r="CY92" s="36">
        <f t="shared" ca="1" si="225"/>
        <v>48.566665881702924</v>
      </c>
      <c r="CZ92" s="36">
        <f t="shared" ca="1" si="225"/>
        <v>47.96422238130755</v>
      </c>
      <c r="DA92" s="36">
        <f t="shared" ca="1" si="225"/>
        <v>47.677587790521613</v>
      </c>
      <c r="DB92" s="36">
        <f t="shared" ca="1" si="225"/>
        <v>48.278958325921025</v>
      </c>
      <c r="DC92" s="36">
        <f t="shared" ca="1" si="225"/>
        <v>48.123465186593897</v>
      </c>
      <c r="DD92" s="36">
        <f t="shared" ca="1" si="225"/>
        <v>48.107700497649397</v>
      </c>
      <c r="DE92" s="36">
        <f t="shared" ca="1" si="225"/>
        <v>48.128849282453402</v>
      </c>
      <c r="DF92" s="36">
        <f t="shared" ca="1" si="225"/>
        <v>48.267722854325349</v>
      </c>
      <c r="DG92" s="36">
        <f t="shared" ca="1" si="225"/>
        <v>48.706005942204825</v>
      </c>
      <c r="DH92" s="36">
        <f t="shared" ca="1" si="225"/>
        <v>49.135775551795618</v>
      </c>
      <c r="DI92" s="36">
        <f t="shared" ca="1" si="225"/>
        <v>49.116533994854812</v>
      </c>
      <c r="DJ92" s="36">
        <f t="shared" ca="1" si="225"/>
        <v>49.419703781178384</v>
      </c>
      <c r="DK92" s="36">
        <f t="shared" ca="1" si="225"/>
        <v>49.451431002308041</v>
      </c>
      <c r="DL92" s="36">
        <f t="shared" ca="1" si="225"/>
        <v>48.958879797636435</v>
      </c>
      <c r="DM92" s="36">
        <f t="shared" ca="1" si="225"/>
        <v>48.459643061931608</v>
      </c>
      <c r="DN92" s="36">
        <f t="shared" ca="1" si="225"/>
        <v>48.333208250320361</v>
      </c>
      <c r="DO92" s="36">
        <f t="shared" ca="1" si="225"/>
        <v>49.128004519302969</v>
      </c>
      <c r="DP92" s="36">
        <f t="shared" ca="1" si="225"/>
        <v>48.367828221208242</v>
      </c>
      <c r="DQ92" s="36">
        <f t="shared" ca="1" si="225"/>
        <v>48.916021881156084</v>
      </c>
      <c r="DR92" s="36">
        <f t="shared" ca="1" si="225"/>
        <v>48.156689000004157</v>
      </c>
      <c r="DS92" s="36">
        <f t="shared" ca="1" si="225"/>
        <v>48.769468471937934</v>
      </c>
      <c r="DT92" s="36">
        <f t="shared" ca="1" si="225"/>
        <v>49.752710068369147</v>
      </c>
      <c r="DU92" s="36">
        <f t="shared" ca="1" si="225"/>
        <v>49.233550396661137</v>
      </c>
      <c r="DV92" s="36">
        <f t="shared" ca="1" si="225"/>
        <v>49.598185555130591</v>
      </c>
      <c r="DW92" s="36">
        <f t="shared" ca="1" si="225"/>
        <v>49.231727883164794</v>
      </c>
      <c r="DX92" s="36">
        <f t="shared" ca="1" si="225"/>
        <v>49.151931571050511</v>
      </c>
      <c r="DY92" s="36">
        <f t="shared" ca="1" si="225"/>
        <v>49.660357074136449</v>
      </c>
      <c r="DZ92" s="36">
        <f t="shared" ca="1" si="225"/>
        <v>50.694705095348091</v>
      </c>
      <c r="EA92" s="36">
        <f t="shared" ca="1" si="225"/>
        <v>50.457038343231297</v>
      </c>
      <c r="EB92" s="36">
        <f t="shared" ca="1" si="225"/>
        <v>50.6766197144863</v>
      </c>
      <c r="EC92" s="36">
        <f t="shared" ca="1" si="198"/>
        <v>50.270263340357552</v>
      </c>
      <c r="ED92" s="36">
        <f t="shared" ca="1" si="193"/>
        <v>49.736956981367555</v>
      </c>
      <c r="EE92" s="36">
        <f t="shared" ca="1" si="193"/>
        <v>50.166320598391202</v>
      </c>
      <c r="EF92" s="36">
        <f t="shared" ca="1" si="214"/>
        <v>50.070840059403203</v>
      </c>
      <c r="EG92" s="36">
        <f t="shared" ca="1" si="214"/>
        <v>50.513209545890433</v>
      </c>
      <c r="EH92" s="36">
        <f t="shared" ca="1" si="214"/>
        <v>51.960127235247938</v>
      </c>
      <c r="EI92" s="36">
        <f t="shared" ca="1" si="214"/>
        <v>52.408795832878234</v>
      </c>
      <c r="EJ92" s="36">
        <f t="shared" ca="1" si="214"/>
        <v>52.467446051161943</v>
      </c>
      <c r="EK92" s="36">
        <f t="shared" ca="1" si="214"/>
        <v>52.516332942542554</v>
      </c>
      <c r="EL92" s="36">
        <f t="shared" ca="1" si="214"/>
        <v>52.018422140634762</v>
      </c>
      <c r="EM92" s="36">
        <f t="shared" ca="1" si="214"/>
        <v>51.876632051776518</v>
      </c>
      <c r="EN92" s="36">
        <f t="shared" ca="1" si="214"/>
        <v>52.645940843853658</v>
      </c>
      <c r="EO92" s="36">
        <f t="shared" ca="1" si="214"/>
        <v>53.679809300113924</v>
      </c>
      <c r="EP92" s="36">
        <f t="shared" ca="1" si="214"/>
        <v>54.0574622318601</v>
      </c>
      <c r="EQ92" s="36">
        <f t="shared" ca="1" si="214"/>
        <v>53.571635152143614</v>
      </c>
      <c r="ER92" s="36">
        <f t="shared" ca="1" si="214"/>
        <v>53.713006374287048</v>
      </c>
      <c r="ES92" s="36">
        <f t="shared" ca="1" si="214"/>
        <v>53.386069563056076</v>
      </c>
      <c r="ET92" s="36">
        <f t="shared" ca="1" si="214"/>
        <v>53.1798785374828</v>
      </c>
      <c r="EU92" s="36">
        <f t="shared" ca="1" si="214"/>
        <v>54.022373019212978</v>
      </c>
      <c r="EV92" s="36">
        <f t="shared" ca="1" si="214"/>
        <v>54.78257384909287</v>
      </c>
      <c r="EW92" s="36">
        <f t="shared" ref="EW92:HH96" ca="1" si="233">EV92*EXP(($B$3-$B$4^2/2)*1+$B$4*_xlfn.NORM.S.INV(RAND()))</f>
        <v>55.175464684791052</v>
      </c>
      <c r="EX92" s="36">
        <f t="shared" ca="1" si="233"/>
        <v>55.126586819139263</v>
      </c>
      <c r="EY92" s="36">
        <f t="shared" ca="1" si="233"/>
        <v>54.348313634975177</v>
      </c>
      <c r="EZ92" s="36">
        <f t="shared" ca="1" si="233"/>
        <v>55.088333553064835</v>
      </c>
      <c r="FA92" s="36">
        <f t="shared" ca="1" si="233"/>
        <v>54.286297185939262</v>
      </c>
      <c r="FB92" s="36">
        <f t="shared" ca="1" si="233"/>
        <v>55.032933195645008</v>
      </c>
      <c r="FC92" s="36">
        <f t="shared" ca="1" si="233"/>
        <v>54.906295092565983</v>
      </c>
      <c r="FD92" s="36">
        <f t="shared" ca="1" si="233"/>
        <v>53.471963670132354</v>
      </c>
      <c r="FE92" s="36">
        <f t="shared" ca="1" si="233"/>
        <v>54.271030384491077</v>
      </c>
      <c r="FF92" s="36">
        <f t="shared" ca="1" si="233"/>
        <v>53.104887572804429</v>
      </c>
      <c r="FG92" s="36">
        <f t="shared" ca="1" si="233"/>
        <v>53.742861346942426</v>
      </c>
      <c r="FH92" s="36">
        <f t="shared" ca="1" si="233"/>
        <v>53.242215695578714</v>
      </c>
      <c r="FI92" s="36">
        <f t="shared" ca="1" si="233"/>
        <v>52.943255288729432</v>
      </c>
      <c r="FJ92" s="36">
        <f t="shared" ca="1" si="233"/>
        <v>52.949876248402418</v>
      </c>
      <c r="FK92" s="36">
        <f t="shared" ca="1" si="233"/>
        <v>51.956590563374021</v>
      </c>
      <c r="FL92" s="36">
        <f t="shared" ca="1" si="233"/>
        <v>51.714208652062773</v>
      </c>
      <c r="FM92" s="36">
        <f t="shared" ca="1" si="233"/>
        <v>51.791981260930491</v>
      </c>
      <c r="FN92" s="36">
        <f t="shared" ca="1" si="233"/>
        <v>50.644715318051666</v>
      </c>
      <c r="FO92" s="36">
        <f t="shared" ca="1" si="233"/>
        <v>51.04280415440747</v>
      </c>
      <c r="FP92" s="36">
        <f t="shared" ca="1" si="233"/>
        <v>50.13431658785619</v>
      </c>
      <c r="FQ92" s="36">
        <f t="shared" ca="1" si="233"/>
        <v>50.070589932165106</v>
      </c>
      <c r="FR92" s="36">
        <f t="shared" ca="1" si="233"/>
        <v>51.275767250933406</v>
      </c>
      <c r="FS92" s="36">
        <f t="shared" ca="1" si="233"/>
        <v>51.585032816301791</v>
      </c>
      <c r="FT92" s="36">
        <f t="shared" ca="1" si="233"/>
        <v>50.325424922888786</v>
      </c>
      <c r="FU92" s="36">
        <f t="shared" ca="1" si="233"/>
        <v>49.130701556869177</v>
      </c>
      <c r="FV92" s="36">
        <f t="shared" ca="1" si="233"/>
        <v>50.046819626643803</v>
      </c>
      <c r="FW92" s="36">
        <f t="shared" ca="1" si="233"/>
        <v>50.612046183771056</v>
      </c>
      <c r="FX92" s="36">
        <f t="shared" ca="1" si="233"/>
        <v>50.338852424161324</v>
      </c>
      <c r="FY92" s="36">
        <f t="shared" ca="1" si="233"/>
        <v>51.243146369281661</v>
      </c>
      <c r="FZ92" s="36">
        <f t="shared" ca="1" si="233"/>
        <v>50.633380471327619</v>
      </c>
      <c r="GA92" s="36">
        <f t="shared" ca="1" si="233"/>
        <v>51.286763655005551</v>
      </c>
      <c r="GB92" s="36">
        <f t="shared" ca="1" si="233"/>
        <v>52.277377125028117</v>
      </c>
      <c r="GC92" s="36">
        <f t="shared" ca="1" si="233"/>
        <v>53.028854550325889</v>
      </c>
      <c r="GD92" s="36">
        <f t="shared" ca="1" si="233"/>
        <v>52.7131780827265</v>
      </c>
      <c r="GE92" s="36">
        <f t="shared" ca="1" si="233"/>
        <v>53.367715167716014</v>
      </c>
      <c r="GF92" s="36">
        <f t="shared" ca="1" si="233"/>
        <v>52.479721912659073</v>
      </c>
      <c r="GG92" s="36">
        <f t="shared" ca="1" si="233"/>
        <v>51.946543514273735</v>
      </c>
      <c r="GH92" s="36">
        <f t="shared" ca="1" si="233"/>
        <v>52.028148347399963</v>
      </c>
      <c r="GI92" s="36">
        <f t="shared" ca="1" si="233"/>
        <v>50.780648818775425</v>
      </c>
      <c r="GJ92" s="36">
        <f t="shared" ca="1" si="233"/>
        <v>51.364435796145429</v>
      </c>
      <c r="GK92" s="36">
        <f t="shared" ca="1" si="233"/>
        <v>52.534746362598675</v>
      </c>
      <c r="GL92" s="36">
        <f t="shared" ca="1" si="233"/>
        <v>51.805490549162911</v>
      </c>
      <c r="GM92" s="36">
        <f t="shared" ca="1" si="233"/>
        <v>52.161563347518744</v>
      </c>
      <c r="GN92" s="36">
        <f t="shared" ca="1" si="233"/>
        <v>52.45449953908048</v>
      </c>
      <c r="GO92" s="36">
        <f t="shared" ca="1" si="233"/>
        <v>52.903552268791977</v>
      </c>
      <c r="GP92" s="36">
        <f t="shared" ca="1" si="233"/>
        <v>54.24412861850093</v>
      </c>
      <c r="GQ92" s="36">
        <f t="shared" ca="1" si="233"/>
        <v>53.56529492498629</v>
      </c>
      <c r="GR92" s="36">
        <f t="shared" ca="1" si="233"/>
        <v>53.208394491557428</v>
      </c>
      <c r="GS92" s="36">
        <f t="shared" ca="1" si="233"/>
        <v>54.10070986336202</v>
      </c>
      <c r="GT92" s="36">
        <f t="shared" ca="1" si="233"/>
        <v>53.325922345033952</v>
      </c>
      <c r="GU92" s="36">
        <f t="shared" ca="1" si="233"/>
        <v>52.593181412199748</v>
      </c>
      <c r="GV92" s="36">
        <f t="shared" ca="1" si="233"/>
        <v>53.160317214882298</v>
      </c>
      <c r="GW92" s="36">
        <f t="shared" ca="1" si="233"/>
        <v>52.728338455881648</v>
      </c>
      <c r="GX92" s="36">
        <f t="shared" ca="1" si="233"/>
        <v>52.898569102654356</v>
      </c>
      <c r="GY92" s="36">
        <f t="shared" ca="1" si="233"/>
        <v>53.148492664244813</v>
      </c>
      <c r="GZ92" s="36">
        <f t="shared" ca="1" si="233"/>
        <v>54.453418660731131</v>
      </c>
      <c r="HA92" s="36">
        <f t="shared" ca="1" si="233"/>
        <v>53.607216282661184</v>
      </c>
      <c r="HB92" s="36">
        <f t="shared" ca="1" si="233"/>
        <v>53.375827591093845</v>
      </c>
      <c r="HC92" s="36">
        <f t="shared" ca="1" si="233"/>
        <v>52.796564183775018</v>
      </c>
      <c r="HD92" s="36">
        <f t="shared" ca="1" si="233"/>
        <v>53.030038198277516</v>
      </c>
      <c r="HE92" s="36">
        <f t="shared" ca="1" si="233"/>
        <v>52.578747473291827</v>
      </c>
      <c r="HF92" s="36">
        <f t="shared" ca="1" si="233"/>
        <v>53.031745924025643</v>
      </c>
      <c r="HG92" s="36">
        <f t="shared" ca="1" si="233"/>
        <v>54.336831700995113</v>
      </c>
      <c r="HH92" s="36">
        <f t="shared" ca="1" si="233"/>
        <v>54.431481490496274</v>
      </c>
      <c r="HI92" s="36">
        <f t="shared" ca="1" si="231"/>
        <v>54.267976147639374</v>
      </c>
      <c r="HJ92" s="36">
        <f t="shared" ca="1" si="231"/>
        <v>53.67654728346389</v>
      </c>
      <c r="HK92" s="36">
        <f t="shared" ca="1" si="231"/>
        <v>53.551906807758691</v>
      </c>
      <c r="HL92" s="36">
        <f t="shared" ref="HL92:HT92" ca="1" si="234">HK92*EXP(($B$3-$B$4^2/2)*1+$B$4*_xlfn.NORM.S.INV(RAND()))</f>
        <v>53.39189195352909</v>
      </c>
      <c r="HM92" s="36">
        <f t="shared" ca="1" si="234"/>
        <v>53.281105394209348</v>
      </c>
      <c r="HN92" s="36">
        <f t="shared" ca="1" si="234"/>
        <v>53.295946669288604</v>
      </c>
      <c r="HO92" s="36">
        <f t="shared" ca="1" si="234"/>
        <v>53.713907188269225</v>
      </c>
      <c r="HP92" s="36">
        <f t="shared" ca="1" si="234"/>
        <v>52.4678726914997</v>
      </c>
      <c r="HQ92" s="36">
        <f t="shared" ca="1" si="234"/>
        <v>53.026950282676722</v>
      </c>
      <c r="HR92" s="36">
        <f t="shared" ca="1" si="234"/>
        <v>52.457749521474895</v>
      </c>
      <c r="HS92" s="36">
        <f t="shared" ca="1" si="234"/>
        <v>53.344877333227537</v>
      </c>
      <c r="HT92" s="36">
        <f t="shared" ca="1" si="234"/>
        <v>54.233404836935783</v>
      </c>
      <c r="HU92" s="36">
        <f t="shared" ca="1" si="224"/>
        <v>54.741841968462303</v>
      </c>
      <c r="HV92" s="36">
        <f t="shared" ca="1" si="224"/>
        <v>53.273605153703805</v>
      </c>
      <c r="HW92" s="36">
        <f t="shared" ca="1" si="224"/>
        <v>52.702916075709112</v>
      </c>
      <c r="HX92" s="36">
        <f t="shared" ca="1" si="224"/>
        <v>51.985993178095811</v>
      </c>
      <c r="HY92" s="36">
        <f t="shared" ca="1" si="224"/>
        <v>52.505519939441342</v>
      </c>
      <c r="HZ92" s="36">
        <f t="shared" ca="1" si="224"/>
        <v>52.596592990710498</v>
      </c>
      <c r="IA92" s="36">
        <f t="shared" ca="1" si="224"/>
        <v>52.402874559558732</v>
      </c>
      <c r="IB92" s="36">
        <f t="shared" ca="1" si="224"/>
        <v>52.940050629997174</v>
      </c>
      <c r="IC92" s="36">
        <f t="shared" ca="1" si="224"/>
        <v>52.566602708114345</v>
      </c>
      <c r="ID92" s="36">
        <f t="shared" ca="1" si="224"/>
        <v>52.482961022734379</v>
      </c>
      <c r="IE92" s="36">
        <f t="shared" ca="1" si="224"/>
        <v>51.90277362200046</v>
      </c>
      <c r="IF92" s="36">
        <f t="shared" ca="1" si="224"/>
        <v>52.012096750090649</v>
      </c>
      <c r="IG92" s="36">
        <f t="shared" ca="1" si="224"/>
        <v>51.624882018696752</v>
      </c>
      <c r="IH92" s="36">
        <f t="shared" ca="1" si="224"/>
        <v>51.05026366305686</v>
      </c>
      <c r="II92" s="36">
        <f t="shared" ca="1" si="224"/>
        <v>51.328165434990368</v>
      </c>
      <c r="IJ92" s="36">
        <f t="shared" ca="1" si="224"/>
        <v>51.449534179431922</v>
      </c>
      <c r="IK92" s="36">
        <f t="shared" ca="1" si="224"/>
        <v>49.931731677373278</v>
      </c>
      <c r="IL92" s="36">
        <f t="shared" ca="1" si="224"/>
        <v>50.942902327746658</v>
      </c>
      <c r="IM92" s="36">
        <f t="shared" ca="1" si="224"/>
        <v>51.082670530141776</v>
      </c>
      <c r="IN92" s="36">
        <f t="shared" ca="1" si="224"/>
        <v>51.304899709133728</v>
      </c>
      <c r="IO92" s="36">
        <f t="shared" ca="1" si="224"/>
        <v>52.052300005515015</v>
      </c>
      <c r="IP92" s="36">
        <f t="shared" ca="1" si="224"/>
        <v>52.996879872755983</v>
      </c>
      <c r="IQ92" s="36">
        <f t="shared" ca="1" si="224"/>
        <v>54.074304501221576</v>
      </c>
      <c r="IR92" s="36">
        <f t="shared" ca="1" si="224"/>
        <v>54.513593410730827</v>
      </c>
      <c r="IS92" s="36">
        <f t="shared" ca="1" si="224"/>
        <v>53.560054607900618</v>
      </c>
      <c r="IT92" s="36">
        <f t="shared" ca="1" si="224"/>
        <v>54.942384515604353</v>
      </c>
      <c r="IU92" s="36">
        <f t="shared" ca="1" si="224"/>
        <v>55.501062801681613</v>
      </c>
    </row>
    <row r="93" spans="1:255" x14ac:dyDescent="0.2">
      <c r="A93" s="36"/>
      <c r="B93">
        <v>83</v>
      </c>
      <c r="C93" s="36">
        <v>50</v>
      </c>
      <c r="D93" s="36">
        <f t="shared" ca="1" si="188"/>
        <v>49.602829611295029</v>
      </c>
      <c r="E93" s="36">
        <f t="shared" ca="1" si="188"/>
        <v>48.805602194935261</v>
      </c>
      <c r="F93" s="36">
        <f t="shared" ca="1" si="228"/>
        <v>49.341251854242898</v>
      </c>
      <c r="G93" s="36">
        <f t="shared" ca="1" si="228"/>
        <v>49.547101272408689</v>
      </c>
      <c r="H93" s="36">
        <f t="shared" ca="1" si="228"/>
        <v>48.723016316441189</v>
      </c>
      <c r="I93" s="36">
        <f t="shared" ca="1" si="228"/>
        <v>47.704089294570842</v>
      </c>
      <c r="J93" s="36">
        <f t="shared" ca="1" si="228"/>
        <v>48.68366998214043</v>
      </c>
      <c r="K93" s="36">
        <f t="shared" ca="1" si="228"/>
        <v>48.392176572444789</v>
      </c>
      <c r="L93" s="36">
        <f t="shared" ca="1" si="228"/>
        <v>48.919300239229642</v>
      </c>
      <c r="M93" s="36">
        <f t="shared" ca="1" si="228"/>
        <v>48.418755668214779</v>
      </c>
      <c r="N93" s="36">
        <f t="shared" ca="1" si="228"/>
        <v>47.71128556948657</v>
      </c>
      <c r="O93" s="36">
        <f t="shared" ca="1" si="228"/>
        <v>47.601137618370636</v>
      </c>
      <c r="P93" s="36">
        <f t="shared" ca="1" si="228"/>
        <v>47.441506943141512</v>
      </c>
      <c r="Q93" s="36">
        <f t="shared" ca="1" si="228"/>
        <v>47.236246418138251</v>
      </c>
      <c r="R93" s="36">
        <f t="shared" ca="1" si="228"/>
        <v>46.377464548864289</v>
      </c>
      <c r="S93" s="36">
        <f t="shared" ca="1" si="228"/>
        <v>46.206550599007848</v>
      </c>
      <c r="T93" s="36">
        <f t="shared" ca="1" si="228"/>
        <v>45.750124140440683</v>
      </c>
      <c r="U93" s="36">
        <f t="shared" ca="1" si="228"/>
        <v>45.249967758223221</v>
      </c>
      <c r="V93" s="36">
        <f t="shared" ca="1" si="228"/>
        <v>45.293202488661478</v>
      </c>
      <c r="W93" s="36">
        <f t="shared" ca="1" si="228"/>
        <v>45.648740268135988</v>
      </c>
      <c r="X93" s="36">
        <f t="shared" ca="1" si="228"/>
        <v>45.404385844432873</v>
      </c>
      <c r="Y93" s="36">
        <f t="shared" ca="1" si="228"/>
        <v>45.479102867731712</v>
      </c>
      <c r="Z93" s="36">
        <f t="shared" ca="1" si="228"/>
        <v>45.112343949938605</v>
      </c>
      <c r="AA93" s="36">
        <f t="shared" ca="1" si="228"/>
        <v>44.196230487414461</v>
      </c>
      <c r="AB93" s="36">
        <f t="shared" ca="1" si="228"/>
        <v>43.850706974311649</v>
      </c>
      <c r="AC93" s="36">
        <f t="shared" ca="1" si="228"/>
        <v>44.537666503745676</v>
      </c>
      <c r="AD93" s="36">
        <f t="shared" ca="1" si="228"/>
        <v>44.23397283402236</v>
      </c>
      <c r="AE93" s="36">
        <f t="shared" ca="1" si="228"/>
        <v>43.435283530768757</v>
      </c>
      <c r="AF93" s="36">
        <f t="shared" ca="1" si="228"/>
        <v>43.922057416121035</v>
      </c>
      <c r="AG93" s="36">
        <f t="shared" ca="1" si="228"/>
        <v>43.699956728373103</v>
      </c>
      <c r="AH93" s="36">
        <f t="shared" ca="1" si="228"/>
        <v>44.122385241143263</v>
      </c>
      <c r="AI93" s="36">
        <f t="shared" ca="1" si="228"/>
        <v>43.873909202057668</v>
      </c>
      <c r="AJ93" s="36">
        <f t="shared" ca="1" si="228"/>
        <v>43.554712841441706</v>
      </c>
      <c r="AK93" s="36">
        <f t="shared" ca="1" si="228"/>
        <v>44.01909457350564</v>
      </c>
      <c r="AL93" s="36">
        <f t="shared" ca="1" si="228"/>
        <v>44.617486431825888</v>
      </c>
      <c r="AM93" s="36">
        <f t="shared" ca="1" si="228"/>
        <v>44.611328336627182</v>
      </c>
      <c r="AN93" s="36">
        <f t="shared" ca="1" si="228"/>
        <v>43.93691051978783</v>
      </c>
      <c r="AO93" s="36">
        <f t="shared" ca="1" si="228"/>
        <v>45.155602480180143</v>
      </c>
      <c r="AP93" s="36">
        <f t="shared" ca="1" si="228"/>
        <v>45.08670057833703</v>
      </c>
      <c r="AQ93" s="36">
        <f t="shared" ca="1" si="228"/>
        <v>45.0745410254668</v>
      </c>
      <c r="AR93" s="36">
        <f t="shared" ca="1" si="228"/>
        <v>45.316926096578449</v>
      </c>
      <c r="AS93" s="36">
        <f t="shared" ca="1" si="228"/>
        <v>45.427715606616943</v>
      </c>
      <c r="AT93" s="36">
        <f t="shared" ca="1" si="228"/>
        <v>44.465981259820566</v>
      </c>
      <c r="AU93" s="36">
        <f t="shared" ca="1" si="228"/>
        <v>45.351071075057639</v>
      </c>
      <c r="AV93" s="36">
        <f t="shared" ca="1" si="228"/>
        <v>45.35434464533926</v>
      </c>
      <c r="AW93" s="36">
        <f t="shared" ca="1" si="228"/>
        <v>45.853330740510735</v>
      </c>
      <c r="AX93" s="36">
        <f t="shared" ca="1" si="228"/>
        <v>44.882384843300244</v>
      </c>
      <c r="AY93" s="36">
        <f t="shared" ca="1" si="228"/>
        <v>44.40356623671196</v>
      </c>
      <c r="AZ93" s="36">
        <f t="shared" ca="1" si="228"/>
        <v>43.80458661880126</v>
      </c>
      <c r="BA93" s="36">
        <f t="shared" ca="1" si="228"/>
        <v>44.200723917648133</v>
      </c>
      <c r="BB93" s="36">
        <f t="shared" ca="1" si="228"/>
        <v>44.423609298775503</v>
      </c>
      <c r="BC93" s="36">
        <f t="shared" ca="1" si="228"/>
        <v>44.188400574816065</v>
      </c>
      <c r="BD93" s="36">
        <f t="shared" ca="1" si="228"/>
        <v>44.592937880165344</v>
      </c>
      <c r="BE93" s="36">
        <f t="shared" ca="1" si="228"/>
        <v>45.210942627890432</v>
      </c>
      <c r="BF93" s="36">
        <f t="shared" ca="1" si="228"/>
        <v>44.74056151199904</v>
      </c>
      <c r="BG93" s="36">
        <f t="shared" ca="1" si="228"/>
        <v>44.611886101189832</v>
      </c>
      <c r="BH93" s="36">
        <f t="shared" ca="1" si="228"/>
        <v>44.663383134499604</v>
      </c>
      <c r="BI93" s="36">
        <f t="shared" ca="1" si="228"/>
        <v>44.172266967380075</v>
      </c>
      <c r="BJ93" s="36">
        <f t="shared" ca="1" si="228"/>
        <v>43.904881059598871</v>
      </c>
      <c r="BK93" s="36">
        <f t="shared" ca="1" si="228"/>
        <v>44.489609699543522</v>
      </c>
      <c r="BL93" s="36">
        <f t="shared" ca="1" si="228"/>
        <v>45.619709553705675</v>
      </c>
      <c r="BM93" s="36">
        <f t="shared" ca="1" si="228"/>
        <v>45.253159257215941</v>
      </c>
      <c r="BN93" s="36">
        <f t="shared" ca="1" si="228"/>
        <v>45.192016963708689</v>
      </c>
      <c r="BO93" s="36">
        <f t="shared" ca="1" si="228"/>
        <v>45.942578453871072</v>
      </c>
      <c r="BP93" s="36">
        <f t="shared" ca="1" si="228"/>
        <v>45.524363646547442</v>
      </c>
      <c r="BQ93" s="36">
        <f t="shared" ref="BQ93:EB96" ca="1" si="235">BP93*EXP(($B$3-$B$4^2/2)*1+$B$4*_xlfn.NORM.S.INV(RAND()))</f>
        <v>45.504369017211722</v>
      </c>
      <c r="BR93" s="36">
        <f t="shared" ca="1" si="235"/>
        <v>45.489488971320995</v>
      </c>
      <c r="BS93" s="36">
        <f t="shared" ca="1" si="235"/>
        <v>46.153319741290701</v>
      </c>
      <c r="BT93" s="36">
        <f t="shared" ca="1" si="235"/>
        <v>45.888484262423901</v>
      </c>
      <c r="BU93" s="36">
        <f t="shared" ca="1" si="235"/>
        <v>45.556135939193787</v>
      </c>
      <c r="BV93" s="36">
        <f t="shared" ca="1" si="235"/>
        <v>45.363204276639628</v>
      </c>
      <c r="BW93" s="36">
        <f t="shared" ca="1" si="235"/>
        <v>45.352037133673804</v>
      </c>
      <c r="BX93" s="36">
        <f t="shared" ca="1" si="235"/>
        <v>45.579311359754698</v>
      </c>
      <c r="BY93" s="36">
        <f t="shared" ca="1" si="235"/>
        <v>43.984362486970873</v>
      </c>
      <c r="BZ93" s="36">
        <f t="shared" ca="1" si="235"/>
        <v>43.832385313435111</v>
      </c>
      <c r="CA93" s="36">
        <f t="shared" ca="1" si="235"/>
        <v>44.305228422722038</v>
      </c>
      <c r="CB93" s="36">
        <f t="shared" ca="1" si="235"/>
        <v>45.098113617853748</v>
      </c>
      <c r="CC93" s="36">
        <f t="shared" ca="1" si="235"/>
        <v>45.402235978648903</v>
      </c>
      <c r="CD93" s="36">
        <f t="shared" ca="1" si="235"/>
        <v>45.234919521684226</v>
      </c>
      <c r="CE93" s="36">
        <f t="shared" ca="1" si="235"/>
        <v>44.596205809986522</v>
      </c>
      <c r="CF93" s="36">
        <f t="shared" ca="1" si="235"/>
        <v>43.981696734731848</v>
      </c>
      <c r="CG93" s="36">
        <f t="shared" ca="1" si="235"/>
        <v>44.561625366468881</v>
      </c>
      <c r="CH93" s="36">
        <f t="shared" ca="1" si="235"/>
        <v>44.147070074132074</v>
      </c>
      <c r="CI93" s="36">
        <f t="shared" ca="1" si="235"/>
        <v>44.001147710153532</v>
      </c>
      <c r="CJ93" s="36">
        <f t="shared" ca="1" si="235"/>
        <v>44.537584913010342</v>
      </c>
      <c r="CK93" s="36">
        <f t="shared" ca="1" si="235"/>
        <v>44.756512331709608</v>
      </c>
      <c r="CL93" s="36">
        <f t="shared" ca="1" si="235"/>
        <v>45.04483922694039</v>
      </c>
      <c r="CM93" s="36">
        <f t="shared" ca="1" si="235"/>
        <v>45.86121064207498</v>
      </c>
      <c r="CN93" s="36">
        <f t="shared" ca="1" si="235"/>
        <v>46.243880177363792</v>
      </c>
      <c r="CO93" s="36">
        <f t="shared" ca="1" si="235"/>
        <v>45.42314540566877</v>
      </c>
      <c r="CP93" s="36">
        <f t="shared" ca="1" si="235"/>
        <v>45.321408451578243</v>
      </c>
      <c r="CQ93" s="36">
        <f t="shared" ca="1" si="235"/>
        <v>45.473673012287357</v>
      </c>
      <c r="CR93" s="36">
        <f t="shared" ca="1" si="235"/>
        <v>45.636350685640721</v>
      </c>
      <c r="CS93" s="36">
        <f t="shared" ca="1" si="235"/>
        <v>45.780886322153449</v>
      </c>
      <c r="CT93" s="36">
        <f t="shared" ca="1" si="235"/>
        <v>45.772523021617765</v>
      </c>
      <c r="CU93" s="36">
        <f t="shared" ca="1" si="235"/>
        <v>46.634290414827625</v>
      </c>
      <c r="CV93" s="36">
        <f t="shared" ca="1" si="235"/>
        <v>47.019107613540939</v>
      </c>
      <c r="CW93" s="36">
        <f t="shared" ca="1" si="235"/>
        <v>47.220204321682388</v>
      </c>
      <c r="CX93" s="36">
        <f t="shared" ca="1" si="235"/>
        <v>47.596251344944001</v>
      </c>
      <c r="CY93" s="36">
        <f t="shared" ca="1" si="235"/>
        <v>47.003438417591845</v>
      </c>
      <c r="CZ93" s="36">
        <f t="shared" ca="1" si="235"/>
        <v>46.731462643722537</v>
      </c>
      <c r="DA93" s="36">
        <f t="shared" ca="1" si="235"/>
        <v>46.279918665082448</v>
      </c>
      <c r="DB93" s="36">
        <f t="shared" ca="1" si="235"/>
        <v>46.799773512912992</v>
      </c>
      <c r="DC93" s="36">
        <f t="shared" ca="1" si="235"/>
        <v>46.883280020783033</v>
      </c>
      <c r="DD93" s="36">
        <f t="shared" ca="1" si="235"/>
        <v>46.457562045368988</v>
      </c>
      <c r="DE93" s="36">
        <f t="shared" ca="1" si="235"/>
        <v>45.929488449101761</v>
      </c>
      <c r="DF93" s="36">
        <f t="shared" ca="1" si="235"/>
        <v>45.882223879041213</v>
      </c>
      <c r="DG93" s="36">
        <f t="shared" ca="1" si="235"/>
        <v>45.830307338905598</v>
      </c>
      <c r="DH93" s="36">
        <f t="shared" ca="1" si="235"/>
        <v>45.50042331029502</v>
      </c>
      <c r="DI93" s="36">
        <f t="shared" ca="1" si="235"/>
        <v>44.730962105645254</v>
      </c>
      <c r="DJ93" s="36">
        <f t="shared" ca="1" si="235"/>
        <v>45.511801990944214</v>
      </c>
      <c r="DK93" s="36">
        <f t="shared" ca="1" si="235"/>
        <v>46.072499558345307</v>
      </c>
      <c r="DL93" s="36">
        <f t="shared" ca="1" si="235"/>
        <v>45.962079841570514</v>
      </c>
      <c r="DM93" s="36">
        <f t="shared" ca="1" si="235"/>
        <v>46.28470107106358</v>
      </c>
      <c r="DN93" s="36">
        <f t="shared" ca="1" si="235"/>
        <v>45.706446860556802</v>
      </c>
      <c r="DO93" s="36">
        <f t="shared" ca="1" si="235"/>
        <v>44.836844725628445</v>
      </c>
      <c r="DP93" s="36">
        <f t="shared" ca="1" si="235"/>
        <v>45.870311151082873</v>
      </c>
      <c r="DQ93" s="36">
        <f t="shared" ca="1" si="235"/>
        <v>47.242408007159739</v>
      </c>
      <c r="DR93" s="36">
        <f t="shared" ca="1" si="235"/>
        <v>47.451680886867017</v>
      </c>
      <c r="DS93" s="36">
        <f t="shared" ca="1" si="235"/>
        <v>46.944071993205277</v>
      </c>
      <c r="DT93" s="36">
        <f t="shared" ca="1" si="235"/>
        <v>47.180524818188012</v>
      </c>
      <c r="DU93" s="36">
        <f t="shared" ca="1" si="235"/>
        <v>47.449610218814584</v>
      </c>
      <c r="DV93" s="36">
        <f t="shared" ca="1" si="235"/>
        <v>48.078430520548082</v>
      </c>
      <c r="DW93" s="36">
        <f t="shared" ca="1" si="235"/>
        <v>48.297873319368755</v>
      </c>
      <c r="DX93" s="36">
        <f t="shared" ca="1" si="235"/>
        <v>47.444911919009392</v>
      </c>
      <c r="DY93" s="36">
        <f t="shared" ca="1" si="235"/>
        <v>46.721781712946402</v>
      </c>
      <c r="DZ93" s="36">
        <f t="shared" ca="1" si="235"/>
        <v>46.778630192424416</v>
      </c>
      <c r="EA93" s="36">
        <f t="shared" ca="1" si="235"/>
        <v>48.274405976433243</v>
      </c>
      <c r="EB93" s="36">
        <f t="shared" ca="1" si="235"/>
        <v>49.016816461890585</v>
      </c>
      <c r="EC93" s="36">
        <f t="shared" ca="1" si="198"/>
        <v>50.134915268651376</v>
      </c>
      <c r="ED93" s="36">
        <f t="shared" ref="ED93:EW93" ca="1" si="236">EC93*EXP(($B$3-$B$4^2/2)*1+$B$4*_xlfn.NORM.S.INV(RAND()))</f>
        <v>50.042041349915173</v>
      </c>
      <c r="EE93" s="36">
        <f t="shared" ca="1" si="236"/>
        <v>50.09972814355762</v>
      </c>
      <c r="EF93" s="36">
        <f t="shared" ca="1" si="236"/>
        <v>49.727276930442194</v>
      </c>
      <c r="EG93" s="36">
        <f t="shared" ca="1" si="236"/>
        <v>50.176640129210398</v>
      </c>
      <c r="EH93" s="36">
        <f t="shared" ca="1" si="236"/>
        <v>50.060104388002507</v>
      </c>
      <c r="EI93" s="36">
        <f t="shared" ca="1" si="236"/>
        <v>48.273807942571906</v>
      </c>
      <c r="EJ93" s="36">
        <f t="shared" ca="1" si="236"/>
        <v>47.907586679404794</v>
      </c>
      <c r="EK93" s="36">
        <f t="shared" ca="1" si="236"/>
        <v>47.905831622004115</v>
      </c>
      <c r="EL93" s="36">
        <f t="shared" ca="1" si="236"/>
        <v>47.762095744405414</v>
      </c>
      <c r="EM93" s="36">
        <f t="shared" ca="1" si="236"/>
        <v>46.960497608511815</v>
      </c>
      <c r="EN93" s="36">
        <f t="shared" ca="1" si="236"/>
        <v>46.586660400101614</v>
      </c>
      <c r="EO93" s="36">
        <f t="shared" ca="1" si="236"/>
        <v>47.586013982782504</v>
      </c>
      <c r="EP93" s="36">
        <f t="shared" ca="1" si="236"/>
        <v>48.912994024646089</v>
      </c>
      <c r="EQ93" s="36">
        <f t="shared" ca="1" si="236"/>
        <v>49.590939028427087</v>
      </c>
      <c r="ER93" s="36">
        <f t="shared" ca="1" si="236"/>
        <v>49.773299714538119</v>
      </c>
      <c r="ES93" s="36">
        <f t="shared" ca="1" si="236"/>
        <v>48.86955984069651</v>
      </c>
      <c r="ET93" s="36">
        <f t="shared" ca="1" si="236"/>
        <v>48.812911627469163</v>
      </c>
      <c r="EU93" s="36">
        <f t="shared" ca="1" si="236"/>
        <v>49.855826794838862</v>
      </c>
      <c r="EV93" s="36">
        <f t="shared" ca="1" si="236"/>
        <v>49.409001850305614</v>
      </c>
      <c r="EW93" s="36">
        <f t="shared" ca="1" si="236"/>
        <v>48.742732130359656</v>
      </c>
      <c r="EX93" s="36">
        <f t="shared" ca="1" si="233"/>
        <v>49.211797071986112</v>
      </c>
      <c r="EY93" s="36">
        <f t="shared" ca="1" si="233"/>
        <v>49.237719138403449</v>
      </c>
      <c r="EZ93" s="36">
        <f t="shared" ca="1" si="233"/>
        <v>49.529314301632709</v>
      </c>
      <c r="FA93" s="36">
        <f t="shared" ca="1" si="233"/>
        <v>50.669142525060991</v>
      </c>
      <c r="FB93" s="36">
        <f t="shared" ca="1" si="233"/>
        <v>51.156809505153177</v>
      </c>
      <c r="FC93" s="36">
        <f t="shared" ca="1" si="233"/>
        <v>51.552690742676049</v>
      </c>
      <c r="FD93" s="36">
        <f t="shared" ca="1" si="233"/>
        <v>52.414678283363138</v>
      </c>
      <c r="FE93" s="36">
        <f t="shared" ca="1" si="233"/>
        <v>52.07263278901253</v>
      </c>
      <c r="FF93" s="36">
        <f t="shared" ca="1" si="233"/>
        <v>51.820928463726133</v>
      </c>
      <c r="FG93" s="36">
        <f t="shared" ca="1" si="233"/>
        <v>52.378845220521136</v>
      </c>
      <c r="FH93" s="36">
        <f t="shared" ca="1" si="233"/>
        <v>51.662807560805341</v>
      </c>
      <c r="FI93" s="36">
        <f t="shared" ca="1" si="233"/>
        <v>51.003750207491443</v>
      </c>
      <c r="FJ93" s="36">
        <f t="shared" ca="1" si="233"/>
        <v>49.891436846855967</v>
      </c>
      <c r="FK93" s="36">
        <f t="shared" ca="1" si="233"/>
        <v>48.59569080384297</v>
      </c>
      <c r="FL93" s="36">
        <f t="shared" ca="1" si="233"/>
        <v>48.397651764041122</v>
      </c>
      <c r="FM93" s="36">
        <f t="shared" ca="1" si="233"/>
        <v>48.99998474239343</v>
      </c>
      <c r="FN93" s="36">
        <f t="shared" ca="1" si="233"/>
        <v>49.218373535029443</v>
      </c>
      <c r="FO93" s="36">
        <f t="shared" ca="1" si="233"/>
        <v>48.528589905174655</v>
      </c>
      <c r="FP93" s="36">
        <f t="shared" ca="1" si="233"/>
        <v>49.004823388575339</v>
      </c>
      <c r="FQ93" s="36">
        <f t="shared" ca="1" si="233"/>
        <v>48.482773564358929</v>
      </c>
      <c r="FR93" s="36">
        <f t="shared" ca="1" si="233"/>
        <v>48.451154712255196</v>
      </c>
      <c r="FS93" s="36">
        <f t="shared" ca="1" si="233"/>
        <v>49.130116454375163</v>
      </c>
      <c r="FT93" s="36">
        <f t="shared" ca="1" si="233"/>
        <v>49.259658425782398</v>
      </c>
      <c r="FU93" s="36">
        <f t="shared" ca="1" si="233"/>
        <v>49.501085253534605</v>
      </c>
      <c r="FV93" s="36">
        <f t="shared" ca="1" si="233"/>
        <v>49.273571065625987</v>
      </c>
      <c r="FW93" s="36">
        <f t="shared" ca="1" si="233"/>
        <v>49.589049070526002</v>
      </c>
      <c r="FX93" s="36">
        <f t="shared" ca="1" si="233"/>
        <v>50.518883797870984</v>
      </c>
      <c r="FY93" s="36">
        <f t="shared" ca="1" si="233"/>
        <v>50.352837112990706</v>
      </c>
      <c r="FZ93" s="36">
        <f t="shared" ca="1" si="233"/>
        <v>49.614423318596678</v>
      </c>
      <c r="GA93" s="36">
        <f t="shared" ca="1" si="233"/>
        <v>50.017794230103839</v>
      </c>
      <c r="GB93" s="36">
        <f t="shared" ca="1" si="233"/>
        <v>50.60493548064953</v>
      </c>
      <c r="GC93" s="36">
        <f t="shared" ca="1" si="233"/>
        <v>50.453719489720733</v>
      </c>
      <c r="GD93" s="36">
        <f t="shared" ca="1" si="233"/>
        <v>50.220706883859876</v>
      </c>
      <c r="GE93" s="36">
        <f t="shared" ca="1" si="233"/>
        <v>49.457277283529649</v>
      </c>
      <c r="GF93" s="36">
        <f t="shared" ca="1" si="233"/>
        <v>50.171091900034284</v>
      </c>
      <c r="GG93" s="36">
        <f t="shared" ca="1" si="233"/>
        <v>49.299645361327052</v>
      </c>
      <c r="GH93" s="36">
        <f t="shared" ca="1" si="233"/>
        <v>48.999732515532855</v>
      </c>
      <c r="GI93" s="36">
        <f t="shared" ca="1" si="233"/>
        <v>49.590651580155175</v>
      </c>
      <c r="GJ93" s="36">
        <f t="shared" ca="1" si="233"/>
        <v>48.31337080741865</v>
      </c>
      <c r="GK93" s="36">
        <f t="shared" ca="1" si="233"/>
        <v>47.811846088516099</v>
      </c>
      <c r="GL93" s="36">
        <f t="shared" ca="1" si="233"/>
        <v>47.27499593403379</v>
      </c>
      <c r="GM93" s="36">
        <f t="shared" ca="1" si="233"/>
        <v>47.687382936204912</v>
      </c>
      <c r="GN93" s="36">
        <f t="shared" ca="1" si="233"/>
        <v>48.079270296278871</v>
      </c>
      <c r="GO93" s="36">
        <f t="shared" ca="1" si="233"/>
        <v>48.367393944030454</v>
      </c>
      <c r="GP93" s="36">
        <f t="shared" ca="1" si="233"/>
        <v>49.316965626663617</v>
      </c>
      <c r="GQ93" s="36">
        <f t="shared" ca="1" si="233"/>
        <v>48.96730691061412</v>
      </c>
      <c r="GR93" s="36">
        <f t="shared" ca="1" si="233"/>
        <v>47.934833429931089</v>
      </c>
      <c r="GS93" s="36">
        <f t="shared" ca="1" si="233"/>
        <v>47.093781603446153</v>
      </c>
      <c r="GT93" s="36">
        <f t="shared" ca="1" si="233"/>
        <v>46.896363312898565</v>
      </c>
      <c r="GU93" s="36">
        <f t="shared" ca="1" si="233"/>
        <v>46.734305799708615</v>
      </c>
      <c r="GV93" s="36">
        <f t="shared" ca="1" si="233"/>
        <v>46.345282564850514</v>
      </c>
      <c r="GW93" s="36">
        <f t="shared" ca="1" si="233"/>
        <v>46.077524115244913</v>
      </c>
      <c r="GX93" s="36">
        <f t="shared" ca="1" si="233"/>
        <v>46.322525647290909</v>
      </c>
      <c r="GY93" s="36">
        <f t="shared" ca="1" si="233"/>
        <v>46.426918433583303</v>
      </c>
      <c r="GZ93" s="36">
        <f t="shared" ca="1" si="233"/>
        <v>46.041347251679369</v>
      </c>
      <c r="HA93" s="36">
        <f t="shared" ca="1" si="233"/>
        <v>46.734257520966835</v>
      </c>
      <c r="HB93" s="36">
        <f t="shared" ca="1" si="233"/>
        <v>47.337374502343103</v>
      </c>
      <c r="HC93" s="36">
        <f t="shared" ca="1" si="233"/>
        <v>48.288553266023889</v>
      </c>
      <c r="HD93" s="36">
        <f t="shared" ca="1" si="233"/>
        <v>48.307948194167913</v>
      </c>
      <c r="HE93" s="36">
        <f t="shared" ca="1" si="233"/>
        <v>47.975699480360312</v>
      </c>
      <c r="HF93" s="36">
        <f t="shared" ca="1" si="233"/>
        <v>47.392007352110411</v>
      </c>
      <c r="HG93" s="36">
        <f t="shared" ca="1" si="233"/>
        <v>46.820061338226928</v>
      </c>
      <c r="HH93" s="36">
        <f t="shared" ca="1" si="233"/>
        <v>47.037322952613209</v>
      </c>
      <c r="HI93" s="36">
        <f t="shared" ref="HI93:HT95" ca="1" si="237">HH93*EXP(($B$3-$B$4^2/2)*1+$B$4*_xlfn.NORM.S.INV(RAND()))</f>
        <v>47.609974228783337</v>
      </c>
      <c r="HJ93" s="36">
        <f t="shared" ca="1" si="237"/>
        <v>47.799158515836652</v>
      </c>
      <c r="HK93" s="36">
        <f t="shared" ca="1" si="237"/>
        <v>48.046938094670594</v>
      </c>
      <c r="HL93" s="36">
        <f t="shared" ca="1" si="237"/>
        <v>47.449616243817488</v>
      </c>
      <c r="HM93" s="36">
        <f t="shared" ca="1" si="237"/>
        <v>47.881262823619863</v>
      </c>
      <c r="HN93" s="36">
        <f t="shared" ca="1" si="237"/>
        <v>47.670518534983898</v>
      </c>
      <c r="HO93" s="36">
        <f t="shared" ca="1" si="237"/>
        <v>47.633741707425024</v>
      </c>
      <c r="HP93" s="36">
        <f t="shared" ca="1" si="237"/>
        <v>46.70849471831157</v>
      </c>
      <c r="HQ93" s="36">
        <f t="shared" ca="1" si="237"/>
        <v>46.475136849958091</v>
      </c>
      <c r="HR93" s="36">
        <f t="shared" ca="1" si="237"/>
        <v>46.570240435862992</v>
      </c>
      <c r="HS93" s="36">
        <f t="shared" ca="1" si="237"/>
        <v>46.076944612503631</v>
      </c>
      <c r="HT93" s="36">
        <f t="shared" ca="1" si="237"/>
        <v>45.231450995370885</v>
      </c>
      <c r="HU93" s="36">
        <f t="shared" ca="1" si="224"/>
        <v>44.732838118992284</v>
      </c>
      <c r="HV93" s="36">
        <f t="shared" ca="1" si="224"/>
        <v>45.53838750395424</v>
      </c>
      <c r="HW93" s="36">
        <f t="shared" ca="1" si="224"/>
        <v>44.969232522845964</v>
      </c>
      <c r="HX93" s="36">
        <f t="shared" ca="1" si="224"/>
        <v>45.518911083281147</v>
      </c>
      <c r="HY93" s="36">
        <f t="shared" ca="1" si="224"/>
        <v>45.607294470060673</v>
      </c>
      <c r="HZ93" s="36">
        <f t="shared" ca="1" si="224"/>
        <v>46.501610949733582</v>
      </c>
      <c r="IA93" s="36">
        <f t="shared" ca="1" si="224"/>
        <v>46.481979076062046</v>
      </c>
      <c r="IB93" s="36">
        <f t="shared" ca="1" si="224"/>
        <v>45.734468889778455</v>
      </c>
      <c r="IC93" s="36">
        <f t="shared" ca="1" si="224"/>
        <v>45.318203389492275</v>
      </c>
      <c r="ID93" s="36">
        <f t="shared" ca="1" si="224"/>
        <v>46.379986531403446</v>
      </c>
      <c r="IE93" s="36">
        <f t="shared" ca="1" si="224"/>
        <v>45.268888529159007</v>
      </c>
      <c r="IF93" s="36">
        <f t="shared" ca="1" si="224"/>
        <v>45.604305626240667</v>
      </c>
      <c r="IG93" s="36">
        <f t="shared" ca="1" si="224"/>
        <v>45.863634996077522</v>
      </c>
      <c r="IH93" s="36">
        <f t="shared" ca="1" si="224"/>
        <v>45.08356147421177</v>
      </c>
      <c r="II93" s="36">
        <f t="shared" ca="1" si="224"/>
        <v>44.547874595710148</v>
      </c>
      <c r="IJ93" s="36">
        <f t="shared" ca="1" si="224"/>
        <v>44.970827906547122</v>
      </c>
      <c r="IK93" s="36">
        <f t="shared" ca="1" si="224"/>
        <v>45.491716529933171</v>
      </c>
      <c r="IL93" s="36">
        <f t="shared" ca="1" si="224"/>
        <v>45.27497055969252</v>
      </c>
      <c r="IM93" s="36">
        <f t="shared" ca="1" si="224"/>
        <v>46.706396167993248</v>
      </c>
      <c r="IN93" s="36">
        <f t="shared" ca="1" si="224"/>
        <v>46.633924671876514</v>
      </c>
      <c r="IO93" s="36">
        <f t="shared" ca="1" si="224"/>
        <v>46.650154087135171</v>
      </c>
      <c r="IP93" s="36">
        <f t="shared" ca="1" si="224"/>
        <v>46.891239634920844</v>
      </c>
      <c r="IQ93" s="36">
        <f t="shared" ca="1" si="224"/>
        <v>45.845086338587002</v>
      </c>
      <c r="IR93" s="36">
        <f t="shared" ca="1" si="224"/>
        <v>45.788183344759439</v>
      </c>
      <c r="IS93" s="36">
        <f t="shared" ca="1" si="224"/>
        <v>45.777255797193504</v>
      </c>
      <c r="IT93" s="36">
        <f t="shared" ca="1" si="224"/>
        <v>45.326783960335263</v>
      </c>
      <c r="IU93" s="36">
        <f t="shared" ca="1" si="224"/>
        <v>45.612111778293716</v>
      </c>
    </row>
    <row r="94" spans="1:255" x14ac:dyDescent="0.2">
      <c r="A94" s="36"/>
      <c r="B94">
        <v>84</v>
      </c>
      <c r="C94" s="36">
        <v>50</v>
      </c>
      <c r="D94" s="36">
        <f t="shared" ca="1" si="188"/>
        <v>49.48054985330829</v>
      </c>
      <c r="E94" s="36">
        <f t="shared" ca="1" si="188"/>
        <v>49.59456742003762</v>
      </c>
      <c r="F94" s="36">
        <f t="shared" ref="F94:BQ97" ca="1" si="238">E94*EXP(($B$3-$B$4^2/2)*1+$B$4*_xlfn.NORM.S.INV(RAND()))</f>
        <v>49.451293439720359</v>
      </c>
      <c r="G94" s="36">
        <f t="shared" ca="1" si="238"/>
        <v>49.28103671005217</v>
      </c>
      <c r="H94" s="36">
        <f t="shared" ca="1" si="238"/>
        <v>49.757892919307665</v>
      </c>
      <c r="I94" s="36">
        <f t="shared" ca="1" si="238"/>
        <v>49.879111580392077</v>
      </c>
      <c r="J94" s="36">
        <f t="shared" ca="1" si="238"/>
        <v>49.616617975865765</v>
      </c>
      <c r="K94" s="36">
        <f t="shared" ca="1" si="238"/>
        <v>49.207879777073032</v>
      </c>
      <c r="L94" s="36">
        <f t="shared" ca="1" si="238"/>
        <v>49.058358927358498</v>
      </c>
      <c r="M94" s="36">
        <f t="shared" ca="1" si="238"/>
        <v>49.819949745184786</v>
      </c>
      <c r="N94" s="36">
        <f t="shared" ca="1" si="238"/>
        <v>48.803854614101603</v>
      </c>
      <c r="O94" s="36">
        <f t="shared" ca="1" si="238"/>
        <v>49.233685165084459</v>
      </c>
      <c r="P94" s="36">
        <f t="shared" ca="1" si="238"/>
        <v>49.112125601998002</v>
      </c>
      <c r="Q94" s="36">
        <f t="shared" ca="1" si="238"/>
        <v>49.347873653215892</v>
      </c>
      <c r="R94" s="36">
        <f t="shared" ca="1" si="238"/>
        <v>49.019764205952406</v>
      </c>
      <c r="S94" s="36">
        <f t="shared" ca="1" si="238"/>
        <v>48.865199147701126</v>
      </c>
      <c r="T94" s="36">
        <f t="shared" ca="1" si="238"/>
        <v>49.384049963347266</v>
      </c>
      <c r="U94" s="36">
        <f t="shared" ca="1" si="238"/>
        <v>49.434837017042845</v>
      </c>
      <c r="V94" s="36">
        <f t="shared" ca="1" si="238"/>
        <v>50.83270587703165</v>
      </c>
      <c r="W94" s="36">
        <f t="shared" ca="1" si="238"/>
        <v>50.715918770878481</v>
      </c>
      <c r="X94" s="36">
        <f t="shared" ca="1" si="238"/>
        <v>50.666202847652926</v>
      </c>
      <c r="Y94" s="36">
        <f t="shared" ca="1" si="238"/>
        <v>51.22787787044188</v>
      </c>
      <c r="Z94" s="36">
        <f t="shared" ca="1" si="238"/>
        <v>50.903622969809661</v>
      </c>
      <c r="AA94" s="36">
        <f t="shared" ca="1" si="238"/>
        <v>52.294451973491675</v>
      </c>
      <c r="AB94" s="36">
        <f t="shared" ca="1" si="238"/>
        <v>51.366859477063372</v>
      </c>
      <c r="AC94" s="36">
        <f t="shared" ca="1" si="238"/>
        <v>51.652540139707099</v>
      </c>
      <c r="AD94" s="36">
        <f t="shared" ca="1" si="238"/>
        <v>51.983193846184356</v>
      </c>
      <c r="AE94" s="36">
        <f t="shared" ca="1" si="238"/>
        <v>52.240569337936222</v>
      </c>
      <c r="AF94" s="36">
        <f t="shared" ca="1" si="238"/>
        <v>51.877442770204816</v>
      </c>
      <c r="AG94" s="36">
        <f t="shared" ca="1" si="238"/>
        <v>52.306535020450426</v>
      </c>
      <c r="AH94" s="36">
        <f t="shared" ca="1" si="238"/>
        <v>51.923832523362798</v>
      </c>
      <c r="AI94" s="36">
        <f t="shared" ca="1" si="238"/>
        <v>51.695349746673394</v>
      </c>
      <c r="AJ94" s="36">
        <f t="shared" ca="1" si="238"/>
        <v>51.462003751685913</v>
      </c>
      <c r="AK94" s="36">
        <f t="shared" ca="1" si="238"/>
        <v>51.60414069544737</v>
      </c>
      <c r="AL94" s="36">
        <f t="shared" ca="1" si="238"/>
        <v>51.237103736029496</v>
      </c>
      <c r="AM94" s="36">
        <f t="shared" ca="1" si="238"/>
        <v>50.687409082677625</v>
      </c>
      <c r="AN94" s="36">
        <f t="shared" ca="1" si="238"/>
        <v>50.75653283281904</v>
      </c>
      <c r="AO94" s="36">
        <f t="shared" ca="1" si="238"/>
        <v>51.098331572986474</v>
      </c>
      <c r="AP94" s="36">
        <f t="shared" ca="1" si="238"/>
        <v>51.602065450100106</v>
      </c>
      <c r="AQ94" s="36">
        <f t="shared" ca="1" si="238"/>
        <v>51.697070564370421</v>
      </c>
      <c r="AR94" s="36">
        <f t="shared" ca="1" si="238"/>
        <v>51.341499960578275</v>
      </c>
      <c r="AS94" s="36">
        <f t="shared" ca="1" si="238"/>
        <v>51.839707404833952</v>
      </c>
      <c r="AT94" s="36">
        <f t="shared" ca="1" si="238"/>
        <v>51.643559037849592</v>
      </c>
      <c r="AU94" s="36">
        <f t="shared" ca="1" si="238"/>
        <v>51.202666794363736</v>
      </c>
      <c r="AV94" s="36">
        <f t="shared" ca="1" si="238"/>
        <v>52.737748576362058</v>
      </c>
      <c r="AW94" s="36">
        <f t="shared" ca="1" si="238"/>
        <v>53.726904389480886</v>
      </c>
      <c r="AX94" s="36">
        <f t="shared" ca="1" si="238"/>
        <v>53.378177355167239</v>
      </c>
      <c r="AY94" s="36">
        <f t="shared" ca="1" si="238"/>
        <v>53.699204076160427</v>
      </c>
      <c r="AZ94" s="36">
        <f t="shared" ca="1" si="238"/>
        <v>53.757057272861452</v>
      </c>
      <c r="BA94" s="36">
        <f t="shared" ca="1" si="238"/>
        <v>53.797107626282163</v>
      </c>
      <c r="BB94" s="36">
        <f t="shared" ca="1" si="238"/>
        <v>53.951628983213368</v>
      </c>
      <c r="BC94" s="36">
        <f t="shared" ca="1" si="238"/>
        <v>54.100349331735003</v>
      </c>
      <c r="BD94" s="36">
        <f t="shared" ca="1" si="238"/>
        <v>54.013733242868916</v>
      </c>
      <c r="BE94" s="36">
        <f t="shared" ca="1" si="238"/>
        <v>52.889287496663421</v>
      </c>
      <c r="BF94" s="36">
        <f t="shared" ca="1" si="238"/>
        <v>51.675262832055154</v>
      </c>
      <c r="BG94" s="36">
        <f t="shared" ca="1" si="238"/>
        <v>52.762247219043651</v>
      </c>
      <c r="BH94" s="36">
        <f t="shared" ca="1" si="238"/>
        <v>51.733736462774424</v>
      </c>
      <c r="BI94" s="36">
        <f t="shared" ca="1" si="238"/>
        <v>50.611172482598334</v>
      </c>
      <c r="BJ94" s="36">
        <f t="shared" ca="1" si="238"/>
        <v>51.306840451035775</v>
      </c>
      <c r="BK94" s="36">
        <f t="shared" ca="1" si="238"/>
        <v>51.644420825798008</v>
      </c>
      <c r="BL94" s="36">
        <f t="shared" ca="1" si="238"/>
        <v>51.611527569808587</v>
      </c>
      <c r="BM94" s="36">
        <f t="shared" ca="1" si="238"/>
        <v>51.77801329549181</v>
      </c>
      <c r="BN94" s="36">
        <f t="shared" ca="1" si="238"/>
        <v>52.498073350634542</v>
      </c>
      <c r="BO94" s="36">
        <f t="shared" ca="1" si="238"/>
        <v>52.384915608777064</v>
      </c>
      <c r="BP94" s="36">
        <f t="shared" ca="1" si="238"/>
        <v>52.662355237881698</v>
      </c>
      <c r="BQ94" s="36">
        <f t="shared" ca="1" si="238"/>
        <v>53.092426703440601</v>
      </c>
      <c r="BR94" s="36">
        <f t="shared" ca="1" si="235"/>
        <v>52.897706794690464</v>
      </c>
      <c r="BS94" s="36">
        <f t="shared" ca="1" si="235"/>
        <v>52.406450862238813</v>
      </c>
      <c r="BT94" s="36">
        <f t="shared" ca="1" si="235"/>
        <v>52.095694832629086</v>
      </c>
      <c r="BU94" s="36">
        <f t="shared" ca="1" si="235"/>
        <v>51.738028888197761</v>
      </c>
      <c r="BV94" s="36">
        <f t="shared" ca="1" si="235"/>
        <v>51.393131614173413</v>
      </c>
      <c r="BW94" s="36">
        <f t="shared" ca="1" si="235"/>
        <v>51.16784460903866</v>
      </c>
      <c r="BX94" s="36">
        <f t="shared" ca="1" si="235"/>
        <v>51.014470014917215</v>
      </c>
      <c r="BY94" s="36">
        <f t="shared" ca="1" si="235"/>
        <v>50.878040187999893</v>
      </c>
      <c r="BZ94" s="36">
        <f t="shared" ca="1" si="235"/>
        <v>51.542273157448626</v>
      </c>
      <c r="CA94" s="36">
        <f t="shared" ca="1" si="235"/>
        <v>52.488137248345659</v>
      </c>
      <c r="CB94" s="36">
        <f t="shared" ca="1" si="235"/>
        <v>53.314548004665568</v>
      </c>
      <c r="CC94" s="36">
        <f t="shared" ca="1" si="235"/>
        <v>54.205461925857875</v>
      </c>
      <c r="CD94" s="36">
        <f t="shared" ca="1" si="235"/>
        <v>54.2448911517711</v>
      </c>
      <c r="CE94" s="36">
        <f t="shared" ca="1" si="235"/>
        <v>54.075065317152216</v>
      </c>
      <c r="CF94" s="36">
        <f t="shared" ca="1" si="235"/>
        <v>54.851297369327476</v>
      </c>
      <c r="CG94" s="36">
        <f t="shared" ca="1" si="235"/>
        <v>54.980910379499818</v>
      </c>
      <c r="CH94" s="36">
        <f t="shared" ca="1" si="235"/>
        <v>55.384304837295424</v>
      </c>
      <c r="CI94" s="36">
        <f t="shared" ca="1" si="235"/>
        <v>56.222252862380401</v>
      </c>
      <c r="CJ94" s="36">
        <f t="shared" ca="1" si="235"/>
        <v>56.038520411186539</v>
      </c>
      <c r="CK94" s="36">
        <f t="shared" ca="1" si="235"/>
        <v>57.142643531406868</v>
      </c>
      <c r="CL94" s="36">
        <f t="shared" ca="1" si="235"/>
        <v>58.040416001883429</v>
      </c>
      <c r="CM94" s="36">
        <f t="shared" ca="1" si="235"/>
        <v>58.815391005239007</v>
      </c>
      <c r="CN94" s="36">
        <f t="shared" ca="1" si="235"/>
        <v>59.41451281274508</v>
      </c>
      <c r="CO94" s="36">
        <f t="shared" ca="1" si="235"/>
        <v>59.466237119122852</v>
      </c>
      <c r="CP94" s="36">
        <f t="shared" ca="1" si="235"/>
        <v>59.858697726396016</v>
      </c>
      <c r="CQ94" s="36">
        <f t="shared" ca="1" si="235"/>
        <v>59.748355282660015</v>
      </c>
      <c r="CR94" s="36">
        <f t="shared" ca="1" si="235"/>
        <v>60.326796378891771</v>
      </c>
      <c r="CS94" s="36">
        <f t="shared" ca="1" si="235"/>
        <v>61.65419919066337</v>
      </c>
      <c r="CT94" s="36">
        <f t="shared" ca="1" si="235"/>
        <v>62.514526157597651</v>
      </c>
      <c r="CU94" s="36">
        <f t="shared" ca="1" si="235"/>
        <v>63.545788577735088</v>
      </c>
      <c r="CV94" s="36">
        <f t="shared" ca="1" si="235"/>
        <v>61.958825864547983</v>
      </c>
      <c r="CW94" s="36">
        <f t="shared" ca="1" si="235"/>
        <v>62.805957474277982</v>
      </c>
      <c r="CX94" s="36">
        <f t="shared" ca="1" si="235"/>
        <v>62.948865307071067</v>
      </c>
      <c r="CY94" s="36">
        <f t="shared" ca="1" si="235"/>
        <v>62.478185032773673</v>
      </c>
      <c r="CZ94" s="36">
        <f t="shared" ca="1" si="235"/>
        <v>62.701280339225121</v>
      </c>
      <c r="DA94" s="36">
        <f t="shared" ca="1" si="235"/>
        <v>63.821942717350879</v>
      </c>
      <c r="DB94" s="36">
        <f t="shared" ca="1" si="235"/>
        <v>63.977951212380425</v>
      </c>
      <c r="DC94" s="36">
        <f t="shared" ca="1" si="235"/>
        <v>63.879782602833039</v>
      </c>
      <c r="DD94" s="36">
        <f t="shared" ca="1" si="235"/>
        <v>63.357829861957477</v>
      </c>
      <c r="DE94" s="36">
        <f t="shared" ca="1" si="235"/>
        <v>63.887512555457306</v>
      </c>
      <c r="DF94" s="36">
        <f t="shared" ca="1" si="235"/>
        <v>65.527818185324207</v>
      </c>
      <c r="DG94" s="36">
        <f t="shared" ca="1" si="235"/>
        <v>65.125498170147523</v>
      </c>
      <c r="DH94" s="36">
        <f t="shared" ca="1" si="235"/>
        <v>65.619835235032511</v>
      </c>
      <c r="DI94" s="36">
        <f t="shared" ca="1" si="235"/>
        <v>65.774213407652738</v>
      </c>
      <c r="DJ94" s="36">
        <f t="shared" ca="1" si="235"/>
        <v>66.042090858244777</v>
      </c>
      <c r="DK94" s="36">
        <f t="shared" ca="1" si="235"/>
        <v>65.638231556746277</v>
      </c>
      <c r="DL94" s="36">
        <f t="shared" ca="1" si="235"/>
        <v>66.908708621212554</v>
      </c>
      <c r="DM94" s="36">
        <f t="shared" ca="1" si="235"/>
        <v>67.620198658365723</v>
      </c>
      <c r="DN94" s="36">
        <f t="shared" ca="1" si="235"/>
        <v>66.930928612479477</v>
      </c>
      <c r="DO94" s="36">
        <f t="shared" ca="1" si="235"/>
        <v>67.599431908684863</v>
      </c>
      <c r="DP94" s="36">
        <f t="shared" ca="1" si="235"/>
        <v>67.621079915586336</v>
      </c>
      <c r="DQ94" s="36">
        <f t="shared" ca="1" si="235"/>
        <v>68.848643673729413</v>
      </c>
      <c r="DR94" s="36">
        <f t="shared" ca="1" si="235"/>
        <v>68.680652527047883</v>
      </c>
      <c r="DS94" s="36">
        <f t="shared" ca="1" si="235"/>
        <v>67.80849058286087</v>
      </c>
      <c r="DT94" s="36">
        <f t="shared" ca="1" si="235"/>
        <v>67.289526196608278</v>
      </c>
      <c r="DU94" s="36">
        <f t="shared" ca="1" si="235"/>
        <v>67.612585829682573</v>
      </c>
      <c r="DV94" s="36">
        <f t="shared" ca="1" si="235"/>
        <v>68.904291519890066</v>
      </c>
      <c r="DW94" s="36">
        <f t="shared" ca="1" si="235"/>
        <v>68.632882258315632</v>
      </c>
      <c r="DX94" s="36">
        <f t="shared" ca="1" si="235"/>
        <v>69.194639585521458</v>
      </c>
      <c r="DY94" s="36">
        <f t="shared" ca="1" si="235"/>
        <v>69.449032937373858</v>
      </c>
      <c r="DZ94" s="36">
        <f t="shared" ca="1" si="235"/>
        <v>68.195421721646255</v>
      </c>
      <c r="EA94" s="36">
        <f t="shared" ca="1" si="235"/>
        <v>69.588688234943831</v>
      </c>
      <c r="EB94" s="36">
        <f t="shared" ca="1" si="235"/>
        <v>70.324763072831232</v>
      </c>
      <c r="EC94" s="36">
        <f t="shared" ref="EC94:EV106" ca="1" si="239">EB94*EXP(($B$3-$B$4^2/2)*1+$B$4*_xlfn.NORM.S.INV(RAND()))</f>
        <v>69.496616856179045</v>
      </c>
      <c r="ED94" s="36">
        <f t="shared" ca="1" si="239"/>
        <v>70.235549426302583</v>
      </c>
      <c r="EE94" s="36">
        <f t="shared" ca="1" si="239"/>
        <v>71.151277478273201</v>
      </c>
      <c r="EF94" s="36">
        <f t="shared" ca="1" si="239"/>
        <v>71.773189024396785</v>
      </c>
      <c r="EG94" s="36">
        <f t="shared" ca="1" si="239"/>
        <v>72.441933103147036</v>
      </c>
      <c r="EH94" s="36">
        <f t="shared" ca="1" si="239"/>
        <v>73.529519360755401</v>
      </c>
      <c r="EI94" s="36">
        <f t="shared" ca="1" si="239"/>
        <v>71.72309886286682</v>
      </c>
      <c r="EJ94" s="36">
        <f t="shared" ca="1" si="239"/>
        <v>71.84662458147416</v>
      </c>
      <c r="EK94" s="36">
        <f t="shared" ca="1" si="239"/>
        <v>72.020392971662119</v>
      </c>
      <c r="EL94" s="36">
        <f t="shared" ca="1" si="239"/>
        <v>73.037385697537118</v>
      </c>
      <c r="EM94" s="36">
        <f t="shared" ca="1" si="239"/>
        <v>74.291658795333063</v>
      </c>
      <c r="EN94" s="36">
        <f t="shared" ca="1" si="239"/>
        <v>73.334623915544611</v>
      </c>
      <c r="EO94" s="36">
        <f t="shared" ca="1" si="239"/>
        <v>71.160932218047634</v>
      </c>
      <c r="EP94" s="36">
        <f t="shared" ca="1" si="239"/>
        <v>71.281663236203386</v>
      </c>
      <c r="EQ94" s="36">
        <f t="shared" ca="1" si="239"/>
        <v>71.066653442078845</v>
      </c>
      <c r="ER94" s="36">
        <f t="shared" ca="1" si="239"/>
        <v>69.309712290723311</v>
      </c>
      <c r="ES94" s="36">
        <f t="shared" ca="1" si="239"/>
        <v>68.661820916511871</v>
      </c>
      <c r="ET94" s="36">
        <f t="shared" ca="1" si="239"/>
        <v>70.061609619301862</v>
      </c>
      <c r="EU94" s="36">
        <f t="shared" ca="1" si="239"/>
        <v>69.210019097774904</v>
      </c>
      <c r="EV94" s="36">
        <f t="shared" ca="1" si="239"/>
        <v>68.822786432132744</v>
      </c>
      <c r="EW94" s="36">
        <f t="shared" ref="EW94" ca="1" si="240">EV94*EXP(($B$3-$B$4^2/2)*1+$B$4*_xlfn.NORM.S.INV(RAND()))</f>
        <v>68.958381546762908</v>
      </c>
      <c r="EX94" s="36">
        <f t="shared" ca="1" si="233"/>
        <v>69.202573370906563</v>
      </c>
      <c r="EY94" s="36">
        <f t="shared" ca="1" si="233"/>
        <v>69.530767557645916</v>
      </c>
      <c r="EZ94" s="36">
        <f t="shared" ca="1" si="233"/>
        <v>70.506745135193199</v>
      </c>
      <c r="FA94" s="36">
        <f t="shared" ca="1" si="233"/>
        <v>69.341801064369591</v>
      </c>
      <c r="FB94" s="36">
        <f t="shared" ca="1" si="233"/>
        <v>68.277422912446895</v>
      </c>
      <c r="FC94" s="36">
        <f t="shared" ca="1" si="233"/>
        <v>68.58556497216405</v>
      </c>
      <c r="FD94" s="36">
        <f t="shared" ca="1" si="233"/>
        <v>68.711955509899497</v>
      </c>
      <c r="FE94" s="36">
        <f t="shared" ca="1" si="233"/>
        <v>68.169584936081051</v>
      </c>
      <c r="FF94" s="36">
        <f t="shared" ca="1" si="233"/>
        <v>69.256050105782364</v>
      </c>
      <c r="FG94" s="36">
        <f t="shared" ca="1" si="233"/>
        <v>70.102899987722154</v>
      </c>
      <c r="FH94" s="36">
        <f t="shared" ca="1" si="233"/>
        <v>67.807057835368553</v>
      </c>
      <c r="FI94" s="36">
        <f t="shared" ca="1" si="233"/>
        <v>69.523648207000718</v>
      </c>
      <c r="FJ94" s="36">
        <f t="shared" ca="1" si="233"/>
        <v>71.208994440217865</v>
      </c>
      <c r="FK94" s="36">
        <f t="shared" ca="1" si="233"/>
        <v>70.707973331882883</v>
      </c>
      <c r="FL94" s="36">
        <f t="shared" ca="1" si="233"/>
        <v>70.458038392160589</v>
      </c>
      <c r="FM94" s="36">
        <f t="shared" ca="1" si="233"/>
        <v>70.063018986401829</v>
      </c>
      <c r="FN94" s="36">
        <f t="shared" ca="1" si="233"/>
        <v>70.348133414474347</v>
      </c>
      <c r="FO94" s="36">
        <f t="shared" ca="1" si="233"/>
        <v>69.351721627462709</v>
      </c>
      <c r="FP94" s="36">
        <f t="shared" ca="1" si="233"/>
        <v>70.59376330323245</v>
      </c>
      <c r="FQ94" s="36">
        <f t="shared" ca="1" si="233"/>
        <v>70.96381697828177</v>
      </c>
      <c r="FR94" s="36">
        <f t="shared" ca="1" si="233"/>
        <v>70.329187760736033</v>
      </c>
      <c r="FS94" s="36">
        <f t="shared" ca="1" si="233"/>
        <v>70.348702066749198</v>
      </c>
      <c r="FT94" s="36">
        <f t="shared" ca="1" si="233"/>
        <v>71.546145250379425</v>
      </c>
      <c r="FU94" s="36">
        <f t="shared" ca="1" si="233"/>
        <v>72.297658538050655</v>
      </c>
      <c r="FV94" s="36">
        <f t="shared" ca="1" si="233"/>
        <v>72.088738615165198</v>
      </c>
      <c r="FW94" s="36">
        <f t="shared" ca="1" si="233"/>
        <v>69.760623203282933</v>
      </c>
      <c r="FX94" s="36">
        <f t="shared" ca="1" si="233"/>
        <v>68.783895080005848</v>
      </c>
      <c r="FY94" s="36">
        <f t="shared" ca="1" si="233"/>
        <v>68.285704002712905</v>
      </c>
      <c r="FZ94" s="36">
        <f t="shared" ca="1" si="233"/>
        <v>68.073196785323262</v>
      </c>
      <c r="GA94" s="36">
        <f t="shared" ca="1" si="233"/>
        <v>67.03750154727453</v>
      </c>
      <c r="GB94" s="36">
        <f t="shared" ca="1" si="233"/>
        <v>66.040506182279373</v>
      </c>
      <c r="GC94" s="36">
        <f t="shared" ca="1" si="233"/>
        <v>65.319689367008877</v>
      </c>
      <c r="GD94" s="36">
        <f t="shared" ca="1" si="233"/>
        <v>64.443949406372226</v>
      </c>
      <c r="GE94" s="36">
        <f t="shared" ca="1" si="233"/>
        <v>64.543075099364302</v>
      </c>
      <c r="GF94" s="36">
        <f t="shared" ca="1" si="233"/>
        <v>65.160351504740731</v>
      </c>
      <c r="GG94" s="36">
        <f t="shared" ca="1" si="233"/>
        <v>66.445590340500189</v>
      </c>
      <c r="GH94" s="36">
        <f t="shared" ca="1" si="233"/>
        <v>67.518864392205742</v>
      </c>
      <c r="GI94" s="36">
        <f t="shared" ca="1" si="233"/>
        <v>68.930482140204305</v>
      </c>
      <c r="GJ94" s="36">
        <f t="shared" ca="1" si="233"/>
        <v>69.00199861947867</v>
      </c>
      <c r="GK94" s="36">
        <f t="shared" ca="1" si="233"/>
        <v>69.906293454311054</v>
      </c>
      <c r="GL94" s="36">
        <f t="shared" ca="1" si="233"/>
        <v>70.34838885079229</v>
      </c>
      <c r="GM94" s="36">
        <f t="shared" ca="1" si="233"/>
        <v>71.27675834366174</v>
      </c>
      <c r="GN94" s="36">
        <f t="shared" ca="1" si="233"/>
        <v>70.879729502867335</v>
      </c>
      <c r="GO94" s="36">
        <f t="shared" ca="1" si="233"/>
        <v>72.909611129591113</v>
      </c>
      <c r="GP94" s="36">
        <f t="shared" ca="1" si="233"/>
        <v>71.240650908812697</v>
      </c>
      <c r="GQ94" s="36">
        <f t="shared" ca="1" si="233"/>
        <v>71.375084222986487</v>
      </c>
      <c r="GR94" s="36">
        <f t="shared" ca="1" si="233"/>
        <v>71.636458196502772</v>
      </c>
      <c r="GS94" s="36">
        <f t="shared" ca="1" si="233"/>
        <v>73.600855640458562</v>
      </c>
      <c r="GT94" s="36">
        <f t="shared" ca="1" si="233"/>
        <v>73.601151442421127</v>
      </c>
      <c r="GU94" s="36">
        <f t="shared" ca="1" si="233"/>
        <v>73.590393090729151</v>
      </c>
      <c r="GV94" s="36">
        <f t="shared" ca="1" si="233"/>
        <v>72.706600196665278</v>
      </c>
      <c r="GW94" s="36">
        <f t="shared" ca="1" si="233"/>
        <v>73.656793874095015</v>
      </c>
      <c r="GX94" s="36">
        <f t="shared" ca="1" si="233"/>
        <v>74.83617661511876</v>
      </c>
      <c r="GY94" s="36">
        <f t="shared" ca="1" si="233"/>
        <v>74.600381557553106</v>
      </c>
      <c r="GZ94" s="36">
        <f t="shared" ca="1" si="233"/>
        <v>75.380514215880623</v>
      </c>
      <c r="HA94" s="36">
        <f t="shared" ca="1" si="233"/>
        <v>74.890671988598896</v>
      </c>
      <c r="HB94" s="36">
        <f t="shared" ca="1" si="233"/>
        <v>73.850358441568119</v>
      </c>
      <c r="HC94" s="36">
        <f t="shared" ca="1" si="233"/>
        <v>73.771314280069987</v>
      </c>
      <c r="HD94" s="36">
        <f t="shared" ca="1" si="233"/>
        <v>75.267251881047542</v>
      </c>
      <c r="HE94" s="36">
        <f t="shared" ca="1" si="233"/>
        <v>76.316908161418908</v>
      </c>
      <c r="HF94" s="36">
        <f t="shared" ca="1" si="233"/>
        <v>77.563604867449911</v>
      </c>
      <c r="HG94" s="36">
        <f t="shared" ca="1" si="233"/>
        <v>78.648663560426584</v>
      </c>
      <c r="HH94" s="36">
        <f t="shared" ca="1" si="233"/>
        <v>78.986784860318238</v>
      </c>
      <c r="HI94" s="36">
        <f t="shared" ca="1" si="237"/>
        <v>79.17369754927752</v>
      </c>
      <c r="HJ94" s="36">
        <f t="shared" ca="1" si="237"/>
        <v>79.695955987739126</v>
      </c>
      <c r="HK94" s="36">
        <f t="shared" ca="1" si="237"/>
        <v>80.772876076490277</v>
      </c>
      <c r="HL94" s="36">
        <f t="shared" ca="1" si="237"/>
        <v>80.104281213840849</v>
      </c>
      <c r="HM94" s="36">
        <f t="shared" ca="1" si="237"/>
        <v>79.306805367407719</v>
      </c>
      <c r="HN94" s="36">
        <f t="shared" ca="1" si="237"/>
        <v>78.025752340539654</v>
      </c>
      <c r="HO94" s="36">
        <f t="shared" ca="1" si="237"/>
        <v>78.487203723931472</v>
      </c>
      <c r="HP94" s="36">
        <f t="shared" ca="1" si="237"/>
        <v>77.952649664974246</v>
      </c>
      <c r="HQ94" s="36">
        <f t="shared" ca="1" si="237"/>
        <v>77.12337948839712</v>
      </c>
      <c r="HR94" s="36">
        <f t="shared" ca="1" si="237"/>
        <v>77.78308497647744</v>
      </c>
      <c r="HS94" s="36">
        <f t="shared" ca="1" si="237"/>
        <v>77.233083405704846</v>
      </c>
      <c r="HT94" s="36">
        <f t="shared" ca="1" si="237"/>
        <v>76.880809358190106</v>
      </c>
      <c r="HU94" s="36">
        <f t="shared" ca="1" si="224"/>
        <v>76.589452321816665</v>
      </c>
      <c r="HV94" s="36">
        <f t="shared" ca="1" si="224"/>
        <v>75.892729610291312</v>
      </c>
      <c r="HW94" s="36">
        <f t="shared" ca="1" si="224"/>
        <v>74.668530665867308</v>
      </c>
      <c r="HX94" s="36">
        <f t="shared" ca="1" si="224"/>
        <v>75.042728188636332</v>
      </c>
      <c r="HY94" s="36">
        <f t="shared" ca="1" si="224"/>
        <v>73.926196699110406</v>
      </c>
      <c r="HZ94" s="36">
        <f t="shared" ca="1" si="224"/>
        <v>73.683025404824733</v>
      </c>
      <c r="IA94" s="36">
        <f t="shared" ca="1" si="224"/>
        <v>73.345142313773408</v>
      </c>
      <c r="IB94" s="36">
        <f t="shared" ca="1" si="224"/>
        <v>74.411011521657969</v>
      </c>
      <c r="IC94" s="36">
        <f t="shared" ca="1" si="224"/>
        <v>75.173308379556261</v>
      </c>
      <c r="ID94" s="36">
        <f t="shared" ca="1" si="224"/>
        <v>73.753326986252915</v>
      </c>
      <c r="IE94" s="36">
        <f t="shared" ca="1" si="224"/>
        <v>73.400903542269631</v>
      </c>
      <c r="IF94" s="36">
        <f t="shared" ca="1" si="224"/>
        <v>74.518625182473997</v>
      </c>
      <c r="IG94" s="36">
        <f t="shared" ca="1" si="224"/>
        <v>75.164730762821918</v>
      </c>
      <c r="IH94" s="36">
        <f t="shared" ca="1" si="224"/>
        <v>76.15113604056279</v>
      </c>
      <c r="II94" s="36">
        <f t="shared" ca="1" si="224"/>
        <v>77.545176788251496</v>
      </c>
      <c r="IJ94" s="36">
        <f t="shared" ca="1" si="224"/>
        <v>79.50516135018762</v>
      </c>
      <c r="IK94" s="36">
        <f t="shared" ca="1" si="224"/>
        <v>78.037732848162165</v>
      </c>
      <c r="IL94" s="36">
        <f t="shared" ca="1" si="224"/>
        <v>78.751851729037341</v>
      </c>
      <c r="IM94" s="36">
        <f t="shared" ca="1" si="224"/>
        <v>78.504124143485498</v>
      </c>
      <c r="IN94" s="36">
        <f t="shared" ca="1" si="224"/>
        <v>78.94773427533039</v>
      </c>
      <c r="IO94" s="36">
        <f t="shared" ca="1" si="224"/>
        <v>79.539748852571975</v>
      </c>
      <c r="IP94" s="36">
        <f t="shared" ca="1" si="224"/>
        <v>77.713762790500326</v>
      </c>
      <c r="IQ94" s="36">
        <f t="shared" ca="1" si="224"/>
        <v>77.304795116653793</v>
      </c>
      <c r="IR94" s="36">
        <f t="shared" ca="1" si="224"/>
        <v>77.137501470482349</v>
      </c>
      <c r="IS94" s="36">
        <f t="shared" ca="1" si="224"/>
        <v>77.909831119748318</v>
      </c>
      <c r="IT94" s="36">
        <f t="shared" ca="1" si="224"/>
        <v>78.278898441122294</v>
      </c>
      <c r="IU94" s="36">
        <f t="shared" ca="1" si="224"/>
        <v>77.187557117477908</v>
      </c>
    </row>
    <row r="95" spans="1:255" x14ac:dyDescent="0.2">
      <c r="A95" s="36"/>
      <c r="B95">
        <v>85</v>
      </c>
      <c r="C95" s="36">
        <v>50</v>
      </c>
      <c r="D95" s="36">
        <f t="shared" ca="1" si="188"/>
        <v>51.740151907221147</v>
      </c>
      <c r="E95" s="36">
        <f t="shared" ca="1" si="188"/>
        <v>50.802427394144338</v>
      </c>
      <c r="F95" s="36">
        <f t="shared" ca="1" si="238"/>
        <v>50.432142970383559</v>
      </c>
      <c r="G95" s="36">
        <f t="shared" ca="1" si="238"/>
        <v>48.937059389152701</v>
      </c>
      <c r="H95" s="36">
        <f t="shared" ca="1" si="238"/>
        <v>48.602204607036143</v>
      </c>
      <c r="I95" s="36">
        <f t="shared" ca="1" si="238"/>
        <v>47.727933181627215</v>
      </c>
      <c r="J95" s="36">
        <f t="shared" ca="1" si="238"/>
        <v>48.354904515331746</v>
      </c>
      <c r="K95" s="36">
        <f t="shared" ca="1" si="238"/>
        <v>47.763600184082833</v>
      </c>
      <c r="L95" s="36">
        <f t="shared" ca="1" si="238"/>
        <v>47.912410423205884</v>
      </c>
      <c r="M95" s="36">
        <f t="shared" ca="1" si="238"/>
        <v>48.324704950241745</v>
      </c>
      <c r="N95" s="36">
        <f t="shared" ca="1" si="238"/>
        <v>47.539920877906326</v>
      </c>
      <c r="O95" s="36">
        <f t="shared" ca="1" si="238"/>
        <v>47.90167143899361</v>
      </c>
      <c r="P95" s="36">
        <f t="shared" ca="1" si="238"/>
        <v>48.237582559477474</v>
      </c>
      <c r="Q95" s="36">
        <f t="shared" ca="1" si="238"/>
        <v>47.854804973604047</v>
      </c>
      <c r="R95" s="36">
        <f t="shared" ca="1" si="238"/>
        <v>48.225137348742813</v>
      </c>
      <c r="S95" s="36">
        <f t="shared" ca="1" si="238"/>
        <v>47.597962867093905</v>
      </c>
      <c r="T95" s="36">
        <f t="shared" ca="1" si="238"/>
        <v>47.651621723812021</v>
      </c>
      <c r="U95" s="36">
        <f t="shared" ca="1" si="238"/>
        <v>47.597917238314146</v>
      </c>
      <c r="V95" s="36">
        <f t="shared" ca="1" si="238"/>
        <v>47.322307389952492</v>
      </c>
      <c r="W95" s="36">
        <f t="shared" ca="1" si="238"/>
        <v>46.195109443276237</v>
      </c>
      <c r="X95" s="36">
        <f t="shared" ca="1" si="238"/>
        <v>46.469407136005735</v>
      </c>
      <c r="Y95" s="36">
        <f t="shared" ca="1" si="238"/>
        <v>46.123599469691143</v>
      </c>
      <c r="Z95" s="36">
        <f t="shared" ca="1" si="238"/>
        <v>45.801551959603501</v>
      </c>
      <c r="AA95" s="36">
        <f t="shared" ca="1" si="238"/>
        <v>45.422036881546127</v>
      </c>
      <c r="AB95" s="36">
        <f t="shared" ca="1" si="238"/>
        <v>46.599884767045587</v>
      </c>
      <c r="AC95" s="36">
        <f t="shared" ca="1" si="238"/>
        <v>47.210756019508018</v>
      </c>
      <c r="AD95" s="36">
        <f t="shared" ca="1" si="238"/>
        <v>48.158038515824167</v>
      </c>
      <c r="AE95" s="36">
        <f t="shared" ca="1" si="238"/>
        <v>48.272123128456208</v>
      </c>
      <c r="AF95" s="36">
        <f t="shared" ca="1" si="238"/>
        <v>47.911015510107838</v>
      </c>
      <c r="AG95" s="36">
        <f t="shared" ca="1" si="238"/>
        <v>47.606762680989938</v>
      </c>
      <c r="AH95" s="36">
        <f t="shared" ca="1" si="238"/>
        <v>47.555662585318188</v>
      </c>
      <c r="AI95" s="36">
        <f t="shared" ca="1" si="238"/>
        <v>47.31326730124561</v>
      </c>
      <c r="AJ95" s="36">
        <f t="shared" ca="1" si="238"/>
        <v>46.929238711509626</v>
      </c>
      <c r="AK95" s="36">
        <f t="shared" ca="1" si="238"/>
        <v>46.214104278671144</v>
      </c>
      <c r="AL95" s="36">
        <f t="shared" ca="1" si="238"/>
        <v>45.816892215686707</v>
      </c>
      <c r="AM95" s="36">
        <f t="shared" ca="1" si="238"/>
        <v>46.281983236783773</v>
      </c>
      <c r="AN95" s="36">
        <f t="shared" ca="1" si="238"/>
        <v>46.402496407380447</v>
      </c>
      <c r="AO95" s="36">
        <f t="shared" ca="1" si="238"/>
        <v>45.801949416855905</v>
      </c>
      <c r="AP95" s="36">
        <f t="shared" ca="1" si="238"/>
        <v>46.237385874806989</v>
      </c>
      <c r="AQ95" s="36">
        <f t="shared" ca="1" si="238"/>
        <v>46.715749390270858</v>
      </c>
      <c r="AR95" s="36">
        <f t="shared" ca="1" si="238"/>
        <v>47.084080638811919</v>
      </c>
      <c r="AS95" s="36">
        <f t="shared" ca="1" si="238"/>
        <v>47.441900744337524</v>
      </c>
      <c r="AT95" s="36">
        <f t="shared" ca="1" si="238"/>
        <v>47.491027295844582</v>
      </c>
      <c r="AU95" s="36">
        <f t="shared" ca="1" si="238"/>
        <v>48.025046603179938</v>
      </c>
      <c r="AV95" s="36">
        <f t="shared" ca="1" si="238"/>
        <v>46.869898181976623</v>
      </c>
      <c r="AW95" s="36">
        <f t="shared" ca="1" si="238"/>
        <v>46.818094162990128</v>
      </c>
      <c r="AX95" s="36">
        <f t="shared" ca="1" si="238"/>
        <v>46.245189450587276</v>
      </c>
      <c r="AY95" s="36">
        <f t="shared" ca="1" si="238"/>
        <v>46.13663593026309</v>
      </c>
      <c r="AZ95" s="36">
        <f t="shared" ca="1" si="238"/>
        <v>45.902473432696837</v>
      </c>
      <c r="BA95" s="36">
        <f t="shared" ca="1" si="238"/>
        <v>46.502466574038245</v>
      </c>
      <c r="BB95" s="36">
        <f t="shared" ca="1" si="238"/>
        <v>46.061702320581944</v>
      </c>
      <c r="BC95" s="36">
        <f t="shared" ca="1" si="238"/>
        <v>46.44323616108953</v>
      </c>
      <c r="BD95" s="36">
        <f t="shared" ca="1" si="238"/>
        <v>47.268706375535416</v>
      </c>
      <c r="BE95" s="36">
        <f t="shared" ca="1" si="238"/>
        <v>48.02092531209346</v>
      </c>
      <c r="BF95" s="36">
        <f t="shared" ca="1" si="238"/>
        <v>48.484506158000144</v>
      </c>
      <c r="BG95" s="36">
        <f t="shared" ca="1" si="238"/>
        <v>47.997067862931793</v>
      </c>
      <c r="BH95" s="36">
        <f t="shared" ca="1" si="238"/>
        <v>48.306558551868697</v>
      </c>
      <c r="BI95" s="36">
        <f t="shared" ca="1" si="238"/>
        <v>47.962061407949093</v>
      </c>
      <c r="BJ95" s="36">
        <f t="shared" ca="1" si="238"/>
        <v>48.705147980172534</v>
      </c>
      <c r="BK95" s="36">
        <f t="shared" ca="1" si="238"/>
        <v>49.995267390198862</v>
      </c>
      <c r="BL95" s="36">
        <f t="shared" ca="1" si="238"/>
        <v>48.944002649859364</v>
      </c>
      <c r="BM95" s="36">
        <f t="shared" ca="1" si="238"/>
        <v>49.222619341281927</v>
      </c>
      <c r="BN95" s="36">
        <f t="shared" ca="1" si="238"/>
        <v>49.47679915638502</v>
      </c>
      <c r="BO95" s="36">
        <f t="shared" ca="1" si="238"/>
        <v>49.301059163682737</v>
      </c>
      <c r="BP95" s="36">
        <f t="shared" ca="1" si="238"/>
        <v>50.035770564218893</v>
      </c>
      <c r="BQ95" s="36">
        <f t="shared" ca="1" si="238"/>
        <v>49.997773182045243</v>
      </c>
      <c r="BR95" s="36">
        <f t="shared" ca="1" si="235"/>
        <v>50.86173259766182</v>
      </c>
      <c r="BS95" s="36">
        <f t="shared" ca="1" si="235"/>
        <v>50.632968695140825</v>
      </c>
      <c r="BT95" s="36">
        <f t="shared" ca="1" si="235"/>
        <v>49.615723121037078</v>
      </c>
      <c r="BU95" s="36">
        <f t="shared" ca="1" si="235"/>
        <v>49.564971887873533</v>
      </c>
      <c r="BV95" s="36">
        <f t="shared" ca="1" si="235"/>
        <v>50.23906471310022</v>
      </c>
      <c r="BW95" s="36">
        <f t="shared" ca="1" si="235"/>
        <v>49.444239765771485</v>
      </c>
      <c r="BX95" s="36">
        <f t="shared" ca="1" si="235"/>
        <v>49.088831305756088</v>
      </c>
      <c r="BY95" s="36">
        <f t="shared" ca="1" si="235"/>
        <v>47.937323921782777</v>
      </c>
      <c r="BZ95" s="36">
        <f t="shared" ca="1" si="235"/>
        <v>47.098238375552178</v>
      </c>
      <c r="CA95" s="36">
        <f t="shared" ca="1" si="235"/>
        <v>47.338776309632337</v>
      </c>
      <c r="CB95" s="36">
        <f t="shared" ca="1" si="235"/>
        <v>47.208616906239172</v>
      </c>
      <c r="CC95" s="36">
        <f t="shared" ca="1" si="235"/>
        <v>47.00779101013714</v>
      </c>
      <c r="CD95" s="36">
        <f t="shared" ca="1" si="235"/>
        <v>46.71175375807556</v>
      </c>
      <c r="CE95" s="36">
        <f t="shared" ca="1" si="235"/>
        <v>46.311235311974549</v>
      </c>
      <c r="CF95" s="36">
        <f t="shared" ca="1" si="235"/>
        <v>46.148285205726459</v>
      </c>
      <c r="CG95" s="36">
        <f t="shared" ca="1" si="235"/>
        <v>45.275060267637386</v>
      </c>
      <c r="CH95" s="36">
        <f t="shared" ca="1" si="235"/>
        <v>44.68254313585598</v>
      </c>
      <c r="CI95" s="36">
        <f t="shared" ca="1" si="235"/>
        <v>44.757766063957433</v>
      </c>
      <c r="CJ95" s="36">
        <f t="shared" ca="1" si="235"/>
        <v>45.622743636878255</v>
      </c>
      <c r="CK95" s="36">
        <f t="shared" ca="1" si="235"/>
        <v>46.187617150942707</v>
      </c>
      <c r="CL95" s="36">
        <f t="shared" ca="1" si="235"/>
        <v>46.782493542967359</v>
      </c>
      <c r="CM95" s="36">
        <f t="shared" ca="1" si="235"/>
        <v>46.558290776644171</v>
      </c>
      <c r="CN95" s="36">
        <f t="shared" ca="1" si="235"/>
        <v>46.591925878852116</v>
      </c>
      <c r="CO95" s="36">
        <f t="shared" ca="1" si="235"/>
        <v>47.33617067971273</v>
      </c>
      <c r="CP95" s="36">
        <f t="shared" ca="1" si="235"/>
        <v>48.081562675604168</v>
      </c>
      <c r="CQ95" s="36">
        <f t="shared" ca="1" si="235"/>
        <v>48.844542444341769</v>
      </c>
      <c r="CR95" s="36">
        <f t="shared" ca="1" si="235"/>
        <v>49.633385024948772</v>
      </c>
      <c r="CS95" s="36">
        <f t="shared" ca="1" si="235"/>
        <v>49.304584873587487</v>
      </c>
      <c r="CT95" s="36">
        <f t="shared" ca="1" si="235"/>
        <v>48.722326944930877</v>
      </c>
      <c r="CU95" s="36">
        <f t="shared" ca="1" si="235"/>
        <v>49.138511699805569</v>
      </c>
      <c r="CV95" s="36">
        <f t="shared" ca="1" si="235"/>
        <v>48.573564901550299</v>
      </c>
      <c r="CW95" s="36">
        <f t="shared" ca="1" si="235"/>
        <v>49.804758304246427</v>
      </c>
      <c r="CX95" s="36">
        <f t="shared" ca="1" si="235"/>
        <v>49.056193399179399</v>
      </c>
      <c r="CY95" s="36">
        <f t="shared" ca="1" si="235"/>
        <v>50.049389590183516</v>
      </c>
      <c r="CZ95" s="36">
        <f t="shared" ca="1" si="235"/>
        <v>51.04351935081332</v>
      </c>
      <c r="DA95" s="36">
        <f t="shared" ca="1" si="235"/>
        <v>49.997013056511392</v>
      </c>
      <c r="DB95" s="36">
        <f t="shared" ca="1" si="235"/>
        <v>49.38635381458279</v>
      </c>
      <c r="DC95" s="36">
        <f t="shared" ca="1" si="235"/>
        <v>49.814711996285133</v>
      </c>
      <c r="DD95" s="36">
        <f t="shared" ca="1" si="235"/>
        <v>50.675517874177167</v>
      </c>
      <c r="DE95" s="36">
        <f t="shared" ca="1" si="235"/>
        <v>51.219118591693721</v>
      </c>
      <c r="DF95" s="36">
        <f t="shared" ca="1" si="235"/>
        <v>51.649376611347833</v>
      </c>
      <c r="DG95" s="36">
        <f t="shared" ca="1" si="235"/>
        <v>51.613203518536451</v>
      </c>
      <c r="DH95" s="36">
        <f t="shared" ca="1" si="235"/>
        <v>52.30829421765268</v>
      </c>
      <c r="DI95" s="36">
        <f t="shared" ca="1" si="235"/>
        <v>52.260011738290522</v>
      </c>
      <c r="DJ95" s="36">
        <f t="shared" ca="1" si="235"/>
        <v>52.626712927146897</v>
      </c>
      <c r="DK95" s="36">
        <f t="shared" ca="1" si="235"/>
        <v>53.439261821078965</v>
      </c>
      <c r="DL95" s="36">
        <f t="shared" ca="1" si="235"/>
        <v>52.70408924443165</v>
      </c>
      <c r="DM95" s="36">
        <f t="shared" ca="1" si="235"/>
        <v>53.516747789808051</v>
      </c>
      <c r="DN95" s="36">
        <f t="shared" ca="1" si="235"/>
        <v>53.650527580012835</v>
      </c>
      <c r="DO95" s="36">
        <f t="shared" ca="1" si="235"/>
        <v>54.850410506974278</v>
      </c>
      <c r="DP95" s="36">
        <f t="shared" ca="1" si="235"/>
        <v>54.297711564803564</v>
      </c>
      <c r="DQ95" s="36">
        <f t="shared" ca="1" si="235"/>
        <v>54.439990133591792</v>
      </c>
      <c r="DR95" s="36">
        <f t="shared" ca="1" si="235"/>
        <v>53.958453974101218</v>
      </c>
      <c r="DS95" s="36">
        <f t="shared" ca="1" si="235"/>
        <v>53.54511795838561</v>
      </c>
      <c r="DT95" s="36">
        <f t="shared" ca="1" si="235"/>
        <v>53.438251635897821</v>
      </c>
      <c r="DU95" s="36">
        <f t="shared" ca="1" si="235"/>
        <v>53.307162565180519</v>
      </c>
      <c r="DV95" s="36">
        <f t="shared" ca="1" si="235"/>
        <v>54.114795014245537</v>
      </c>
      <c r="DW95" s="36">
        <f t="shared" ca="1" si="235"/>
        <v>53.95398380719697</v>
      </c>
      <c r="DX95" s="36">
        <f t="shared" ca="1" si="235"/>
        <v>54.035956656324998</v>
      </c>
      <c r="DY95" s="36">
        <f t="shared" ca="1" si="235"/>
        <v>53.638652348421068</v>
      </c>
      <c r="DZ95" s="36">
        <f t="shared" ca="1" si="235"/>
        <v>53.964635699085562</v>
      </c>
      <c r="EA95" s="36">
        <f t="shared" ca="1" si="235"/>
        <v>53.237894344594757</v>
      </c>
      <c r="EB95" s="36">
        <f t="shared" ca="1" si="235"/>
        <v>54.17605821011405</v>
      </c>
      <c r="EC95" s="36">
        <f t="shared" ca="1" si="239"/>
        <v>54.902706246885948</v>
      </c>
      <c r="ED95" s="36">
        <f t="shared" ca="1" si="239"/>
        <v>55.416492227554414</v>
      </c>
      <c r="EE95" s="36">
        <f t="shared" ca="1" si="239"/>
        <v>54.542324479422462</v>
      </c>
      <c r="EF95" s="36">
        <f t="shared" ca="1" si="239"/>
        <v>54.651589924417948</v>
      </c>
      <c r="EG95" s="36">
        <f t="shared" ca="1" si="239"/>
        <v>55.22310734471349</v>
      </c>
      <c r="EH95" s="36">
        <f t="shared" ca="1" si="239"/>
        <v>55.599970516005961</v>
      </c>
      <c r="EI95" s="36">
        <f t="shared" ca="1" si="239"/>
        <v>55.755483010188058</v>
      </c>
      <c r="EJ95" s="36">
        <f t="shared" ca="1" si="239"/>
        <v>55.057460464685136</v>
      </c>
      <c r="EK95" s="36">
        <f t="shared" ca="1" si="239"/>
        <v>55.886392553799517</v>
      </c>
      <c r="EL95" s="36">
        <f t="shared" ca="1" si="239"/>
        <v>56.579813881171717</v>
      </c>
      <c r="EM95" s="36">
        <f t="shared" ca="1" si="239"/>
        <v>55.812563893572076</v>
      </c>
      <c r="EN95" s="36">
        <f t="shared" ca="1" si="239"/>
        <v>56.294738614358316</v>
      </c>
      <c r="EO95" s="36">
        <f t="shared" ca="1" si="239"/>
        <v>56.456648071983004</v>
      </c>
      <c r="EP95" s="36">
        <f t="shared" ca="1" si="239"/>
        <v>56.500848300582874</v>
      </c>
      <c r="EQ95" s="36">
        <f t="shared" ca="1" si="239"/>
        <v>56.889225052944411</v>
      </c>
      <c r="ER95" s="36">
        <f t="shared" ca="1" si="239"/>
        <v>57.109179813957823</v>
      </c>
      <c r="ES95" s="36">
        <f t="shared" ca="1" si="239"/>
        <v>57.445458218451805</v>
      </c>
      <c r="ET95" s="36">
        <f t="shared" ca="1" si="239"/>
        <v>58.587285042488098</v>
      </c>
      <c r="EU95" s="36">
        <f t="shared" ca="1" si="239"/>
        <v>58.731122069346519</v>
      </c>
      <c r="EV95" s="36">
        <f t="shared" ca="1" si="239"/>
        <v>58.881883503051881</v>
      </c>
      <c r="EW95" s="36">
        <f t="shared" ref="EW95" ca="1" si="241">EV95*EXP(($B$3-$B$4^2/2)*1+$B$4*_xlfn.NORM.S.INV(RAND()))</f>
        <v>59.5718936148876</v>
      </c>
      <c r="EX95" s="36">
        <f t="shared" ca="1" si="233"/>
        <v>60.480291768981516</v>
      </c>
      <c r="EY95" s="36">
        <f t="shared" ca="1" si="233"/>
        <v>60.712852425074594</v>
      </c>
      <c r="EZ95" s="36">
        <f t="shared" ca="1" si="233"/>
        <v>59.174478521216592</v>
      </c>
      <c r="FA95" s="36">
        <f t="shared" ca="1" si="233"/>
        <v>59.560590374085592</v>
      </c>
      <c r="FB95" s="36">
        <f t="shared" ca="1" si="233"/>
        <v>59.209202518623655</v>
      </c>
      <c r="FC95" s="36">
        <f t="shared" ca="1" si="233"/>
        <v>60.714185008074075</v>
      </c>
      <c r="FD95" s="36">
        <f t="shared" ca="1" si="233"/>
        <v>61.565878416093554</v>
      </c>
      <c r="FE95" s="36">
        <f t="shared" ca="1" si="233"/>
        <v>62.105868080292133</v>
      </c>
      <c r="FF95" s="36">
        <f t="shared" ca="1" si="233"/>
        <v>61.531681332374895</v>
      </c>
      <c r="FG95" s="36">
        <f t="shared" ca="1" si="233"/>
        <v>62.474832776175965</v>
      </c>
      <c r="FH95" s="36">
        <f t="shared" ca="1" si="233"/>
        <v>62.357280015907016</v>
      </c>
      <c r="FI95" s="36">
        <f t="shared" ca="1" si="233"/>
        <v>62.820797800431862</v>
      </c>
      <c r="FJ95" s="36">
        <f t="shared" ca="1" si="233"/>
        <v>62.851748751149337</v>
      </c>
      <c r="FK95" s="36">
        <f t="shared" ca="1" si="233"/>
        <v>62.206242897543774</v>
      </c>
      <c r="FL95" s="36">
        <f t="shared" ca="1" si="233"/>
        <v>62.907666930658181</v>
      </c>
      <c r="FM95" s="36">
        <f t="shared" ca="1" si="233"/>
        <v>63.60337986948371</v>
      </c>
      <c r="FN95" s="36">
        <f t="shared" ca="1" si="233"/>
        <v>63.671083460412234</v>
      </c>
      <c r="FO95" s="36">
        <f t="shared" ca="1" si="233"/>
        <v>62.371220696527779</v>
      </c>
      <c r="FP95" s="36">
        <f t="shared" ca="1" si="233"/>
        <v>62.501778587844079</v>
      </c>
      <c r="FQ95" s="36">
        <f t="shared" ca="1" si="233"/>
        <v>62.392097660211491</v>
      </c>
      <c r="FR95" s="36">
        <f t="shared" ca="1" si="233"/>
        <v>62.502388430195204</v>
      </c>
      <c r="FS95" s="36">
        <f t="shared" ca="1" si="233"/>
        <v>62.013306810734449</v>
      </c>
      <c r="FT95" s="36">
        <f t="shared" ca="1" si="233"/>
        <v>61.72448023792392</v>
      </c>
      <c r="FU95" s="36">
        <f t="shared" ca="1" si="233"/>
        <v>61.594897261603123</v>
      </c>
      <c r="FV95" s="36">
        <f t="shared" ca="1" si="233"/>
        <v>62.737140998060148</v>
      </c>
      <c r="FW95" s="36">
        <f t="shared" ca="1" si="233"/>
        <v>63.455277112896368</v>
      </c>
      <c r="FX95" s="36">
        <f t="shared" ca="1" si="233"/>
        <v>62.180317597514396</v>
      </c>
      <c r="FY95" s="36">
        <f t="shared" ca="1" si="233"/>
        <v>60.699777887828368</v>
      </c>
      <c r="FZ95" s="36">
        <f t="shared" ca="1" si="233"/>
        <v>61.376133976986338</v>
      </c>
      <c r="GA95" s="36">
        <f t="shared" ca="1" si="233"/>
        <v>61.720560861743529</v>
      </c>
      <c r="GB95" s="36">
        <f t="shared" ca="1" si="233"/>
        <v>61.67110208995414</v>
      </c>
      <c r="GC95" s="36">
        <f t="shared" ca="1" si="233"/>
        <v>61.54645882309601</v>
      </c>
      <c r="GD95" s="36">
        <f t="shared" ca="1" si="233"/>
        <v>61.524222240013522</v>
      </c>
      <c r="GE95" s="36">
        <f t="shared" ca="1" si="233"/>
        <v>61.335918222856712</v>
      </c>
      <c r="GF95" s="36">
        <f t="shared" ca="1" si="233"/>
        <v>61.45686828139889</v>
      </c>
      <c r="GG95" s="36">
        <f t="shared" ca="1" si="233"/>
        <v>61.378719057221566</v>
      </c>
      <c r="GH95" s="36">
        <f t="shared" ca="1" si="233"/>
        <v>60.410877677889353</v>
      </c>
      <c r="GI95" s="36">
        <f t="shared" ca="1" si="233"/>
        <v>61.34407411879819</v>
      </c>
      <c r="GJ95" s="36">
        <f t="shared" ca="1" si="233"/>
        <v>60.481606817601602</v>
      </c>
      <c r="GK95" s="36">
        <f t="shared" ca="1" si="233"/>
        <v>60.164076415743303</v>
      </c>
      <c r="GL95" s="36">
        <f t="shared" ca="1" si="233"/>
        <v>60.011356796791581</v>
      </c>
      <c r="GM95" s="36">
        <f t="shared" ca="1" si="233"/>
        <v>58.675370146418068</v>
      </c>
      <c r="GN95" s="36">
        <f t="shared" ca="1" si="233"/>
        <v>57.594359335956092</v>
      </c>
      <c r="GO95" s="36">
        <f t="shared" ca="1" si="233"/>
        <v>57.675019742672575</v>
      </c>
      <c r="GP95" s="36">
        <f t="shared" ca="1" si="233"/>
        <v>58.080792466376288</v>
      </c>
      <c r="GQ95" s="36">
        <f t="shared" ca="1" si="233"/>
        <v>58.759813565876989</v>
      </c>
      <c r="GR95" s="36">
        <f t="shared" ca="1" si="233"/>
        <v>59.17135231901878</v>
      </c>
      <c r="GS95" s="36">
        <f t="shared" ca="1" si="233"/>
        <v>58.776678717326412</v>
      </c>
      <c r="GT95" s="36">
        <f t="shared" ca="1" si="233"/>
        <v>58.928981686206647</v>
      </c>
      <c r="GU95" s="36">
        <f t="shared" ca="1" si="233"/>
        <v>58.604860282849707</v>
      </c>
      <c r="GV95" s="36">
        <f t="shared" ca="1" si="233"/>
        <v>58.755826983525786</v>
      </c>
      <c r="GW95" s="36">
        <f t="shared" ca="1" si="233"/>
        <v>59.080177678048564</v>
      </c>
      <c r="GX95" s="36">
        <f t="shared" ca="1" si="233"/>
        <v>60.367638990840035</v>
      </c>
      <c r="GY95" s="36">
        <f t="shared" ca="1" si="233"/>
        <v>61.439735050515054</v>
      </c>
      <c r="GZ95" s="36">
        <f t="shared" ca="1" si="233"/>
        <v>62.309590717922056</v>
      </c>
      <c r="HA95" s="36">
        <f t="shared" ca="1" si="233"/>
        <v>61.632277415188256</v>
      </c>
      <c r="HB95" s="36">
        <f t="shared" ca="1" si="233"/>
        <v>62.935430248572793</v>
      </c>
      <c r="HC95" s="36">
        <f t="shared" ca="1" si="233"/>
        <v>62.696954624568285</v>
      </c>
      <c r="HD95" s="36">
        <f t="shared" ca="1" si="233"/>
        <v>62.435159205787564</v>
      </c>
      <c r="HE95" s="36">
        <f t="shared" ca="1" si="233"/>
        <v>62.696428001678711</v>
      </c>
      <c r="HF95" s="36">
        <f t="shared" ca="1" si="233"/>
        <v>61.541435305489351</v>
      </c>
      <c r="HG95" s="36">
        <f t="shared" ca="1" si="233"/>
        <v>61.903282265891676</v>
      </c>
      <c r="HH95" s="36">
        <f t="shared" ca="1" si="233"/>
        <v>62.71592569388261</v>
      </c>
      <c r="HI95" s="36">
        <f t="shared" ca="1" si="237"/>
        <v>63.374307963711118</v>
      </c>
      <c r="HJ95" s="36">
        <f t="shared" ca="1" si="237"/>
        <v>64.665776596733949</v>
      </c>
      <c r="HK95" s="36">
        <f t="shared" ca="1" si="237"/>
        <v>64.167267935563913</v>
      </c>
      <c r="HL95" s="36">
        <f t="shared" ca="1" si="237"/>
        <v>63.279850913220663</v>
      </c>
      <c r="HM95" s="36">
        <f t="shared" ca="1" si="237"/>
        <v>63.984521517228607</v>
      </c>
      <c r="HN95" s="36">
        <f t="shared" ca="1" si="237"/>
        <v>63.464974864280329</v>
      </c>
      <c r="HO95" s="36">
        <f t="shared" ca="1" si="237"/>
        <v>64.211412493990579</v>
      </c>
      <c r="HP95" s="36">
        <f t="shared" ca="1" si="237"/>
        <v>63.650397106321776</v>
      </c>
      <c r="HQ95" s="36">
        <f t="shared" ca="1" si="237"/>
        <v>63.420474622314956</v>
      </c>
      <c r="HR95" s="36">
        <f t="shared" ca="1" si="237"/>
        <v>63.818077176661511</v>
      </c>
      <c r="HS95" s="36">
        <f t="shared" ca="1" si="237"/>
        <v>63.202239817377553</v>
      </c>
      <c r="HT95" s="36">
        <f t="shared" ca="1" si="237"/>
        <v>63.352671069595011</v>
      </c>
      <c r="HU95" s="36">
        <f t="shared" ca="1" si="224"/>
        <v>62.667722501621846</v>
      </c>
      <c r="HV95" s="36">
        <f t="shared" ca="1" si="224"/>
        <v>62.572894910285768</v>
      </c>
      <c r="HW95" s="36">
        <f t="shared" ca="1" si="224"/>
        <v>62.436434198759883</v>
      </c>
      <c r="HX95" s="36">
        <f t="shared" ca="1" si="224"/>
        <v>61.714935278830794</v>
      </c>
      <c r="HY95" s="36">
        <f t="shared" ca="1" si="224"/>
        <v>61.605934419266916</v>
      </c>
      <c r="HZ95" s="36">
        <f t="shared" ca="1" si="224"/>
        <v>61.054735614571243</v>
      </c>
      <c r="IA95" s="36">
        <f t="shared" ca="1" si="224"/>
        <v>60.364334272883092</v>
      </c>
      <c r="IB95" s="36">
        <f t="shared" ca="1" si="224"/>
        <v>60.357669839948301</v>
      </c>
      <c r="IC95" s="36">
        <f t="shared" ca="1" si="224"/>
        <v>60.853071756276229</v>
      </c>
      <c r="ID95" s="36">
        <f t="shared" ca="1" si="224"/>
        <v>59.267231805479447</v>
      </c>
      <c r="IE95" s="36">
        <f t="shared" ca="1" si="224"/>
        <v>57.946340970627467</v>
      </c>
      <c r="IF95" s="36">
        <f t="shared" ca="1" si="224"/>
        <v>56.971247135880219</v>
      </c>
      <c r="IG95" s="36">
        <f t="shared" ca="1" si="224"/>
        <v>55.620425400208056</v>
      </c>
      <c r="IH95" s="36">
        <f t="shared" ca="1" si="224"/>
        <v>55.959257375781235</v>
      </c>
      <c r="II95" s="36">
        <f t="shared" ca="1" si="224"/>
        <v>57.042417424805208</v>
      </c>
      <c r="IJ95" s="36">
        <f t="shared" ca="1" si="224"/>
        <v>56.13369918330455</v>
      </c>
      <c r="IK95" s="36">
        <f t="shared" ca="1" si="224"/>
        <v>56.018421013284069</v>
      </c>
      <c r="IL95" s="36">
        <f t="shared" ca="1" si="224"/>
        <v>56.256519011884876</v>
      </c>
      <c r="IM95" s="36">
        <f t="shared" ca="1" si="224"/>
        <v>55.35827703485608</v>
      </c>
      <c r="IN95" s="36">
        <f t="shared" ca="1" si="224"/>
        <v>55.908690234640112</v>
      </c>
      <c r="IO95" s="36">
        <f t="shared" ca="1" si="224"/>
        <v>56.035047751507484</v>
      </c>
      <c r="IP95" s="36">
        <f t="shared" ca="1" si="224"/>
        <v>55.772778297448127</v>
      </c>
      <c r="IQ95" s="36">
        <f t="shared" ca="1" si="224"/>
        <v>55.632964125270846</v>
      </c>
      <c r="IR95" s="36">
        <f t="shared" ca="1" si="224"/>
        <v>56.365537813151931</v>
      </c>
      <c r="IS95" s="36">
        <f t="shared" ca="1" si="224"/>
        <v>56.231203032982599</v>
      </c>
      <c r="IT95" s="36">
        <f t="shared" ca="1" si="224"/>
        <v>56.537225110635198</v>
      </c>
      <c r="IU95" s="36">
        <f t="shared" ca="1" si="224"/>
        <v>56.115938145020721</v>
      </c>
    </row>
    <row r="96" spans="1:255" x14ac:dyDescent="0.2">
      <c r="A96" s="36"/>
      <c r="B96">
        <v>86</v>
      </c>
      <c r="C96" s="36">
        <v>50</v>
      </c>
      <c r="D96" s="36">
        <f t="shared" ca="1" si="188"/>
        <v>50.294672220644173</v>
      </c>
      <c r="E96" s="36">
        <f t="shared" ca="1" si="188"/>
        <v>50.693899861910168</v>
      </c>
      <c r="F96" s="36">
        <f t="shared" ca="1" si="238"/>
        <v>50.744508696352888</v>
      </c>
      <c r="G96" s="36">
        <f t="shared" ca="1" si="238"/>
        <v>50.179791311730483</v>
      </c>
      <c r="H96" s="36">
        <f t="shared" ca="1" si="238"/>
        <v>50.127646043491254</v>
      </c>
      <c r="I96" s="36">
        <f t="shared" ca="1" si="238"/>
        <v>50.939673878359265</v>
      </c>
      <c r="J96" s="36">
        <f t="shared" ca="1" si="238"/>
        <v>51.009139401305418</v>
      </c>
      <c r="K96" s="36">
        <f t="shared" ca="1" si="238"/>
        <v>49.498902527560894</v>
      </c>
      <c r="L96" s="36">
        <f t="shared" ca="1" si="238"/>
        <v>48.419788336648786</v>
      </c>
      <c r="M96" s="36">
        <f t="shared" ca="1" si="238"/>
        <v>48.676977563250531</v>
      </c>
      <c r="N96" s="36">
        <f t="shared" ca="1" si="238"/>
        <v>48.413977127979436</v>
      </c>
      <c r="O96" s="36">
        <f t="shared" ca="1" si="238"/>
        <v>47.833710764037825</v>
      </c>
      <c r="P96" s="36">
        <f t="shared" ca="1" si="238"/>
        <v>48.117103317783105</v>
      </c>
      <c r="Q96" s="36">
        <f t="shared" ca="1" si="238"/>
        <v>47.888561335786633</v>
      </c>
      <c r="R96" s="36">
        <f t="shared" ca="1" si="238"/>
        <v>47.81061499622286</v>
      </c>
      <c r="S96" s="36">
        <f t="shared" ca="1" si="238"/>
        <v>47.79202717809617</v>
      </c>
      <c r="T96" s="36">
        <f t="shared" ca="1" si="238"/>
        <v>47.991435810877249</v>
      </c>
      <c r="U96" s="36">
        <f t="shared" ca="1" si="238"/>
        <v>48.19903044299965</v>
      </c>
      <c r="V96" s="36">
        <f t="shared" ca="1" si="238"/>
        <v>47.844623149885187</v>
      </c>
      <c r="W96" s="36">
        <f t="shared" ca="1" si="238"/>
        <v>46.460282194861762</v>
      </c>
      <c r="X96" s="36">
        <f t="shared" ca="1" si="238"/>
        <v>46.180478197269373</v>
      </c>
      <c r="Y96" s="36">
        <f t="shared" ca="1" si="238"/>
        <v>46.372612471737504</v>
      </c>
      <c r="Z96" s="36">
        <f t="shared" ca="1" si="238"/>
        <v>46.13705410810087</v>
      </c>
      <c r="AA96" s="36">
        <f t="shared" ca="1" si="238"/>
        <v>46.396658892242819</v>
      </c>
      <c r="AB96" s="36">
        <f t="shared" ca="1" si="238"/>
        <v>46.884620155250516</v>
      </c>
      <c r="AC96" s="36">
        <f t="shared" ca="1" si="238"/>
        <v>46.192596455020784</v>
      </c>
      <c r="AD96" s="36">
        <f t="shared" ca="1" si="238"/>
        <v>46.089850903338736</v>
      </c>
      <c r="AE96" s="36">
        <f t="shared" ca="1" si="238"/>
        <v>46.922046618225622</v>
      </c>
      <c r="AF96" s="36">
        <f t="shared" ca="1" si="238"/>
        <v>46.372975867852745</v>
      </c>
      <c r="AG96" s="36">
        <f t="shared" ca="1" si="238"/>
        <v>45.708413066652703</v>
      </c>
      <c r="AH96" s="36">
        <f t="shared" ca="1" si="238"/>
        <v>44.661148147448223</v>
      </c>
      <c r="AI96" s="36">
        <f t="shared" ca="1" si="238"/>
        <v>44.707589038758719</v>
      </c>
      <c r="AJ96" s="36">
        <f t="shared" ca="1" si="238"/>
        <v>44.11278837844533</v>
      </c>
      <c r="AK96" s="36">
        <f t="shared" ca="1" si="238"/>
        <v>44.732090900926643</v>
      </c>
      <c r="AL96" s="36">
        <f t="shared" ca="1" si="238"/>
        <v>44.157428303295987</v>
      </c>
      <c r="AM96" s="36">
        <f t="shared" ca="1" si="238"/>
        <v>43.790118252385135</v>
      </c>
      <c r="AN96" s="36">
        <f t="shared" ca="1" si="238"/>
        <v>43.639995753125604</v>
      </c>
      <c r="AO96" s="36">
        <f t="shared" ca="1" si="238"/>
        <v>43.673328267323718</v>
      </c>
      <c r="AP96" s="36">
        <f t="shared" ca="1" si="238"/>
        <v>43.495349469242484</v>
      </c>
      <c r="AQ96" s="36">
        <f t="shared" ca="1" si="238"/>
        <v>43.15333236848916</v>
      </c>
      <c r="AR96" s="36">
        <f t="shared" ca="1" si="238"/>
        <v>43.651806894303647</v>
      </c>
      <c r="AS96" s="36">
        <f t="shared" ca="1" si="238"/>
        <v>44.90136058812098</v>
      </c>
      <c r="AT96" s="36">
        <f t="shared" ca="1" si="238"/>
        <v>44.792195324718392</v>
      </c>
      <c r="AU96" s="36">
        <f t="shared" ca="1" si="238"/>
        <v>44.576065507503102</v>
      </c>
      <c r="AV96" s="36">
        <f t="shared" ca="1" si="238"/>
        <v>43.761923894901585</v>
      </c>
      <c r="AW96" s="36">
        <f t="shared" ca="1" si="238"/>
        <v>44.070474667186176</v>
      </c>
      <c r="AX96" s="36">
        <f t="shared" ca="1" si="238"/>
        <v>45.05703375428606</v>
      </c>
      <c r="AY96" s="36">
        <f t="shared" ca="1" si="238"/>
        <v>44.357645001260799</v>
      </c>
      <c r="AZ96" s="36">
        <f t="shared" ca="1" si="238"/>
        <v>44.575346054365532</v>
      </c>
      <c r="BA96" s="36">
        <f t="shared" ca="1" si="238"/>
        <v>45.171755911025201</v>
      </c>
      <c r="BB96" s="36">
        <f t="shared" ca="1" si="238"/>
        <v>45.738824442346761</v>
      </c>
      <c r="BC96" s="36">
        <f t="shared" ca="1" si="238"/>
        <v>45.294368753707786</v>
      </c>
      <c r="BD96" s="36">
        <f t="shared" ca="1" si="238"/>
        <v>45.149755898877629</v>
      </c>
      <c r="BE96" s="36">
        <f t="shared" ca="1" si="238"/>
        <v>45.740015183911943</v>
      </c>
      <c r="BF96" s="36">
        <f t="shared" ca="1" si="238"/>
        <v>45.969967280715451</v>
      </c>
      <c r="BG96" s="36">
        <f t="shared" ca="1" si="238"/>
        <v>46.584880097117306</v>
      </c>
      <c r="BH96" s="36">
        <f t="shared" ca="1" si="238"/>
        <v>46.9968242567384</v>
      </c>
      <c r="BI96" s="36">
        <f t="shared" ca="1" si="238"/>
        <v>48.483828260476265</v>
      </c>
      <c r="BJ96" s="36">
        <f t="shared" ca="1" si="238"/>
        <v>48.735072165059776</v>
      </c>
      <c r="BK96" s="36">
        <f t="shared" ca="1" si="238"/>
        <v>48.884161316317126</v>
      </c>
      <c r="BL96" s="36">
        <f t="shared" ca="1" si="238"/>
        <v>48.721200196691477</v>
      </c>
      <c r="BM96" s="36">
        <f t="shared" ca="1" si="238"/>
        <v>48.180420108775159</v>
      </c>
      <c r="BN96" s="36">
        <f t="shared" ca="1" si="238"/>
        <v>47.460423983950797</v>
      </c>
      <c r="BO96" s="36">
        <f t="shared" ca="1" si="238"/>
        <v>47.337436428596064</v>
      </c>
      <c r="BP96" s="36">
        <f t="shared" ca="1" si="238"/>
        <v>46.658264908832464</v>
      </c>
      <c r="BQ96" s="36">
        <f t="shared" ca="1" si="238"/>
        <v>45.705046399674004</v>
      </c>
      <c r="BR96" s="36">
        <f t="shared" ca="1" si="235"/>
        <v>44.765299742217479</v>
      </c>
      <c r="BS96" s="36">
        <f t="shared" ca="1" si="235"/>
        <v>45.524349027816136</v>
      </c>
      <c r="BT96" s="36">
        <f t="shared" ca="1" si="235"/>
        <v>45.918784003217098</v>
      </c>
      <c r="BU96" s="36">
        <f t="shared" ca="1" si="235"/>
        <v>47.347829101489999</v>
      </c>
      <c r="BV96" s="36">
        <f t="shared" ca="1" si="235"/>
        <v>47.649507274040324</v>
      </c>
      <c r="BW96" s="36">
        <f t="shared" ca="1" si="235"/>
        <v>47.742854672787161</v>
      </c>
      <c r="BX96" s="36">
        <f t="shared" ca="1" si="235"/>
        <v>46.384851378196494</v>
      </c>
      <c r="BY96" s="36">
        <f t="shared" ca="1" si="235"/>
        <v>47.524064126281566</v>
      </c>
      <c r="BZ96" s="36">
        <f t="shared" ca="1" si="235"/>
        <v>47.765765528072095</v>
      </c>
      <c r="CA96" s="36">
        <f t="shared" ca="1" si="235"/>
        <v>47.34159279173906</v>
      </c>
      <c r="CB96" s="36">
        <f t="shared" ca="1" si="235"/>
        <v>46.749527286152798</v>
      </c>
      <c r="CC96" s="36">
        <f t="shared" ca="1" si="235"/>
        <v>46.917303406358052</v>
      </c>
      <c r="CD96" s="36">
        <f t="shared" ca="1" si="235"/>
        <v>47.685781737224261</v>
      </c>
      <c r="CE96" s="36">
        <f t="shared" ca="1" si="235"/>
        <v>48.05908351121812</v>
      </c>
      <c r="CF96" s="36">
        <f t="shared" ca="1" si="235"/>
        <v>47.459497181371731</v>
      </c>
      <c r="CG96" s="36">
        <f t="shared" ca="1" si="235"/>
        <v>47.045897110901741</v>
      </c>
      <c r="CH96" s="36">
        <f t="shared" ca="1" si="235"/>
        <v>46.919127720655119</v>
      </c>
      <c r="CI96" s="36">
        <f t="shared" ca="1" si="235"/>
        <v>45.985054531312521</v>
      </c>
      <c r="CJ96" s="36">
        <f t="shared" ca="1" si="235"/>
        <v>45.143294049208983</v>
      </c>
      <c r="CK96" s="36">
        <f t="shared" ca="1" si="235"/>
        <v>45.20372472314947</v>
      </c>
      <c r="CL96" s="36">
        <f t="shared" ca="1" si="235"/>
        <v>44.818662017719276</v>
      </c>
      <c r="CM96" s="36">
        <f t="shared" ca="1" si="235"/>
        <v>44.064197566894947</v>
      </c>
      <c r="CN96" s="36">
        <f t="shared" ca="1" si="235"/>
        <v>44.984088055865371</v>
      </c>
      <c r="CO96" s="36">
        <f t="shared" ca="1" si="235"/>
        <v>45.336673253781598</v>
      </c>
      <c r="CP96" s="36">
        <f t="shared" ca="1" si="235"/>
        <v>45.676442677605465</v>
      </c>
      <c r="CQ96" s="36">
        <f t="shared" ca="1" si="235"/>
        <v>44.925413793343864</v>
      </c>
      <c r="CR96" s="36">
        <f t="shared" ca="1" si="235"/>
        <v>45.348303356342136</v>
      </c>
      <c r="CS96" s="36">
        <f t="shared" ca="1" si="235"/>
        <v>46.251516601233511</v>
      </c>
      <c r="CT96" s="36">
        <f t="shared" ca="1" si="235"/>
        <v>46.869606377349555</v>
      </c>
      <c r="CU96" s="36">
        <f t="shared" ca="1" si="235"/>
        <v>46.912094296158003</v>
      </c>
      <c r="CV96" s="36">
        <f t="shared" ca="1" si="235"/>
        <v>46.953901129412266</v>
      </c>
      <c r="CW96" s="36">
        <f t="shared" ca="1" si="235"/>
        <v>46.734892242941214</v>
      </c>
      <c r="CX96" s="36">
        <f t="shared" ca="1" si="235"/>
        <v>46.898085447370704</v>
      </c>
      <c r="CY96" s="36">
        <f t="shared" ca="1" si="235"/>
        <v>46.907186263085485</v>
      </c>
      <c r="CZ96" s="36">
        <f t="shared" ca="1" si="235"/>
        <v>47.135914610423242</v>
      </c>
      <c r="DA96" s="36">
        <f t="shared" ca="1" si="235"/>
        <v>45.885573071454431</v>
      </c>
      <c r="DB96" s="36">
        <f t="shared" ca="1" si="235"/>
        <v>45.79803131376076</v>
      </c>
      <c r="DC96" s="36">
        <f t="shared" ca="1" si="235"/>
        <v>45.969666514934836</v>
      </c>
      <c r="DD96" s="36">
        <f t="shared" ca="1" si="235"/>
        <v>45.792134469521471</v>
      </c>
      <c r="DE96" s="36">
        <f t="shared" ca="1" si="235"/>
        <v>44.416950116988382</v>
      </c>
      <c r="DF96" s="36">
        <f t="shared" ca="1" si="235"/>
        <v>43.942330384273802</v>
      </c>
      <c r="DG96" s="36">
        <f t="shared" ca="1" si="235"/>
        <v>44.006019201135281</v>
      </c>
      <c r="DH96" s="36">
        <f t="shared" ca="1" si="235"/>
        <v>44.637651021412033</v>
      </c>
      <c r="DI96" s="36">
        <f t="shared" ca="1" si="235"/>
        <v>44.797996614366447</v>
      </c>
      <c r="DJ96" s="36">
        <f t="shared" ca="1" si="235"/>
        <v>45.299618001570046</v>
      </c>
      <c r="DK96" s="36">
        <f t="shared" ca="1" si="235"/>
        <v>45.282699708248082</v>
      </c>
      <c r="DL96" s="36">
        <f t="shared" ca="1" si="235"/>
        <v>45.623438284314282</v>
      </c>
      <c r="DM96" s="36">
        <f t="shared" ca="1" si="235"/>
        <v>45.465734377455782</v>
      </c>
      <c r="DN96" s="36">
        <f t="shared" ca="1" si="235"/>
        <v>45.301868668159841</v>
      </c>
      <c r="DO96" s="36">
        <f t="shared" ca="1" si="235"/>
        <v>44.229461288661334</v>
      </c>
      <c r="DP96" s="36">
        <f t="shared" ca="1" si="235"/>
        <v>43.555076935683154</v>
      </c>
      <c r="DQ96" s="36">
        <f t="shared" ca="1" si="235"/>
        <v>43.149339039117613</v>
      </c>
      <c r="DR96" s="36">
        <f t="shared" ca="1" si="235"/>
        <v>44.089811153762078</v>
      </c>
      <c r="DS96" s="36">
        <f t="shared" ca="1" si="235"/>
        <v>43.433804234745892</v>
      </c>
      <c r="DT96" s="36">
        <f t="shared" ca="1" si="235"/>
        <v>44.192336177596516</v>
      </c>
      <c r="DU96" s="36">
        <f t="shared" ca="1" si="235"/>
        <v>45.137922061790363</v>
      </c>
      <c r="DV96" s="36">
        <f t="shared" ca="1" si="235"/>
        <v>45.616834823277195</v>
      </c>
      <c r="DW96" s="36">
        <f t="shared" ca="1" si="235"/>
        <v>46.15411981798929</v>
      </c>
      <c r="DX96" s="36">
        <f t="shared" ca="1" si="235"/>
        <v>45.915597833883972</v>
      </c>
      <c r="DY96" s="36">
        <f t="shared" ca="1" si="235"/>
        <v>45.361118699604383</v>
      </c>
      <c r="DZ96" s="36">
        <f t="shared" ca="1" si="235"/>
        <v>44.362882628762364</v>
      </c>
      <c r="EA96" s="36">
        <f t="shared" ca="1" si="235"/>
        <v>45.226838830750687</v>
      </c>
      <c r="EB96" s="36">
        <f t="shared" ca="1" si="235"/>
        <v>45.621526261007922</v>
      </c>
      <c r="EC96" s="36">
        <f t="shared" ca="1" si="239"/>
        <v>44.993826405312355</v>
      </c>
      <c r="ED96" s="36">
        <f t="shared" ca="1" si="239"/>
        <v>44.773475814217768</v>
      </c>
      <c r="EE96" s="36">
        <f t="shared" ca="1" si="239"/>
        <v>43.995138193972018</v>
      </c>
      <c r="EF96" s="36">
        <f t="shared" ca="1" si="239"/>
        <v>43.828381392775725</v>
      </c>
      <c r="EG96" s="36">
        <f t="shared" ca="1" si="239"/>
        <v>44.25766157209987</v>
      </c>
      <c r="EH96" s="36">
        <f t="shared" ca="1" si="239"/>
        <v>44.110206465416596</v>
      </c>
      <c r="EI96" s="36">
        <f t="shared" ca="1" si="239"/>
        <v>43.230115820088173</v>
      </c>
      <c r="EJ96" s="36">
        <f t="shared" ca="1" si="239"/>
        <v>43.196211471025308</v>
      </c>
      <c r="EK96" s="36">
        <f t="shared" ca="1" si="239"/>
        <v>41.997873239018531</v>
      </c>
      <c r="EL96" s="36">
        <f t="shared" ca="1" si="239"/>
        <v>42.56123685944825</v>
      </c>
      <c r="EM96" s="36">
        <f t="shared" ca="1" si="239"/>
        <v>42.898140953655378</v>
      </c>
      <c r="EN96" s="36">
        <f t="shared" ca="1" si="239"/>
        <v>42.490268970063923</v>
      </c>
      <c r="EO96" s="36">
        <f t="shared" ca="1" si="239"/>
        <v>42.287508196912924</v>
      </c>
      <c r="EP96" s="36">
        <f t="shared" ca="1" si="239"/>
        <v>43.18937620267949</v>
      </c>
      <c r="EQ96" s="36">
        <f t="shared" ca="1" si="239"/>
        <v>42.4825528465025</v>
      </c>
      <c r="ER96" s="36">
        <f t="shared" ca="1" si="239"/>
        <v>41.857899683814018</v>
      </c>
      <c r="ES96" s="36">
        <f t="shared" ca="1" si="239"/>
        <v>42.049220520914794</v>
      </c>
      <c r="ET96" s="36">
        <f t="shared" ca="1" si="239"/>
        <v>41.840959896467737</v>
      </c>
      <c r="EU96" s="36">
        <f t="shared" ca="1" si="239"/>
        <v>42.081662816578685</v>
      </c>
      <c r="EV96" s="36">
        <f t="shared" ca="1" si="239"/>
        <v>42.312780725830912</v>
      </c>
      <c r="EW96" s="36">
        <f t="shared" ref="EW96" ca="1" si="242">EV96*EXP(($B$3-$B$4^2/2)*1+$B$4*_xlfn.NORM.S.INV(RAND()))</f>
        <v>41.787442790344414</v>
      </c>
      <c r="EX96" s="36">
        <f t="shared" ca="1" si="233"/>
        <v>42.464134110555506</v>
      </c>
      <c r="EY96" s="36">
        <f t="shared" ca="1" si="233"/>
        <v>42.089543557890337</v>
      </c>
      <c r="EZ96" s="36">
        <f t="shared" ref="EZ96:HK96" ca="1" si="243">EY96*EXP(($B$3-$B$4^2/2)*1+$B$4*_xlfn.NORM.S.INV(RAND()))</f>
        <v>41.406771238456052</v>
      </c>
      <c r="FA96" s="36">
        <f t="shared" ca="1" si="243"/>
        <v>41.667881145333091</v>
      </c>
      <c r="FB96" s="36">
        <f t="shared" ca="1" si="243"/>
        <v>40.787006933667563</v>
      </c>
      <c r="FC96" s="36">
        <f t="shared" ca="1" si="243"/>
        <v>41.180117288694937</v>
      </c>
      <c r="FD96" s="36">
        <f t="shared" ca="1" si="243"/>
        <v>41.067989809335543</v>
      </c>
      <c r="FE96" s="36">
        <f t="shared" ca="1" si="243"/>
        <v>41.443170879827591</v>
      </c>
      <c r="FF96" s="36">
        <f t="shared" ca="1" si="243"/>
        <v>41.23143135883894</v>
      </c>
      <c r="FG96" s="36">
        <f t="shared" ca="1" si="243"/>
        <v>41.703925188660463</v>
      </c>
      <c r="FH96" s="36">
        <f t="shared" ca="1" si="243"/>
        <v>41.43261259523269</v>
      </c>
      <c r="FI96" s="36">
        <f t="shared" ca="1" si="243"/>
        <v>40.550884735268951</v>
      </c>
      <c r="FJ96" s="36">
        <f t="shared" ca="1" si="243"/>
        <v>40.41642960761623</v>
      </c>
      <c r="FK96" s="36">
        <f t="shared" ca="1" si="243"/>
        <v>40.843439197905333</v>
      </c>
      <c r="FL96" s="36">
        <f t="shared" ca="1" si="243"/>
        <v>39.658436363418481</v>
      </c>
      <c r="FM96" s="36">
        <f t="shared" ca="1" si="243"/>
        <v>38.788836773344237</v>
      </c>
      <c r="FN96" s="36">
        <f t="shared" ca="1" si="243"/>
        <v>38.880484388595377</v>
      </c>
      <c r="FO96" s="36">
        <f t="shared" ca="1" si="243"/>
        <v>38.800380963109646</v>
      </c>
      <c r="FP96" s="36">
        <f t="shared" ca="1" si="243"/>
        <v>39.721393528877904</v>
      </c>
      <c r="FQ96" s="36">
        <f t="shared" ca="1" si="243"/>
        <v>38.467116844336353</v>
      </c>
      <c r="FR96" s="36">
        <f t="shared" ca="1" si="243"/>
        <v>40.081642285313016</v>
      </c>
      <c r="FS96" s="36">
        <f t="shared" ca="1" si="243"/>
        <v>39.49151379751261</v>
      </c>
      <c r="FT96" s="36">
        <f t="shared" ca="1" si="243"/>
        <v>39.012810820557291</v>
      </c>
      <c r="FU96" s="36">
        <f t="shared" ca="1" si="243"/>
        <v>39.129161675763172</v>
      </c>
      <c r="FV96" s="36">
        <f t="shared" ca="1" si="243"/>
        <v>40.137435095421687</v>
      </c>
      <c r="FW96" s="36">
        <f t="shared" ca="1" si="243"/>
        <v>39.953546318776787</v>
      </c>
      <c r="FX96" s="36">
        <f t="shared" ca="1" si="243"/>
        <v>40.373852886091328</v>
      </c>
      <c r="FY96" s="36">
        <f t="shared" ca="1" si="243"/>
        <v>41.284274280463237</v>
      </c>
      <c r="FZ96" s="36">
        <f t="shared" ca="1" si="243"/>
        <v>41.52380926521694</v>
      </c>
      <c r="GA96" s="36">
        <f t="shared" ca="1" si="243"/>
        <v>41.694608110016063</v>
      </c>
      <c r="GB96" s="36">
        <f t="shared" ca="1" si="243"/>
        <v>41.197166722426502</v>
      </c>
      <c r="GC96" s="36">
        <f t="shared" ca="1" si="243"/>
        <v>41.51897399899272</v>
      </c>
      <c r="GD96" s="36">
        <f t="shared" ca="1" si="243"/>
        <v>41.583390491979465</v>
      </c>
      <c r="GE96" s="36">
        <f t="shared" ca="1" si="243"/>
        <v>41.220338977934389</v>
      </c>
      <c r="GF96" s="36">
        <f t="shared" ca="1" si="243"/>
        <v>41.303885643648201</v>
      </c>
      <c r="GG96" s="36">
        <f t="shared" ca="1" si="243"/>
        <v>40.90492645293503</v>
      </c>
      <c r="GH96" s="36">
        <f t="shared" ca="1" si="243"/>
        <v>40.827585657781647</v>
      </c>
      <c r="GI96" s="36">
        <f t="shared" ca="1" si="243"/>
        <v>40.706955640915922</v>
      </c>
      <c r="GJ96" s="36">
        <f t="shared" ca="1" si="243"/>
        <v>41.311153901931412</v>
      </c>
      <c r="GK96" s="36">
        <f t="shared" ca="1" si="243"/>
        <v>40.77909830744516</v>
      </c>
      <c r="GL96" s="36">
        <f t="shared" ca="1" si="243"/>
        <v>40.48755039646111</v>
      </c>
      <c r="GM96" s="36">
        <f t="shared" ca="1" si="243"/>
        <v>40.19375111857422</v>
      </c>
      <c r="GN96" s="36">
        <f t="shared" ca="1" si="243"/>
        <v>39.924904501102979</v>
      </c>
      <c r="GO96" s="36">
        <f t="shared" ca="1" si="243"/>
        <v>40.249632943254909</v>
      </c>
      <c r="GP96" s="36">
        <f t="shared" ca="1" si="243"/>
        <v>40.033866360745471</v>
      </c>
      <c r="GQ96" s="36">
        <f t="shared" ca="1" si="243"/>
        <v>39.829374606145869</v>
      </c>
      <c r="GR96" s="36">
        <f t="shared" ca="1" si="243"/>
        <v>39.646105593693086</v>
      </c>
      <c r="GS96" s="36">
        <f t="shared" ca="1" si="243"/>
        <v>39.579655085216039</v>
      </c>
      <c r="GT96" s="36">
        <f t="shared" ca="1" si="243"/>
        <v>39.33517177434419</v>
      </c>
      <c r="GU96" s="36">
        <f t="shared" ca="1" si="243"/>
        <v>39.290450637980634</v>
      </c>
      <c r="GV96" s="36">
        <f t="shared" ca="1" si="243"/>
        <v>39.251991007219814</v>
      </c>
      <c r="GW96" s="36">
        <f t="shared" ca="1" si="243"/>
        <v>39.733342197611094</v>
      </c>
      <c r="GX96" s="36">
        <f t="shared" ca="1" si="243"/>
        <v>39.935242372355745</v>
      </c>
      <c r="GY96" s="36">
        <f t="shared" ca="1" si="243"/>
        <v>40.239952015552326</v>
      </c>
      <c r="GZ96" s="36">
        <f t="shared" ca="1" si="243"/>
        <v>39.675827430718122</v>
      </c>
      <c r="HA96" s="36">
        <f t="shared" ca="1" si="243"/>
        <v>39.693991601913531</v>
      </c>
      <c r="HB96" s="36">
        <f t="shared" ca="1" si="243"/>
        <v>39.870380622672258</v>
      </c>
      <c r="HC96" s="36">
        <f t="shared" ca="1" si="243"/>
        <v>39.643391597115567</v>
      </c>
      <c r="HD96" s="36">
        <f t="shared" ca="1" si="243"/>
        <v>39.031189501540617</v>
      </c>
      <c r="HE96" s="36">
        <f t="shared" ca="1" si="243"/>
        <v>38.659166248546654</v>
      </c>
      <c r="HF96" s="36">
        <f t="shared" ca="1" si="243"/>
        <v>38.661626221016732</v>
      </c>
      <c r="HG96" s="36">
        <f t="shared" ca="1" si="243"/>
        <v>38.059112723448671</v>
      </c>
      <c r="HH96" s="36">
        <f t="shared" ca="1" si="243"/>
        <v>38.476868300217198</v>
      </c>
      <c r="HI96" s="36">
        <f t="shared" ca="1" si="243"/>
        <v>38.46929112434529</v>
      </c>
      <c r="HJ96" s="36">
        <f t="shared" ca="1" si="243"/>
        <v>38.378900294242698</v>
      </c>
      <c r="HK96" s="36">
        <f t="shared" ca="1" si="243"/>
        <v>39.090177734237614</v>
      </c>
      <c r="HL96" s="36">
        <f t="shared" ref="HL96:HT96" ca="1" si="244">HK96*EXP(($B$3-$B$4^2/2)*1+$B$4*_xlfn.NORM.S.INV(RAND()))</f>
        <v>37.823141038598038</v>
      </c>
      <c r="HM96" s="36">
        <f t="shared" ca="1" si="244"/>
        <v>37.263875553845729</v>
      </c>
      <c r="HN96" s="36">
        <f t="shared" ca="1" si="244"/>
        <v>36.302615022726236</v>
      </c>
      <c r="HO96" s="36">
        <f t="shared" ca="1" si="244"/>
        <v>35.894172587088839</v>
      </c>
      <c r="HP96" s="36">
        <f t="shared" ca="1" si="244"/>
        <v>35.936242853616115</v>
      </c>
      <c r="HQ96" s="36">
        <f t="shared" ca="1" si="244"/>
        <v>36.376866962897843</v>
      </c>
      <c r="HR96" s="36">
        <f t="shared" ca="1" si="244"/>
        <v>36.652760481512495</v>
      </c>
      <c r="HS96" s="36">
        <f t="shared" ca="1" si="244"/>
        <v>36.699198669570045</v>
      </c>
      <c r="HT96" s="36">
        <f t="shared" ca="1" si="244"/>
        <v>36.584538478730451</v>
      </c>
      <c r="HU96" s="36">
        <f t="shared" ca="1" si="224"/>
        <v>36.710851710325493</v>
      </c>
      <c r="HV96" s="36">
        <f t="shared" ca="1" si="224"/>
        <v>36.241640717057457</v>
      </c>
      <c r="HW96" s="36">
        <f t="shared" ca="1" si="224"/>
        <v>36.670335529493002</v>
      </c>
      <c r="HX96" s="36">
        <f t="shared" ca="1" si="224"/>
        <v>37.112765055792153</v>
      </c>
      <c r="HY96" s="36">
        <f t="shared" ca="1" si="224"/>
        <v>37.8838949314408</v>
      </c>
      <c r="HZ96" s="36">
        <f t="shared" ca="1" si="224"/>
        <v>38.079841329919901</v>
      </c>
      <c r="IA96" s="36">
        <f t="shared" ca="1" si="224"/>
        <v>38.158637096239254</v>
      </c>
      <c r="IB96" s="36">
        <f t="shared" ca="1" si="224"/>
        <v>38.030707296003335</v>
      </c>
      <c r="IC96" s="36">
        <f t="shared" ca="1" si="224"/>
        <v>38.149822091914025</v>
      </c>
      <c r="ID96" s="36">
        <f t="shared" ca="1" si="224"/>
        <v>37.706411988601126</v>
      </c>
      <c r="IE96" s="36">
        <f t="shared" ca="1" si="224"/>
        <v>38.138458204074695</v>
      </c>
      <c r="IF96" s="36">
        <f t="shared" ca="1" si="224"/>
        <v>38.212506235079864</v>
      </c>
      <c r="IG96" s="36">
        <f t="shared" ca="1" si="224"/>
        <v>38.219524288692725</v>
      </c>
      <c r="IH96" s="36">
        <f t="shared" ca="1" si="224"/>
        <v>38.203440515496467</v>
      </c>
      <c r="II96" s="36">
        <f t="shared" ca="1" si="224"/>
        <v>37.86469907009095</v>
      </c>
      <c r="IJ96" s="36">
        <f t="shared" ca="1" si="224"/>
        <v>36.968081268955146</v>
      </c>
      <c r="IK96" s="36">
        <f t="shared" ca="1" si="224"/>
        <v>37.092626970414329</v>
      </c>
      <c r="IL96" s="36">
        <f t="shared" ca="1" si="224"/>
        <v>37.260021266648678</v>
      </c>
      <c r="IM96" s="36">
        <f t="shared" ca="1" si="224"/>
        <v>37.671653385992151</v>
      </c>
      <c r="IN96" s="36">
        <f t="shared" ca="1" si="224"/>
        <v>38.459850659529195</v>
      </c>
      <c r="IO96" s="36">
        <f t="shared" ca="1" si="224"/>
        <v>38.135622239005713</v>
      </c>
      <c r="IP96" s="36">
        <f t="shared" ca="1" si="224"/>
        <v>37.561303744891845</v>
      </c>
      <c r="IQ96" s="36">
        <f t="shared" ca="1" si="224"/>
        <v>37.212931079228603</v>
      </c>
      <c r="IR96" s="36">
        <f t="shared" ca="1" si="224"/>
        <v>37.231212817012263</v>
      </c>
      <c r="IS96" s="36">
        <f t="shared" ca="1" si="224"/>
        <v>37.237924290629863</v>
      </c>
      <c r="IT96" s="36">
        <f t="shared" ca="1" si="224"/>
        <v>37.16225052942616</v>
      </c>
      <c r="IU96" s="36">
        <f t="shared" ca="1" si="224"/>
        <v>36.94613758517756</v>
      </c>
    </row>
    <row r="97" spans="1:255" x14ac:dyDescent="0.2">
      <c r="A97" s="36"/>
      <c r="B97">
        <v>87</v>
      </c>
      <c r="C97" s="36">
        <v>50</v>
      </c>
      <c r="D97" s="36">
        <f t="shared" ca="1" si="188"/>
        <v>50.898723928849698</v>
      </c>
      <c r="E97" s="36">
        <f t="shared" ca="1" si="188"/>
        <v>51.913679591367362</v>
      </c>
      <c r="F97" s="36">
        <f t="shared" ca="1" si="238"/>
        <v>52.3546626339173</v>
      </c>
      <c r="G97" s="36">
        <f t="shared" ca="1" si="238"/>
        <v>51.216142775467546</v>
      </c>
      <c r="H97" s="36">
        <f t="shared" ca="1" si="238"/>
        <v>50.182277210889687</v>
      </c>
      <c r="I97" s="36">
        <f t="shared" ca="1" si="238"/>
        <v>49.10271438246258</v>
      </c>
      <c r="J97" s="36">
        <f t="shared" ca="1" si="238"/>
        <v>49.366808865706673</v>
      </c>
      <c r="K97" s="36">
        <f t="shared" ca="1" si="238"/>
        <v>50.164858108656105</v>
      </c>
      <c r="L97" s="36">
        <f t="shared" ca="1" si="238"/>
        <v>50.535096495840129</v>
      </c>
      <c r="M97" s="36">
        <f t="shared" ca="1" si="238"/>
        <v>51.799865232646397</v>
      </c>
      <c r="N97" s="36">
        <f t="shared" ca="1" si="238"/>
        <v>51.670568209600141</v>
      </c>
      <c r="O97" s="36">
        <f t="shared" ca="1" si="238"/>
        <v>51.369507948895574</v>
      </c>
      <c r="P97" s="36">
        <f t="shared" ca="1" si="238"/>
        <v>52.017730948095128</v>
      </c>
      <c r="Q97" s="36">
        <f t="shared" ca="1" si="238"/>
        <v>52.41126065892901</v>
      </c>
      <c r="R97" s="36">
        <f t="shared" ca="1" si="238"/>
        <v>53.572775888563072</v>
      </c>
      <c r="S97" s="36">
        <f t="shared" ca="1" si="238"/>
        <v>52.092107005491968</v>
      </c>
      <c r="T97" s="36">
        <f t="shared" ca="1" si="238"/>
        <v>50.671963298740053</v>
      </c>
      <c r="U97" s="36">
        <f t="shared" ca="1" si="238"/>
        <v>50.646000791976491</v>
      </c>
      <c r="V97" s="36">
        <f t="shared" ca="1" si="238"/>
        <v>51.340344951073575</v>
      </c>
      <c r="W97" s="36">
        <f t="shared" ca="1" si="238"/>
        <v>50.703677227542556</v>
      </c>
      <c r="X97" s="36">
        <f t="shared" ca="1" si="238"/>
        <v>50.556847757260726</v>
      </c>
      <c r="Y97" s="36">
        <f t="shared" ca="1" si="238"/>
        <v>50.214517333032447</v>
      </c>
      <c r="Z97" s="36">
        <f t="shared" ca="1" si="238"/>
        <v>49.817417082179205</v>
      </c>
      <c r="AA97" s="36">
        <f t="shared" ca="1" si="238"/>
        <v>49.380012711657798</v>
      </c>
      <c r="AB97" s="36">
        <f t="shared" ca="1" si="238"/>
        <v>48.901443210471648</v>
      </c>
      <c r="AC97" s="36">
        <f t="shared" ca="1" si="238"/>
        <v>48.919454938817985</v>
      </c>
      <c r="AD97" s="36">
        <f t="shared" ca="1" si="238"/>
        <v>49.448611108413893</v>
      </c>
      <c r="AE97" s="36">
        <f t="shared" ca="1" si="238"/>
        <v>49.558396210331281</v>
      </c>
      <c r="AF97" s="36">
        <f t="shared" ca="1" si="238"/>
        <v>49.652875147842309</v>
      </c>
      <c r="AG97" s="36">
        <f t="shared" ca="1" si="238"/>
        <v>49.054998859462366</v>
      </c>
      <c r="AH97" s="36">
        <f t="shared" ca="1" si="238"/>
        <v>48.766354911549882</v>
      </c>
      <c r="AI97" s="36">
        <f t="shared" ca="1" si="238"/>
        <v>49.161633567193469</v>
      </c>
      <c r="AJ97" s="36">
        <f t="shared" ca="1" si="238"/>
        <v>49.851731770168655</v>
      </c>
      <c r="AK97" s="36">
        <f t="shared" ca="1" si="238"/>
        <v>49.740171486404265</v>
      </c>
      <c r="AL97" s="36">
        <f t="shared" ca="1" si="238"/>
        <v>50.006995087712504</v>
      </c>
      <c r="AM97" s="36">
        <f t="shared" ca="1" si="238"/>
        <v>50.305317526033498</v>
      </c>
      <c r="AN97" s="36">
        <f t="shared" ca="1" si="238"/>
        <v>49.19601581452163</v>
      </c>
      <c r="AO97" s="36">
        <f t="shared" ca="1" si="238"/>
        <v>49.335262573597483</v>
      </c>
      <c r="AP97" s="36">
        <f t="shared" ca="1" si="238"/>
        <v>48.035162368521924</v>
      </c>
      <c r="AQ97" s="36">
        <f t="shared" ca="1" si="238"/>
        <v>48.610202340153684</v>
      </c>
      <c r="AR97" s="36">
        <f t="shared" ca="1" si="238"/>
        <v>49.494271792064396</v>
      </c>
      <c r="AS97" s="36">
        <f t="shared" ca="1" si="238"/>
        <v>49.223170277234587</v>
      </c>
      <c r="AT97" s="36">
        <f t="shared" ca="1" si="238"/>
        <v>48.816247913097357</v>
      </c>
      <c r="AU97" s="36">
        <f t="shared" ca="1" si="238"/>
        <v>50.483716181696664</v>
      </c>
      <c r="AV97" s="36">
        <f t="shared" ca="1" si="238"/>
        <v>50.685266426046411</v>
      </c>
      <c r="AW97" s="36">
        <f t="shared" ca="1" si="238"/>
        <v>49.755332724722997</v>
      </c>
      <c r="AX97" s="36">
        <f t="shared" ca="1" si="238"/>
        <v>49.721901433269124</v>
      </c>
      <c r="AY97" s="36">
        <f t="shared" ca="1" si="238"/>
        <v>49.587412951162257</v>
      </c>
      <c r="AZ97" s="36">
        <f t="shared" ca="1" si="238"/>
        <v>49.406626168228684</v>
      </c>
      <c r="BA97" s="36">
        <f t="shared" ca="1" si="238"/>
        <v>49.366043208360971</v>
      </c>
      <c r="BB97" s="36">
        <f t="shared" ca="1" si="238"/>
        <v>49.120122769908527</v>
      </c>
      <c r="BC97" s="36">
        <f t="shared" ca="1" si="238"/>
        <v>50.475610720281495</v>
      </c>
      <c r="BD97" s="36">
        <f t="shared" ca="1" si="238"/>
        <v>50.025395311269392</v>
      </c>
      <c r="BE97" s="36">
        <f t="shared" ca="1" si="238"/>
        <v>50.106027314614295</v>
      </c>
      <c r="BF97" s="36">
        <f t="shared" ca="1" si="238"/>
        <v>51.204982010524525</v>
      </c>
      <c r="BG97" s="36">
        <f t="shared" ca="1" si="238"/>
        <v>51.4074555735667</v>
      </c>
      <c r="BH97" s="36">
        <f t="shared" ca="1" si="238"/>
        <v>51.482418637046614</v>
      </c>
      <c r="BI97" s="36">
        <f t="shared" ca="1" si="238"/>
        <v>51.554906365722537</v>
      </c>
      <c r="BJ97" s="36">
        <f t="shared" ca="1" si="238"/>
        <v>51.190816089218956</v>
      </c>
      <c r="BK97" s="36">
        <f t="shared" ca="1" si="238"/>
        <v>50.865292870337889</v>
      </c>
      <c r="BL97" s="36">
        <f t="shared" ca="1" si="238"/>
        <v>50.213524336330224</v>
      </c>
      <c r="BM97" s="36">
        <f t="shared" ca="1" si="238"/>
        <v>50.42816008573304</v>
      </c>
      <c r="BN97" s="36">
        <f t="shared" ca="1" si="238"/>
        <v>49.654778308166058</v>
      </c>
      <c r="BO97" s="36">
        <f t="shared" ca="1" si="238"/>
        <v>48.875171931121805</v>
      </c>
      <c r="BP97" s="36">
        <f t="shared" ca="1" si="238"/>
        <v>49.111130609248725</v>
      </c>
      <c r="BQ97" s="36">
        <f t="shared" ref="BQ97:EB100" ca="1" si="245">BP97*EXP(($B$3-$B$4^2/2)*1+$B$4*_xlfn.NORM.S.INV(RAND()))</f>
        <v>48.635589376666665</v>
      </c>
      <c r="BR97" s="36">
        <f t="shared" ca="1" si="245"/>
        <v>49.041548581870508</v>
      </c>
      <c r="BS97" s="36">
        <f t="shared" ca="1" si="245"/>
        <v>49.606520217668702</v>
      </c>
      <c r="BT97" s="36">
        <f t="shared" ca="1" si="245"/>
        <v>49.861362873492453</v>
      </c>
      <c r="BU97" s="36">
        <f t="shared" ca="1" si="245"/>
        <v>51.263356820660618</v>
      </c>
      <c r="BV97" s="36">
        <f t="shared" ca="1" si="245"/>
        <v>50.747262308074191</v>
      </c>
      <c r="BW97" s="36">
        <f t="shared" ca="1" si="245"/>
        <v>50.996417975212509</v>
      </c>
      <c r="BX97" s="36">
        <f t="shared" ca="1" si="245"/>
        <v>51.822965322674882</v>
      </c>
      <c r="BY97" s="36">
        <f t="shared" ca="1" si="245"/>
        <v>51.736836101209491</v>
      </c>
      <c r="BZ97" s="36">
        <f t="shared" ca="1" si="245"/>
        <v>51.282412017407658</v>
      </c>
      <c r="CA97" s="36">
        <f t="shared" ca="1" si="245"/>
        <v>51.499803716872229</v>
      </c>
      <c r="CB97" s="36">
        <f t="shared" ca="1" si="245"/>
        <v>51.242389239983197</v>
      </c>
      <c r="CC97" s="36">
        <f t="shared" ca="1" si="245"/>
        <v>50.645955422767187</v>
      </c>
      <c r="CD97" s="36">
        <f t="shared" ca="1" si="245"/>
        <v>51.214747655635172</v>
      </c>
      <c r="CE97" s="36">
        <f t="shared" ca="1" si="245"/>
        <v>50.836426043904353</v>
      </c>
      <c r="CF97" s="36">
        <f t="shared" ca="1" si="245"/>
        <v>50.777238607154345</v>
      </c>
      <c r="CG97" s="36">
        <f t="shared" ca="1" si="245"/>
        <v>51.122343242089173</v>
      </c>
      <c r="CH97" s="36">
        <f t="shared" ca="1" si="245"/>
        <v>51.016095518463224</v>
      </c>
      <c r="CI97" s="36">
        <f t="shared" ca="1" si="245"/>
        <v>51.736032842305988</v>
      </c>
      <c r="CJ97" s="36">
        <f t="shared" ca="1" si="245"/>
        <v>50.927333887124938</v>
      </c>
      <c r="CK97" s="36">
        <f t="shared" ca="1" si="245"/>
        <v>49.789342020696779</v>
      </c>
      <c r="CL97" s="36">
        <f t="shared" ca="1" si="245"/>
        <v>49.431183037408886</v>
      </c>
      <c r="CM97" s="36">
        <f t="shared" ca="1" si="245"/>
        <v>50.424646564129162</v>
      </c>
      <c r="CN97" s="36">
        <f t="shared" ca="1" si="245"/>
        <v>51.104459089496231</v>
      </c>
      <c r="CO97" s="36">
        <f t="shared" ca="1" si="245"/>
        <v>50.417645207326885</v>
      </c>
      <c r="CP97" s="36">
        <f t="shared" ca="1" si="245"/>
        <v>50.642332302354539</v>
      </c>
      <c r="CQ97" s="36">
        <f t="shared" ca="1" si="245"/>
        <v>50.367099144459424</v>
      </c>
      <c r="CR97" s="36">
        <f t="shared" ca="1" si="245"/>
        <v>50.80362940592584</v>
      </c>
      <c r="CS97" s="36">
        <f t="shared" ca="1" si="245"/>
        <v>50.184754219080368</v>
      </c>
      <c r="CT97" s="36">
        <f t="shared" ca="1" si="245"/>
        <v>50.300656388078842</v>
      </c>
      <c r="CU97" s="36">
        <f t="shared" ca="1" si="245"/>
        <v>50.382510218565493</v>
      </c>
      <c r="CV97" s="36">
        <f t="shared" ca="1" si="245"/>
        <v>50.603407922889112</v>
      </c>
      <c r="CW97" s="36">
        <f t="shared" ca="1" si="245"/>
        <v>50.345998709971667</v>
      </c>
      <c r="CX97" s="36">
        <f t="shared" ca="1" si="245"/>
        <v>50.039661238729977</v>
      </c>
      <c r="CY97" s="36">
        <f t="shared" ca="1" si="245"/>
        <v>50.963308892151034</v>
      </c>
      <c r="CZ97" s="36">
        <f t="shared" ca="1" si="245"/>
        <v>50.078252514722344</v>
      </c>
      <c r="DA97" s="36">
        <f t="shared" ca="1" si="245"/>
        <v>49.828398073889801</v>
      </c>
      <c r="DB97" s="36">
        <f t="shared" ca="1" si="245"/>
        <v>50.8736355998657</v>
      </c>
      <c r="DC97" s="36">
        <f t="shared" ca="1" si="245"/>
        <v>51.409007615152582</v>
      </c>
      <c r="DD97" s="36">
        <f t="shared" ca="1" si="245"/>
        <v>51.362887226703009</v>
      </c>
      <c r="DE97" s="36">
        <f t="shared" ca="1" si="245"/>
        <v>50.911081900735901</v>
      </c>
      <c r="DF97" s="36">
        <f t="shared" ca="1" si="245"/>
        <v>51.628810820515248</v>
      </c>
      <c r="DG97" s="36">
        <f t="shared" ca="1" si="245"/>
        <v>51.391554576122971</v>
      </c>
      <c r="DH97" s="36">
        <f t="shared" ca="1" si="245"/>
        <v>50.170426303414118</v>
      </c>
      <c r="DI97" s="36">
        <f t="shared" ca="1" si="245"/>
        <v>51.603067419182004</v>
      </c>
      <c r="DJ97" s="36">
        <f t="shared" ca="1" si="245"/>
        <v>51.983688940461221</v>
      </c>
      <c r="DK97" s="36">
        <f t="shared" ca="1" si="245"/>
        <v>52.107596175082023</v>
      </c>
      <c r="DL97" s="36">
        <f t="shared" ca="1" si="245"/>
        <v>51.419694775998863</v>
      </c>
      <c r="DM97" s="36">
        <f t="shared" ca="1" si="245"/>
        <v>50.908921195846759</v>
      </c>
      <c r="DN97" s="36">
        <f t="shared" ca="1" si="245"/>
        <v>50.98622397266827</v>
      </c>
      <c r="DO97" s="36">
        <f t="shared" ca="1" si="245"/>
        <v>51.676637176014957</v>
      </c>
      <c r="DP97" s="36">
        <f t="shared" ca="1" si="245"/>
        <v>52.559919217974446</v>
      </c>
      <c r="DQ97" s="36">
        <f t="shared" ca="1" si="245"/>
        <v>51.937997868931461</v>
      </c>
      <c r="DR97" s="36">
        <f t="shared" ca="1" si="245"/>
        <v>52.022529727138313</v>
      </c>
      <c r="DS97" s="36">
        <f t="shared" ca="1" si="245"/>
        <v>52.958902745838039</v>
      </c>
      <c r="DT97" s="36">
        <f t="shared" ca="1" si="245"/>
        <v>53.389898071721632</v>
      </c>
      <c r="DU97" s="36">
        <f t="shared" ca="1" si="245"/>
        <v>54.122599285833303</v>
      </c>
      <c r="DV97" s="36">
        <f t="shared" ca="1" si="245"/>
        <v>54.041474396921174</v>
      </c>
      <c r="DW97" s="36">
        <f t="shared" ca="1" si="245"/>
        <v>54.042197978715542</v>
      </c>
      <c r="DX97" s="36">
        <f t="shared" ca="1" si="245"/>
        <v>53.530997777552564</v>
      </c>
      <c r="DY97" s="36">
        <f t="shared" ca="1" si="245"/>
        <v>53.960043272390152</v>
      </c>
      <c r="DZ97" s="36">
        <f t="shared" ca="1" si="245"/>
        <v>52.809953023408703</v>
      </c>
      <c r="EA97" s="36">
        <f t="shared" ca="1" si="245"/>
        <v>52.830649985083191</v>
      </c>
      <c r="EB97" s="36">
        <f t="shared" ca="1" si="245"/>
        <v>52.750933755778654</v>
      </c>
      <c r="EC97" s="36">
        <f t="shared" ca="1" si="239"/>
        <v>52.916094307604183</v>
      </c>
      <c r="ED97" s="36">
        <f t="shared" ca="1" si="239"/>
        <v>52.804146096609919</v>
      </c>
      <c r="EE97" s="36">
        <f t="shared" ca="1" si="239"/>
        <v>52.955750939788345</v>
      </c>
      <c r="EF97" s="36">
        <f t="shared" ca="1" si="239"/>
        <v>52.368331777247768</v>
      </c>
      <c r="EG97" s="36">
        <f t="shared" ca="1" si="239"/>
        <v>51.464937913812108</v>
      </c>
      <c r="EH97" s="36">
        <f t="shared" ca="1" si="239"/>
        <v>50.468345993539423</v>
      </c>
      <c r="EI97" s="36">
        <f t="shared" ca="1" si="239"/>
        <v>50.740314768668561</v>
      </c>
      <c r="EJ97" s="36">
        <f t="shared" ca="1" si="239"/>
        <v>50.07858522269084</v>
      </c>
      <c r="EK97" s="36">
        <f t="shared" ca="1" si="239"/>
        <v>50.186629795919089</v>
      </c>
      <c r="EL97" s="36">
        <f t="shared" ca="1" si="239"/>
        <v>50.391054859930385</v>
      </c>
      <c r="EM97" s="36">
        <f t="shared" ca="1" si="239"/>
        <v>49.449497883791445</v>
      </c>
      <c r="EN97" s="36">
        <f t="shared" ca="1" si="239"/>
        <v>48.56237706083003</v>
      </c>
      <c r="EO97" s="36">
        <f t="shared" ca="1" si="239"/>
        <v>48.254012922267364</v>
      </c>
      <c r="EP97" s="36">
        <f t="shared" ca="1" si="239"/>
        <v>47.69762677051191</v>
      </c>
      <c r="EQ97" s="36">
        <f t="shared" ca="1" si="239"/>
        <v>47.967313615030541</v>
      </c>
      <c r="ER97" s="36">
        <f t="shared" ca="1" si="239"/>
        <v>48.229198233593252</v>
      </c>
      <c r="ES97" s="36">
        <f t="shared" ca="1" si="239"/>
        <v>47.806810167896842</v>
      </c>
      <c r="ET97" s="36">
        <f t="shared" ca="1" si="239"/>
        <v>47.450368148541692</v>
      </c>
      <c r="EU97" s="36">
        <f t="shared" ca="1" si="239"/>
        <v>47.535672824021397</v>
      </c>
      <c r="EV97" s="36">
        <f t="shared" ca="1" si="239"/>
        <v>47.761028827895885</v>
      </c>
      <c r="EW97" s="36">
        <f t="shared" ref="EW97:HH101" ca="1" si="246">EV97*EXP(($B$3-$B$4^2/2)*1+$B$4*_xlfn.NORM.S.INV(RAND()))</f>
        <v>46.855675499007383</v>
      </c>
      <c r="EX97" s="36">
        <f t="shared" ca="1" si="246"/>
        <v>46.905021181013502</v>
      </c>
      <c r="EY97" s="36">
        <f t="shared" ca="1" si="246"/>
        <v>46.862114186475623</v>
      </c>
      <c r="EZ97" s="36">
        <f t="shared" ca="1" si="246"/>
        <v>47.06011038491755</v>
      </c>
      <c r="FA97" s="36">
        <f t="shared" ca="1" si="246"/>
        <v>47.583562256526179</v>
      </c>
      <c r="FB97" s="36">
        <f t="shared" ca="1" si="246"/>
        <v>47.812266393496614</v>
      </c>
      <c r="FC97" s="36">
        <f t="shared" ca="1" si="246"/>
        <v>47.419027420239821</v>
      </c>
      <c r="FD97" s="36">
        <f t="shared" ca="1" si="246"/>
        <v>48.330622945464668</v>
      </c>
      <c r="FE97" s="36">
        <f t="shared" ca="1" si="246"/>
        <v>48.953206398275988</v>
      </c>
      <c r="FF97" s="36">
        <f t="shared" ca="1" si="246"/>
        <v>48.778902400875488</v>
      </c>
      <c r="FG97" s="36">
        <f t="shared" ca="1" si="246"/>
        <v>47.804126855433694</v>
      </c>
      <c r="FH97" s="36">
        <f t="shared" ca="1" si="246"/>
        <v>48.468821267863419</v>
      </c>
      <c r="FI97" s="36">
        <f t="shared" ca="1" si="246"/>
        <v>48.099015644487785</v>
      </c>
      <c r="FJ97" s="36">
        <f t="shared" ca="1" si="246"/>
        <v>46.65208724514472</v>
      </c>
      <c r="FK97" s="36">
        <f t="shared" ca="1" si="246"/>
        <v>47.526429903406139</v>
      </c>
      <c r="FL97" s="36">
        <f t="shared" ca="1" si="246"/>
        <v>47.247233136996009</v>
      </c>
      <c r="FM97" s="36">
        <f t="shared" ca="1" si="246"/>
        <v>47.282358855254756</v>
      </c>
      <c r="FN97" s="36">
        <f t="shared" ca="1" si="246"/>
        <v>47.159701906729559</v>
      </c>
      <c r="FO97" s="36">
        <f t="shared" ca="1" si="246"/>
        <v>47.266895662074191</v>
      </c>
      <c r="FP97" s="36">
        <f t="shared" ca="1" si="246"/>
        <v>48.668754115433096</v>
      </c>
      <c r="FQ97" s="36">
        <f t="shared" ca="1" si="246"/>
        <v>47.941631022012139</v>
      </c>
      <c r="FR97" s="36">
        <f t="shared" ca="1" si="246"/>
        <v>48.070800907803516</v>
      </c>
      <c r="FS97" s="36">
        <f t="shared" ca="1" si="246"/>
        <v>48.986335487441558</v>
      </c>
      <c r="FT97" s="36">
        <f t="shared" ca="1" si="246"/>
        <v>49.699726173009147</v>
      </c>
      <c r="FU97" s="36">
        <f t="shared" ca="1" si="246"/>
        <v>49.166294140525807</v>
      </c>
      <c r="FV97" s="36">
        <f t="shared" ca="1" si="246"/>
        <v>49.675630063882856</v>
      </c>
      <c r="FW97" s="36">
        <f t="shared" ca="1" si="246"/>
        <v>49.554119236044833</v>
      </c>
      <c r="FX97" s="36">
        <f t="shared" ca="1" si="246"/>
        <v>49.949118130322439</v>
      </c>
      <c r="FY97" s="36">
        <f t="shared" ca="1" si="246"/>
        <v>49.8813383854066</v>
      </c>
      <c r="FZ97" s="36">
        <f t="shared" ca="1" si="246"/>
        <v>50.007433810662931</v>
      </c>
      <c r="GA97" s="36">
        <f t="shared" ca="1" si="246"/>
        <v>50.152464248795049</v>
      </c>
      <c r="GB97" s="36">
        <f t="shared" ca="1" si="246"/>
        <v>49.853291991782548</v>
      </c>
      <c r="GC97" s="36">
        <f t="shared" ca="1" si="246"/>
        <v>50.21534179774676</v>
      </c>
      <c r="GD97" s="36">
        <f t="shared" ca="1" si="246"/>
        <v>51.097908526173661</v>
      </c>
      <c r="GE97" s="36">
        <f t="shared" ca="1" si="246"/>
        <v>50.539724757247967</v>
      </c>
      <c r="GF97" s="36">
        <f t="shared" ca="1" si="246"/>
        <v>50.360341288555411</v>
      </c>
      <c r="GG97" s="36">
        <f t="shared" ca="1" si="246"/>
        <v>51.32909368464653</v>
      </c>
      <c r="GH97" s="36">
        <f t="shared" ca="1" si="246"/>
        <v>50.928787812594749</v>
      </c>
      <c r="GI97" s="36">
        <f t="shared" ca="1" si="246"/>
        <v>51.515642464230574</v>
      </c>
      <c r="GJ97" s="36">
        <f t="shared" ca="1" si="246"/>
        <v>51.075232084693944</v>
      </c>
      <c r="GK97" s="36">
        <f t="shared" ca="1" si="246"/>
        <v>50.593278892837361</v>
      </c>
      <c r="GL97" s="36">
        <f t="shared" ca="1" si="246"/>
        <v>51.818972671347346</v>
      </c>
      <c r="GM97" s="36">
        <f t="shared" ca="1" si="246"/>
        <v>52.049687735331403</v>
      </c>
      <c r="GN97" s="36">
        <f t="shared" ca="1" si="246"/>
        <v>52.51880782306192</v>
      </c>
      <c r="GO97" s="36">
        <f t="shared" ca="1" si="246"/>
        <v>52.499243501383873</v>
      </c>
      <c r="GP97" s="36">
        <f t="shared" ca="1" si="246"/>
        <v>52.088310715744946</v>
      </c>
      <c r="GQ97" s="36">
        <f t="shared" ca="1" si="246"/>
        <v>52.484316404665449</v>
      </c>
      <c r="GR97" s="36">
        <f t="shared" ca="1" si="246"/>
        <v>51.613519448774063</v>
      </c>
      <c r="GS97" s="36">
        <f t="shared" ca="1" si="246"/>
        <v>51.52022797185969</v>
      </c>
      <c r="GT97" s="36">
        <f t="shared" ca="1" si="246"/>
        <v>50.960143933254294</v>
      </c>
      <c r="GU97" s="36">
        <f t="shared" ca="1" si="246"/>
        <v>51.408605573721047</v>
      </c>
      <c r="GV97" s="36">
        <f t="shared" ca="1" si="246"/>
        <v>50.911774628302162</v>
      </c>
      <c r="GW97" s="36">
        <f t="shared" ca="1" si="246"/>
        <v>50.350631215151267</v>
      </c>
      <c r="GX97" s="36">
        <f t="shared" ca="1" si="246"/>
        <v>49.910358204070732</v>
      </c>
      <c r="GY97" s="36">
        <f t="shared" ca="1" si="246"/>
        <v>50.423948371641011</v>
      </c>
      <c r="GZ97" s="36">
        <f t="shared" ca="1" si="246"/>
        <v>50.313270648734004</v>
      </c>
      <c r="HA97" s="36">
        <f t="shared" ca="1" si="246"/>
        <v>48.763672773080557</v>
      </c>
      <c r="HB97" s="36">
        <f t="shared" ca="1" si="246"/>
        <v>48.629460397641502</v>
      </c>
      <c r="HC97" s="36">
        <f t="shared" ca="1" si="246"/>
        <v>47.735389991761956</v>
      </c>
      <c r="HD97" s="36">
        <f t="shared" ca="1" si="246"/>
        <v>47.866787218902239</v>
      </c>
      <c r="HE97" s="36">
        <f t="shared" ca="1" si="246"/>
        <v>47.046170184420362</v>
      </c>
      <c r="HF97" s="36">
        <f t="shared" ca="1" si="246"/>
        <v>47.321456151728192</v>
      </c>
      <c r="HG97" s="36">
        <f t="shared" ca="1" si="246"/>
        <v>47.27160582319901</v>
      </c>
      <c r="HH97" s="36">
        <f t="shared" ca="1" si="246"/>
        <v>48.151787070791272</v>
      </c>
      <c r="HI97" s="36">
        <f t="shared" ref="HI97:HX108" ca="1" si="247">HH97*EXP(($B$3-$B$4^2/2)*1+$B$4*_xlfn.NORM.S.INV(RAND()))</f>
        <v>47.203863973685017</v>
      </c>
      <c r="HJ97" s="36">
        <f t="shared" ca="1" si="247"/>
        <v>45.367952068165984</v>
      </c>
      <c r="HK97" s="36">
        <f t="shared" ca="1" si="247"/>
        <v>45.812239821253208</v>
      </c>
      <c r="HL97" s="36">
        <f t="shared" ca="1" si="247"/>
        <v>45.96307194831855</v>
      </c>
      <c r="HM97" s="36">
        <f t="shared" ca="1" si="247"/>
        <v>45.528967611640709</v>
      </c>
      <c r="HN97" s="36">
        <f t="shared" ca="1" si="247"/>
        <v>45.080582478008893</v>
      </c>
      <c r="HO97" s="36">
        <f t="shared" ca="1" si="247"/>
        <v>45.031882374132643</v>
      </c>
      <c r="HP97" s="36">
        <f t="shared" ca="1" si="247"/>
        <v>46.195329715853532</v>
      </c>
      <c r="HQ97" s="36">
        <f t="shared" ca="1" si="247"/>
        <v>46.617254572664997</v>
      </c>
      <c r="HR97" s="36">
        <f t="shared" ca="1" si="247"/>
        <v>47.695712634643662</v>
      </c>
      <c r="HS97" s="36">
        <f t="shared" ca="1" si="247"/>
        <v>48.337503054421376</v>
      </c>
      <c r="HT97" s="36">
        <f t="shared" ca="1" si="247"/>
        <v>48.763894282102022</v>
      </c>
      <c r="HU97" s="36">
        <f t="shared" ca="1" si="224"/>
        <v>49.045973630103447</v>
      </c>
      <c r="HV97" s="36">
        <f t="shared" ca="1" si="224"/>
        <v>48.976967373066472</v>
      </c>
      <c r="HW97" s="36">
        <f t="shared" ca="1" si="224"/>
        <v>48.662392762566633</v>
      </c>
      <c r="HX97" s="36">
        <f t="shared" ref="HX97:IU108" ca="1" si="248">HW97*EXP(($B$3-$B$4^2/2)*1+$B$4*_xlfn.NORM.S.INV(RAND()))</f>
        <v>49.215818695656147</v>
      </c>
      <c r="HY97" s="36">
        <f t="shared" ca="1" si="248"/>
        <v>49.750861579336672</v>
      </c>
      <c r="HZ97" s="36">
        <f t="shared" ca="1" si="248"/>
        <v>49.963693715367484</v>
      </c>
      <c r="IA97" s="36">
        <f t="shared" ca="1" si="248"/>
        <v>49.508456737371091</v>
      </c>
      <c r="IB97" s="36">
        <f t="shared" ca="1" si="248"/>
        <v>48.910538667589982</v>
      </c>
      <c r="IC97" s="36">
        <f t="shared" ca="1" si="248"/>
        <v>48.801180800223641</v>
      </c>
      <c r="ID97" s="36">
        <f t="shared" ca="1" si="248"/>
        <v>48.865610099890681</v>
      </c>
      <c r="IE97" s="36">
        <f t="shared" ca="1" si="248"/>
        <v>47.776656031276566</v>
      </c>
      <c r="IF97" s="36">
        <f t="shared" ca="1" si="248"/>
        <v>47.733234734312433</v>
      </c>
      <c r="IG97" s="36">
        <f t="shared" ca="1" si="248"/>
        <v>47.27143106831128</v>
      </c>
      <c r="IH97" s="36">
        <f t="shared" ca="1" si="248"/>
        <v>46.60160262251128</v>
      </c>
      <c r="II97" s="36">
        <f t="shared" ca="1" si="248"/>
        <v>46.758722572786162</v>
      </c>
      <c r="IJ97" s="36">
        <f t="shared" ca="1" si="248"/>
        <v>47.215054769584412</v>
      </c>
      <c r="IK97" s="36">
        <f t="shared" ca="1" si="248"/>
        <v>46.256909486751113</v>
      </c>
      <c r="IL97" s="36">
        <f t="shared" ca="1" si="248"/>
        <v>46.399790546589692</v>
      </c>
      <c r="IM97" s="36">
        <f t="shared" ca="1" si="248"/>
        <v>47.547346191011535</v>
      </c>
      <c r="IN97" s="36">
        <f t="shared" ca="1" si="248"/>
        <v>47.647620005022553</v>
      </c>
      <c r="IO97" s="36">
        <f t="shared" ca="1" si="248"/>
        <v>46.507012442144806</v>
      </c>
      <c r="IP97" s="36">
        <f t="shared" ca="1" si="248"/>
        <v>46.749007752651579</v>
      </c>
      <c r="IQ97" s="36">
        <f t="shared" ca="1" si="248"/>
        <v>47.437254442132165</v>
      </c>
      <c r="IR97" s="36">
        <f t="shared" ca="1" si="248"/>
        <v>46.681757941430519</v>
      </c>
      <c r="IS97" s="36">
        <f t="shared" ca="1" si="248"/>
        <v>46.664279857381153</v>
      </c>
      <c r="IT97" s="36">
        <f t="shared" ca="1" si="248"/>
        <v>45.559536658306314</v>
      </c>
      <c r="IU97" s="36">
        <f t="shared" ca="1" si="248"/>
        <v>45.64818731535162</v>
      </c>
    </row>
    <row r="98" spans="1:255" x14ac:dyDescent="0.2">
      <c r="A98" s="36"/>
      <c r="B98">
        <v>88</v>
      </c>
      <c r="C98" s="36">
        <v>50</v>
      </c>
      <c r="D98" s="36">
        <f t="shared" ca="1" si="188"/>
        <v>50.119669010557047</v>
      </c>
      <c r="E98" s="36">
        <f t="shared" ca="1" si="188"/>
        <v>50.383621296993809</v>
      </c>
      <c r="F98" s="36">
        <f t="shared" ref="F98:BQ101" ca="1" si="249">E98*EXP(($B$3-$B$4^2/2)*1+$B$4*_xlfn.NORM.S.INV(RAND()))</f>
        <v>50.3105814891778</v>
      </c>
      <c r="G98" s="36">
        <f t="shared" ca="1" si="249"/>
        <v>50.317181004382931</v>
      </c>
      <c r="H98" s="36">
        <f t="shared" ca="1" si="249"/>
        <v>50.76307480934171</v>
      </c>
      <c r="I98" s="36">
        <f t="shared" ca="1" si="249"/>
        <v>51.436412521001081</v>
      </c>
      <c r="J98" s="36">
        <f t="shared" ca="1" si="249"/>
        <v>52.044800949247396</v>
      </c>
      <c r="K98" s="36">
        <f t="shared" ca="1" si="249"/>
        <v>52.235508386230592</v>
      </c>
      <c r="L98" s="36">
        <f t="shared" ca="1" si="249"/>
        <v>52.11638786266473</v>
      </c>
      <c r="M98" s="36">
        <f t="shared" ca="1" si="249"/>
        <v>52.606319586063982</v>
      </c>
      <c r="N98" s="36">
        <f t="shared" ca="1" si="249"/>
        <v>52.573972731927462</v>
      </c>
      <c r="O98" s="36">
        <f t="shared" ca="1" si="249"/>
        <v>53.482861376010007</v>
      </c>
      <c r="P98" s="36">
        <f t="shared" ca="1" si="249"/>
        <v>54.202158916432765</v>
      </c>
      <c r="Q98" s="36">
        <f t="shared" ca="1" si="249"/>
        <v>54.273787284004911</v>
      </c>
      <c r="R98" s="36">
        <f t="shared" ca="1" si="249"/>
        <v>55.190436284866081</v>
      </c>
      <c r="S98" s="36">
        <f t="shared" ca="1" si="249"/>
        <v>54.980189329047043</v>
      </c>
      <c r="T98" s="36">
        <f t="shared" ca="1" si="249"/>
        <v>55.629717507474787</v>
      </c>
      <c r="U98" s="36">
        <f t="shared" ca="1" si="249"/>
        <v>55.589414061337862</v>
      </c>
      <c r="V98" s="36">
        <f t="shared" ca="1" si="249"/>
        <v>55.331229477126982</v>
      </c>
      <c r="W98" s="36">
        <f t="shared" ca="1" si="249"/>
        <v>54.274850350364531</v>
      </c>
      <c r="X98" s="36">
        <f t="shared" ca="1" si="249"/>
        <v>54.41198987214797</v>
      </c>
      <c r="Y98" s="36">
        <f t="shared" ca="1" si="249"/>
        <v>54.708281773557012</v>
      </c>
      <c r="Z98" s="36">
        <f t="shared" ca="1" si="249"/>
        <v>56.009443622767044</v>
      </c>
      <c r="AA98" s="36">
        <f t="shared" ca="1" si="249"/>
        <v>57.764700700643182</v>
      </c>
      <c r="AB98" s="36">
        <f t="shared" ca="1" si="249"/>
        <v>57.677443175708504</v>
      </c>
      <c r="AC98" s="36">
        <f t="shared" ca="1" si="249"/>
        <v>57.286877856271389</v>
      </c>
      <c r="AD98" s="36">
        <f t="shared" ca="1" si="249"/>
        <v>56.82304050026859</v>
      </c>
      <c r="AE98" s="36">
        <f t="shared" ca="1" si="249"/>
        <v>57.751036310056833</v>
      </c>
      <c r="AF98" s="36">
        <f t="shared" ca="1" si="249"/>
        <v>57.257082392274178</v>
      </c>
      <c r="AG98" s="36">
        <f t="shared" ca="1" si="249"/>
        <v>56.635464533842438</v>
      </c>
      <c r="AH98" s="36">
        <f t="shared" ca="1" si="249"/>
        <v>55.767195676702691</v>
      </c>
      <c r="AI98" s="36">
        <f t="shared" ca="1" si="249"/>
        <v>56.157738880607546</v>
      </c>
      <c r="AJ98" s="36">
        <f t="shared" ca="1" si="249"/>
        <v>56.930918898139666</v>
      </c>
      <c r="AK98" s="36">
        <f t="shared" ca="1" si="249"/>
        <v>56.914482618434128</v>
      </c>
      <c r="AL98" s="36">
        <f t="shared" ca="1" si="249"/>
        <v>57.124210269353618</v>
      </c>
      <c r="AM98" s="36">
        <f t="shared" ca="1" si="249"/>
        <v>57.271497971103088</v>
      </c>
      <c r="AN98" s="36">
        <f t="shared" ca="1" si="249"/>
        <v>57.125601803354613</v>
      </c>
      <c r="AO98" s="36">
        <f t="shared" ca="1" si="249"/>
        <v>57.265651936966947</v>
      </c>
      <c r="AP98" s="36">
        <f t="shared" ca="1" si="249"/>
        <v>56.956837287398287</v>
      </c>
      <c r="AQ98" s="36">
        <f t="shared" ca="1" si="249"/>
        <v>56.813367977389504</v>
      </c>
      <c r="AR98" s="36">
        <f t="shared" ca="1" si="249"/>
        <v>57.612132722240958</v>
      </c>
      <c r="AS98" s="36">
        <f t="shared" ca="1" si="249"/>
        <v>57.194236098400445</v>
      </c>
      <c r="AT98" s="36">
        <f t="shared" ca="1" si="249"/>
        <v>56.878353134514136</v>
      </c>
      <c r="AU98" s="36">
        <f t="shared" ca="1" si="249"/>
        <v>57.173388473051858</v>
      </c>
      <c r="AV98" s="36">
        <f t="shared" ca="1" si="249"/>
        <v>56.855155278510978</v>
      </c>
      <c r="AW98" s="36">
        <f t="shared" ca="1" si="249"/>
        <v>57.176335701589167</v>
      </c>
      <c r="AX98" s="36">
        <f t="shared" ca="1" si="249"/>
        <v>58.071517988204853</v>
      </c>
      <c r="AY98" s="36">
        <f t="shared" ca="1" si="249"/>
        <v>57.064492883409898</v>
      </c>
      <c r="AZ98" s="36">
        <f t="shared" ca="1" si="249"/>
        <v>55.84889129622033</v>
      </c>
      <c r="BA98" s="36">
        <f t="shared" ca="1" si="249"/>
        <v>55.57843359627217</v>
      </c>
      <c r="BB98" s="36">
        <f t="shared" ca="1" si="249"/>
        <v>55.122646526072522</v>
      </c>
      <c r="BC98" s="36">
        <f t="shared" ca="1" si="249"/>
        <v>55.625701751923764</v>
      </c>
      <c r="BD98" s="36">
        <f t="shared" ca="1" si="249"/>
        <v>56.283705289640103</v>
      </c>
      <c r="BE98" s="36">
        <f t="shared" ca="1" si="249"/>
        <v>56.818028892396818</v>
      </c>
      <c r="BF98" s="36">
        <f t="shared" ca="1" si="249"/>
        <v>56.283328022331524</v>
      </c>
      <c r="BG98" s="36">
        <f t="shared" ca="1" si="249"/>
        <v>56.360966604053466</v>
      </c>
      <c r="BH98" s="36">
        <f t="shared" ca="1" si="249"/>
        <v>56.48597770260394</v>
      </c>
      <c r="BI98" s="36">
        <f t="shared" ca="1" si="249"/>
        <v>57.581725823852231</v>
      </c>
      <c r="BJ98" s="36">
        <f t="shared" ca="1" si="249"/>
        <v>56.55984272345809</v>
      </c>
      <c r="BK98" s="36">
        <f t="shared" ca="1" si="249"/>
        <v>56.726584295819976</v>
      </c>
      <c r="BL98" s="36">
        <f t="shared" ca="1" si="249"/>
        <v>55.153710142930933</v>
      </c>
      <c r="BM98" s="36">
        <f t="shared" ca="1" si="249"/>
        <v>55.450856563752005</v>
      </c>
      <c r="BN98" s="36">
        <f t="shared" ca="1" si="249"/>
        <v>55.256592846693728</v>
      </c>
      <c r="BO98" s="36">
        <f t="shared" ca="1" si="249"/>
        <v>56.333365004041219</v>
      </c>
      <c r="BP98" s="36">
        <f t="shared" ca="1" si="249"/>
        <v>57.201991462829596</v>
      </c>
      <c r="BQ98" s="36">
        <f t="shared" ca="1" si="249"/>
        <v>58.149437145270944</v>
      </c>
      <c r="BR98" s="36">
        <f t="shared" ca="1" si="245"/>
        <v>58.71907790964358</v>
      </c>
      <c r="BS98" s="36">
        <f t="shared" ca="1" si="245"/>
        <v>58.942665053683783</v>
      </c>
      <c r="BT98" s="36">
        <f t="shared" ca="1" si="245"/>
        <v>59.401249415917107</v>
      </c>
      <c r="BU98" s="36">
        <f t="shared" ca="1" si="245"/>
        <v>60.460178234814002</v>
      </c>
      <c r="BV98" s="36">
        <f t="shared" ca="1" si="245"/>
        <v>60.168827548521023</v>
      </c>
      <c r="BW98" s="36">
        <f t="shared" ca="1" si="245"/>
        <v>60.753065858094089</v>
      </c>
      <c r="BX98" s="36">
        <f t="shared" ca="1" si="245"/>
        <v>60.003709366558226</v>
      </c>
      <c r="BY98" s="36">
        <f t="shared" ca="1" si="245"/>
        <v>60.406356928749709</v>
      </c>
      <c r="BZ98" s="36">
        <f t="shared" ca="1" si="245"/>
        <v>61.879945392341789</v>
      </c>
      <c r="CA98" s="36">
        <f t="shared" ca="1" si="245"/>
        <v>62.167629089940917</v>
      </c>
      <c r="CB98" s="36">
        <f t="shared" ca="1" si="245"/>
        <v>60.146992003304597</v>
      </c>
      <c r="CC98" s="36">
        <f t="shared" ca="1" si="245"/>
        <v>60.962383351834987</v>
      </c>
      <c r="CD98" s="36">
        <f t="shared" ca="1" si="245"/>
        <v>62.149691988157848</v>
      </c>
      <c r="CE98" s="36">
        <f t="shared" ca="1" si="245"/>
        <v>62.889910438452752</v>
      </c>
      <c r="CF98" s="36">
        <f t="shared" ca="1" si="245"/>
        <v>63.806515407737585</v>
      </c>
      <c r="CG98" s="36">
        <f t="shared" ca="1" si="245"/>
        <v>62.676169727873024</v>
      </c>
      <c r="CH98" s="36">
        <f t="shared" ca="1" si="245"/>
        <v>62.750895645585665</v>
      </c>
      <c r="CI98" s="36">
        <f t="shared" ca="1" si="245"/>
        <v>62.220930526178861</v>
      </c>
      <c r="CJ98" s="36">
        <f t="shared" ca="1" si="245"/>
        <v>62.703095529484571</v>
      </c>
      <c r="CK98" s="36">
        <f t="shared" ca="1" si="245"/>
        <v>62.432667018459256</v>
      </c>
      <c r="CL98" s="36">
        <f t="shared" ca="1" si="245"/>
        <v>63.267786216113208</v>
      </c>
      <c r="CM98" s="36">
        <f t="shared" ca="1" si="245"/>
        <v>61.919929059840364</v>
      </c>
      <c r="CN98" s="36">
        <f t="shared" ca="1" si="245"/>
        <v>61.346464998160528</v>
      </c>
      <c r="CO98" s="36">
        <f t="shared" ca="1" si="245"/>
        <v>61.057671205585329</v>
      </c>
      <c r="CP98" s="36">
        <f t="shared" ca="1" si="245"/>
        <v>61.512412841525133</v>
      </c>
      <c r="CQ98" s="36">
        <f t="shared" ca="1" si="245"/>
        <v>60.84050227725939</v>
      </c>
      <c r="CR98" s="36">
        <f t="shared" ca="1" si="245"/>
        <v>60.316948331651588</v>
      </c>
      <c r="CS98" s="36">
        <f t="shared" ca="1" si="245"/>
        <v>60.20006664213301</v>
      </c>
      <c r="CT98" s="36">
        <f t="shared" ca="1" si="245"/>
        <v>60.18491416651802</v>
      </c>
      <c r="CU98" s="36">
        <f t="shared" ca="1" si="245"/>
        <v>60.848330072476628</v>
      </c>
      <c r="CV98" s="36">
        <f t="shared" ca="1" si="245"/>
        <v>61.683288475854127</v>
      </c>
      <c r="CW98" s="36">
        <f t="shared" ca="1" si="245"/>
        <v>62.265299711544969</v>
      </c>
      <c r="CX98" s="36">
        <f t="shared" ca="1" si="245"/>
        <v>61.871758023233717</v>
      </c>
      <c r="CY98" s="36">
        <f t="shared" ca="1" si="245"/>
        <v>62.729523323682798</v>
      </c>
      <c r="CZ98" s="36">
        <f t="shared" ca="1" si="245"/>
        <v>62.190755773523954</v>
      </c>
      <c r="DA98" s="36">
        <f t="shared" ca="1" si="245"/>
        <v>60.6408140515925</v>
      </c>
      <c r="DB98" s="36">
        <f t="shared" ca="1" si="245"/>
        <v>60.806266579491449</v>
      </c>
      <c r="DC98" s="36">
        <f t="shared" ca="1" si="245"/>
        <v>59.821215922522491</v>
      </c>
      <c r="DD98" s="36">
        <f t="shared" ca="1" si="245"/>
        <v>59.453100448718608</v>
      </c>
      <c r="DE98" s="36">
        <f t="shared" ca="1" si="245"/>
        <v>61.225559964465504</v>
      </c>
      <c r="DF98" s="36">
        <f t="shared" ca="1" si="245"/>
        <v>61.204764004322563</v>
      </c>
      <c r="DG98" s="36">
        <f t="shared" ca="1" si="245"/>
        <v>60.545441284308446</v>
      </c>
      <c r="DH98" s="36">
        <f t="shared" ca="1" si="245"/>
        <v>60.728374264586272</v>
      </c>
      <c r="DI98" s="36">
        <f t="shared" ca="1" si="245"/>
        <v>59.708730713245899</v>
      </c>
      <c r="DJ98" s="36">
        <f t="shared" ca="1" si="245"/>
        <v>59.600886568327176</v>
      </c>
      <c r="DK98" s="36">
        <f t="shared" ca="1" si="245"/>
        <v>59.29251077877624</v>
      </c>
      <c r="DL98" s="36">
        <f t="shared" ca="1" si="245"/>
        <v>58.476934495565175</v>
      </c>
      <c r="DM98" s="36">
        <f t="shared" ca="1" si="245"/>
        <v>58.413425369680496</v>
      </c>
      <c r="DN98" s="36">
        <f t="shared" ca="1" si="245"/>
        <v>59.93984942670599</v>
      </c>
      <c r="DO98" s="36">
        <f t="shared" ca="1" si="245"/>
        <v>59.389924896034209</v>
      </c>
      <c r="DP98" s="36">
        <f t="shared" ca="1" si="245"/>
        <v>59.505259212343532</v>
      </c>
      <c r="DQ98" s="36">
        <f t="shared" ca="1" si="245"/>
        <v>59.615348919993068</v>
      </c>
      <c r="DR98" s="36">
        <f t="shared" ca="1" si="245"/>
        <v>60.561977223973599</v>
      </c>
      <c r="DS98" s="36">
        <f t="shared" ca="1" si="245"/>
        <v>61.3968604559848</v>
      </c>
      <c r="DT98" s="36">
        <f t="shared" ca="1" si="245"/>
        <v>60.562608451684675</v>
      </c>
      <c r="DU98" s="36">
        <f t="shared" ca="1" si="245"/>
        <v>60.288857204051546</v>
      </c>
      <c r="DV98" s="36">
        <f t="shared" ca="1" si="245"/>
        <v>60.171082705731742</v>
      </c>
      <c r="DW98" s="36">
        <f t="shared" ca="1" si="245"/>
        <v>60.309873705654361</v>
      </c>
      <c r="DX98" s="36">
        <f t="shared" ca="1" si="245"/>
        <v>59.537303025866805</v>
      </c>
      <c r="DY98" s="36">
        <f t="shared" ca="1" si="245"/>
        <v>59.931838012177934</v>
      </c>
      <c r="DZ98" s="36">
        <f t="shared" ca="1" si="245"/>
        <v>59.283794823551666</v>
      </c>
      <c r="EA98" s="36">
        <f t="shared" ca="1" si="245"/>
        <v>60.371039934524603</v>
      </c>
      <c r="EB98" s="36">
        <f t="shared" ca="1" si="245"/>
        <v>61.632601157244331</v>
      </c>
      <c r="EC98" s="36">
        <f t="shared" ca="1" si="239"/>
        <v>62.640136235705071</v>
      </c>
      <c r="ED98" s="36">
        <f t="shared" ca="1" si="239"/>
        <v>61.430463975483363</v>
      </c>
      <c r="EE98" s="36">
        <f t="shared" ca="1" si="239"/>
        <v>62.680290432097834</v>
      </c>
      <c r="EF98" s="36">
        <f t="shared" ca="1" si="239"/>
        <v>62.445250274683296</v>
      </c>
      <c r="EG98" s="36">
        <f t="shared" ca="1" si="239"/>
        <v>63.38577927433267</v>
      </c>
      <c r="EH98" s="36">
        <f t="shared" ca="1" si="239"/>
        <v>63.324204270748638</v>
      </c>
      <c r="EI98" s="36">
        <f t="shared" ca="1" si="239"/>
        <v>62.456614321103388</v>
      </c>
      <c r="EJ98" s="36">
        <f t="shared" ca="1" si="239"/>
        <v>62.784414581209695</v>
      </c>
      <c r="EK98" s="36">
        <f t="shared" ca="1" si="239"/>
        <v>65.56075503658424</v>
      </c>
      <c r="EL98" s="36">
        <f t="shared" ca="1" si="239"/>
        <v>64.556768198844281</v>
      </c>
      <c r="EM98" s="36">
        <f t="shared" ca="1" si="239"/>
        <v>64.540423346282807</v>
      </c>
      <c r="EN98" s="36">
        <f t="shared" ca="1" si="239"/>
        <v>64.439257245330623</v>
      </c>
      <c r="EO98" s="36">
        <f t="shared" ca="1" si="239"/>
        <v>65.274799821244883</v>
      </c>
      <c r="EP98" s="36">
        <f t="shared" ca="1" si="239"/>
        <v>65.888639620153043</v>
      </c>
      <c r="EQ98" s="36">
        <f t="shared" ca="1" si="239"/>
        <v>66.878857734986667</v>
      </c>
      <c r="ER98" s="36">
        <f t="shared" ca="1" si="239"/>
        <v>67.408634205858135</v>
      </c>
      <c r="ES98" s="36">
        <f t="shared" ca="1" si="239"/>
        <v>67.305117393996639</v>
      </c>
      <c r="ET98" s="36">
        <f t="shared" ca="1" si="239"/>
        <v>65.880472045262337</v>
      </c>
      <c r="EU98" s="36">
        <f t="shared" ca="1" si="239"/>
        <v>65.652751053674947</v>
      </c>
      <c r="EV98" s="36">
        <f t="shared" ca="1" si="239"/>
        <v>64.992410893243701</v>
      </c>
      <c r="EW98" s="36">
        <f t="shared" ref="EW98" ca="1" si="250">EV98*EXP(($B$3-$B$4^2/2)*1+$B$4*_xlfn.NORM.S.INV(RAND()))</f>
        <v>65.947551827258692</v>
      </c>
      <c r="EX98" s="36">
        <f t="shared" ca="1" si="246"/>
        <v>65.652319381853715</v>
      </c>
      <c r="EY98" s="36">
        <f t="shared" ca="1" si="246"/>
        <v>64.600223040379646</v>
      </c>
      <c r="EZ98" s="36">
        <f t="shared" ca="1" si="246"/>
        <v>64.394408708253607</v>
      </c>
      <c r="FA98" s="36">
        <f t="shared" ca="1" si="246"/>
        <v>63.961391305673246</v>
      </c>
      <c r="FB98" s="36">
        <f t="shared" ca="1" si="246"/>
        <v>64.112707971994723</v>
      </c>
      <c r="FC98" s="36">
        <f t="shared" ca="1" si="246"/>
        <v>62.749555345160857</v>
      </c>
      <c r="FD98" s="36">
        <f t="shared" ca="1" si="246"/>
        <v>61.483989949708558</v>
      </c>
      <c r="FE98" s="36">
        <f t="shared" ca="1" si="246"/>
        <v>61.709221490808275</v>
      </c>
      <c r="FF98" s="36">
        <f t="shared" ca="1" si="246"/>
        <v>62.981086170765828</v>
      </c>
      <c r="FG98" s="36">
        <f t="shared" ca="1" si="246"/>
        <v>63.967403883165126</v>
      </c>
      <c r="FH98" s="36">
        <f t="shared" ca="1" si="246"/>
        <v>64.595659124010368</v>
      </c>
      <c r="FI98" s="36">
        <f t="shared" ca="1" si="246"/>
        <v>64.249636587022593</v>
      </c>
      <c r="FJ98" s="36">
        <f t="shared" ca="1" si="246"/>
        <v>64.117368755114384</v>
      </c>
      <c r="FK98" s="36">
        <f t="shared" ca="1" si="246"/>
        <v>64.746489076976147</v>
      </c>
      <c r="FL98" s="36">
        <f t="shared" ca="1" si="246"/>
        <v>64.177284116584417</v>
      </c>
      <c r="FM98" s="36">
        <f t="shared" ca="1" si="246"/>
        <v>65.382266895759912</v>
      </c>
      <c r="FN98" s="36">
        <f t="shared" ca="1" si="246"/>
        <v>65.837775798164756</v>
      </c>
      <c r="FO98" s="36">
        <f t="shared" ca="1" si="246"/>
        <v>65.923807291075406</v>
      </c>
      <c r="FP98" s="36">
        <f t="shared" ca="1" si="246"/>
        <v>64.557717367005722</v>
      </c>
      <c r="FQ98" s="36">
        <f t="shared" ca="1" si="246"/>
        <v>63.472828141311091</v>
      </c>
      <c r="FR98" s="36">
        <f t="shared" ca="1" si="246"/>
        <v>63.300368601547063</v>
      </c>
      <c r="FS98" s="36">
        <f t="shared" ca="1" si="246"/>
        <v>63.73903192553415</v>
      </c>
      <c r="FT98" s="36">
        <f t="shared" ca="1" si="246"/>
        <v>63.75118567956428</v>
      </c>
      <c r="FU98" s="36">
        <f t="shared" ca="1" si="246"/>
        <v>64.49379665910179</v>
      </c>
      <c r="FV98" s="36">
        <f t="shared" ca="1" si="246"/>
        <v>64.948774104967441</v>
      </c>
      <c r="FW98" s="36">
        <f t="shared" ca="1" si="246"/>
        <v>63.961305047282771</v>
      </c>
      <c r="FX98" s="36">
        <f t="shared" ca="1" si="246"/>
        <v>64.266330638853248</v>
      </c>
      <c r="FY98" s="36">
        <f t="shared" ca="1" si="246"/>
        <v>64.036062345545119</v>
      </c>
      <c r="FZ98" s="36">
        <f t="shared" ca="1" si="246"/>
        <v>64.208027230027554</v>
      </c>
      <c r="GA98" s="36">
        <f t="shared" ca="1" si="246"/>
        <v>66.016632389573076</v>
      </c>
      <c r="GB98" s="36">
        <f t="shared" ca="1" si="246"/>
        <v>66.488322723468912</v>
      </c>
      <c r="GC98" s="36">
        <f t="shared" ca="1" si="246"/>
        <v>66.333243801049633</v>
      </c>
      <c r="GD98" s="36">
        <f t="shared" ca="1" si="246"/>
        <v>65.369414856315458</v>
      </c>
      <c r="GE98" s="36">
        <f t="shared" ca="1" si="246"/>
        <v>66.316827290210597</v>
      </c>
      <c r="GF98" s="36">
        <f t="shared" ca="1" si="246"/>
        <v>64.558408927214302</v>
      </c>
      <c r="GG98" s="36">
        <f t="shared" ca="1" si="246"/>
        <v>63.749576423600665</v>
      </c>
      <c r="GH98" s="36">
        <f t="shared" ca="1" si="246"/>
        <v>65.034452914216629</v>
      </c>
      <c r="GI98" s="36">
        <f t="shared" ca="1" si="246"/>
        <v>66.031113301349905</v>
      </c>
      <c r="GJ98" s="36">
        <f t="shared" ca="1" si="246"/>
        <v>65.030638562564206</v>
      </c>
      <c r="GK98" s="36">
        <f t="shared" ca="1" si="246"/>
        <v>65.294758637104792</v>
      </c>
      <c r="GL98" s="36">
        <f t="shared" ca="1" si="246"/>
        <v>66.393662268658034</v>
      </c>
      <c r="GM98" s="36">
        <f t="shared" ca="1" si="246"/>
        <v>67.011778873608819</v>
      </c>
      <c r="GN98" s="36">
        <f t="shared" ca="1" si="246"/>
        <v>66.522560874590894</v>
      </c>
      <c r="GO98" s="36">
        <f t="shared" ca="1" si="246"/>
        <v>66.562180392275906</v>
      </c>
      <c r="GP98" s="36">
        <f t="shared" ca="1" si="246"/>
        <v>67.09046055563266</v>
      </c>
      <c r="GQ98" s="36">
        <f t="shared" ca="1" si="246"/>
        <v>67.555643647071889</v>
      </c>
      <c r="GR98" s="36">
        <f t="shared" ca="1" si="246"/>
        <v>68.843615189189606</v>
      </c>
      <c r="GS98" s="36">
        <f t="shared" ca="1" si="246"/>
        <v>68.516662366410429</v>
      </c>
      <c r="GT98" s="36">
        <f t="shared" ca="1" si="246"/>
        <v>67.304855345957336</v>
      </c>
      <c r="GU98" s="36">
        <f t="shared" ca="1" si="246"/>
        <v>67.487367622334844</v>
      </c>
      <c r="GV98" s="36">
        <f t="shared" ca="1" si="246"/>
        <v>66.396148644869243</v>
      </c>
      <c r="GW98" s="36">
        <f t="shared" ca="1" si="246"/>
        <v>66.198606992880414</v>
      </c>
      <c r="GX98" s="36">
        <f t="shared" ca="1" si="246"/>
        <v>67.252353013883138</v>
      </c>
      <c r="GY98" s="36">
        <f t="shared" ca="1" si="246"/>
        <v>65.162777502760036</v>
      </c>
      <c r="GZ98" s="36">
        <f t="shared" ca="1" si="246"/>
        <v>66.035874027573911</v>
      </c>
      <c r="HA98" s="36">
        <f t="shared" ca="1" si="246"/>
        <v>66.570407755534248</v>
      </c>
      <c r="HB98" s="36">
        <f t="shared" ca="1" si="246"/>
        <v>67.418874724346551</v>
      </c>
      <c r="HC98" s="36">
        <f t="shared" ca="1" si="246"/>
        <v>67.879798917348481</v>
      </c>
      <c r="HD98" s="36">
        <f t="shared" ca="1" si="246"/>
        <v>68.91873701970465</v>
      </c>
      <c r="HE98" s="36">
        <f t="shared" ca="1" si="246"/>
        <v>69.329900880388251</v>
      </c>
      <c r="HF98" s="36">
        <f t="shared" ca="1" si="246"/>
        <v>69.445622759522891</v>
      </c>
      <c r="HG98" s="36">
        <f t="shared" ca="1" si="246"/>
        <v>70.145860333700867</v>
      </c>
      <c r="HH98" s="36">
        <f t="shared" ca="1" si="246"/>
        <v>70.587797559635561</v>
      </c>
      <c r="HI98" s="36">
        <f t="shared" ca="1" si="247"/>
        <v>69.944465985139942</v>
      </c>
      <c r="HJ98" s="36">
        <f t="shared" ca="1" si="247"/>
        <v>69.697097570230355</v>
      </c>
      <c r="HK98" s="36">
        <f t="shared" ca="1" si="247"/>
        <v>70.665900324103532</v>
      </c>
      <c r="HL98" s="36">
        <f t="shared" ca="1" si="247"/>
        <v>70.585196820071147</v>
      </c>
      <c r="HM98" s="36">
        <f t="shared" ca="1" si="247"/>
        <v>69.474906696773274</v>
      </c>
      <c r="HN98" s="36">
        <f t="shared" ca="1" si="247"/>
        <v>69.639190846956822</v>
      </c>
      <c r="HO98" s="36">
        <f t="shared" ca="1" si="247"/>
        <v>70.903303798485695</v>
      </c>
      <c r="HP98" s="36">
        <f t="shared" ca="1" si="247"/>
        <v>72.641621781895438</v>
      </c>
      <c r="HQ98" s="36">
        <f t="shared" ca="1" si="247"/>
        <v>74.155939690602324</v>
      </c>
      <c r="HR98" s="36">
        <f t="shared" ca="1" si="247"/>
        <v>74.286383250838156</v>
      </c>
      <c r="HS98" s="36">
        <f t="shared" ca="1" si="247"/>
        <v>73.69873667369616</v>
      </c>
      <c r="HT98" s="36">
        <f t="shared" ca="1" si="247"/>
        <v>73.792156135791387</v>
      </c>
      <c r="HU98" s="36">
        <f t="shared" ca="1" si="247"/>
        <v>73.408124890676149</v>
      </c>
      <c r="HV98" s="36">
        <f t="shared" ca="1" si="247"/>
        <v>73.037968419347351</v>
      </c>
      <c r="HW98" s="36">
        <f t="shared" ca="1" si="247"/>
        <v>72.86263208003389</v>
      </c>
      <c r="HX98" s="36">
        <f t="shared" ca="1" si="247"/>
        <v>72.972023616528531</v>
      </c>
      <c r="HY98" s="36">
        <f t="shared" ca="1" si="248"/>
        <v>73.057511588936393</v>
      </c>
      <c r="HZ98" s="36">
        <f t="shared" ca="1" si="248"/>
        <v>73.13555209241936</v>
      </c>
      <c r="IA98" s="36">
        <f t="shared" ca="1" si="248"/>
        <v>74.061921247734034</v>
      </c>
      <c r="IB98" s="36">
        <f t="shared" ca="1" si="248"/>
        <v>74.284023469765444</v>
      </c>
      <c r="IC98" s="36">
        <f t="shared" ca="1" si="248"/>
        <v>75.128481341751126</v>
      </c>
      <c r="ID98" s="36">
        <f t="shared" ca="1" si="248"/>
        <v>76.53424981480525</v>
      </c>
      <c r="IE98" s="36">
        <f t="shared" ca="1" si="248"/>
        <v>76.986972397694203</v>
      </c>
      <c r="IF98" s="36">
        <f t="shared" ca="1" si="248"/>
        <v>77.598788254909351</v>
      </c>
      <c r="IG98" s="36">
        <f t="shared" ca="1" si="248"/>
        <v>77.041716380639329</v>
      </c>
      <c r="IH98" s="36">
        <f t="shared" ca="1" si="248"/>
        <v>78.032646529365451</v>
      </c>
      <c r="II98" s="36">
        <f t="shared" ca="1" si="248"/>
        <v>78.413228126346723</v>
      </c>
      <c r="IJ98" s="36">
        <f t="shared" ca="1" si="248"/>
        <v>79.424332120052654</v>
      </c>
      <c r="IK98" s="36">
        <f t="shared" ca="1" si="248"/>
        <v>79.653412190110103</v>
      </c>
      <c r="IL98" s="36">
        <f t="shared" ca="1" si="248"/>
        <v>79.220143196490199</v>
      </c>
      <c r="IM98" s="36">
        <f t="shared" ca="1" si="248"/>
        <v>80.567117851565854</v>
      </c>
      <c r="IN98" s="36">
        <f t="shared" ca="1" si="248"/>
        <v>80.527334027102896</v>
      </c>
      <c r="IO98" s="36">
        <f t="shared" ca="1" si="248"/>
        <v>77.589691268180658</v>
      </c>
      <c r="IP98" s="36">
        <f t="shared" ca="1" si="248"/>
        <v>76.940353180937166</v>
      </c>
      <c r="IQ98" s="36">
        <f t="shared" ca="1" si="248"/>
        <v>78.761378319006681</v>
      </c>
      <c r="IR98" s="36">
        <f t="shared" ca="1" si="248"/>
        <v>78.621472897062873</v>
      </c>
      <c r="IS98" s="36">
        <f t="shared" ca="1" si="248"/>
        <v>79.504891399563235</v>
      </c>
      <c r="IT98" s="36">
        <f t="shared" ca="1" si="248"/>
        <v>81.509546799365012</v>
      </c>
      <c r="IU98" s="36">
        <f t="shared" ca="1" si="248"/>
        <v>81.551344236159366</v>
      </c>
    </row>
    <row r="99" spans="1:255" x14ac:dyDescent="0.2">
      <c r="A99" s="36"/>
      <c r="B99">
        <v>89</v>
      </c>
      <c r="C99" s="36">
        <v>50</v>
      </c>
      <c r="D99" s="36">
        <f t="shared" ca="1" si="188"/>
        <v>49.591108443101902</v>
      </c>
      <c r="E99" s="36">
        <f t="shared" ca="1" si="188"/>
        <v>50.688790525539147</v>
      </c>
      <c r="F99" s="36">
        <f t="shared" ca="1" si="249"/>
        <v>49.890150891533658</v>
      </c>
      <c r="G99" s="36">
        <f t="shared" ca="1" si="249"/>
        <v>49.976564684099294</v>
      </c>
      <c r="H99" s="36">
        <f t="shared" ca="1" si="249"/>
        <v>50.333056856949106</v>
      </c>
      <c r="I99" s="36">
        <f t="shared" ca="1" si="249"/>
        <v>50.618309355040346</v>
      </c>
      <c r="J99" s="36">
        <f t="shared" ca="1" si="249"/>
        <v>51.010957239810999</v>
      </c>
      <c r="K99" s="36">
        <f t="shared" ca="1" si="249"/>
        <v>49.90816027799616</v>
      </c>
      <c r="L99" s="36">
        <f t="shared" ca="1" si="249"/>
        <v>49.440676996103775</v>
      </c>
      <c r="M99" s="36">
        <f t="shared" ca="1" si="249"/>
        <v>49.089415502672495</v>
      </c>
      <c r="N99" s="36">
        <f t="shared" ca="1" si="249"/>
        <v>49.327771426113145</v>
      </c>
      <c r="O99" s="36">
        <f t="shared" ca="1" si="249"/>
        <v>49.673028278709587</v>
      </c>
      <c r="P99" s="36">
        <f t="shared" ca="1" si="249"/>
        <v>49.696800874843198</v>
      </c>
      <c r="Q99" s="36">
        <f t="shared" ca="1" si="249"/>
        <v>49.908255686738713</v>
      </c>
      <c r="R99" s="36">
        <f t="shared" ca="1" si="249"/>
        <v>49.918903760944119</v>
      </c>
      <c r="S99" s="36">
        <f t="shared" ca="1" si="249"/>
        <v>49.938234573066296</v>
      </c>
      <c r="T99" s="36">
        <f t="shared" ca="1" si="249"/>
        <v>49.4579640409316</v>
      </c>
      <c r="U99" s="36">
        <f t="shared" ca="1" si="249"/>
        <v>49.959433084417277</v>
      </c>
      <c r="V99" s="36">
        <f t="shared" ca="1" si="249"/>
        <v>50.122699885306638</v>
      </c>
      <c r="W99" s="36">
        <f t="shared" ca="1" si="249"/>
        <v>50.233556024299716</v>
      </c>
      <c r="X99" s="36">
        <f t="shared" ca="1" si="249"/>
        <v>50.637993655834407</v>
      </c>
      <c r="Y99" s="36">
        <f t="shared" ca="1" si="249"/>
        <v>51.342166140975039</v>
      </c>
      <c r="Z99" s="36">
        <f t="shared" ca="1" si="249"/>
        <v>51.265255334805367</v>
      </c>
      <c r="AA99" s="36">
        <f t="shared" ca="1" si="249"/>
        <v>50.970758329447676</v>
      </c>
      <c r="AB99" s="36">
        <f t="shared" ca="1" si="249"/>
        <v>51.842148982623769</v>
      </c>
      <c r="AC99" s="36">
        <f t="shared" ca="1" si="249"/>
        <v>51.418116513757838</v>
      </c>
      <c r="AD99" s="36">
        <f t="shared" ca="1" si="249"/>
        <v>51.562789109621924</v>
      </c>
      <c r="AE99" s="36">
        <f t="shared" ca="1" si="249"/>
        <v>51.567269038239971</v>
      </c>
      <c r="AF99" s="36">
        <f t="shared" ca="1" si="249"/>
        <v>52.362570513980707</v>
      </c>
      <c r="AG99" s="36">
        <f t="shared" ca="1" si="249"/>
        <v>52.843141082861635</v>
      </c>
      <c r="AH99" s="36">
        <f t="shared" ca="1" si="249"/>
        <v>54.142965562863374</v>
      </c>
      <c r="AI99" s="36">
        <f t="shared" ca="1" si="249"/>
        <v>54.245892213531619</v>
      </c>
      <c r="AJ99" s="36">
        <f t="shared" ca="1" si="249"/>
        <v>54.902626095780128</v>
      </c>
      <c r="AK99" s="36">
        <f t="shared" ca="1" si="249"/>
        <v>55.252745011093523</v>
      </c>
      <c r="AL99" s="36">
        <f t="shared" ca="1" si="249"/>
        <v>54.416592902320986</v>
      </c>
      <c r="AM99" s="36">
        <f t="shared" ca="1" si="249"/>
        <v>54.370783239254251</v>
      </c>
      <c r="AN99" s="36">
        <f t="shared" ca="1" si="249"/>
        <v>53.595471323768265</v>
      </c>
      <c r="AO99" s="36">
        <f t="shared" ca="1" si="249"/>
        <v>53.694438603297328</v>
      </c>
      <c r="AP99" s="36">
        <f t="shared" ca="1" si="249"/>
        <v>54.122137706923453</v>
      </c>
      <c r="AQ99" s="36">
        <f t="shared" ca="1" si="249"/>
        <v>54.656710662413751</v>
      </c>
      <c r="AR99" s="36">
        <f t="shared" ca="1" si="249"/>
        <v>54.982865729763525</v>
      </c>
      <c r="AS99" s="36">
        <f t="shared" ca="1" si="249"/>
        <v>53.587761637177728</v>
      </c>
      <c r="AT99" s="36">
        <f t="shared" ca="1" si="249"/>
        <v>53.797470385728751</v>
      </c>
      <c r="AU99" s="36">
        <f t="shared" ca="1" si="249"/>
        <v>55.599650642098773</v>
      </c>
      <c r="AV99" s="36">
        <f t="shared" ca="1" si="249"/>
        <v>55.433086400739839</v>
      </c>
      <c r="AW99" s="36">
        <f t="shared" ca="1" si="249"/>
        <v>54.979285826617485</v>
      </c>
      <c r="AX99" s="36">
        <f t="shared" ca="1" si="249"/>
        <v>54.096052818840967</v>
      </c>
      <c r="AY99" s="36">
        <f t="shared" ca="1" si="249"/>
        <v>54.011725709745733</v>
      </c>
      <c r="AZ99" s="36">
        <f t="shared" ca="1" si="249"/>
        <v>53.167823481554009</v>
      </c>
      <c r="BA99" s="36">
        <f t="shared" ca="1" si="249"/>
        <v>52.884489806426586</v>
      </c>
      <c r="BB99" s="36">
        <f t="shared" ca="1" si="249"/>
        <v>53.532488762406416</v>
      </c>
      <c r="BC99" s="36">
        <f t="shared" ca="1" si="249"/>
        <v>53.73168275728478</v>
      </c>
      <c r="BD99" s="36">
        <f t="shared" ca="1" si="249"/>
        <v>53.2362059260942</v>
      </c>
      <c r="BE99" s="36">
        <f t="shared" ca="1" si="249"/>
        <v>52.738027697794081</v>
      </c>
      <c r="BF99" s="36">
        <f t="shared" ca="1" si="249"/>
        <v>52.439924921900698</v>
      </c>
      <c r="BG99" s="36">
        <f t="shared" ca="1" si="249"/>
        <v>51.906102987585172</v>
      </c>
      <c r="BH99" s="36">
        <f t="shared" ca="1" si="249"/>
        <v>51.051732841089645</v>
      </c>
      <c r="BI99" s="36">
        <f t="shared" ca="1" si="249"/>
        <v>50.492416240822315</v>
      </c>
      <c r="BJ99" s="36">
        <f t="shared" ca="1" si="249"/>
        <v>51.517197440517549</v>
      </c>
      <c r="BK99" s="36">
        <f t="shared" ca="1" si="249"/>
        <v>51.862838866233723</v>
      </c>
      <c r="BL99" s="36">
        <f t="shared" ca="1" si="249"/>
        <v>52.978777542142183</v>
      </c>
      <c r="BM99" s="36">
        <f t="shared" ca="1" si="249"/>
        <v>53.56909659928715</v>
      </c>
      <c r="BN99" s="36">
        <f t="shared" ca="1" si="249"/>
        <v>53.541355089024968</v>
      </c>
      <c r="BO99" s="36">
        <f t="shared" ca="1" si="249"/>
        <v>52.720467886055118</v>
      </c>
      <c r="BP99" s="36">
        <f t="shared" ca="1" si="249"/>
        <v>53.847674294504017</v>
      </c>
      <c r="BQ99" s="36">
        <f t="shared" ca="1" si="249"/>
        <v>53.759110157690671</v>
      </c>
      <c r="BR99" s="36">
        <f t="shared" ca="1" si="245"/>
        <v>53.156452767458504</v>
      </c>
      <c r="BS99" s="36">
        <f t="shared" ca="1" si="245"/>
        <v>53.115511496904759</v>
      </c>
      <c r="BT99" s="36">
        <f t="shared" ca="1" si="245"/>
        <v>52.208711754237868</v>
      </c>
      <c r="BU99" s="36">
        <f t="shared" ca="1" si="245"/>
        <v>52.465580688137649</v>
      </c>
      <c r="BV99" s="36">
        <f t="shared" ca="1" si="245"/>
        <v>52.600249846513037</v>
      </c>
      <c r="BW99" s="36">
        <f t="shared" ca="1" si="245"/>
        <v>52.2972401545127</v>
      </c>
      <c r="BX99" s="36">
        <f t="shared" ca="1" si="245"/>
        <v>52.450813205274045</v>
      </c>
      <c r="BY99" s="36">
        <f t="shared" ca="1" si="245"/>
        <v>53.079304467752436</v>
      </c>
      <c r="BZ99" s="36">
        <f t="shared" ca="1" si="245"/>
        <v>53.168073811917047</v>
      </c>
      <c r="CA99" s="36">
        <f t="shared" ca="1" si="245"/>
        <v>53.290852706846088</v>
      </c>
      <c r="CB99" s="36">
        <f t="shared" ca="1" si="245"/>
        <v>53.211575682626382</v>
      </c>
      <c r="CC99" s="36">
        <f t="shared" ca="1" si="245"/>
        <v>53.335134677234883</v>
      </c>
      <c r="CD99" s="36">
        <f t="shared" ca="1" si="245"/>
        <v>53.224297402474186</v>
      </c>
      <c r="CE99" s="36">
        <f t="shared" ca="1" si="245"/>
        <v>53.3141089795268</v>
      </c>
      <c r="CF99" s="36">
        <f t="shared" ca="1" si="245"/>
        <v>53.566330741056738</v>
      </c>
      <c r="CG99" s="36">
        <f t="shared" ca="1" si="245"/>
        <v>53.794522174923095</v>
      </c>
      <c r="CH99" s="36">
        <f t="shared" ca="1" si="245"/>
        <v>54.287360824147434</v>
      </c>
      <c r="CI99" s="36">
        <f t="shared" ca="1" si="245"/>
        <v>54.501521541720486</v>
      </c>
      <c r="CJ99" s="36">
        <f t="shared" ca="1" si="245"/>
        <v>54.572621015221273</v>
      </c>
      <c r="CK99" s="36">
        <f t="shared" ca="1" si="245"/>
        <v>54.82711030272489</v>
      </c>
      <c r="CL99" s="36">
        <f t="shared" ca="1" si="245"/>
        <v>54.59714747479628</v>
      </c>
      <c r="CM99" s="36">
        <f t="shared" ca="1" si="245"/>
        <v>55.95357217325472</v>
      </c>
      <c r="CN99" s="36">
        <f t="shared" ca="1" si="245"/>
        <v>55.552184471142134</v>
      </c>
      <c r="CO99" s="36">
        <f t="shared" ca="1" si="245"/>
        <v>56.142795517100346</v>
      </c>
      <c r="CP99" s="36">
        <f t="shared" ca="1" si="245"/>
        <v>55.605960943332875</v>
      </c>
      <c r="CQ99" s="36">
        <f t="shared" ca="1" si="245"/>
        <v>56.388322627401237</v>
      </c>
      <c r="CR99" s="36">
        <f t="shared" ca="1" si="245"/>
        <v>57.320878238727474</v>
      </c>
      <c r="CS99" s="36">
        <f t="shared" ca="1" si="245"/>
        <v>58.385920361814499</v>
      </c>
      <c r="CT99" s="36">
        <f t="shared" ca="1" si="245"/>
        <v>58.292360717762165</v>
      </c>
      <c r="CU99" s="36">
        <f t="shared" ca="1" si="245"/>
        <v>58.932620538781805</v>
      </c>
      <c r="CV99" s="36">
        <f t="shared" ca="1" si="245"/>
        <v>59.345805973611952</v>
      </c>
      <c r="CW99" s="36">
        <f t="shared" ca="1" si="245"/>
        <v>59.429968301736821</v>
      </c>
      <c r="CX99" s="36">
        <f t="shared" ca="1" si="245"/>
        <v>58.76761478425616</v>
      </c>
      <c r="CY99" s="36">
        <f t="shared" ca="1" si="245"/>
        <v>57.940229830566309</v>
      </c>
      <c r="CZ99" s="36">
        <f t="shared" ca="1" si="245"/>
        <v>56.989170013695436</v>
      </c>
      <c r="DA99" s="36">
        <f t="shared" ca="1" si="245"/>
        <v>57.757247998883464</v>
      </c>
      <c r="DB99" s="36">
        <f t="shared" ca="1" si="245"/>
        <v>57.504534223839897</v>
      </c>
      <c r="DC99" s="36">
        <f t="shared" ca="1" si="245"/>
        <v>57.006143264279366</v>
      </c>
      <c r="DD99" s="36">
        <f t="shared" ca="1" si="245"/>
        <v>56.742302594376028</v>
      </c>
      <c r="DE99" s="36">
        <f t="shared" ca="1" si="245"/>
        <v>56.101460721888984</v>
      </c>
      <c r="DF99" s="36">
        <f t="shared" ca="1" si="245"/>
        <v>55.477203418971577</v>
      </c>
      <c r="DG99" s="36">
        <f t="shared" ca="1" si="245"/>
        <v>54.368992603369982</v>
      </c>
      <c r="DH99" s="36">
        <f t="shared" ca="1" si="245"/>
        <v>55.001352984174339</v>
      </c>
      <c r="DI99" s="36">
        <f t="shared" ca="1" si="245"/>
        <v>55.586581501077013</v>
      </c>
      <c r="DJ99" s="36">
        <f t="shared" ca="1" si="245"/>
        <v>55.286585229670692</v>
      </c>
      <c r="DK99" s="36">
        <f t="shared" ca="1" si="245"/>
        <v>54.971327461980103</v>
      </c>
      <c r="DL99" s="36">
        <f t="shared" ca="1" si="245"/>
        <v>54.991959162021772</v>
      </c>
      <c r="DM99" s="36">
        <f t="shared" ca="1" si="245"/>
        <v>55.784919925907097</v>
      </c>
      <c r="DN99" s="36">
        <f t="shared" ca="1" si="245"/>
        <v>56.674557822137778</v>
      </c>
      <c r="DO99" s="36">
        <f t="shared" ca="1" si="245"/>
        <v>56.174332451064473</v>
      </c>
      <c r="DP99" s="36">
        <f t="shared" ca="1" si="245"/>
        <v>56.97973315545746</v>
      </c>
      <c r="DQ99" s="36">
        <f t="shared" ca="1" si="245"/>
        <v>57.185026015687164</v>
      </c>
      <c r="DR99" s="36">
        <f t="shared" ca="1" si="245"/>
        <v>56.6446211876288</v>
      </c>
      <c r="DS99" s="36">
        <f t="shared" ca="1" si="245"/>
        <v>58.066344483258689</v>
      </c>
      <c r="DT99" s="36">
        <f t="shared" ca="1" si="245"/>
        <v>57.591896201501172</v>
      </c>
      <c r="DU99" s="36">
        <f t="shared" ca="1" si="245"/>
        <v>57.433003447112554</v>
      </c>
      <c r="DV99" s="36">
        <f t="shared" ca="1" si="245"/>
        <v>57.284715482427792</v>
      </c>
      <c r="DW99" s="36">
        <f t="shared" ca="1" si="245"/>
        <v>58.049605502620999</v>
      </c>
      <c r="DX99" s="36">
        <f t="shared" ca="1" si="245"/>
        <v>56.399407766422904</v>
      </c>
      <c r="DY99" s="36">
        <f t="shared" ca="1" si="245"/>
        <v>56.337186697379707</v>
      </c>
      <c r="DZ99" s="36">
        <f t="shared" ca="1" si="245"/>
        <v>57.312209085298072</v>
      </c>
      <c r="EA99" s="36">
        <f t="shared" ca="1" si="245"/>
        <v>57.371074029019681</v>
      </c>
      <c r="EB99" s="36">
        <f t="shared" ca="1" si="245"/>
        <v>57.789307351812106</v>
      </c>
      <c r="EC99" s="36">
        <f t="shared" ca="1" si="239"/>
        <v>58.136147222302867</v>
      </c>
      <c r="ED99" s="36">
        <f t="shared" ca="1" si="239"/>
        <v>57.310453026395159</v>
      </c>
      <c r="EE99" s="36">
        <f t="shared" ca="1" si="239"/>
        <v>57.223666575738115</v>
      </c>
      <c r="EF99" s="36">
        <f t="shared" ca="1" si="239"/>
        <v>57.589336994921432</v>
      </c>
      <c r="EG99" s="36">
        <f t="shared" ca="1" si="239"/>
        <v>57.389838476042449</v>
      </c>
      <c r="EH99" s="36">
        <f t="shared" ca="1" si="239"/>
        <v>57.832991592222882</v>
      </c>
      <c r="EI99" s="36">
        <f t="shared" ca="1" si="239"/>
        <v>59.378086665626611</v>
      </c>
      <c r="EJ99" s="36">
        <f t="shared" ca="1" si="239"/>
        <v>59.291050538099149</v>
      </c>
      <c r="EK99" s="36">
        <f t="shared" ca="1" si="239"/>
        <v>57.373094486756685</v>
      </c>
      <c r="EL99" s="36">
        <f t="shared" ca="1" si="239"/>
        <v>57.383510599469098</v>
      </c>
      <c r="EM99" s="36">
        <f t="shared" ca="1" si="239"/>
        <v>57.00189194939108</v>
      </c>
      <c r="EN99" s="36">
        <f t="shared" ca="1" si="239"/>
        <v>56.358961193367897</v>
      </c>
      <c r="EO99" s="36">
        <f t="shared" ca="1" si="239"/>
        <v>56.47052379093185</v>
      </c>
      <c r="EP99" s="36">
        <f t="shared" ca="1" si="239"/>
        <v>56.385109340555211</v>
      </c>
      <c r="EQ99" s="36">
        <f t="shared" ca="1" si="239"/>
        <v>57.686929441019579</v>
      </c>
      <c r="ER99" s="36">
        <f t="shared" ca="1" si="239"/>
        <v>57.04434354098165</v>
      </c>
      <c r="ES99" s="36">
        <f t="shared" ca="1" si="239"/>
        <v>56.965547315644102</v>
      </c>
      <c r="ET99" s="36">
        <f t="shared" ca="1" si="239"/>
        <v>57.378331994753474</v>
      </c>
      <c r="EU99" s="36">
        <f t="shared" ca="1" si="239"/>
        <v>57.599963329862568</v>
      </c>
      <c r="EV99" s="36">
        <f t="shared" ca="1" si="239"/>
        <v>58.322544585038166</v>
      </c>
      <c r="EW99" s="36">
        <f t="shared" ref="EW99" ca="1" si="251">EV99*EXP(($B$3-$B$4^2/2)*1+$B$4*_xlfn.NORM.S.INV(RAND()))</f>
        <v>57.240565044614137</v>
      </c>
      <c r="EX99" s="36">
        <f t="shared" ca="1" si="246"/>
        <v>57.277634881925628</v>
      </c>
      <c r="EY99" s="36">
        <f t="shared" ca="1" si="246"/>
        <v>58.609868495691465</v>
      </c>
      <c r="EZ99" s="36">
        <f t="shared" ca="1" si="246"/>
        <v>57.658383152771663</v>
      </c>
      <c r="FA99" s="36">
        <f t="shared" ca="1" si="246"/>
        <v>57.243508343714552</v>
      </c>
      <c r="FB99" s="36">
        <f t="shared" ca="1" si="246"/>
        <v>57.058486997211375</v>
      </c>
      <c r="FC99" s="36">
        <f t="shared" ca="1" si="246"/>
        <v>56.44488891374192</v>
      </c>
      <c r="FD99" s="36">
        <f t="shared" ca="1" si="246"/>
        <v>56.006521559436976</v>
      </c>
      <c r="FE99" s="36">
        <f t="shared" ca="1" si="246"/>
        <v>54.982216219058316</v>
      </c>
      <c r="FF99" s="36">
        <f t="shared" ca="1" si="246"/>
        <v>55.543739420030917</v>
      </c>
      <c r="FG99" s="36">
        <f t="shared" ca="1" si="246"/>
        <v>55.69350610735308</v>
      </c>
      <c r="FH99" s="36">
        <f t="shared" ca="1" si="246"/>
        <v>55.482834869618294</v>
      </c>
      <c r="FI99" s="36">
        <f t="shared" ca="1" si="246"/>
        <v>55.522525200553346</v>
      </c>
      <c r="FJ99" s="36">
        <f t="shared" ca="1" si="246"/>
        <v>56.169918855992876</v>
      </c>
      <c r="FK99" s="36">
        <f t="shared" ca="1" si="246"/>
        <v>56.83631305956439</v>
      </c>
      <c r="FL99" s="36">
        <f t="shared" ca="1" si="246"/>
        <v>57.622606917706563</v>
      </c>
      <c r="FM99" s="36">
        <f t="shared" ca="1" si="246"/>
        <v>57.429867830893194</v>
      </c>
      <c r="FN99" s="36">
        <f t="shared" ca="1" si="246"/>
        <v>56.288408444318257</v>
      </c>
      <c r="FO99" s="36">
        <f t="shared" ca="1" si="246"/>
        <v>54.962048780866454</v>
      </c>
      <c r="FP99" s="36">
        <f t="shared" ca="1" si="246"/>
        <v>54.940392566660719</v>
      </c>
      <c r="FQ99" s="36">
        <f t="shared" ca="1" si="246"/>
        <v>53.541207607913677</v>
      </c>
      <c r="FR99" s="36">
        <f t="shared" ca="1" si="246"/>
        <v>54.707320151750615</v>
      </c>
      <c r="FS99" s="36">
        <f t="shared" ca="1" si="246"/>
        <v>54.559072325478887</v>
      </c>
      <c r="FT99" s="36">
        <f t="shared" ca="1" si="246"/>
        <v>54.080536386695826</v>
      </c>
      <c r="FU99" s="36">
        <f t="shared" ca="1" si="246"/>
        <v>54.414863054118939</v>
      </c>
      <c r="FV99" s="36">
        <f t="shared" ca="1" si="246"/>
        <v>54.976941213491308</v>
      </c>
      <c r="FW99" s="36">
        <f t="shared" ca="1" si="246"/>
        <v>53.72798078703709</v>
      </c>
      <c r="FX99" s="36">
        <f t="shared" ca="1" si="246"/>
        <v>51.849933086543402</v>
      </c>
      <c r="FY99" s="36">
        <f t="shared" ca="1" si="246"/>
        <v>52.573347686429805</v>
      </c>
      <c r="FZ99" s="36">
        <f t="shared" ca="1" si="246"/>
        <v>51.868699005448612</v>
      </c>
      <c r="GA99" s="36">
        <f t="shared" ca="1" si="246"/>
        <v>52.17158831387998</v>
      </c>
      <c r="GB99" s="36">
        <f t="shared" ca="1" si="246"/>
        <v>52.198870834804602</v>
      </c>
      <c r="GC99" s="36">
        <f t="shared" ca="1" si="246"/>
        <v>51.299466115314829</v>
      </c>
      <c r="GD99" s="36">
        <f t="shared" ca="1" si="246"/>
        <v>51.117669802605562</v>
      </c>
      <c r="GE99" s="36">
        <f t="shared" ca="1" si="246"/>
        <v>50.264954794853566</v>
      </c>
      <c r="GF99" s="36">
        <f t="shared" ca="1" si="246"/>
        <v>50.632476715995786</v>
      </c>
      <c r="GG99" s="36">
        <f t="shared" ca="1" si="246"/>
        <v>49.976014309184016</v>
      </c>
      <c r="GH99" s="36">
        <f t="shared" ca="1" si="246"/>
        <v>49.71326206168159</v>
      </c>
      <c r="GI99" s="36">
        <f t="shared" ca="1" si="246"/>
        <v>49.013809059329333</v>
      </c>
      <c r="GJ99" s="36">
        <f t="shared" ca="1" si="246"/>
        <v>50.406707122390522</v>
      </c>
      <c r="GK99" s="36">
        <f t="shared" ca="1" si="246"/>
        <v>48.325728550304916</v>
      </c>
      <c r="GL99" s="36">
        <f t="shared" ca="1" si="246"/>
        <v>48.523703816306117</v>
      </c>
      <c r="GM99" s="36">
        <f t="shared" ca="1" si="246"/>
        <v>48.607635788752482</v>
      </c>
      <c r="GN99" s="36">
        <f t="shared" ca="1" si="246"/>
        <v>47.84026043559625</v>
      </c>
      <c r="GO99" s="36">
        <f t="shared" ca="1" si="246"/>
        <v>48.224419189424218</v>
      </c>
      <c r="GP99" s="36">
        <f t="shared" ca="1" si="246"/>
        <v>49.509441557258498</v>
      </c>
      <c r="GQ99" s="36">
        <f t="shared" ca="1" si="246"/>
        <v>49.734021570589299</v>
      </c>
      <c r="GR99" s="36">
        <f t="shared" ca="1" si="246"/>
        <v>49.188412921105936</v>
      </c>
      <c r="GS99" s="36">
        <f t="shared" ca="1" si="246"/>
        <v>49.12438463606059</v>
      </c>
      <c r="GT99" s="36">
        <f t="shared" ca="1" si="246"/>
        <v>49.071216822810818</v>
      </c>
      <c r="GU99" s="36">
        <f t="shared" ca="1" si="246"/>
        <v>48.189156204476966</v>
      </c>
      <c r="GV99" s="36">
        <f t="shared" ca="1" si="246"/>
        <v>47.86070579700435</v>
      </c>
      <c r="GW99" s="36">
        <f t="shared" ca="1" si="246"/>
        <v>49.537900319846052</v>
      </c>
      <c r="GX99" s="36">
        <f t="shared" ca="1" si="246"/>
        <v>49.65741008112628</v>
      </c>
      <c r="GY99" s="36">
        <f t="shared" ca="1" si="246"/>
        <v>50.191282959929623</v>
      </c>
      <c r="GZ99" s="36">
        <f t="shared" ca="1" si="246"/>
        <v>51.49360297380337</v>
      </c>
      <c r="HA99" s="36">
        <f t="shared" ca="1" si="246"/>
        <v>52.116958993424149</v>
      </c>
      <c r="HB99" s="36">
        <f t="shared" ca="1" si="246"/>
        <v>51.051752736494642</v>
      </c>
      <c r="HC99" s="36">
        <f t="shared" ca="1" si="246"/>
        <v>51.267521222908371</v>
      </c>
      <c r="HD99" s="36">
        <f t="shared" ca="1" si="246"/>
        <v>51.93718362643142</v>
      </c>
      <c r="HE99" s="36">
        <f t="shared" ca="1" si="246"/>
        <v>51.691740721635199</v>
      </c>
      <c r="HF99" s="36">
        <f t="shared" ca="1" si="246"/>
        <v>52.445363589705948</v>
      </c>
      <c r="HG99" s="36">
        <f t="shared" ca="1" si="246"/>
        <v>53.589780098446809</v>
      </c>
      <c r="HH99" s="36">
        <f t="shared" ca="1" si="246"/>
        <v>53.969807693008924</v>
      </c>
      <c r="HI99" s="36">
        <f t="shared" ca="1" si="247"/>
        <v>53.726277653709239</v>
      </c>
      <c r="HJ99" s="36">
        <f t="shared" ca="1" si="247"/>
        <v>54.527268262432493</v>
      </c>
      <c r="HK99" s="36">
        <f t="shared" ca="1" si="247"/>
        <v>55.679696138842992</v>
      </c>
      <c r="HL99" s="36">
        <f t="shared" ca="1" si="247"/>
        <v>55.303286970883661</v>
      </c>
      <c r="HM99" s="36">
        <f t="shared" ca="1" si="247"/>
        <v>54.583334587846231</v>
      </c>
      <c r="HN99" s="36">
        <f t="shared" ca="1" si="247"/>
        <v>54.001381623179213</v>
      </c>
      <c r="HO99" s="36">
        <f t="shared" ca="1" si="247"/>
        <v>53.715790291683518</v>
      </c>
      <c r="HP99" s="36">
        <f t="shared" ca="1" si="247"/>
        <v>53.863421757927512</v>
      </c>
      <c r="HQ99" s="36">
        <f t="shared" ca="1" si="247"/>
        <v>55.937801608236335</v>
      </c>
      <c r="HR99" s="36">
        <f t="shared" ca="1" si="247"/>
        <v>56.566828470368684</v>
      </c>
      <c r="HS99" s="36">
        <f t="shared" ca="1" si="247"/>
        <v>56.326522559002747</v>
      </c>
      <c r="HT99" s="36">
        <f t="shared" ca="1" si="247"/>
        <v>55.90109485997209</v>
      </c>
      <c r="HU99" s="36">
        <f t="shared" ca="1" si="247"/>
        <v>56.361335569436321</v>
      </c>
      <c r="HV99" s="36">
        <f t="shared" ca="1" si="247"/>
        <v>56.376227692828209</v>
      </c>
      <c r="HW99" s="36">
        <f t="shared" ca="1" si="247"/>
        <v>56.327839849990532</v>
      </c>
      <c r="HX99" s="36">
        <f t="shared" ca="1" si="247"/>
        <v>56.369390980342487</v>
      </c>
      <c r="HY99" s="36">
        <f t="shared" ca="1" si="248"/>
        <v>55.823303045688149</v>
      </c>
      <c r="HZ99" s="36">
        <f t="shared" ca="1" si="248"/>
        <v>57.757491728812177</v>
      </c>
      <c r="IA99" s="36">
        <f t="shared" ca="1" si="248"/>
        <v>59.246776896082423</v>
      </c>
      <c r="IB99" s="36">
        <f t="shared" ca="1" si="248"/>
        <v>59.838205094814967</v>
      </c>
      <c r="IC99" s="36">
        <f t="shared" ca="1" si="248"/>
        <v>59.730584242405421</v>
      </c>
      <c r="ID99" s="36">
        <f t="shared" ca="1" si="248"/>
        <v>58.914747653892775</v>
      </c>
      <c r="IE99" s="36">
        <f t="shared" ca="1" si="248"/>
        <v>59.605040958748084</v>
      </c>
      <c r="IF99" s="36">
        <f t="shared" ca="1" si="248"/>
        <v>61.124486087819605</v>
      </c>
      <c r="IG99" s="36">
        <f t="shared" ca="1" si="248"/>
        <v>61.901158036255161</v>
      </c>
      <c r="IH99" s="36">
        <f t="shared" ca="1" si="248"/>
        <v>61.830696008318043</v>
      </c>
      <c r="II99" s="36">
        <f t="shared" ca="1" si="248"/>
        <v>61.697938090114476</v>
      </c>
      <c r="IJ99" s="36">
        <f t="shared" ca="1" si="248"/>
        <v>63.152611276156158</v>
      </c>
      <c r="IK99" s="36">
        <f t="shared" ca="1" si="248"/>
        <v>62.352888950154792</v>
      </c>
      <c r="IL99" s="36">
        <f t="shared" ca="1" si="248"/>
        <v>62.201032131533289</v>
      </c>
      <c r="IM99" s="36">
        <f t="shared" ca="1" si="248"/>
        <v>63.115864202343488</v>
      </c>
      <c r="IN99" s="36">
        <f t="shared" ca="1" si="248"/>
        <v>64.121140312734326</v>
      </c>
      <c r="IO99" s="36">
        <f t="shared" ca="1" si="248"/>
        <v>64.209380628048464</v>
      </c>
      <c r="IP99" s="36">
        <f t="shared" ca="1" si="248"/>
        <v>64.792089870393283</v>
      </c>
      <c r="IQ99" s="36">
        <f t="shared" ca="1" si="248"/>
        <v>64.463010734539836</v>
      </c>
      <c r="IR99" s="36">
        <f t="shared" ca="1" si="248"/>
        <v>66.29213457061222</v>
      </c>
      <c r="IS99" s="36">
        <f t="shared" ca="1" si="248"/>
        <v>66.909784511946071</v>
      </c>
      <c r="IT99" s="36">
        <f t="shared" ca="1" si="248"/>
        <v>66.097581300178064</v>
      </c>
      <c r="IU99" s="36">
        <f t="shared" ca="1" si="248"/>
        <v>65.217234011980622</v>
      </c>
    </row>
    <row r="100" spans="1:255" x14ac:dyDescent="0.2">
      <c r="A100" s="36"/>
      <c r="B100">
        <v>90</v>
      </c>
      <c r="C100" s="36">
        <v>50</v>
      </c>
      <c r="D100" s="36">
        <f t="shared" ca="1" si="188"/>
        <v>50.223029289728927</v>
      </c>
      <c r="E100" s="36">
        <f t="shared" ca="1" si="188"/>
        <v>50.733470828713372</v>
      </c>
      <c r="F100" s="36">
        <f t="shared" ca="1" si="249"/>
        <v>50.907324436021554</v>
      </c>
      <c r="G100" s="36">
        <f t="shared" ca="1" si="249"/>
        <v>51.297197613838058</v>
      </c>
      <c r="H100" s="36">
        <f t="shared" ca="1" si="249"/>
        <v>51.368963782073976</v>
      </c>
      <c r="I100" s="36">
        <f t="shared" ca="1" si="249"/>
        <v>52.226971616153378</v>
      </c>
      <c r="J100" s="36">
        <f t="shared" ca="1" si="249"/>
        <v>52.51655359579361</v>
      </c>
      <c r="K100" s="36">
        <f t="shared" ca="1" si="249"/>
        <v>51.396038858707001</v>
      </c>
      <c r="L100" s="36">
        <f t="shared" ca="1" si="249"/>
        <v>51.249525342679888</v>
      </c>
      <c r="M100" s="36">
        <f t="shared" ca="1" si="249"/>
        <v>52.104151759414783</v>
      </c>
      <c r="N100" s="36">
        <f t="shared" ca="1" si="249"/>
        <v>51.471690139520504</v>
      </c>
      <c r="O100" s="36">
        <f t="shared" ca="1" si="249"/>
        <v>51.600348230472584</v>
      </c>
      <c r="P100" s="36">
        <f t="shared" ca="1" si="249"/>
        <v>51.713261008169368</v>
      </c>
      <c r="Q100" s="36">
        <f t="shared" ca="1" si="249"/>
        <v>51.882232368221104</v>
      </c>
      <c r="R100" s="36">
        <f t="shared" ca="1" si="249"/>
        <v>51.470832587141203</v>
      </c>
      <c r="S100" s="36">
        <f t="shared" ca="1" si="249"/>
        <v>51.374401910535987</v>
      </c>
      <c r="T100" s="36">
        <f t="shared" ca="1" si="249"/>
        <v>50.78054517517657</v>
      </c>
      <c r="U100" s="36">
        <f t="shared" ca="1" si="249"/>
        <v>50.630121622122509</v>
      </c>
      <c r="V100" s="36">
        <f t="shared" ca="1" si="249"/>
        <v>50.665630700394559</v>
      </c>
      <c r="W100" s="36">
        <f t="shared" ca="1" si="249"/>
        <v>49.482657340914827</v>
      </c>
      <c r="X100" s="36">
        <f t="shared" ca="1" si="249"/>
        <v>49.422287258558242</v>
      </c>
      <c r="Y100" s="36">
        <f t="shared" ca="1" si="249"/>
        <v>48.598385023282638</v>
      </c>
      <c r="Z100" s="36">
        <f t="shared" ca="1" si="249"/>
        <v>48.948565623342063</v>
      </c>
      <c r="AA100" s="36">
        <f t="shared" ca="1" si="249"/>
        <v>49.099065405398797</v>
      </c>
      <c r="AB100" s="36">
        <f t="shared" ca="1" si="249"/>
        <v>49.020085532883876</v>
      </c>
      <c r="AC100" s="36">
        <f t="shared" ca="1" si="249"/>
        <v>48.447475335612687</v>
      </c>
      <c r="AD100" s="36">
        <f t="shared" ca="1" si="249"/>
        <v>47.583182220133246</v>
      </c>
      <c r="AE100" s="36">
        <f t="shared" ca="1" si="249"/>
        <v>47.733974137374325</v>
      </c>
      <c r="AF100" s="36">
        <f t="shared" ca="1" si="249"/>
        <v>47.673771319124711</v>
      </c>
      <c r="AG100" s="36">
        <f t="shared" ca="1" si="249"/>
        <v>48.447463183627896</v>
      </c>
      <c r="AH100" s="36">
        <f t="shared" ca="1" si="249"/>
        <v>48.249017931214901</v>
      </c>
      <c r="AI100" s="36">
        <f t="shared" ca="1" si="249"/>
        <v>48.745194795567748</v>
      </c>
      <c r="AJ100" s="36">
        <f t="shared" ca="1" si="249"/>
        <v>47.999604035649462</v>
      </c>
      <c r="AK100" s="36">
        <f t="shared" ca="1" si="249"/>
        <v>47.244532554491066</v>
      </c>
      <c r="AL100" s="36">
        <f t="shared" ca="1" si="249"/>
        <v>47.264407667702557</v>
      </c>
      <c r="AM100" s="36">
        <f t="shared" ca="1" si="249"/>
        <v>48.141901816633755</v>
      </c>
      <c r="AN100" s="36">
        <f t="shared" ca="1" si="249"/>
        <v>48.964757578208186</v>
      </c>
      <c r="AO100" s="36">
        <f t="shared" ca="1" si="249"/>
        <v>49.135683170065484</v>
      </c>
      <c r="AP100" s="36">
        <f t="shared" ca="1" si="249"/>
        <v>49.570661178453605</v>
      </c>
      <c r="AQ100" s="36">
        <f t="shared" ca="1" si="249"/>
        <v>50.76760356839273</v>
      </c>
      <c r="AR100" s="36">
        <f t="shared" ca="1" si="249"/>
        <v>50.826904412489412</v>
      </c>
      <c r="AS100" s="36">
        <f t="shared" ca="1" si="249"/>
        <v>51.475339060540378</v>
      </c>
      <c r="AT100" s="36">
        <f t="shared" ca="1" si="249"/>
        <v>51.148692048259313</v>
      </c>
      <c r="AU100" s="36">
        <f t="shared" ca="1" si="249"/>
        <v>51.057398678490678</v>
      </c>
      <c r="AV100" s="36">
        <f t="shared" ca="1" si="249"/>
        <v>51.26688538555787</v>
      </c>
      <c r="AW100" s="36">
        <f t="shared" ca="1" si="249"/>
        <v>51.247369473725023</v>
      </c>
      <c r="AX100" s="36">
        <f t="shared" ca="1" si="249"/>
        <v>52.080063964164424</v>
      </c>
      <c r="AY100" s="36">
        <f t="shared" ca="1" si="249"/>
        <v>50.613357991388277</v>
      </c>
      <c r="AZ100" s="36">
        <f t="shared" ca="1" si="249"/>
        <v>49.088911832173913</v>
      </c>
      <c r="BA100" s="36">
        <f t="shared" ca="1" si="249"/>
        <v>48.472632589751612</v>
      </c>
      <c r="BB100" s="36">
        <f t="shared" ca="1" si="249"/>
        <v>48.925210571881024</v>
      </c>
      <c r="BC100" s="36">
        <f t="shared" ca="1" si="249"/>
        <v>48.237432111240444</v>
      </c>
      <c r="BD100" s="36">
        <f t="shared" ca="1" si="249"/>
        <v>47.700528430422345</v>
      </c>
      <c r="BE100" s="36">
        <f t="shared" ca="1" si="249"/>
        <v>48.495713592075013</v>
      </c>
      <c r="BF100" s="36">
        <f t="shared" ca="1" si="249"/>
        <v>47.779177605413707</v>
      </c>
      <c r="BG100" s="36">
        <f t="shared" ca="1" si="249"/>
        <v>47.180784942378679</v>
      </c>
      <c r="BH100" s="36">
        <f t="shared" ca="1" si="249"/>
        <v>48.404630721746678</v>
      </c>
      <c r="BI100" s="36">
        <f t="shared" ca="1" si="249"/>
        <v>47.538104111210217</v>
      </c>
      <c r="BJ100" s="36">
        <f t="shared" ca="1" si="249"/>
        <v>46.451539365505546</v>
      </c>
      <c r="BK100" s="36">
        <f t="shared" ca="1" si="249"/>
        <v>46.043123892142241</v>
      </c>
      <c r="BL100" s="36">
        <f t="shared" ca="1" si="249"/>
        <v>45.904773072561284</v>
      </c>
      <c r="BM100" s="36">
        <f t="shared" ca="1" si="249"/>
        <v>45.103891081858109</v>
      </c>
      <c r="BN100" s="36">
        <f t="shared" ca="1" si="249"/>
        <v>44.510402204091498</v>
      </c>
      <c r="BO100" s="36">
        <f t="shared" ca="1" si="249"/>
        <v>44.6967909640234</v>
      </c>
      <c r="BP100" s="36">
        <f t="shared" ca="1" si="249"/>
        <v>44.132384011493883</v>
      </c>
      <c r="BQ100" s="36">
        <f t="shared" ca="1" si="249"/>
        <v>43.09317834185989</v>
      </c>
      <c r="BR100" s="36">
        <f t="shared" ca="1" si="245"/>
        <v>43.87863184493056</v>
      </c>
      <c r="BS100" s="36">
        <f t="shared" ca="1" si="245"/>
        <v>43.164759248723072</v>
      </c>
      <c r="BT100" s="36">
        <f t="shared" ca="1" si="245"/>
        <v>43.442115101256611</v>
      </c>
      <c r="BU100" s="36">
        <f t="shared" ca="1" si="245"/>
        <v>43.800857713736782</v>
      </c>
      <c r="BV100" s="36">
        <f t="shared" ca="1" si="245"/>
        <v>44.195792538016136</v>
      </c>
      <c r="BW100" s="36">
        <f t="shared" ca="1" si="245"/>
        <v>43.909326620388789</v>
      </c>
      <c r="BX100" s="36">
        <f t="shared" ca="1" si="245"/>
        <v>44.72246365210939</v>
      </c>
      <c r="BY100" s="36">
        <f t="shared" ca="1" si="245"/>
        <v>44.726761580011029</v>
      </c>
      <c r="BZ100" s="36">
        <f t="shared" ca="1" si="245"/>
        <v>44.301548631288128</v>
      </c>
      <c r="CA100" s="36">
        <f t="shared" ca="1" si="245"/>
        <v>45.18269147390496</v>
      </c>
      <c r="CB100" s="36">
        <f t="shared" ca="1" si="245"/>
        <v>44.819349017913147</v>
      </c>
      <c r="CC100" s="36">
        <f t="shared" ca="1" si="245"/>
        <v>45.324720615956039</v>
      </c>
      <c r="CD100" s="36">
        <f t="shared" ca="1" si="245"/>
        <v>45.16867848564172</v>
      </c>
      <c r="CE100" s="36">
        <f t="shared" ca="1" si="245"/>
        <v>45.787907130137278</v>
      </c>
      <c r="CF100" s="36">
        <f t="shared" ca="1" si="245"/>
        <v>45.084370546126117</v>
      </c>
      <c r="CG100" s="36">
        <f t="shared" ca="1" si="245"/>
        <v>44.460079649420159</v>
      </c>
      <c r="CH100" s="36">
        <f t="shared" ca="1" si="245"/>
        <v>43.843444459623768</v>
      </c>
      <c r="CI100" s="36">
        <f t="shared" ca="1" si="245"/>
        <v>44.064550710912563</v>
      </c>
      <c r="CJ100" s="36">
        <f t="shared" ca="1" si="245"/>
        <v>43.796329114154396</v>
      </c>
      <c r="CK100" s="36">
        <f t="shared" ca="1" si="245"/>
        <v>44.188020987595614</v>
      </c>
      <c r="CL100" s="36">
        <f t="shared" ca="1" si="245"/>
        <v>43.355049047963874</v>
      </c>
      <c r="CM100" s="36">
        <f t="shared" ca="1" si="245"/>
        <v>43.05436440632257</v>
      </c>
      <c r="CN100" s="36">
        <f t="shared" ca="1" si="245"/>
        <v>42.191021486161802</v>
      </c>
      <c r="CO100" s="36">
        <f t="shared" ca="1" si="245"/>
        <v>42.070324706712412</v>
      </c>
      <c r="CP100" s="36">
        <f t="shared" ca="1" si="245"/>
        <v>42.408039375414276</v>
      </c>
      <c r="CQ100" s="36">
        <f t="shared" ca="1" si="245"/>
        <v>42.807500344422039</v>
      </c>
      <c r="CR100" s="36">
        <f t="shared" ca="1" si="245"/>
        <v>42.845154329970981</v>
      </c>
      <c r="CS100" s="36">
        <f t="shared" ca="1" si="245"/>
        <v>42.984460274889678</v>
      </c>
      <c r="CT100" s="36">
        <f t="shared" ca="1" si="245"/>
        <v>43.402382181273218</v>
      </c>
      <c r="CU100" s="36">
        <f t="shared" ca="1" si="245"/>
        <v>44.144921856265917</v>
      </c>
      <c r="CV100" s="36">
        <f t="shared" ca="1" si="245"/>
        <v>44.746377370254073</v>
      </c>
      <c r="CW100" s="36">
        <f t="shared" ca="1" si="245"/>
        <v>43.920481447725457</v>
      </c>
      <c r="CX100" s="36">
        <f t="shared" ca="1" si="245"/>
        <v>44.459208594339131</v>
      </c>
      <c r="CY100" s="36">
        <f t="shared" ca="1" si="245"/>
        <v>44.005970705840561</v>
      </c>
      <c r="CZ100" s="36">
        <f t="shared" ca="1" si="245"/>
        <v>45.031714988116519</v>
      </c>
      <c r="DA100" s="36">
        <f t="shared" ca="1" si="245"/>
        <v>45.245839538124109</v>
      </c>
      <c r="DB100" s="36">
        <f t="shared" ca="1" si="245"/>
        <v>45.94206185402011</v>
      </c>
      <c r="DC100" s="36">
        <f t="shared" ca="1" si="245"/>
        <v>47.193512266295016</v>
      </c>
      <c r="DD100" s="36">
        <f t="shared" ca="1" si="245"/>
        <v>47.714166544275599</v>
      </c>
      <c r="DE100" s="36">
        <f t="shared" ca="1" si="245"/>
        <v>46.991551360627028</v>
      </c>
      <c r="DF100" s="36">
        <f t="shared" ca="1" si="245"/>
        <v>47.072501773154855</v>
      </c>
      <c r="DG100" s="36">
        <f t="shared" ca="1" si="245"/>
        <v>46.350998038312035</v>
      </c>
      <c r="DH100" s="36">
        <f t="shared" ca="1" si="245"/>
        <v>45.187596642319363</v>
      </c>
      <c r="DI100" s="36">
        <f t="shared" ca="1" si="245"/>
        <v>44.663191023669171</v>
      </c>
      <c r="DJ100" s="36">
        <f t="shared" ca="1" si="245"/>
        <v>44.34131678868679</v>
      </c>
      <c r="DK100" s="36">
        <f t="shared" ca="1" si="245"/>
        <v>43.894546063710315</v>
      </c>
      <c r="DL100" s="36">
        <f t="shared" ca="1" si="245"/>
        <v>43.554409274956612</v>
      </c>
      <c r="DM100" s="36">
        <f t="shared" ca="1" si="245"/>
        <v>43.733403494495484</v>
      </c>
      <c r="DN100" s="36">
        <f t="shared" ca="1" si="245"/>
        <v>43.636256007275215</v>
      </c>
      <c r="DO100" s="36">
        <f t="shared" ca="1" si="245"/>
        <v>42.765475160499498</v>
      </c>
      <c r="DP100" s="36">
        <f t="shared" ca="1" si="245"/>
        <v>43.139892609784432</v>
      </c>
      <c r="DQ100" s="36">
        <f t="shared" ca="1" si="245"/>
        <v>43.147967140160972</v>
      </c>
      <c r="DR100" s="36">
        <f t="shared" ca="1" si="245"/>
        <v>43.638040679917388</v>
      </c>
      <c r="DS100" s="36">
        <f t="shared" ca="1" si="245"/>
        <v>44.421451344172681</v>
      </c>
      <c r="DT100" s="36">
        <f t="shared" ca="1" si="245"/>
        <v>44.5375806934737</v>
      </c>
      <c r="DU100" s="36">
        <f t="shared" ca="1" si="245"/>
        <v>45.350561835261161</v>
      </c>
      <c r="DV100" s="36">
        <f t="shared" ca="1" si="245"/>
        <v>46.015257417491078</v>
      </c>
      <c r="DW100" s="36">
        <f t="shared" ca="1" si="245"/>
        <v>46.553253329550195</v>
      </c>
      <c r="DX100" s="36">
        <f t="shared" ca="1" si="245"/>
        <v>46.872832568291514</v>
      </c>
      <c r="DY100" s="36">
        <f t="shared" ca="1" si="245"/>
        <v>46.887497892906616</v>
      </c>
      <c r="DZ100" s="36">
        <f t="shared" ca="1" si="245"/>
        <v>46.583049551237266</v>
      </c>
      <c r="EA100" s="36">
        <f t="shared" ca="1" si="245"/>
        <v>46.089407806984582</v>
      </c>
      <c r="EB100" s="36">
        <f t="shared" ca="1" si="245"/>
        <v>46.816145765720819</v>
      </c>
      <c r="EC100" s="36">
        <f t="shared" ca="1" si="239"/>
        <v>46.753910303114637</v>
      </c>
      <c r="ED100" s="36">
        <f t="shared" ca="1" si="239"/>
        <v>47.18397186685602</v>
      </c>
      <c r="EE100" s="36">
        <f t="shared" ca="1" si="239"/>
        <v>46.622785374667991</v>
      </c>
      <c r="EF100" s="36">
        <f t="shared" ca="1" si="239"/>
        <v>45.780838926425368</v>
      </c>
      <c r="EG100" s="36">
        <f t="shared" ca="1" si="239"/>
        <v>46.430673021440889</v>
      </c>
      <c r="EH100" s="36">
        <f t="shared" ca="1" si="239"/>
        <v>47.601487853349418</v>
      </c>
      <c r="EI100" s="36">
        <f t="shared" ca="1" si="239"/>
        <v>46.980261905035441</v>
      </c>
      <c r="EJ100" s="36">
        <f t="shared" ca="1" si="239"/>
        <v>46.08971286099883</v>
      </c>
      <c r="EK100" s="36">
        <f t="shared" ca="1" si="239"/>
        <v>45.553307269115564</v>
      </c>
      <c r="EL100" s="36">
        <f t="shared" ca="1" si="239"/>
        <v>45.939772875906748</v>
      </c>
      <c r="EM100" s="36">
        <f t="shared" ca="1" si="239"/>
        <v>45.675660656155856</v>
      </c>
      <c r="EN100" s="36">
        <f t="shared" ca="1" si="239"/>
        <v>45.219395922363262</v>
      </c>
      <c r="EO100" s="36">
        <f t="shared" ca="1" si="239"/>
        <v>44.191765182757585</v>
      </c>
      <c r="EP100" s="36">
        <f t="shared" ca="1" si="239"/>
        <v>43.467074200876183</v>
      </c>
      <c r="EQ100" s="36">
        <f t="shared" ca="1" si="239"/>
        <v>43.619307820376648</v>
      </c>
      <c r="ER100" s="36">
        <f t="shared" ca="1" si="239"/>
        <v>43.343123582791094</v>
      </c>
      <c r="ES100" s="36">
        <f t="shared" ca="1" si="239"/>
        <v>42.633449394325943</v>
      </c>
      <c r="ET100" s="36">
        <f t="shared" ca="1" si="239"/>
        <v>42.335608344260386</v>
      </c>
      <c r="EU100" s="36">
        <f t="shared" ca="1" si="239"/>
        <v>42.334170195242223</v>
      </c>
      <c r="EV100" s="36">
        <f t="shared" ca="1" si="239"/>
        <v>42.937516867252143</v>
      </c>
      <c r="EW100" s="36">
        <f t="shared" ref="EW100" ca="1" si="252">EV100*EXP(($B$3-$B$4^2/2)*1+$B$4*_xlfn.NORM.S.INV(RAND()))</f>
        <v>43.279973354831107</v>
      </c>
      <c r="EX100" s="36">
        <f t="shared" ca="1" si="246"/>
        <v>42.596624919296332</v>
      </c>
      <c r="EY100" s="36">
        <f t="shared" ca="1" si="246"/>
        <v>43.378273117266708</v>
      </c>
      <c r="EZ100" s="36">
        <f t="shared" ca="1" si="246"/>
        <v>43.72746683852106</v>
      </c>
      <c r="FA100" s="36">
        <f t="shared" ca="1" si="246"/>
        <v>44.242624277485646</v>
      </c>
      <c r="FB100" s="36">
        <f t="shared" ca="1" si="246"/>
        <v>43.300732874747382</v>
      </c>
      <c r="FC100" s="36">
        <f t="shared" ca="1" si="246"/>
        <v>43.147085577149468</v>
      </c>
      <c r="FD100" s="36">
        <f t="shared" ca="1" si="246"/>
        <v>43.054118980212543</v>
      </c>
      <c r="FE100" s="36">
        <f t="shared" ca="1" si="246"/>
        <v>42.677634911063627</v>
      </c>
      <c r="FF100" s="36">
        <f t="shared" ca="1" si="246"/>
        <v>42.916576438673921</v>
      </c>
      <c r="FG100" s="36">
        <f t="shared" ca="1" si="246"/>
        <v>42.654424108961045</v>
      </c>
      <c r="FH100" s="36">
        <f t="shared" ca="1" si="246"/>
        <v>42.962249005123567</v>
      </c>
      <c r="FI100" s="36">
        <f t="shared" ca="1" si="246"/>
        <v>42.29468421452664</v>
      </c>
      <c r="FJ100" s="36">
        <f t="shared" ca="1" si="246"/>
        <v>42.131887050176843</v>
      </c>
      <c r="FK100" s="36">
        <f t="shared" ca="1" si="246"/>
        <v>41.491909230346977</v>
      </c>
      <c r="FL100" s="36">
        <f t="shared" ca="1" si="246"/>
        <v>41.609774251671944</v>
      </c>
      <c r="FM100" s="36">
        <f t="shared" ca="1" si="246"/>
        <v>41.105784995045362</v>
      </c>
      <c r="FN100" s="36">
        <f t="shared" ca="1" si="246"/>
        <v>41.598327951209036</v>
      </c>
      <c r="FO100" s="36">
        <f t="shared" ca="1" si="246"/>
        <v>41.528606171866407</v>
      </c>
      <c r="FP100" s="36">
        <f t="shared" ca="1" si="246"/>
        <v>41.969708089523095</v>
      </c>
      <c r="FQ100" s="36">
        <f t="shared" ca="1" si="246"/>
        <v>42.600765725685427</v>
      </c>
      <c r="FR100" s="36">
        <f t="shared" ca="1" si="246"/>
        <v>42.295746176913319</v>
      </c>
      <c r="FS100" s="36">
        <f t="shared" ca="1" si="246"/>
        <v>41.905761003185809</v>
      </c>
      <c r="FT100" s="36">
        <f t="shared" ca="1" si="246"/>
        <v>41.613026607955291</v>
      </c>
      <c r="FU100" s="36">
        <f t="shared" ca="1" si="246"/>
        <v>41.684987821679393</v>
      </c>
      <c r="FV100" s="36">
        <f t="shared" ca="1" si="246"/>
        <v>41.480202547243664</v>
      </c>
      <c r="FW100" s="36">
        <f t="shared" ca="1" si="246"/>
        <v>41.976206404922614</v>
      </c>
      <c r="FX100" s="36">
        <f t="shared" ca="1" si="246"/>
        <v>42.058602296366715</v>
      </c>
      <c r="FY100" s="36">
        <f t="shared" ca="1" si="246"/>
        <v>42.274994046637737</v>
      </c>
      <c r="FZ100" s="36">
        <f t="shared" ca="1" si="246"/>
        <v>41.914706891655328</v>
      </c>
      <c r="GA100" s="36">
        <f t="shared" ca="1" si="246"/>
        <v>41.366531926986312</v>
      </c>
      <c r="GB100" s="36">
        <f t="shared" ca="1" si="246"/>
        <v>41.551550647563943</v>
      </c>
      <c r="GC100" s="36">
        <f t="shared" ca="1" si="246"/>
        <v>41.756982882807279</v>
      </c>
      <c r="GD100" s="36">
        <f t="shared" ca="1" si="246"/>
        <v>42.064091473363135</v>
      </c>
      <c r="GE100" s="36">
        <f t="shared" ca="1" si="246"/>
        <v>41.836355435345247</v>
      </c>
      <c r="GF100" s="36">
        <f t="shared" ca="1" si="246"/>
        <v>42.301091397682598</v>
      </c>
      <c r="GG100" s="36">
        <f t="shared" ca="1" si="246"/>
        <v>41.799477382719971</v>
      </c>
      <c r="GH100" s="36">
        <f t="shared" ca="1" si="246"/>
        <v>42.148966592138819</v>
      </c>
      <c r="GI100" s="36">
        <f t="shared" ca="1" si="246"/>
        <v>42.415904121859704</v>
      </c>
      <c r="GJ100" s="36">
        <f t="shared" ca="1" si="246"/>
        <v>42.383977778017822</v>
      </c>
      <c r="GK100" s="36">
        <f t="shared" ca="1" si="246"/>
        <v>41.879501689172116</v>
      </c>
      <c r="GL100" s="36">
        <f t="shared" ca="1" si="246"/>
        <v>42.600530512128458</v>
      </c>
      <c r="GM100" s="36">
        <f t="shared" ca="1" si="246"/>
        <v>42.600457114395304</v>
      </c>
      <c r="GN100" s="36">
        <f t="shared" ca="1" si="246"/>
        <v>42.287897735344508</v>
      </c>
      <c r="GO100" s="36">
        <f t="shared" ca="1" si="246"/>
        <v>41.946477056948517</v>
      </c>
      <c r="GP100" s="36">
        <f t="shared" ca="1" si="246"/>
        <v>41.471467614201131</v>
      </c>
      <c r="GQ100" s="36">
        <f t="shared" ca="1" si="246"/>
        <v>41.561602843282195</v>
      </c>
      <c r="GR100" s="36">
        <f t="shared" ca="1" si="246"/>
        <v>41.400425794241393</v>
      </c>
      <c r="GS100" s="36">
        <f t="shared" ca="1" si="246"/>
        <v>40.183768807397158</v>
      </c>
      <c r="GT100" s="36">
        <f t="shared" ca="1" si="246"/>
        <v>39.462516878077324</v>
      </c>
      <c r="GU100" s="36">
        <f t="shared" ca="1" si="246"/>
        <v>39.910264805369742</v>
      </c>
      <c r="GV100" s="36">
        <f t="shared" ca="1" si="246"/>
        <v>40.502841860902066</v>
      </c>
      <c r="GW100" s="36">
        <f t="shared" ca="1" si="246"/>
        <v>39.628983337942223</v>
      </c>
      <c r="GX100" s="36">
        <f t="shared" ca="1" si="246"/>
        <v>39.557404764179878</v>
      </c>
      <c r="GY100" s="36">
        <f t="shared" ca="1" si="246"/>
        <v>39.272585513889702</v>
      </c>
      <c r="GZ100" s="36">
        <f t="shared" ca="1" si="246"/>
        <v>39.594367718510625</v>
      </c>
      <c r="HA100" s="36">
        <f t="shared" ca="1" si="246"/>
        <v>39.925253172757593</v>
      </c>
      <c r="HB100" s="36">
        <f t="shared" ca="1" si="246"/>
        <v>39.487592242170948</v>
      </c>
      <c r="HC100" s="36">
        <f t="shared" ca="1" si="246"/>
        <v>39.658111858312537</v>
      </c>
      <c r="HD100" s="36">
        <f t="shared" ca="1" si="246"/>
        <v>39.31613522951551</v>
      </c>
      <c r="HE100" s="36">
        <f t="shared" ca="1" si="246"/>
        <v>39.561966371716963</v>
      </c>
      <c r="HF100" s="36">
        <f t="shared" ca="1" si="246"/>
        <v>39.378343792337276</v>
      </c>
      <c r="HG100" s="36">
        <f t="shared" ca="1" si="246"/>
        <v>38.925289879978479</v>
      </c>
      <c r="HH100" s="36">
        <f t="shared" ca="1" si="246"/>
        <v>39.357616759121015</v>
      </c>
      <c r="HI100" s="36">
        <f t="shared" ca="1" si="247"/>
        <v>39.661273530759139</v>
      </c>
      <c r="HJ100" s="36">
        <f t="shared" ca="1" si="247"/>
        <v>39.528187023899243</v>
      </c>
      <c r="HK100" s="36">
        <f t="shared" ca="1" si="247"/>
        <v>40.481825428426355</v>
      </c>
      <c r="HL100" s="36">
        <f t="shared" ca="1" si="247"/>
        <v>40.568295294828673</v>
      </c>
      <c r="HM100" s="36">
        <f t="shared" ca="1" si="247"/>
        <v>40.726731596994874</v>
      </c>
      <c r="HN100" s="36">
        <f t="shared" ca="1" si="247"/>
        <v>40.800038957257435</v>
      </c>
      <c r="HO100" s="36">
        <f t="shared" ca="1" si="247"/>
        <v>40.422103592624232</v>
      </c>
      <c r="HP100" s="36">
        <f t="shared" ca="1" si="247"/>
        <v>39.94712864307597</v>
      </c>
      <c r="HQ100" s="36">
        <f t="shared" ca="1" si="247"/>
        <v>39.992903474080229</v>
      </c>
      <c r="HR100" s="36">
        <f t="shared" ca="1" si="247"/>
        <v>38.798046709498635</v>
      </c>
      <c r="HS100" s="36">
        <f t="shared" ca="1" si="247"/>
        <v>38.089979459066505</v>
      </c>
      <c r="HT100" s="36">
        <f t="shared" ca="1" si="247"/>
        <v>38.084569641711603</v>
      </c>
      <c r="HU100" s="36">
        <f t="shared" ca="1" si="247"/>
        <v>38.244842504449522</v>
      </c>
      <c r="HV100" s="36">
        <f t="shared" ca="1" si="247"/>
        <v>38.063032890115743</v>
      </c>
      <c r="HW100" s="36">
        <f t="shared" ca="1" si="247"/>
        <v>38.433619995542394</v>
      </c>
      <c r="HX100" s="36">
        <f t="shared" ca="1" si="247"/>
        <v>38.675177293710938</v>
      </c>
      <c r="HY100" s="36">
        <f t="shared" ca="1" si="248"/>
        <v>38.541041413783866</v>
      </c>
      <c r="HZ100" s="36">
        <f t="shared" ca="1" si="248"/>
        <v>39.206264230280851</v>
      </c>
      <c r="IA100" s="36">
        <f t="shared" ca="1" si="248"/>
        <v>39.095767588760211</v>
      </c>
      <c r="IB100" s="36">
        <f t="shared" ca="1" si="248"/>
        <v>39.334231034021542</v>
      </c>
      <c r="IC100" s="36">
        <f t="shared" ca="1" si="248"/>
        <v>38.992333606918429</v>
      </c>
      <c r="ID100" s="36">
        <f t="shared" ca="1" si="248"/>
        <v>37.803995286104687</v>
      </c>
      <c r="IE100" s="36">
        <f t="shared" ca="1" si="248"/>
        <v>36.82702034121877</v>
      </c>
      <c r="IF100" s="36">
        <f t="shared" ca="1" si="248"/>
        <v>37.496067556878224</v>
      </c>
      <c r="IG100" s="36">
        <f t="shared" ca="1" si="248"/>
        <v>37.40711027966973</v>
      </c>
      <c r="IH100" s="36">
        <f t="shared" ca="1" si="248"/>
        <v>37.424668558506525</v>
      </c>
      <c r="II100" s="36">
        <f t="shared" ca="1" si="248"/>
        <v>36.494488781823016</v>
      </c>
      <c r="IJ100" s="36">
        <f t="shared" ca="1" si="248"/>
        <v>37.01412956481137</v>
      </c>
      <c r="IK100" s="36">
        <f t="shared" ca="1" si="248"/>
        <v>37.461290976767934</v>
      </c>
      <c r="IL100" s="36">
        <f t="shared" ca="1" si="248"/>
        <v>38.414145571975034</v>
      </c>
      <c r="IM100" s="36">
        <f t="shared" ca="1" si="248"/>
        <v>38.055239451139563</v>
      </c>
      <c r="IN100" s="36">
        <f t="shared" ca="1" si="248"/>
        <v>37.80646324131812</v>
      </c>
      <c r="IO100" s="36">
        <f t="shared" ca="1" si="248"/>
        <v>37.9308454134069</v>
      </c>
      <c r="IP100" s="36">
        <f t="shared" ca="1" si="248"/>
        <v>37.063222256957317</v>
      </c>
      <c r="IQ100" s="36">
        <f t="shared" ca="1" si="248"/>
        <v>36.735499868398186</v>
      </c>
      <c r="IR100" s="36">
        <f t="shared" ca="1" si="248"/>
        <v>37.1414987929166</v>
      </c>
      <c r="IS100" s="36">
        <f t="shared" ca="1" si="248"/>
        <v>37.079241773038291</v>
      </c>
      <c r="IT100" s="36">
        <f t="shared" ca="1" si="248"/>
        <v>36.69523646293019</v>
      </c>
      <c r="IU100" s="36">
        <f t="shared" ca="1" si="248"/>
        <v>36.689398661810806</v>
      </c>
    </row>
    <row r="101" spans="1:255" x14ac:dyDescent="0.2">
      <c r="A101" s="36"/>
      <c r="B101">
        <v>91</v>
      </c>
      <c r="C101" s="36">
        <v>50</v>
      </c>
      <c r="D101" s="36">
        <f t="shared" ca="1" si="188"/>
        <v>49.160754299077517</v>
      </c>
      <c r="E101" s="36">
        <f t="shared" ca="1" si="188"/>
        <v>49.748946747426714</v>
      </c>
      <c r="F101" s="36">
        <f t="shared" ca="1" si="249"/>
        <v>50.35432536150153</v>
      </c>
      <c r="G101" s="36">
        <f t="shared" ca="1" si="249"/>
        <v>50.814284237127339</v>
      </c>
      <c r="H101" s="36">
        <f t="shared" ca="1" si="249"/>
        <v>50.443855936848827</v>
      </c>
      <c r="I101" s="36">
        <f t="shared" ca="1" si="249"/>
        <v>49.730154705117634</v>
      </c>
      <c r="J101" s="36">
        <f t="shared" ca="1" si="249"/>
        <v>48.494654782265599</v>
      </c>
      <c r="K101" s="36">
        <f t="shared" ca="1" si="249"/>
        <v>48.914919785629188</v>
      </c>
      <c r="L101" s="36">
        <f t="shared" ca="1" si="249"/>
        <v>49.926782285926834</v>
      </c>
      <c r="M101" s="36">
        <f t="shared" ca="1" si="249"/>
        <v>49.960008410388674</v>
      </c>
      <c r="N101" s="36">
        <f t="shared" ca="1" si="249"/>
        <v>51.434246248839699</v>
      </c>
      <c r="O101" s="36">
        <f t="shared" ca="1" si="249"/>
        <v>51.40227572487693</v>
      </c>
      <c r="P101" s="36">
        <f t="shared" ca="1" si="249"/>
        <v>52.047038340435932</v>
      </c>
      <c r="Q101" s="36">
        <f t="shared" ca="1" si="249"/>
        <v>52.256106895306829</v>
      </c>
      <c r="R101" s="36">
        <f t="shared" ca="1" si="249"/>
        <v>52.220647711520144</v>
      </c>
      <c r="S101" s="36">
        <f t="shared" ca="1" si="249"/>
        <v>52.150444049676196</v>
      </c>
      <c r="T101" s="36">
        <f t="shared" ca="1" si="249"/>
        <v>53.58460314440255</v>
      </c>
      <c r="U101" s="36">
        <f t="shared" ca="1" si="249"/>
        <v>55.010237476640405</v>
      </c>
      <c r="V101" s="36">
        <f t="shared" ca="1" si="249"/>
        <v>55.317397815155395</v>
      </c>
      <c r="W101" s="36">
        <f t="shared" ca="1" si="249"/>
        <v>54.666900105222545</v>
      </c>
      <c r="X101" s="36">
        <f t="shared" ca="1" si="249"/>
        <v>55.44624996864566</v>
      </c>
      <c r="Y101" s="36">
        <f t="shared" ca="1" si="249"/>
        <v>54.914982031126911</v>
      </c>
      <c r="Z101" s="36">
        <f t="shared" ca="1" si="249"/>
        <v>54.54640595209554</v>
      </c>
      <c r="AA101" s="36">
        <f t="shared" ca="1" si="249"/>
        <v>53.759054241748949</v>
      </c>
      <c r="AB101" s="36">
        <f t="shared" ca="1" si="249"/>
        <v>52.291651572985081</v>
      </c>
      <c r="AC101" s="36">
        <f t="shared" ca="1" si="249"/>
        <v>51.250181420852272</v>
      </c>
      <c r="AD101" s="36">
        <f t="shared" ca="1" si="249"/>
        <v>51.635701382744877</v>
      </c>
      <c r="AE101" s="36">
        <f t="shared" ca="1" si="249"/>
        <v>51.982602351886513</v>
      </c>
      <c r="AF101" s="36">
        <f t="shared" ca="1" si="249"/>
        <v>52.408629668614822</v>
      </c>
      <c r="AG101" s="36">
        <f t="shared" ca="1" si="249"/>
        <v>52.811986998583976</v>
      </c>
      <c r="AH101" s="36">
        <f t="shared" ca="1" si="249"/>
        <v>53.285127988744307</v>
      </c>
      <c r="AI101" s="36">
        <f t="shared" ca="1" si="249"/>
        <v>53.548429778630862</v>
      </c>
      <c r="AJ101" s="36">
        <f t="shared" ca="1" si="249"/>
        <v>53.777871437899506</v>
      </c>
      <c r="AK101" s="36">
        <f t="shared" ca="1" si="249"/>
        <v>53.774284810198658</v>
      </c>
      <c r="AL101" s="36">
        <f t="shared" ca="1" si="249"/>
        <v>53.290354214023864</v>
      </c>
      <c r="AM101" s="36">
        <f t="shared" ca="1" si="249"/>
        <v>52.419072943134111</v>
      </c>
      <c r="AN101" s="36">
        <f t="shared" ca="1" si="249"/>
        <v>51.059754629006619</v>
      </c>
      <c r="AO101" s="36">
        <f t="shared" ca="1" si="249"/>
        <v>52.640106682471298</v>
      </c>
      <c r="AP101" s="36">
        <f t="shared" ca="1" si="249"/>
        <v>53.809058062896597</v>
      </c>
      <c r="AQ101" s="36">
        <f t="shared" ca="1" si="249"/>
        <v>53.359416403872174</v>
      </c>
      <c r="AR101" s="36">
        <f t="shared" ca="1" si="249"/>
        <v>53.439171375110334</v>
      </c>
      <c r="AS101" s="36">
        <f t="shared" ca="1" si="249"/>
        <v>53.234567070266046</v>
      </c>
      <c r="AT101" s="36">
        <f t="shared" ca="1" si="249"/>
        <v>53.136023630835759</v>
      </c>
      <c r="AU101" s="36">
        <f t="shared" ca="1" si="249"/>
        <v>52.879964412194013</v>
      </c>
      <c r="AV101" s="36">
        <f t="shared" ca="1" si="249"/>
        <v>53.259099293055257</v>
      </c>
      <c r="AW101" s="36">
        <f t="shared" ca="1" si="249"/>
        <v>53.198451537716075</v>
      </c>
      <c r="AX101" s="36">
        <f t="shared" ca="1" si="249"/>
        <v>53.092074033868045</v>
      </c>
      <c r="AY101" s="36">
        <f t="shared" ca="1" si="249"/>
        <v>53.351347258926531</v>
      </c>
      <c r="AZ101" s="36">
        <f t="shared" ca="1" si="249"/>
        <v>53.845891464683319</v>
      </c>
      <c r="BA101" s="36">
        <f t="shared" ca="1" si="249"/>
        <v>52.477925382593142</v>
      </c>
      <c r="BB101" s="36">
        <f t="shared" ca="1" si="249"/>
        <v>53.543103041739116</v>
      </c>
      <c r="BC101" s="36">
        <f t="shared" ca="1" si="249"/>
        <v>53.547616247122335</v>
      </c>
      <c r="BD101" s="36">
        <f t="shared" ca="1" si="249"/>
        <v>54.056836960546818</v>
      </c>
      <c r="BE101" s="36">
        <f t="shared" ca="1" si="249"/>
        <v>53.867434088526011</v>
      </c>
      <c r="BF101" s="36">
        <f t="shared" ca="1" si="249"/>
        <v>54.695164184759001</v>
      </c>
      <c r="BG101" s="36">
        <f t="shared" ca="1" si="249"/>
        <v>56.104285775402893</v>
      </c>
      <c r="BH101" s="36">
        <f t="shared" ca="1" si="249"/>
        <v>55.954134040218761</v>
      </c>
      <c r="BI101" s="36">
        <f t="shared" ca="1" si="249"/>
        <v>57.791459992351889</v>
      </c>
      <c r="BJ101" s="36">
        <f t="shared" ca="1" si="249"/>
        <v>56.970623725171599</v>
      </c>
      <c r="BK101" s="36">
        <f t="shared" ca="1" si="249"/>
        <v>55.93730780555741</v>
      </c>
      <c r="BL101" s="36">
        <f t="shared" ca="1" si="249"/>
        <v>55.35440034334173</v>
      </c>
      <c r="BM101" s="36">
        <f t="shared" ca="1" si="249"/>
        <v>55.281611669217391</v>
      </c>
      <c r="BN101" s="36">
        <f t="shared" ca="1" si="249"/>
        <v>55.532178223897411</v>
      </c>
      <c r="BO101" s="36">
        <f t="shared" ca="1" si="249"/>
        <v>55.716852292609602</v>
      </c>
      <c r="BP101" s="36">
        <f t="shared" ca="1" si="249"/>
        <v>54.249613878527761</v>
      </c>
      <c r="BQ101" s="36">
        <f t="shared" ref="BQ101:EB104" ca="1" si="253">BP101*EXP(($B$3-$B$4^2/2)*1+$B$4*_xlfn.NORM.S.INV(RAND()))</f>
        <v>53.878503089708417</v>
      </c>
      <c r="BR101" s="36">
        <f t="shared" ca="1" si="253"/>
        <v>54.015444286473311</v>
      </c>
      <c r="BS101" s="36">
        <f t="shared" ca="1" si="253"/>
        <v>53.659642180949142</v>
      </c>
      <c r="BT101" s="36">
        <f t="shared" ca="1" si="253"/>
        <v>54.000401813631811</v>
      </c>
      <c r="BU101" s="36">
        <f t="shared" ca="1" si="253"/>
        <v>53.867538237663005</v>
      </c>
      <c r="BV101" s="36">
        <f t="shared" ca="1" si="253"/>
        <v>53.78193129988361</v>
      </c>
      <c r="BW101" s="36">
        <f t="shared" ca="1" si="253"/>
        <v>54.035228054089437</v>
      </c>
      <c r="BX101" s="36">
        <f t="shared" ca="1" si="253"/>
        <v>54.406101519701743</v>
      </c>
      <c r="BY101" s="36">
        <f t="shared" ca="1" si="253"/>
        <v>54.797927600208467</v>
      </c>
      <c r="BZ101" s="36">
        <f t="shared" ca="1" si="253"/>
        <v>55.337104326436389</v>
      </c>
      <c r="CA101" s="36">
        <f t="shared" ca="1" si="253"/>
        <v>55.167914060849469</v>
      </c>
      <c r="CB101" s="36">
        <f t="shared" ca="1" si="253"/>
        <v>55.370818358838072</v>
      </c>
      <c r="CC101" s="36">
        <f t="shared" ca="1" si="253"/>
        <v>57.436711628792587</v>
      </c>
      <c r="CD101" s="36">
        <f t="shared" ca="1" si="253"/>
        <v>56.571305621296496</v>
      </c>
      <c r="CE101" s="36">
        <f t="shared" ca="1" si="253"/>
        <v>57.36753437734383</v>
      </c>
      <c r="CF101" s="36">
        <f t="shared" ca="1" si="253"/>
        <v>57.390376907111836</v>
      </c>
      <c r="CG101" s="36">
        <f t="shared" ca="1" si="253"/>
        <v>56.872856121393227</v>
      </c>
      <c r="CH101" s="36">
        <f t="shared" ca="1" si="253"/>
        <v>57.489981678813919</v>
      </c>
      <c r="CI101" s="36">
        <f t="shared" ca="1" si="253"/>
        <v>56.692061770865401</v>
      </c>
      <c r="CJ101" s="36">
        <f t="shared" ca="1" si="253"/>
        <v>56.830952565667332</v>
      </c>
      <c r="CK101" s="36">
        <f t="shared" ca="1" si="253"/>
        <v>56.57532577122619</v>
      </c>
      <c r="CL101" s="36">
        <f t="shared" ca="1" si="253"/>
        <v>55.11100195683958</v>
      </c>
      <c r="CM101" s="36">
        <f t="shared" ca="1" si="253"/>
        <v>55.975489732431598</v>
      </c>
      <c r="CN101" s="36">
        <f t="shared" ca="1" si="253"/>
        <v>55.087009538499565</v>
      </c>
      <c r="CO101" s="36">
        <f t="shared" ca="1" si="253"/>
        <v>54.700682563189417</v>
      </c>
      <c r="CP101" s="36">
        <f t="shared" ca="1" si="253"/>
        <v>55.002161269661407</v>
      </c>
      <c r="CQ101" s="36">
        <f t="shared" ca="1" si="253"/>
        <v>56.116442336707372</v>
      </c>
      <c r="CR101" s="36">
        <f t="shared" ca="1" si="253"/>
        <v>56.029548236016666</v>
      </c>
      <c r="CS101" s="36">
        <f t="shared" ca="1" si="253"/>
        <v>56.64935213239837</v>
      </c>
      <c r="CT101" s="36">
        <f t="shared" ca="1" si="253"/>
        <v>56.590381048525927</v>
      </c>
      <c r="CU101" s="36">
        <f t="shared" ca="1" si="253"/>
        <v>56.61321785159916</v>
      </c>
      <c r="CV101" s="36">
        <f t="shared" ca="1" si="253"/>
        <v>57.788848731056625</v>
      </c>
      <c r="CW101" s="36">
        <f t="shared" ca="1" si="253"/>
        <v>58.340231982399381</v>
      </c>
      <c r="CX101" s="36">
        <f t="shared" ca="1" si="253"/>
        <v>59.713212259332195</v>
      </c>
      <c r="CY101" s="36">
        <f t="shared" ca="1" si="253"/>
        <v>59.631759627217996</v>
      </c>
      <c r="CZ101" s="36">
        <f t="shared" ca="1" si="253"/>
        <v>59.900704001648485</v>
      </c>
      <c r="DA101" s="36">
        <f t="shared" ca="1" si="253"/>
        <v>59.236625543843701</v>
      </c>
      <c r="DB101" s="36">
        <f t="shared" ca="1" si="253"/>
        <v>60.030779614692982</v>
      </c>
      <c r="DC101" s="36">
        <f t="shared" ca="1" si="253"/>
        <v>60.304188040252114</v>
      </c>
      <c r="DD101" s="36">
        <f t="shared" ca="1" si="253"/>
        <v>61.109221460012712</v>
      </c>
      <c r="DE101" s="36">
        <f t="shared" ca="1" si="253"/>
        <v>61.391153117591699</v>
      </c>
      <c r="DF101" s="36">
        <f t="shared" ca="1" si="253"/>
        <v>61.901526663694014</v>
      </c>
      <c r="DG101" s="36">
        <f t="shared" ca="1" si="253"/>
        <v>62.609635093546402</v>
      </c>
      <c r="DH101" s="36">
        <f t="shared" ca="1" si="253"/>
        <v>62.976018600659991</v>
      </c>
      <c r="DI101" s="36">
        <f t="shared" ca="1" si="253"/>
        <v>63.742684204516387</v>
      </c>
      <c r="DJ101" s="36">
        <f t="shared" ca="1" si="253"/>
        <v>65.042155933073388</v>
      </c>
      <c r="DK101" s="36">
        <f t="shared" ca="1" si="253"/>
        <v>64.583427496534469</v>
      </c>
      <c r="DL101" s="36">
        <f t="shared" ca="1" si="253"/>
        <v>64.011949270072222</v>
      </c>
      <c r="DM101" s="36">
        <f t="shared" ca="1" si="253"/>
        <v>63.013315105374772</v>
      </c>
      <c r="DN101" s="36">
        <f t="shared" ca="1" si="253"/>
        <v>63.109098125902435</v>
      </c>
      <c r="DO101" s="36">
        <f t="shared" ca="1" si="253"/>
        <v>61.692532422525957</v>
      </c>
      <c r="DP101" s="36">
        <f t="shared" ca="1" si="253"/>
        <v>61.987497421135664</v>
      </c>
      <c r="DQ101" s="36">
        <f t="shared" ca="1" si="253"/>
        <v>62.201582006696135</v>
      </c>
      <c r="DR101" s="36">
        <f t="shared" ca="1" si="253"/>
        <v>62.960462929106576</v>
      </c>
      <c r="DS101" s="36">
        <f t="shared" ca="1" si="253"/>
        <v>64.129775808957788</v>
      </c>
      <c r="DT101" s="36">
        <f t="shared" ca="1" si="253"/>
        <v>64.942541610596777</v>
      </c>
      <c r="DU101" s="36">
        <f t="shared" ca="1" si="253"/>
        <v>65.04008575866942</v>
      </c>
      <c r="DV101" s="36">
        <f t="shared" ca="1" si="253"/>
        <v>64.939772643852507</v>
      </c>
      <c r="DW101" s="36">
        <f t="shared" ca="1" si="253"/>
        <v>65.959612323427336</v>
      </c>
      <c r="DX101" s="36">
        <f t="shared" ca="1" si="253"/>
        <v>66.799921177841938</v>
      </c>
      <c r="DY101" s="36">
        <f t="shared" ca="1" si="253"/>
        <v>67.409059288589944</v>
      </c>
      <c r="DZ101" s="36">
        <f t="shared" ca="1" si="253"/>
        <v>67.930325812320035</v>
      </c>
      <c r="EA101" s="36">
        <f t="shared" ca="1" si="253"/>
        <v>68.094074862946286</v>
      </c>
      <c r="EB101" s="36">
        <f t="shared" ca="1" si="253"/>
        <v>67.660943246504686</v>
      </c>
      <c r="EC101" s="36">
        <f t="shared" ca="1" si="239"/>
        <v>67.853870008155738</v>
      </c>
      <c r="ED101" s="36">
        <f t="shared" ca="1" si="239"/>
        <v>68.752350090108649</v>
      </c>
      <c r="EE101" s="36">
        <f t="shared" ca="1" si="239"/>
        <v>68.096979723720054</v>
      </c>
      <c r="EF101" s="36">
        <f t="shared" ca="1" si="239"/>
        <v>68.557818229719928</v>
      </c>
      <c r="EG101" s="36">
        <f t="shared" ca="1" si="239"/>
        <v>67.0374464347328</v>
      </c>
      <c r="EH101" s="36">
        <f t="shared" ca="1" si="239"/>
        <v>66.042221490532256</v>
      </c>
      <c r="EI101" s="36">
        <f t="shared" ca="1" si="239"/>
        <v>65.12613437037659</v>
      </c>
      <c r="EJ101" s="36">
        <f t="shared" ca="1" si="239"/>
        <v>64.711042494459093</v>
      </c>
      <c r="EK101" s="36">
        <f t="shared" ca="1" si="239"/>
        <v>64.389703975387661</v>
      </c>
      <c r="EL101" s="36">
        <f t="shared" ca="1" si="239"/>
        <v>63.75680203413696</v>
      </c>
      <c r="EM101" s="36">
        <f t="shared" ca="1" si="239"/>
        <v>65.147928241596546</v>
      </c>
      <c r="EN101" s="36">
        <f t="shared" ca="1" si="239"/>
        <v>62.761308343361087</v>
      </c>
      <c r="EO101" s="36">
        <f t="shared" ca="1" si="239"/>
        <v>62.805063160603886</v>
      </c>
      <c r="EP101" s="36">
        <f t="shared" ca="1" si="239"/>
        <v>64.137527808332337</v>
      </c>
      <c r="EQ101" s="36">
        <f t="shared" ca="1" si="239"/>
        <v>64.81554961496613</v>
      </c>
      <c r="ER101" s="36">
        <f t="shared" ca="1" si="239"/>
        <v>65.118297806571491</v>
      </c>
      <c r="ES101" s="36">
        <f t="shared" ca="1" si="239"/>
        <v>63.579928615666468</v>
      </c>
      <c r="ET101" s="36">
        <f t="shared" ca="1" si="239"/>
        <v>63.371716726019969</v>
      </c>
      <c r="EU101" s="36">
        <f t="shared" ca="1" si="239"/>
        <v>63.773154545086882</v>
      </c>
      <c r="EV101" s="36">
        <f t="shared" ca="1" si="239"/>
        <v>63.641574562719242</v>
      </c>
      <c r="EW101" s="36">
        <f t="shared" ref="EW101" ca="1" si="254">EV101*EXP(($B$3-$B$4^2/2)*1+$B$4*_xlfn.NORM.S.INV(RAND()))</f>
        <v>63.865898049133811</v>
      </c>
      <c r="EX101" s="36">
        <f t="shared" ca="1" si="246"/>
        <v>63.416007508298492</v>
      </c>
      <c r="EY101" s="36">
        <f t="shared" ca="1" si="246"/>
        <v>63.8955408336586</v>
      </c>
      <c r="EZ101" s="36">
        <f t="shared" ref="EZ101:HK104" ca="1" si="255">EY101*EXP(($B$3-$B$4^2/2)*1+$B$4*_xlfn.NORM.S.INV(RAND()))</f>
        <v>64.019244179659552</v>
      </c>
      <c r="FA101" s="36">
        <f t="shared" ca="1" si="255"/>
        <v>62.774474011063816</v>
      </c>
      <c r="FB101" s="36">
        <f t="shared" ca="1" si="255"/>
        <v>61.265116012729379</v>
      </c>
      <c r="FC101" s="36">
        <f t="shared" ca="1" si="255"/>
        <v>59.142315211589846</v>
      </c>
      <c r="FD101" s="36">
        <f t="shared" ca="1" si="255"/>
        <v>59.300994362154</v>
      </c>
      <c r="FE101" s="36">
        <f t="shared" ca="1" si="255"/>
        <v>59.540671630260306</v>
      </c>
      <c r="FF101" s="36">
        <f t="shared" ca="1" si="255"/>
        <v>58.535856458710207</v>
      </c>
      <c r="FG101" s="36">
        <f t="shared" ca="1" si="255"/>
        <v>59.345509771387384</v>
      </c>
      <c r="FH101" s="36">
        <f t="shared" ca="1" si="255"/>
        <v>58.821636371666678</v>
      </c>
      <c r="FI101" s="36">
        <f t="shared" ca="1" si="255"/>
        <v>59.662045563889698</v>
      </c>
      <c r="FJ101" s="36">
        <f t="shared" ca="1" si="255"/>
        <v>60.075070319853239</v>
      </c>
      <c r="FK101" s="36">
        <f t="shared" ca="1" si="255"/>
        <v>61.821263256811477</v>
      </c>
      <c r="FL101" s="36">
        <f t="shared" ca="1" si="255"/>
        <v>62.18404490980641</v>
      </c>
      <c r="FM101" s="36">
        <f t="shared" ca="1" si="255"/>
        <v>62.897043309524449</v>
      </c>
      <c r="FN101" s="36">
        <f t="shared" ca="1" si="255"/>
        <v>63.698918706013778</v>
      </c>
      <c r="FO101" s="36">
        <f t="shared" ca="1" si="255"/>
        <v>63.190903007953018</v>
      </c>
      <c r="FP101" s="36">
        <f t="shared" ca="1" si="255"/>
        <v>62.890224035230368</v>
      </c>
      <c r="FQ101" s="36">
        <f t="shared" ca="1" si="255"/>
        <v>63.282851471607529</v>
      </c>
      <c r="FR101" s="36">
        <f t="shared" ca="1" si="255"/>
        <v>64.125947972642706</v>
      </c>
      <c r="FS101" s="36">
        <f t="shared" ca="1" si="255"/>
        <v>65.377443428737692</v>
      </c>
      <c r="FT101" s="36">
        <f t="shared" ca="1" si="255"/>
        <v>65.017637234333492</v>
      </c>
      <c r="FU101" s="36">
        <f t="shared" ca="1" si="255"/>
        <v>65.01216452481556</v>
      </c>
      <c r="FV101" s="36">
        <f t="shared" ca="1" si="255"/>
        <v>64.931191859571825</v>
      </c>
      <c r="FW101" s="36">
        <f t="shared" ca="1" si="255"/>
        <v>65.129621292647371</v>
      </c>
      <c r="FX101" s="36">
        <f t="shared" ca="1" si="255"/>
        <v>64.955281411862885</v>
      </c>
      <c r="FY101" s="36">
        <f t="shared" ca="1" si="255"/>
        <v>64.651871333078034</v>
      </c>
      <c r="FZ101" s="36">
        <f t="shared" ca="1" si="255"/>
        <v>65.259801719732479</v>
      </c>
      <c r="GA101" s="36">
        <f t="shared" ca="1" si="255"/>
        <v>65.150451730699544</v>
      </c>
      <c r="GB101" s="36">
        <f t="shared" ca="1" si="255"/>
        <v>63.241540865427062</v>
      </c>
      <c r="GC101" s="36">
        <f t="shared" ca="1" si="255"/>
        <v>63.148010047717946</v>
      </c>
      <c r="GD101" s="36">
        <f t="shared" ca="1" si="255"/>
        <v>63.462860871561844</v>
      </c>
      <c r="GE101" s="36">
        <f t="shared" ca="1" si="255"/>
        <v>64.675956848173968</v>
      </c>
      <c r="GF101" s="36">
        <f t="shared" ca="1" si="255"/>
        <v>65.390983486518778</v>
      </c>
      <c r="GG101" s="36">
        <f t="shared" ca="1" si="255"/>
        <v>64.193503425766053</v>
      </c>
      <c r="GH101" s="36">
        <f t="shared" ca="1" si="255"/>
        <v>64.494115100510228</v>
      </c>
      <c r="GI101" s="36">
        <f t="shared" ca="1" si="255"/>
        <v>64.187337289390499</v>
      </c>
      <c r="GJ101" s="36">
        <f t="shared" ca="1" si="255"/>
        <v>65.678597913239813</v>
      </c>
      <c r="GK101" s="36">
        <f t="shared" ca="1" si="255"/>
        <v>65.145210007104865</v>
      </c>
      <c r="GL101" s="36">
        <f t="shared" ca="1" si="255"/>
        <v>64.639510597015317</v>
      </c>
      <c r="GM101" s="36">
        <f t="shared" ca="1" si="255"/>
        <v>64.17643820922143</v>
      </c>
      <c r="GN101" s="36">
        <f t="shared" ca="1" si="255"/>
        <v>63.30531116947418</v>
      </c>
      <c r="GO101" s="36">
        <f t="shared" ca="1" si="255"/>
        <v>62.04871996483611</v>
      </c>
      <c r="GP101" s="36">
        <f t="shared" ca="1" si="255"/>
        <v>61.583906126910925</v>
      </c>
      <c r="GQ101" s="36">
        <f t="shared" ca="1" si="255"/>
        <v>60.675011221866896</v>
      </c>
      <c r="GR101" s="36">
        <f t="shared" ca="1" si="255"/>
        <v>61.309638953608918</v>
      </c>
      <c r="GS101" s="36">
        <f t="shared" ca="1" si="255"/>
        <v>60.19102783711196</v>
      </c>
      <c r="GT101" s="36">
        <f t="shared" ca="1" si="255"/>
        <v>59.900522874204277</v>
      </c>
      <c r="GU101" s="36">
        <f t="shared" ca="1" si="255"/>
        <v>58.655206948071289</v>
      </c>
      <c r="GV101" s="36">
        <f t="shared" ca="1" si="255"/>
        <v>58.444514861918847</v>
      </c>
      <c r="GW101" s="36">
        <f t="shared" ca="1" si="255"/>
        <v>58.870684315760158</v>
      </c>
      <c r="GX101" s="36">
        <f t="shared" ca="1" si="255"/>
        <v>57.728444999573902</v>
      </c>
      <c r="GY101" s="36">
        <f t="shared" ca="1" si="255"/>
        <v>57.334588256867079</v>
      </c>
      <c r="GZ101" s="36">
        <f t="shared" ca="1" si="255"/>
        <v>56.835223055805315</v>
      </c>
      <c r="HA101" s="36">
        <f t="shared" ca="1" si="255"/>
        <v>55.703580646411702</v>
      </c>
      <c r="HB101" s="36">
        <f t="shared" ca="1" si="255"/>
        <v>55.586845452446184</v>
      </c>
      <c r="HC101" s="36">
        <f t="shared" ca="1" si="255"/>
        <v>55.854486843497462</v>
      </c>
      <c r="HD101" s="36">
        <f t="shared" ca="1" si="255"/>
        <v>55.924666315963798</v>
      </c>
      <c r="HE101" s="36">
        <f t="shared" ca="1" si="255"/>
        <v>56.503932444620041</v>
      </c>
      <c r="HF101" s="36">
        <f t="shared" ca="1" si="255"/>
        <v>55.806624923192508</v>
      </c>
      <c r="HG101" s="36">
        <f t="shared" ca="1" si="255"/>
        <v>55.955218682640201</v>
      </c>
      <c r="HH101" s="36">
        <f t="shared" ca="1" si="255"/>
        <v>55.77492336123268</v>
      </c>
      <c r="HI101" s="36">
        <f t="shared" ca="1" si="255"/>
        <v>56.754476479258074</v>
      </c>
      <c r="HJ101" s="36">
        <f t="shared" ca="1" si="255"/>
        <v>57.249595729644419</v>
      </c>
      <c r="HK101" s="36">
        <f t="shared" ca="1" si="255"/>
        <v>56.667581491112031</v>
      </c>
      <c r="HL101" s="36">
        <f t="shared" ref="HL101:HT101" ca="1" si="256">HK101*EXP(($B$3-$B$4^2/2)*1+$B$4*_xlfn.NORM.S.INV(RAND()))</f>
        <v>57.106429839693902</v>
      </c>
      <c r="HM101" s="36">
        <f t="shared" ca="1" si="256"/>
        <v>57.493648093159806</v>
      </c>
      <c r="HN101" s="36">
        <f t="shared" ca="1" si="256"/>
        <v>57.686781339512848</v>
      </c>
      <c r="HO101" s="36">
        <f t="shared" ca="1" si="256"/>
        <v>58.359911853598419</v>
      </c>
      <c r="HP101" s="36">
        <f t="shared" ca="1" si="256"/>
        <v>58.073604987847546</v>
      </c>
      <c r="HQ101" s="36">
        <f t="shared" ca="1" si="256"/>
        <v>57.430754945500183</v>
      </c>
      <c r="HR101" s="36">
        <f t="shared" ca="1" si="256"/>
        <v>56.56358194812762</v>
      </c>
      <c r="HS101" s="36">
        <f t="shared" ca="1" si="256"/>
        <v>56.861034982606569</v>
      </c>
      <c r="HT101" s="36">
        <f t="shared" ca="1" si="256"/>
        <v>55.76853303733634</v>
      </c>
      <c r="HU101" s="36">
        <f t="shared" ca="1" si="247"/>
        <v>55.619283690623234</v>
      </c>
      <c r="HV101" s="36">
        <f t="shared" ca="1" si="247"/>
        <v>54.353779414072463</v>
      </c>
      <c r="HW101" s="36">
        <f t="shared" ca="1" si="247"/>
        <v>53.939771380820147</v>
      </c>
      <c r="HX101" s="36">
        <f t="shared" ca="1" si="247"/>
        <v>54.65757107725414</v>
      </c>
      <c r="HY101" s="36">
        <f t="shared" ca="1" si="248"/>
        <v>54.079391126177029</v>
      </c>
      <c r="HZ101" s="36">
        <f t="shared" ca="1" si="248"/>
        <v>54.061237153416727</v>
      </c>
      <c r="IA101" s="36">
        <f t="shared" ca="1" si="248"/>
        <v>54.760305985142317</v>
      </c>
      <c r="IB101" s="36">
        <f t="shared" ca="1" si="248"/>
        <v>53.024247685037317</v>
      </c>
      <c r="IC101" s="36">
        <f t="shared" ca="1" si="248"/>
        <v>51.988353349344266</v>
      </c>
      <c r="ID101" s="36">
        <f t="shared" ca="1" si="248"/>
        <v>50.802444228676663</v>
      </c>
      <c r="IE101" s="36">
        <f t="shared" ca="1" si="248"/>
        <v>50.474501920905233</v>
      </c>
      <c r="IF101" s="36">
        <f t="shared" ca="1" si="248"/>
        <v>50.639019481703791</v>
      </c>
      <c r="IG101" s="36">
        <f t="shared" ca="1" si="248"/>
        <v>50.169028537459099</v>
      </c>
      <c r="IH101" s="36">
        <f t="shared" ca="1" si="248"/>
        <v>49.729658453113011</v>
      </c>
      <c r="II101" s="36">
        <f t="shared" ca="1" si="248"/>
        <v>49.038738614263373</v>
      </c>
      <c r="IJ101" s="36">
        <f t="shared" ca="1" si="248"/>
        <v>49.556586037410398</v>
      </c>
      <c r="IK101" s="36">
        <f t="shared" ca="1" si="248"/>
        <v>50.197600591874192</v>
      </c>
      <c r="IL101" s="36">
        <f t="shared" ca="1" si="248"/>
        <v>50.94162050010479</v>
      </c>
      <c r="IM101" s="36">
        <f t="shared" ca="1" si="248"/>
        <v>50.946436059325862</v>
      </c>
      <c r="IN101" s="36">
        <f t="shared" ca="1" si="248"/>
        <v>50.550194220063055</v>
      </c>
      <c r="IO101" s="36">
        <f t="shared" ca="1" si="248"/>
        <v>50.21063679076051</v>
      </c>
      <c r="IP101" s="36">
        <f t="shared" ca="1" si="248"/>
        <v>49.397894869200066</v>
      </c>
      <c r="IQ101" s="36">
        <f t="shared" ca="1" si="248"/>
        <v>50.494134373543105</v>
      </c>
      <c r="IR101" s="36">
        <f t="shared" ca="1" si="248"/>
        <v>50.230380061758865</v>
      </c>
      <c r="IS101" s="36">
        <f t="shared" ca="1" si="248"/>
        <v>50.424035229547464</v>
      </c>
      <c r="IT101" s="36">
        <f t="shared" ca="1" si="248"/>
        <v>50.780682198033411</v>
      </c>
      <c r="IU101" s="36">
        <f t="shared" ca="1" si="248"/>
        <v>51.133330618407342</v>
      </c>
    </row>
    <row r="102" spans="1:255" x14ac:dyDescent="0.2">
      <c r="A102" s="36"/>
      <c r="B102">
        <v>92</v>
      </c>
      <c r="C102" s="36">
        <v>50</v>
      </c>
      <c r="D102" s="36">
        <f t="shared" ca="1" si="188"/>
        <v>49.590305739715205</v>
      </c>
      <c r="E102" s="36">
        <f t="shared" ca="1" si="188"/>
        <v>50.258725230461224</v>
      </c>
      <c r="F102" s="36">
        <f t="shared" ref="F102:BQ105" ca="1" si="257">E102*EXP(($B$3-$B$4^2/2)*1+$B$4*_xlfn.NORM.S.INV(RAND()))</f>
        <v>50.037716068747471</v>
      </c>
      <c r="G102" s="36">
        <f t="shared" ca="1" si="257"/>
        <v>49.256804131667813</v>
      </c>
      <c r="H102" s="36">
        <f t="shared" ca="1" si="257"/>
        <v>49.398748789286209</v>
      </c>
      <c r="I102" s="36">
        <f t="shared" ca="1" si="257"/>
        <v>48.64341685045185</v>
      </c>
      <c r="J102" s="36">
        <f t="shared" ca="1" si="257"/>
        <v>48.691068732340888</v>
      </c>
      <c r="K102" s="36">
        <f t="shared" ca="1" si="257"/>
        <v>47.456318558576136</v>
      </c>
      <c r="L102" s="36">
        <f t="shared" ca="1" si="257"/>
        <v>47.901537949037554</v>
      </c>
      <c r="M102" s="36">
        <f t="shared" ca="1" si="257"/>
        <v>47.027568420191074</v>
      </c>
      <c r="N102" s="36">
        <f t="shared" ca="1" si="257"/>
        <v>46.59414051406003</v>
      </c>
      <c r="O102" s="36">
        <f t="shared" ca="1" si="257"/>
        <v>47.422326026413593</v>
      </c>
      <c r="P102" s="36">
        <f t="shared" ca="1" si="257"/>
        <v>47.507759922593529</v>
      </c>
      <c r="Q102" s="36">
        <f t="shared" ca="1" si="257"/>
        <v>46.19626726248444</v>
      </c>
      <c r="R102" s="36">
        <f t="shared" ca="1" si="257"/>
        <v>46.110326889619685</v>
      </c>
      <c r="S102" s="36">
        <f t="shared" ca="1" si="257"/>
        <v>46.174611947450501</v>
      </c>
      <c r="T102" s="36">
        <f t="shared" ca="1" si="257"/>
        <v>44.454475552615556</v>
      </c>
      <c r="U102" s="36">
        <f t="shared" ca="1" si="257"/>
        <v>44.939667375081626</v>
      </c>
      <c r="V102" s="36">
        <f t="shared" ca="1" si="257"/>
        <v>44.641658491581737</v>
      </c>
      <c r="W102" s="36">
        <f t="shared" ca="1" si="257"/>
        <v>44.294743569833784</v>
      </c>
      <c r="X102" s="36">
        <f t="shared" ca="1" si="257"/>
        <v>44.174377731961428</v>
      </c>
      <c r="Y102" s="36">
        <f t="shared" ca="1" si="257"/>
        <v>43.993076731805694</v>
      </c>
      <c r="Z102" s="36">
        <f t="shared" ca="1" si="257"/>
        <v>43.404861839686944</v>
      </c>
      <c r="AA102" s="36">
        <f t="shared" ca="1" si="257"/>
        <v>43.803713798466887</v>
      </c>
      <c r="AB102" s="36">
        <f t="shared" ca="1" si="257"/>
        <v>44.217333682073289</v>
      </c>
      <c r="AC102" s="36">
        <f t="shared" ca="1" si="257"/>
        <v>44.427054710782571</v>
      </c>
      <c r="AD102" s="36">
        <f t="shared" ca="1" si="257"/>
        <v>44.550979375365173</v>
      </c>
      <c r="AE102" s="36">
        <f t="shared" ca="1" si="257"/>
        <v>44.770593626861618</v>
      </c>
      <c r="AF102" s="36">
        <f t="shared" ca="1" si="257"/>
        <v>44.945028569147944</v>
      </c>
      <c r="AG102" s="36">
        <f t="shared" ca="1" si="257"/>
        <v>44.202388026701342</v>
      </c>
      <c r="AH102" s="36">
        <f t="shared" ca="1" si="257"/>
        <v>44.441196132377883</v>
      </c>
      <c r="AI102" s="36">
        <f t="shared" ca="1" si="257"/>
        <v>44.408621740342348</v>
      </c>
      <c r="AJ102" s="36">
        <f t="shared" ca="1" si="257"/>
        <v>44.260651867388759</v>
      </c>
      <c r="AK102" s="36">
        <f t="shared" ca="1" si="257"/>
        <v>44.62903580441629</v>
      </c>
      <c r="AL102" s="36">
        <f t="shared" ca="1" si="257"/>
        <v>44.69865919888155</v>
      </c>
      <c r="AM102" s="36">
        <f t="shared" ca="1" si="257"/>
        <v>44.853607877152825</v>
      </c>
      <c r="AN102" s="36">
        <f t="shared" ca="1" si="257"/>
        <v>45.464694285972747</v>
      </c>
      <c r="AO102" s="36">
        <f t="shared" ca="1" si="257"/>
        <v>45.989079252373386</v>
      </c>
      <c r="AP102" s="36">
        <f t="shared" ca="1" si="257"/>
        <v>47.084128078040891</v>
      </c>
      <c r="AQ102" s="36">
        <f t="shared" ca="1" si="257"/>
        <v>46.797416902469905</v>
      </c>
      <c r="AR102" s="36">
        <f t="shared" ca="1" si="257"/>
        <v>47.254241858835385</v>
      </c>
      <c r="AS102" s="36">
        <f t="shared" ca="1" si="257"/>
        <v>47.365277433077729</v>
      </c>
      <c r="AT102" s="36">
        <f t="shared" ca="1" si="257"/>
        <v>47.228362313654941</v>
      </c>
      <c r="AU102" s="36">
        <f t="shared" ca="1" si="257"/>
        <v>48.287364321495424</v>
      </c>
      <c r="AV102" s="36">
        <f t="shared" ca="1" si="257"/>
        <v>48.12200167360038</v>
      </c>
      <c r="AW102" s="36">
        <f t="shared" ca="1" si="257"/>
        <v>47.034998062708532</v>
      </c>
      <c r="AX102" s="36">
        <f t="shared" ca="1" si="257"/>
        <v>47.95582263727318</v>
      </c>
      <c r="AY102" s="36">
        <f t="shared" ca="1" si="257"/>
        <v>47.936837630720412</v>
      </c>
      <c r="AZ102" s="36">
        <f t="shared" ca="1" si="257"/>
        <v>47.563612607034678</v>
      </c>
      <c r="BA102" s="36">
        <f t="shared" ca="1" si="257"/>
        <v>47.450599021680077</v>
      </c>
      <c r="BB102" s="36">
        <f t="shared" ca="1" si="257"/>
        <v>47.991279844795081</v>
      </c>
      <c r="BC102" s="36">
        <f t="shared" ca="1" si="257"/>
        <v>48.786815050273397</v>
      </c>
      <c r="BD102" s="36">
        <f t="shared" ca="1" si="257"/>
        <v>50.221715150624647</v>
      </c>
      <c r="BE102" s="36">
        <f t="shared" ca="1" si="257"/>
        <v>50.732565608418724</v>
      </c>
      <c r="BF102" s="36">
        <f t="shared" ca="1" si="257"/>
        <v>50.001597945273595</v>
      </c>
      <c r="BG102" s="36">
        <f t="shared" ca="1" si="257"/>
        <v>50.847319021817079</v>
      </c>
      <c r="BH102" s="36">
        <f t="shared" ca="1" si="257"/>
        <v>51.435193318539923</v>
      </c>
      <c r="BI102" s="36">
        <f t="shared" ca="1" si="257"/>
        <v>51.66606303911967</v>
      </c>
      <c r="BJ102" s="36">
        <f t="shared" ca="1" si="257"/>
        <v>52.226954702257402</v>
      </c>
      <c r="BK102" s="36">
        <f t="shared" ca="1" si="257"/>
        <v>51.566491839178873</v>
      </c>
      <c r="BL102" s="36">
        <f t="shared" ca="1" si="257"/>
        <v>51.841415390314864</v>
      </c>
      <c r="BM102" s="36">
        <f t="shared" ca="1" si="257"/>
        <v>51.6957900718986</v>
      </c>
      <c r="BN102" s="36">
        <f t="shared" ca="1" si="257"/>
        <v>51.425472029484681</v>
      </c>
      <c r="BO102" s="36">
        <f t="shared" ca="1" si="257"/>
        <v>51.524111059958045</v>
      </c>
      <c r="BP102" s="36">
        <f t="shared" ca="1" si="257"/>
        <v>50.25466643309408</v>
      </c>
      <c r="BQ102" s="36">
        <f t="shared" ca="1" si="257"/>
        <v>50.565652246897756</v>
      </c>
      <c r="BR102" s="36">
        <f t="shared" ca="1" si="253"/>
        <v>50.108421089265327</v>
      </c>
      <c r="BS102" s="36">
        <f t="shared" ca="1" si="253"/>
        <v>48.641191740226134</v>
      </c>
      <c r="BT102" s="36">
        <f t="shared" ca="1" si="253"/>
        <v>48.348977664169588</v>
      </c>
      <c r="BU102" s="36">
        <f t="shared" ca="1" si="253"/>
        <v>47.934180429646652</v>
      </c>
      <c r="BV102" s="36">
        <f t="shared" ca="1" si="253"/>
        <v>47.801848301022019</v>
      </c>
      <c r="BW102" s="36">
        <f t="shared" ca="1" si="253"/>
        <v>47.760583526443483</v>
      </c>
      <c r="BX102" s="36">
        <f t="shared" ca="1" si="253"/>
        <v>47.937960573724872</v>
      </c>
      <c r="BY102" s="36">
        <f t="shared" ca="1" si="253"/>
        <v>47.655488499681027</v>
      </c>
      <c r="BZ102" s="36">
        <f t="shared" ca="1" si="253"/>
        <v>47.785054030325341</v>
      </c>
      <c r="CA102" s="36">
        <f t="shared" ca="1" si="253"/>
        <v>47.704255904398622</v>
      </c>
      <c r="CB102" s="36">
        <f t="shared" ca="1" si="253"/>
        <v>48.171175496675488</v>
      </c>
      <c r="CC102" s="36">
        <f t="shared" ca="1" si="253"/>
        <v>49.693132166360947</v>
      </c>
      <c r="CD102" s="36">
        <f t="shared" ca="1" si="253"/>
        <v>50.142386635682463</v>
      </c>
      <c r="CE102" s="36">
        <f t="shared" ca="1" si="253"/>
        <v>49.004167768534991</v>
      </c>
      <c r="CF102" s="36">
        <f t="shared" ca="1" si="253"/>
        <v>49.401622962052969</v>
      </c>
      <c r="CG102" s="36">
        <f t="shared" ca="1" si="253"/>
        <v>48.755912576361517</v>
      </c>
      <c r="CH102" s="36">
        <f t="shared" ca="1" si="253"/>
        <v>48.525114423210574</v>
      </c>
      <c r="CI102" s="36">
        <f t="shared" ca="1" si="253"/>
        <v>48.147478947216463</v>
      </c>
      <c r="CJ102" s="36">
        <f t="shared" ca="1" si="253"/>
        <v>48.2306878510243</v>
      </c>
      <c r="CK102" s="36">
        <f t="shared" ca="1" si="253"/>
        <v>48.263918507256193</v>
      </c>
      <c r="CL102" s="36">
        <f t="shared" ca="1" si="253"/>
        <v>48.406334416200586</v>
      </c>
      <c r="CM102" s="36">
        <f t="shared" ca="1" si="253"/>
        <v>49.304107114120178</v>
      </c>
      <c r="CN102" s="36">
        <f t="shared" ca="1" si="253"/>
        <v>49.843299271714329</v>
      </c>
      <c r="CO102" s="36">
        <f t="shared" ca="1" si="253"/>
        <v>50.094431316730883</v>
      </c>
      <c r="CP102" s="36">
        <f t="shared" ca="1" si="253"/>
        <v>49.030696496799031</v>
      </c>
      <c r="CQ102" s="36">
        <f t="shared" ca="1" si="253"/>
        <v>48.463410696752661</v>
      </c>
      <c r="CR102" s="36">
        <f t="shared" ca="1" si="253"/>
        <v>47.902028933407458</v>
      </c>
      <c r="CS102" s="36">
        <f t="shared" ca="1" si="253"/>
        <v>48.518401163639787</v>
      </c>
      <c r="CT102" s="36">
        <f t="shared" ca="1" si="253"/>
        <v>48.152547838973142</v>
      </c>
      <c r="CU102" s="36">
        <f t="shared" ca="1" si="253"/>
        <v>48.708632736528884</v>
      </c>
      <c r="CV102" s="36">
        <f t="shared" ca="1" si="253"/>
        <v>49.07353833517837</v>
      </c>
      <c r="CW102" s="36">
        <f t="shared" ca="1" si="253"/>
        <v>49.915810169379213</v>
      </c>
      <c r="CX102" s="36">
        <f t="shared" ca="1" si="253"/>
        <v>49.949142308154464</v>
      </c>
      <c r="CY102" s="36">
        <f t="shared" ca="1" si="253"/>
        <v>49.456083830877184</v>
      </c>
      <c r="CZ102" s="36">
        <f t="shared" ca="1" si="253"/>
        <v>48.728691357399704</v>
      </c>
      <c r="DA102" s="36">
        <f t="shared" ca="1" si="253"/>
        <v>48.837430333006239</v>
      </c>
      <c r="DB102" s="36">
        <f t="shared" ca="1" si="253"/>
        <v>48.305301415719185</v>
      </c>
      <c r="DC102" s="36">
        <f t="shared" ca="1" si="253"/>
        <v>48.601451163986511</v>
      </c>
      <c r="DD102" s="36">
        <f t="shared" ca="1" si="253"/>
        <v>49.18153376683113</v>
      </c>
      <c r="DE102" s="36">
        <f t="shared" ca="1" si="253"/>
        <v>48.481029307219877</v>
      </c>
      <c r="DF102" s="36">
        <f t="shared" ca="1" si="253"/>
        <v>48.240981871419727</v>
      </c>
      <c r="DG102" s="36">
        <f t="shared" ca="1" si="253"/>
        <v>47.447839481186463</v>
      </c>
      <c r="DH102" s="36">
        <f t="shared" ca="1" si="253"/>
        <v>47.844949249252792</v>
      </c>
      <c r="DI102" s="36">
        <f t="shared" ca="1" si="253"/>
        <v>47.832753363983279</v>
      </c>
      <c r="DJ102" s="36">
        <f t="shared" ca="1" si="253"/>
        <v>47.564616782653687</v>
      </c>
      <c r="DK102" s="36">
        <f t="shared" ca="1" si="253"/>
        <v>46.709434960318383</v>
      </c>
      <c r="DL102" s="36">
        <f t="shared" ca="1" si="253"/>
        <v>47.334394967467652</v>
      </c>
      <c r="DM102" s="36">
        <f t="shared" ca="1" si="253"/>
        <v>47.114444027413754</v>
      </c>
      <c r="DN102" s="36">
        <f t="shared" ca="1" si="253"/>
        <v>46.03263930193274</v>
      </c>
      <c r="DO102" s="36">
        <f t="shared" ca="1" si="253"/>
        <v>46.109804591642465</v>
      </c>
      <c r="DP102" s="36">
        <f t="shared" ca="1" si="253"/>
        <v>46.306747686812642</v>
      </c>
      <c r="DQ102" s="36">
        <f t="shared" ca="1" si="253"/>
        <v>46.807250590380235</v>
      </c>
      <c r="DR102" s="36">
        <f t="shared" ca="1" si="253"/>
        <v>46.747684301800795</v>
      </c>
      <c r="DS102" s="36">
        <f t="shared" ca="1" si="253"/>
        <v>46.235565884886206</v>
      </c>
      <c r="DT102" s="36">
        <f t="shared" ca="1" si="253"/>
        <v>46.117945091201925</v>
      </c>
      <c r="DU102" s="36">
        <f t="shared" ca="1" si="253"/>
        <v>46.558163301952042</v>
      </c>
      <c r="DV102" s="36">
        <f t="shared" ca="1" si="253"/>
        <v>46.17416623922756</v>
      </c>
      <c r="DW102" s="36">
        <f t="shared" ca="1" si="253"/>
        <v>46.227885737875411</v>
      </c>
      <c r="DX102" s="36">
        <f t="shared" ca="1" si="253"/>
        <v>47.028840341770916</v>
      </c>
      <c r="DY102" s="36">
        <f t="shared" ca="1" si="253"/>
        <v>47.451953896850348</v>
      </c>
      <c r="DZ102" s="36">
        <f t="shared" ca="1" si="253"/>
        <v>46.521462821979426</v>
      </c>
      <c r="EA102" s="36">
        <f t="shared" ca="1" si="253"/>
        <v>46.57598127251773</v>
      </c>
      <c r="EB102" s="36">
        <f t="shared" ca="1" si="253"/>
        <v>47.426190175945067</v>
      </c>
      <c r="EC102" s="36">
        <f t="shared" ca="1" si="239"/>
        <v>47.231496372713828</v>
      </c>
      <c r="ED102" s="36">
        <f t="shared" ca="1" si="239"/>
        <v>47.460396545436311</v>
      </c>
      <c r="EE102" s="36">
        <f t="shared" ca="1" si="239"/>
        <v>46.836955068518037</v>
      </c>
      <c r="EF102" s="36">
        <f t="shared" ca="1" si="239"/>
        <v>46.047618121731055</v>
      </c>
      <c r="EG102" s="36">
        <f t="shared" ca="1" si="239"/>
        <v>47.174828749880987</v>
      </c>
      <c r="EH102" s="36">
        <f t="shared" ca="1" si="239"/>
        <v>47.534303154877712</v>
      </c>
      <c r="EI102" s="36">
        <f t="shared" ca="1" si="239"/>
        <v>47.596459538586103</v>
      </c>
      <c r="EJ102" s="36">
        <f t="shared" ca="1" si="239"/>
        <v>48.111657692669311</v>
      </c>
      <c r="EK102" s="36">
        <f t="shared" ca="1" si="239"/>
        <v>47.770434471629876</v>
      </c>
      <c r="EL102" s="36">
        <f t="shared" ca="1" si="239"/>
        <v>48.006040288569196</v>
      </c>
      <c r="EM102" s="36">
        <f t="shared" ca="1" si="239"/>
        <v>47.846973742117292</v>
      </c>
      <c r="EN102" s="36">
        <f t="shared" ca="1" si="239"/>
        <v>48.757455786512672</v>
      </c>
      <c r="EO102" s="36">
        <f t="shared" ca="1" si="239"/>
        <v>49.277901301610797</v>
      </c>
      <c r="EP102" s="36">
        <f t="shared" ca="1" si="239"/>
        <v>47.435826242270316</v>
      </c>
      <c r="EQ102" s="36">
        <f t="shared" ca="1" si="239"/>
        <v>45.693600344967365</v>
      </c>
      <c r="ER102" s="36">
        <f t="shared" ca="1" si="239"/>
        <v>45.462367548863249</v>
      </c>
      <c r="ES102" s="36">
        <f t="shared" ca="1" si="239"/>
        <v>45.640191685257619</v>
      </c>
      <c r="ET102" s="36">
        <f t="shared" ca="1" si="239"/>
        <v>46.093941835154219</v>
      </c>
      <c r="EU102" s="36">
        <f t="shared" ca="1" si="239"/>
        <v>47.379659191275017</v>
      </c>
      <c r="EV102" s="36">
        <f t="shared" ca="1" si="239"/>
        <v>47.164143184500439</v>
      </c>
      <c r="EW102" s="36">
        <f t="shared" ref="EW102:HH106" ca="1" si="258">EV102*EXP(($B$3-$B$4^2/2)*1+$B$4*_xlfn.NORM.S.INV(RAND()))</f>
        <v>46.984370733974707</v>
      </c>
      <c r="EX102" s="36">
        <f t="shared" ca="1" si="258"/>
        <v>47.47332208676599</v>
      </c>
      <c r="EY102" s="36">
        <f t="shared" ca="1" si="258"/>
        <v>46.485769497121119</v>
      </c>
      <c r="EZ102" s="36">
        <f t="shared" ca="1" si="258"/>
        <v>46.196267218361911</v>
      </c>
      <c r="FA102" s="36">
        <f t="shared" ca="1" si="258"/>
        <v>45.338038633514088</v>
      </c>
      <c r="FB102" s="36">
        <f t="shared" ca="1" si="258"/>
        <v>44.391710803284965</v>
      </c>
      <c r="FC102" s="36">
        <f t="shared" ca="1" si="258"/>
        <v>43.930423820971086</v>
      </c>
      <c r="FD102" s="36">
        <f t="shared" ca="1" si="258"/>
        <v>43.104575174917613</v>
      </c>
      <c r="FE102" s="36">
        <f t="shared" ca="1" si="258"/>
        <v>43.618649665832557</v>
      </c>
      <c r="FF102" s="36">
        <f t="shared" ca="1" si="258"/>
        <v>43.654367497155832</v>
      </c>
      <c r="FG102" s="36">
        <f t="shared" ca="1" si="258"/>
        <v>43.6551141181058</v>
      </c>
      <c r="FH102" s="36">
        <f t="shared" ca="1" si="258"/>
        <v>44.131378458881819</v>
      </c>
      <c r="FI102" s="36">
        <f t="shared" ca="1" si="258"/>
        <v>44.633056378404532</v>
      </c>
      <c r="FJ102" s="36">
        <f t="shared" ca="1" si="258"/>
        <v>44.642135223927909</v>
      </c>
      <c r="FK102" s="36">
        <f t="shared" ca="1" si="258"/>
        <v>44.115775849064129</v>
      </c>
      <c r="FL102" s="36">
        <f t="shared" ca="1" si="258"/>
        <v>44.224357265513248</v>
      </c>
      <c r="FM102" s="36">
        <f t="shared" ca="1" si="258"/>
        <v>44.357264542299013</v>
      </c>
      <c r="FN102" s="36">
        <f t="shared" ca="1" si="258"/>
        <v>45.136200181298349</v>
      </c>
      <c r="FO102" s="36">
        <f t="shared" ca="1" si="258"/>
        <v>45.312816664980197</v>
      </c>
      <c r="FP102" s="36">
        <f t="shared" ca="1" si="258"/>
        <v>45.726065348828222</v>
      </c>
      <c r="FQ102" s="36">
        <f t="shared" ca="1" si="258"/>
        <v>46.455640809964834</v>
      </c>
      <c r="FR102" s="36">
        <f t="shared" ca="1" si="258"/>
        <v>46.47905273504545</v>
      </c>
      <c r="FS102" s="36">
        <f t="shared" ca="1" si="258"/>
        <v>46.135188333130792</v>
      </c>
      <c r="FT102" s="36">
        <f t="shared" ca="1" si="258"/>
        <v>45.667085602711772</v>
      </c>
      <c r="FU102" s="36">
        <f t="shared" ca="1" si="258"/>
        <v>45.871819750864951</v>
      </c>
      <c r="FV102" s="36">
        <f t="shared" ca="1" si="258"/>
        <v>45.03764588221626</v>
      </c>
      <c r="FW102" s="36">
        <f t="shared" ca="1" si="258"/>
        <v>44.913223001311771</v>
      </c>
      <c r="FX102" s="36">
        <f t="shared" ca="1" si="258"/>
        <v>44.913150145465167</v>
      </c>
      <c r="FY102" s="36">
        <f t="shared" ca="1" si="258"/>
        <v>45.489518725115204</v>
      </c>
      <c r="FZ102" s="36">
        <f t="shared" ca="1" si="258"/>
        <v>46.152905729440633</v>
      </c>
      <c r="GA102" s="36">
        <f t="shared" ca="1" si="258"/>
        <v>45.835340530224677</v>
      </c>
      <c r="GB102" s="36">
        <f t="shared" ca="1" si="258"/>
        <v>46.657268835160203</v>
      </c>
      <c r="GC102" s="36">
        <f t="shared" ca="1" si="258"/>
        <v>45.267849710437218</v>
      </c>
      <c r="GD102" s="36">
        <f t="shared" ca="1" si="258"/>
        <v>46.193767067908617</v>
      </c>
      <c r="GE102" s="36">
        <f t="shared" ca="1" si="258"/>
        <v>46.460808252450178</v>
      </c>
      <c r="GF102" s="36">
        <f t="shared" ca="1" si="258"/>
        <v>46.730279777185174</v>
      </c>
      <c r="GG102" s="36">
        <f t="shared" ca="1" si="258"/>
        <v>47.133748543878056</v>
      </c>
      <c r="GH102" s="36">
        <f t="shared" ca="1" si="258"/>
        <v>47.890652025142906</v>
      </c>
      <c r="GI102" s="36">
        <f t="shared" ca="1" si="258"/>
        <v>47.668658199632127</v>
      </c>
      <c r="GJ102" s="36">
        <f t="shared" ca="1" si="258"/>
        <v>47.372205757402654</v>
      </c>
      <c r="GK102" s="36">
        <f t="shared" ca="1" si="258"/>
        <v>48.485292056392247</v>
      </c>
      <c r="GL102" s="36">
        <f t="shared" ca="1" si="258"/>
        <v>48.953000345620467</v>
      </c>
      <c r="GM102" s="36">
        <f t="shared" ca="1" si="258"/>
        <v>48.094315966910187</v>
      </c>
      <c r="GN102" s="36">
        <f t="shared" ca="1" si="258"/>
        <v>47.985338862224587</v>
      </c>
      <c r="GO102" s="36">
        <f t="shared" ca="1" si="258"/>
        <v>47.93348883681093</v>
      </c>
      <c r="GP102" s="36">
        <f t="shared" ca="1" si="258"/>
        <v>48.644361616463186</v>
      </c>
      <c r="GQ102" s="36">
        <f t="shared" ca="1" si="258"/>
        <v>48.531780638645145</v>
      </c>
      <c r="GR102" s="36">
        <f t="shared" ca="1" si="258"/>
        <v>48.352859741823259</v>
      </c>
      <c r="GS102" s="36">
        <f t="shared" ca="1" si="258"/>
        <v>48.497873282946436</v>
      </c>
      <c r="GT102" s="36">
        <f t="shared" ca="1" si="258"/>
        <v>49.771088865487556</v>
      </c>
      <c r="GU102" s="36">
        <f t="shared" ca="1" si="258"/>
        <v>50.092412307267651</v>
      </c>
      <c r="GV102" s="36">
        <f t="shared" ca="1" si="258"/>
        <v>50.78279553657071</v>
      </c>
      <c r="GW102" s="36">
        <f t="shared" ca="1" si="258"/>
        <v>51.124156922122552</v>
      </c>
      <c r="GX102" s="36">
        <f t="shared" ca="1" si="258"/>
        <v>50.378033011432883</v>
      </c>
      <c r="GY102" s="36">
        <f t="shared" ca="1" si="258"/>
        <v>50.414528207230603</v>
      </c>
      <c r="GZ102" s="36">
        <f t="shared" ca="1" si="258"/>
        <v>50.013136533369732</v>
      </c>
      <c r="HA102" s="36">
        <f t="shared" ca="1" si="258"/>
        <v>50.060922105914173</v>
      </c>
      <c r="HB102" s="36">
        <f t="shared" ca="1" si="258"/>
        <v>50.249980979001727</v>
      </c>
      <c r="HC102" s="36">
        <f t="shared" ca="1" si="258"/>
        <v>50.782116485762131</v>
      </c>
      <c r="HD102" s="36">
        <f t="shared" ca="1" si="258"/>
        <v>49.992322738689474</v>
      </c>
      <c r="HE102" s="36">
        <f t="shared" ca="1" si="258"/>
        <v>49.84704872654013</v>
      </c>
      <c r="HF102" s="36">
        <f t="shared" ca="1" si="258"/>
        <v>50.560527078039783</v>
      </c>
      <c r="HG102" s="36">
        <f t="shared" ca="1" si="258"/>
        <v>49.814803749768679</v>
      </c>
      <c r="HH102" s="36">
        <f t="shared" ca="1" si="258"/>
        <v>49.692015099233423</v>
      </c>
      <c r="HI102" s="36">
        <f t="shared" ca="1" si="255"/>
        <v>50.413477799410991</v>
      </c>
      <c r="HJ102" s="36">
        <f t="shared" ca="1" si="255"/>
        <v>50.353667160628433</v>
      </c>
      <c r="HK102" s="36">
        <f t="shared" ca="1" si="255"/>
        <v>50.978270199214862</v>
      </c>
      <c r="HL102" s="36">
        <f t="shared" ref="HL102:HT102" ca="1" si="259">HK102*EXP(($B$3-$B$4^2/2)*1+$B$4*_xlfn.NORM.S.INV(RAND()))</f>
        <v>52.242955026422941</v>
      </c>
      <c r="HM102" s="36">
        <f t="shared" ca="1" si="259"/>
        <v>52.117581544178613</v>
      </c>
      <c r="HN102" s="36">
        <f t="shared" ca="1" si="259"/>
        <v>52.40877998499203</v>
      </c>
      <c r="HO102" s="36">
        <f t="shared" ca="1" si="259"/>
        <v>51.956482046342757</v>
      </c>
      <c r="HP102" s="36">
        <f t="shared" ca="1" si="259"/>
        <v>52.046779443807104</v>
      </c>
      <c r="HQ102" s="36">
        <f t="shared" ca="1" si="259"/>
        <v>51.92788065726085</v>
      </c>
      <c r="HR102" s="36">
        <f t="shared" ca="1" si="259"/>
        <v>51.843521844862565</v>
      </c>
      <c r="HS102" s="36">
        <f t="shared" ca="1" si="259"/>
        <v>52.642387937384285</v>
      </c>
      <c r="HT102" s="36">
        <f t="shared" ca="1" si="259"/>
        <v>52.959372931835283</v>
      </c>
      <c r="HU102" s="36">
        <f t="shared" ca="1" si="247"/>
        <v>53.187406376938291</v>
      </c>
      <c r="HV102" s="36">
        <f t="shared" ca="1" si="247"/>
        <v>53.285524629357013</v>
      </c>
      <c r="HW102" s="36">
        <f t="shared" ca="1" si="247"/>
        <v>54.20592476338814</v>
      </c>
      <c r="HX102" s="36">
        <f t="shared" ca="1" si="247"/>
        <v>54.023068676190739</v>
      </c>
      <c r="HY102" s="36">
        <f t="shared" ca="1" si="248"/>
        <v>53.703479289877137</v>
      </c>
      <c r="HZ102" s="36">
        <f t="shared" ca="1" si="248"/>
        <v>53.813025605664329</v>
      </c>
      <c r="IA102" s="36">
        <f t="shared" ca="1" si="248"/>
        <v>53.026914567146619</v>
      </c>
      <c r="IB102" s="36">
        <f t="shared" ca="1" si="248"/>
        <v>53.418032423575958</v>
      </c>
      <c r="IC102" s="36">
        <f t="shared" ca="1" si="248"/>
        <v>54.96997844318205</v>
      </c>
      <c r="ID102" s="36">
        <f t="shared" ca="1" si="248"/>
        <v>55.58266885657023</v>
      </c>
      <c r="IE102" s="36">
        <f t="shared" ca="1" si="248"/>
        <v>56.339337363399984</v>
      </c>
      <c r="IF102" s="36">
        <f t="shared" ca="1" si="248"/>
        <v>56.967972734766349</v>
      </c>
      <c r="IG102" s="36">
        <f t="shared" ca="1" si="248"/>
        <v>56.370822720793939</v>
      </c>
      <c r="IH102" s="36">
        <f t="shared" ca="1" si="248"/>
        <v>55.971938271598269</v>
      </c>
      <c r="II102" s="36">
        <f t="shared" ca="1" si="248"/>
        <v>56.320048456291048</v>
      </c>
      <c r="IJ102" s="36">
        <f t="shared" ca="1" si="248"/>
        <v>56.840097289112926</v>
      </c>
      <c r="IK102" s="36">
        <f t="shared" ca="1" si="248"/>
        <v>56.435533438833481</v>
      </c>
      <c r="IL102" s="36">
        <f t="shared" ca="1" si="248"/>
        <v>55.783888609086326</v>
      </c>
      <c r="IM102" s="36">
        <f t="shared" ca="1" si="248"/>
        <v>54.832034277147493</v>
      </c>
      <c r="IN102" s="36">
        <f t="shared" ca="1" si="248"/>
        <v>56.061119338170066</v>
      </c>
      <c r="IO102" s="36">
        <f t="shared" ca="1" si="248"/>
        <v>56.426311462396384</v>
      </c>
      <c r="IP102" s="36">
        <f t="shared" ca="1" si="248"/>
        <v>56.592240770444448</v>
      </c>
      <c r="IQ102" s="36">
        <f t="shared" ca="1" si="248"/>
        <v>56.862359122419235</v>
      </c>
      <c r="IR102" s="36">
        <f t="shared" ca="1" si="248"/>
        <v>56.653929371008701</v>
      </c>
      <c r="IS102" s="36">
        <f t="shared" ca="1" si="248"/>
        <v>57.180857226783594</v>
      </c>
      <c r="IT102" s="36">
        <f t="shared" ca="1" si="248"/>
        <v>56.902288371683923</v>
      </c>
      <c r="IU102" s="36">
        <f t="shared" ca="1" si="248"/>
        <v>57.554308725956112</v>
      </c>
    </row>
    <row r="103" spans="1:255" x14ac:dyDescent="0.2">
      <c r="A103" s="36"/>
      <c r="B103">
        <v>93</v>
      </c>
      <c r="C103" s="36">
        <v>50</v>
      </c>
      <c r="D103" s="36">
        <f t="shared" ca="1" si="188"/>
        <v>50.677114698131675</v>
      </c>
      <c r="E103" s="36">
        <f t="shared" ca="1" si="188"/>
        <v>50.847909113291934</v>
      </c>
      <c r="F103" s="36">
        <f t="shared" ca="1" si="257"/>
        <v>50.157626737903655</v>
      </c>
      <c r="G103" s="36">
        <f t="shared" ca="1" si="257"/>
        <v>50.358470611908409</v>
      </c>
      <c r="H103" s="36">
        <f t="shared" ca="1" si="257"/>
        <v>49.308102637600015</v>
      </c>
      <c r="I103" s="36">
        <f t="shared" ca="1" si="257"/>
        <v>48.950006198906003</v>
      </c>
      <c r="J103" s="36">
        <f t="shared" ca="1" si="257"/>
        <v>49.870245548575383</v>
      </c>
      <c r="K103" s="36">
        <f t="shared" ca="1" si="257"/>
        <v>49.987410930669441</v>
      </c>
      <c r="L103" s="36">
        <f t="shared" ca="1" si="257"/>
        <v>50.189409568284177</v>
      </c>
      <c r="M103" s="36">
        <f t="shared" ca="1" si="257"/>
        <v>49.575870115181978</v>
      </c>
      <c r="N103" s="36">
        <f t="shared" ca="1" si="257"/>
        <v>49.652141295406956</v>
      </c>
      <c r="O103" s="36">
        <f t="shared" ca="1" si="257"/>
        <v>48.630357325037465</v>
      </c>
      <c r="P103" s="36">
        <f t="shared" ca="1" si="257"/>
        <v>48.657581460165069</v>
      </c>
      <c r="Q103" s="36">
        <f t="shared" ca="1" si="257"/>
        <v>48.638083115967333</v>
      </c>
      <c r="R103" s="36">
        <f t="shared" ca="1" si="257"/>
        <v>50.079400102683486</v>
      </c>
      <c r="S103" s="36">
        <f t="shared" ca="1" si="257"/>
        <v>50.392551268838012</v>
      </c>
      <c r="T103" s="36">
        <f t="shared" ca="1" si="257"/>
        <v>50.725674079044623</v>
      </c>
      <c r="U103" s="36">
        <f t="shared" ca="1" si="257"/>
        <v>49.891293411408</v>
      </c>
      <c r="V103" s="36">
        <f t="shared" ca="1" si="257"/>
        <v>50.226858317455154</v>
      </c>
      <c r="W103" s="36">
        <f t="shared" ca="1" si="257"/>
        <v>50.447108325031984</v>
      </c>
      <c r="X103" s="36">
        <f t="shared" ca="1" si="257"/>
        <v>50.736346374064176</v>
      </c>
      <c r="Y103" s="36">
        <f t="shared" ca="1" si="257"/>
        <v>50.784300872558369</v>
      </c>
      <c r="Z103" s="36">
        <f t="shared" ca="1" si="257"/>
        <v>51.032612541423646</v>
      </c>
      <c r="AA103" s="36">
        <f t="shared" ca="1" si="257"/>
        <v>50.849427217232424</v>
      </c>
      <c r="AB103" s="36">
        <f t="shared" ca="1" si="257"/>
        <v>50.655693825794067</v>
      </c>
      <c r="AC103" s="36">
        <f t="shared" ca="1" si="257"/>
        <v>51.113931608623858</v>
      </c>
      <c r="AD103" s="36">
        <f t="shared" ca="1" si="257"/>
        <v>51.791732288045004</v>
      </c>
      <c r="AE103" s="36">
        <f t="shared" ca="1" si="257"/>
        <v>52.966619258536525</v>
      </c>
      <c r="AF103" s="36">
        <f t="shared" ca="1" si="257"/>
        <v>52.903335056501113</v>
      </c>
      <c r="AG103" s="36">
        <f t="shared" ca="1" si="257"/>
        <v>52.154119973490573</v>
      </c>
      <c r="AH103" s="36">
        <f t="shared" ca="1" si="257"/>
        <v>52.696032100740602</v>
      </c>
      <c r="AI103" s="36">
        <f t="shared" ca="1" si="257"/>
        <v>52.482939523138946</v>
      </c>
      <c r="AJ103" s="36">
        <f t="shared" ca="1" si="257"/>
        <v>52.428754729311159</v>
      </c>
      <c r="AK103" s="36">
        <f t="shared" ca="1" si="257"/>
        <v>52.820522722343995</v>
      </c>
      <c r="AL103" s="36">
        <f t="shared" ca="1" si="257"/>
        <v>51.947900623944697</v>
      </c>
      <c r="AM103" s="36">
        <f t="shared" ca="1" si="257"/>
        <v>52.066959489430644</v>
      </c>
      <c r="AN103" s="36">
        <f t="shared" ca="1" si="257"/>
        <v>52.314944661753586</v>
      </c>
      <c r="AO103" s="36">
        <f t="shared" ca="1" si="257"/>
        <v>52.353218527240571</v>
      </c>
      <c r="AP103" s="36">
        <f t="shared" ca="1" si="257"/>
        <v>53.089110986753134</v>
      </c>
      <c r="AQ103" s="36">
        <f t="shared" ca="1" si="257"/>
        <v>52.670774954020587</v>
      </c>
      <c r="AR103" s="36">
        <f t="shared" ca="1" si="257"/>
        <v>53.188070551369698</v>
      </c>
      <c r="AS103" s="36">
        <f t="shared" ca="1" si="257"/>
        <v>53.826502299783328</v>
      </c>
      <c r="AT103" s="36">
        <f t="shared" ca="1" si="257"/>
        <v>53.177792724076461</v>
      </c>
      <c r="AU103" s="36">
        <f t="shared" ca="1" si="257"/>
        <v>52.593639103804001</v>
      </c>
      <c r="AV103" s="36">
        <f t="shared" ca="1" si="257"/>
        <v>52.792203956692809</v>
      </c>
      <c r="AW103" s="36">
        <f t="shared" ca="1" si="257"/>
        <v>52.018249003604154</v>
      </c>
      <c r="AX103" s="36">
        <f t="shared" ca="1" si="257"/>
        <v>51.960034644817625</v>
      </c>
      <c r="AY103" s="36">
        <f t="shared" ca="1" si="257"/>
        <v>51.859944409005877</v>
      </c>
      <c r="AZ103" s="36">
        <f t="shared" ca="1" si="257"/>
        <v>51.252589815728925</v>
      </c>
      <c r="BA103" s="36">
        <f t="shared" ca="1" si="257"/>
        <v>51.514308611199958</v>
      </c>
      <c r="BB103" s="36">
        <f t="shared" ca="1" si="257"/>
        <v>51.70044759783223</v>
      </c>
      <c r="BC103" s="36">
        <f t="shared" ca="1" si="257"/>
        <v>51.104202749446458</v>
      </c>
      <c r="BD103" s="36">
        <f t="shared" ca="1" si="257"/>
        <v>50.65639218341191</v>
      </c>
      <c r="BE103" s="36">
        <f t="shared" ca="1" si="257"/>
        <v>51.464613892979798</v>
      </c>
      <c r="BF103" s="36">
        <f t="shared" ca="1" si="257"/>
        <v>51.368808649511827</v>
      </c>
      <c r="BG103" s="36">
        <f t="shared" ca="1" si="257"/>
        <v>50.675602816037703</v>
      </c>
      <c r="BH103" s="36">
        <f t="shared" ca="1" si="257"/>
        <v>50.023601514916315</v>
      </c>
      <c r="BI103" s="36">
        <f t="shared" ca="1" si="257"/>
        <v>49.909649676834476</v>
      </c>
      <c r="BJ103" s="36">
        <f t="shared" ca="1" si="257"/>
        <v>50.706219498888153</v>
      </c>
      <c r="BK103" s="36">
        <f t="shared" ca="1" si="257"/>
        <v>52.234378986065074</v>
      </c>
      <c r="BL103" s="36">
        <f t="shared" ca="1" si="257"/>
        <v>52.926310826317653</v>
      </c>
      <c r="BM103" s="36">
        <f t="shared" ca="1" si="257"/>
        <v>53.022578541207167</v>
      </c>
      <c r="BN103" s="36">
        <f t="shared" ca="1" si="257"/>
        <v>54.479843484733507</v>
      </c>
      <c r="BO103" s="36">
        <f t="shared" ca="1" si="257"/>
        <v>55.03958056121828</v>
      </c>
      <c r="BP103" s="36">
        <f t="shared" ca="1" si="257"/>
        <v>55.160495570995629</v>
      </c>
      <c r="BQ103" s="36">
        <f t="shared" ca="1" si="257"/>
        <v>54.698614446678093</v>
      </c>
      <c r="BR103" s="36">
        <f t="shared" ca="1" si="253"/>
        <v>53.75207116370192</v>
      </c>
      <c r="BS103" s="36">
        <f t="shared" ca="1" si="253"/>
        <v>52.911246034834434</v>
      </c>
      <c r="BT103" s="36">
        <f t="shared" ca="1" si="253"/>
        <v>52.987098017432444</v>
      </c>
      <c r="BU103" s="36">
        <f t="shared" ca="1" si="253"/>
        <v>54.092071861799759</v>
      </c>
      <c r="BV103" s="36">
        <f t="shared" ca="1" si="253"/>
        <v>54.263376199848459</v>
      </c>
      <c r="BW103" s="36">
        <f t="shared" ca="1" si="253"/>
        <v>53.664259624700023</v>
      </c>
      <c r="BX103" s="36">
        <f t="shared" ca="1" si="253"/>
        <v>53.737466864821059</v>
      </c>
      <c r="BY103" s="36">
        <f t="shared" ca="1" si="253"/>
        <v>54.128994933768574</v>
      </c>
      <c r="BZ103" s="36">
        <f t="shared" ca="1" si="253"/>
        <v>54.444515111348331</v>
      </c>
      <c r="CA103" s="36">
        <f t="shared" ca="1" si="253"/>
        <v>53.577908276719633</v>
      </c>
      <c r="CB103" s="36">
        <f t="shared" ca="1" si="253"/>
        <v>53.507334483106639</v>
      </c>
      <c r="CC103" s="36">
        <f t="shared" ca="1" si="253"/>
        <v>52.91624691421741</v>
      </c>
      <c r="CD103" s="36">
        <f t="shared" ca="1" si="253"/>
        <v>53.243739071299686</v>
      </c>
      <c r="CE103" s="36">
        <f t="shared" ca="1" si="253"/>
        <v>52.51652517804164</v>
      </c>
      <c r="CF103" s="36">
        <f t="shared" ca="1" si="253"/>
        <v>52.988656450479972</v>
      </c>
      <c r="CG103" s="36">
        <f t="shared" ca="1" si="253"/>
        <v>53.054503817638661</v>
      </c>
      <c r="CH103" s="36">
        <f t="shared" ca="1" si="253"/>
        <v>53.613972650326218</v>
      </c>
      <c r="CI103" s="36">
        <f t="shared" ca="1" si="253"/>
        <v>52.782335452347596</v>
      </c>
      <c r="CJ103" s="36">
        <f t="shared" ca="1" si="253"/>
        <v>52.420870703116279</v>
      </c>
      <c r="CK103" s="36">
        <f t="shared" ca="1" si="253"/>
        <v>53.28384601787382</v>
      </c>
      <c r="CL103" s="36">
        <f t="shared" ca="1" si="253"/>
        <v>53.632510114926589</v>
      </c>
      <c r="CM103" s="36">
        <f t="shared" ca="1" si="253"/>
        <v>54.447570276870827</v>
      </c>
      <c r="CN103" s="36">
        <f t="shared" ca="1" si="253"/>
        <v>54.240582538746871</v>
      </c>
      <c r="CO103" s="36">
        <f t="shared" ca="1" si="253"/>
        <v>54.806006301132449</v>
      </c>
      <c r="CP103" s="36">
        <f t="shared" ca="1" si="253"/>
        <v>54.635191554155078</v>
      </c>
      <c r="CQ103" s="36">
        <f t="shared" ca="1" si="253"/>
        <v>54.948383923496188</v>
      </c>
      <c r="CR103" s="36">
        <f t="shared" ca="1" si="253"/>
        <v>53.789407149082137</v>
      </c>
      <c r="CS103" s="36">
        <f t="shared" ca="1" si="253"/>
        <v>53.560830251986353</v>
      </c>
      <c r="CT103" s="36">
        <f t="shared" ca="1" si="253"/>
        <v>53.602322400094003</v>
      </c>
      <c r="CU103" s="36">
        <f t="shared" ca="1" si="253"/>
        <v>54.106735040261633</v>
      </c>
      <c r="CV103" s="36">
        <f t="shared" ca="1" si="253"/>
        <v>54.805835373790273</v>
      </c>
      <c r="CW103" s="36">
        <f t="shared" ca="1" si="253"/>
        <v>55.216365127962007</v>
      </c>
      <c r="CX103" s="36">
        <f t="shared" ca="1" si="253"/>
        <v>54.252622663737149</v>
      </c>
      <c r="CY103" s="36">
        <f t="shared" ca="1" si="253"/>
        <v>53.92305999386879</v>
      </c>
      <c r="CZ103" s="36">
        <f t="shared" ca="1" si="253"/>
        <v>53.649142501377483</v>
      </c>
      <c r="DA103" s="36">
        <f t="shared" ca="1" si="253"/>
        <v>54.71433281948002</v>
      </c>
      <c r="DB103" s="36">
        <f t="shared" ca="1" si="253"/>
        <v>54.187960462238358</v>
      </c>
      <c r="DC103" s="36">
        <f t="shared" ca="1" si="253"/>
        <v>53.789619808231706</v>
      </c>
      <c r="DD103" s="36">
        <f t="shared" ca="1" si="253"/>
        <v>51.569486880640603</v>
      </c>
      <c r="DE103" s="36">
        <f t="shared" ca="1" si="253"/>
        <v>51.767401971984178</v>
      </c>
      <c r="DF103" s="36">
        <f t="shared" ca="1" si="253"/>
        <v>52.298750321988891</v>
      </c>
      <c r="DG103" s="36">
        <f t="shared" ca="1" si="253"/>
        <v>52.319233026770746</v>
      </c>
      <c r="DH103" s="36">
        <f t="shared" ca="1" si="253"/>
        <v>52.787446510930245</v>
      </c>
      <c r="DI103" s="36">
        <f t="shared" ca="1" si="253"/>
        <v>53.447381861356448</v>
      </c>
      <c r="DJ103" s="36">
        <f t="shared" ca="1" si="253"/>
        <v>52.985806475269463</v>
      </c>
      <c r="DK103" s="36">
        <f t="shared" ca="1" si="253"/>
        <v>53.009296918507793</v>
      </c>
      <c r="DL103" s="36">
        <f t="shared" ca="1" si="253"/>
        <v>53.71792456460178</v>
      </c>
      <c r="DM103" s="36">
        <f t="shared" ca="1" si="253"/>
        <v>52.200946627101331</v>
      </c>
      <c r="DN103" s="36">
        <f t="shared" ca="1" si="253"/>
        <v>52.054842344811057</v>
      </c>
      <c r="DO103" s="36">
        <f t="shared" ca="1" si="253"/>
        <v>51.90326835212165</v>
      </c>
      <c r="DP103" s="36">
        <f t="shared" ca="1" si="253"/>
        <v>52.326025540271566</v>
      </c>
      <c r="DQ103" s="36">
        <f t="shared" ca="1" si="253"/>
        <v>52.845005024132838</v>
      </c>
      <c r="DR103" s="36">
        <f t="shared" ca="1" si="253"/>
        <v>52.873290111016829</v>
      </c>
      <c r="DS103" s="36">
        <f t="shared" ca="1" si="253"/>
        <v>52.105405738157529</v>
      </c>
      <c r="DT103" s="36">
        <f t="shared" ca="1" si="253"/>
        <v>53.044883549237937</v>
      </c>
      <c r="DU103" s="36">
        <f t="shared" ca="1" si="253"/>
        <v>52.447982475145579</v>
      </c>
      <c r="DV103" s="36">
        <f t="shared" ca="1" si="253"/>
        <v>52.227072696767522</v>
      </c>
      <c r="DW103" s="36">
        <f t="shared" ca="1" si="253"/>
        <v>52.133981926760022</v>
      </c>
      <c r="DX103" s="36">
        <f t="shared" ca="1" si="253"/>
        <v>51.513372229664967</v>
      </c>
      <c r="DY103" s="36">
        <f t="shared" ca="1" si="253"/>
        <v>50.277304716410093</v>
      </c>
      <c r="DZ103" s="36">
        <f t="shared" ca="1" si="253"/>
        <v>51.525175504365599</v>
      </c>
      <c r="EA103" s="36">
        <f t="shared" ca="1" si="253"/>
        <v>51.207831289052571</v>
      </c>
      <c r="EB103" s="36">
        <f t="shared" ca="1" si="253"/>
        <v>52.257050817430517</v>
      </c>
      <c r="EC103" s="36">
        <f t="shared" ca="1" si="239"/>
        <v>52.862324274983102</v>
      </c>
      <c r="ED103" s="36">
        <f t="shared" ca="1" si="239"/>
        <v>51.924962441372287</v>
      </c>
      <c r="EE103" s="36">
        <f t="shared" ca="1" si="239"/>
        <v>52.164226034741397</v>
      </c>
      <c r="EF103" s="36">
        <f t="shared" ca="1" si="239"/>
        <v>51.765097981076451</v>
      </c>
      <c r="EG103" s="36">
        <f t="shared" ca="1" si="239"/>
        <v>52.372963299010891</v>
      </c>
      <c r="EH103" s="36">
        <f t="shared" ca="1" si="239"/>
        <v>53.098117741824453</v>
      </c>
      <c r="EI103" s="36">
        <f t="shared" ca="1" si="239"/>
        <v>52.535147360194372</v>
      </c>
      <c r="EJ103" s="36">
        <f t="shared" ca="1" si="239"/>
        <v>52.888111691144005</v>
      </c>
      <c r="EK103" s="36">
        <f t="shared" ca="1" si="239"/>
        <v>53.280423491475965</v>
      </c>
      <c r="EL103" s="36">
        <f t="shared" ca="1" si="239"/>
        <v>52.086994994070238</v>
      </c>
      <c r="EM103" s="36">
        <f t="shared" ca="1" si="239"/>
        <v>52.38295610143296</v>
      </c>
      <c r="EN103" s="36">
        <f t="shared" ca="1" si="239"/>
        <v>51.865141310634833</v>
      </c>
      <c r="EO103" s="36">
        <f t="shared" ca="1" si="239"/>
        <v>51.062008035771491</v>
      </c>
      <c r="EP103" s="36">
        <f t="shared" ca="1" si="239"/>
        <v>51.126901956811167</v>
      </c>
      <c r="EQ103" s="36">
        <f t="shared" ca="1" si="239"/>
        <v>51.612959109919238</v>
      </c>
      <c r="ER103" s="36">
        <f t="shared" ca="1" si="239"/>
        <v>52.449764287471332</v>
      </c>
      <c r="ES103" s="36">
        <f t="shared" ca="1" si="239"/>
        <v>52.422153977700425</v>
      </c>
      <c r="ET103" s="36">
        <f t="shared" ca="1" si="239"/>
        <v>53.993420777137189</v>
      </c>
      <c r="EU103" s="36">
        <f t="shared" ca="1" si="239"/>
        <v>53.056491809600011</v>
      </c>
      <c r="EV103" s="36">
        <f t="shared" ca="1" si="239"/>
        <v>52.434412583864024</v>
      </c>
      <c r="EW103" s="36">
        <f t="shared" ref="EW103" ca="1" si="260">EV103*EXP(($B$3-$B$4^2/2)*1+$B$4*_xlfn.NORM.S.INV(RAND()))</f>
        <v>52.803320785275432</v>
      </c>
      <c r="EX103" s="36">
        <f t="shared" ca="1" si="258"/>
        <v>52.851063635441356</v>
      </c>
      <c r="EY103" s="36">
        <f t="shared" ca="1" si="258"/>
        <v>51.642000664299559</v>
      </c>
      <c r="EZ103" s="36">
        <f t="shared" ca="1" si="258"/>
        <v>52.008723824678171</v>
      </c>
      <c r="FA103" s="36">
        <f t="shared" ca="1" si="258"/>
        <v>52.581845495441144</v>
      </c>
      <c r="FB103" s="36">
        <f t="shared" ca="1" si="258"/>
        <v>53.50449063752454</v>
      </c>
      <c r="FC103" s="36">
        <f t="shared" ca="1" si="258"/>
        <v>52.841666586968351</v>
      </c>
      <c r="FD103" s="36">
        <f t="shared" ca="1" si="258"/>
        <v>51.184318522147308</v>
      </c>
      <c r="FE103" s="36">
        <f t="shared" ca="1" si="258"/>
        <v>50.471900760660432</v>
      </c>
      <c r="FF103" s="36">
        <f t="shared" ca="1" si="258"/>
        <v>50.221234726295819</v>
      </c>
      <c r="FG103" s="36">
        <f t="shared" ca="1" si="258"/>
        <v>49.870693565477858</v>
      </c>
      <c r="FH103" s="36">
        <f t="shared" ca="1" si="258"/>
        <v>48.848654916957187</v>
      </c>
      <c r="FI103" s="36">
        <f t="shared" ca="1" si="258"/>
        <v>48.949756746291463</v>
      </c>
      <c r="FJ103" s="36">
        <f t="shared" ca="1" si="258"/>
        <v>48.947368746580146</v>
      </c>
      <c r="FK103" s="36">
        <f t="shared" ca="1" si="258"/>
        <v>49.697777648558144</v>
      </c>
      <c r="FL103" s="36">
        <f t="shared" ca="1" si="258"/>
        <v>49.478657119133139</v>
      </c>
      <c r="FM103" s="36">
        <f t="shared" ca="1" si="258"/>
        <v>49.608223015283158</v>
      </c>
      <c r="FN103" s="36">
        <f t="shared" ca="1" si="258"/>
        <v>49.662049649220457</v>
      </c>
      <c r="FO103" s="36">
        <f t="shared" ca="1" si="258"/>
        <v>47.780194772227006</v>
      </c>
      <c r="FP103" s="36">
        <f t="shared" ca="1" si="258"/>
        <v>47.907648454978315</v>
      </c>
      <c r="FQ103" s="36">
        <f t="shared" ca="1" si="258"/>
        <v>47.236147186279126</v>
      </c>
      <c r="FR103" s="36">
        <f t="shared" ca="1" si="258"/>
        <v>47.491470461103745</v>
      </c>
      <c r="FS103" s="36">
        <f t="shared" ca="1" si="258"/>
        <v>47.406662713504474</v>
      </c>
      <c r="FT103" s="36">
        <f t="shared" ca="1" si="258"/>
        <v>46.723384601034631</v>
      </c>
      <c r="FU103" s="36">
        <f t="shared" ca="1" si="258"/>
        <v>47.640088963623207</v>
      </c>
      <c r="FV103" s="36">
        <f t="shared" ca="1" si="258"/>
        <v>48.184358480662397</v>
      </c>
      <c r="FW103" s="36">
        <f t="shared" ca="1" si="258"/>
        <v>47.335231835202336</v>
      </c>
      <c r="FX103" s="36">
        <f t="shared" ca="1" si="258"/>
        <v>48.138943919831242</v>
      </c>
      <c r="FY103" s="36">
        <f t="shared" ca="1" si="258"/>
        <v>47.663123407550927</v>
      </c>
      <c r="FZ103" s="36">
        <f t="shared" ca="1" si="258"/>
        <v>47.207808416433259</v>
      </c>
      <c r="GA103" s="36">
        <f t="shared" ca="1" si="258"/>
        <v>47.654072103149957</v>
      </c>
      <c r="GB103" s="36">
        <f t="shared" ca="1" si="258"/>
        <v>46.821220206206043</v>
      </c>
      <c r="GC103" s="36">
        <f t="shared" ca="1" si="258"/>
        <v>47.334727015173335</v>
      </c>
      <c r="GD103" s="36">
        <f t="shared" ca="1" si="258"/>
        <v>47.859866528705453</v>
      </c>
      <c r="GE103" s="36">
        <f t="shared" ca="1" si="258"/>
        <v>48.743117103544442</v>
      </c>
      <c r="GF103" s="36">
        <f t="shared" ca="1" si="258"/>
        <v>48.207068783142276</v>
      </c>
      <c r="GG103" s="36">
        <f t="shared" ca="1" si="258"/>
        <v>48.102699345110238</v>
      </c>
      <c r="GH103" s="36">
        <f t="shared" ca="1" si="258"/>
        <v>48.011710153350059</v>
      </c>
      <c r="GI103" s="36">
        <f t="shared" ca="1" si="258"/>
        <v>48.185335387613179</v>
      </c>
      <c r="GJ103" s="36">
        <f t="shared" ca="1" si="258"/>
        <v>48.096594771499319</v>
      </c>
      <c r="GK103" s="36">
        <f t="shared" ca="1" si="258"/>
        <v>48.254931292426051</v>
      </c>
      <c r="GL103" s="36">
        <f t="shared" ca="1" si="258"/>
        <v>49.334293576997908</v>
      </c>
      <c r="GM103" s="36">
        <f t="shared" ca="1" si="258"/>
        <v>50.180736486730751</v>
      </c>
      <c r="GN103" s="36">
        <f t="shared" ca="1" si="258"/>
        <v>49.314565180425781</v>
      </c>
      <c r="GO103" s="36">
        <f t="shared" ca="1" si="258"/>
        <v>49.54389696371765</v>
      </c>
      <c r="GP103" s="36">
        <f t="shared" ca="1" si="258"/>
        <v>49.506378131624579</v>
      </c>
      <c r="GQ103" s="36">
        <f t="shared" ca="1" si="258"/>
        <v>49.6820726363432</v>
      </c>
      <c r="GR103" s="36">
        <f t="shared" ca="1" si="258"/>
        <v>49.877752303435798</v>
      </c>
      <c r="GS103" s="36">
        <f t="shared" ca="1" si="258"/>
        <v>50.026528219711551</v>
      </c>
      <c r="GT103" s="36">
        <f t="shared" ca="1" si="258"/>
        <v>49.300951175753575</v>
      </c>
      <c r="GU103" s="36">
        <f t="shared" ca="1" si="258"/>
        <v>48.871894707564387</v>
      </c>
      <c r="GV103" s="36">
        <f t="shared" ca="1" si="258"/>
        <v>48.744308148808145</v>
      </c>
      <c r="GW103" s="36">
        <f t="shared" ca="1" si="258"/>
        <v>48.039429995342381</v>
      </c>
      <c r="GX103" s="36">
        <f t="shared" ca="1" si="258"/>
        <v>48.712344272685542</v>
      </c>
      <c r="GY103" s="36">
        <f t="shared" ca="1" si="258"/>
        <v>49.332117923448848</v>
      </c>
      <c r="GZ103" s="36">
        <f t="shared" ca="1" si="258"/>
        <v>49.121284608976325</v>
      </c>
      <c r="HA103" s="36">
        <f t="shared" ca="1" si="258"/>
        <v>49.675314198865252</v>
      </c>
      <c r="HB103" s="36">
        <f t="shared" ca="1" si="258"/>
        <v>49.439862931960434</v>
      </c>
      <c r="HC103" s="36">
        <f t="shared" ca="1" si="258"/>
        <v>49.686696141447008</v>
      </c>
      <c r="HD103" s="36">
        <f t="shared" ca="1" si="258"/>
        <v>48.882696369673766</v>
      </c>
      <c r="HE103" s="36">
        <f t="shared" ca="1" si="258"/>
        <v>48.861587668428143</v>
      </c>
      <c r="HF103" s="36">
        <f t="shared" ca="1" si="258"/>
        <v>48.772815417538531</v>
      </c>
      <c r="HG103" s="36">
        <f t="shared" ca="1" si="258"/>
        <v>49.33012390578255</v>
      </c>
      <c r="HH103" s="36">
        <f t="shared" ca="1" si="258"/>
        <v>50.619726004339881</v>
      </c>
      <c r="HI103" s="36">
        <f t="shared" ca="1" si="255"/>
        <v>49.940840146456495</v>
      </c>
      <c r="HJ103" s="36">
        <f t="shared" ca="1" si="255"/>
        <v>50.83835221722962</v>
      </c>
      <c r="HK103" s="36">
        <f t="shared" ca="1" si="255"/>
        <v>51.187903661509075</v>
      </c>
      <c r="HL103" s="36">
        <f t="shared" ref="HL103:HT103" ca="1" si="261">HK103*EXP(($B$3-$B$4^2/2)*1+$B$4*_xlfn.NORM.S.INV(RAND()))</f>
        <v>49.455855596806053</v>
      </c>
      <c r="HM103" s="36">
        <f t="shared" ca="1" si="261"/>
        <v>49.046555885607319</v>
      </c>
      <c r="HN103" s="36">
        <f t="shared" ca="1" si="261"/>
        <v>49.890111155864055</v>
      </c>
      <c r="HO103" s="36">
        <f t="shared" ca="1" si="261"/>
        <v>50.317599152083382</v>
      </c>
      <c r="HP103" s="36">
        <f t="shared" ca="1" si="261"/>
        <v>50.459731923964384</v>
      </c>
      <c r="HQ103" s="36">
        <f t="shared" ca="1" si="261"/>
        <v>49.856034048212194</v>
      </c>
      <c r="HR103" s="36">
        <f t="shared" ca="1" si="261"/>
        <v>50.133177855226542</v>
      </c>
      <c r="HS103" s="36">
        <f t="shared" ca="1" si="261"/>
        <v>50.671061116210382</v>
      </c>
      <c r="HT103" s="36">
        <f t="shared" ca="1" si="261"/>
        <v>51.351334308392758</v>
      </c>
      <c r="HU103" s="36">
        <f t="shared" ca="1" si="247"/>
        <v>50.811097624185422</v>
      </c>
      <c r="HV103" s="36">
        <f t="shared" ca="1" si="247"/>
        <v>50.883282801203194</v>
      </c>
      <c r="HW103" s="36">
        <f t="shared" ca="1" si="247"/>
        <v>51.452174358579619</v>
      </c>
      <c r="HX103" s="36">
        <f t="shared" ca="1" si="247"/>
        <v>51.59677420745308</v>
      </c>
      <c r="HY103" s="36">
        <f t="shared" ca="1" si="248"/>
        <v>50.920717663297935</v>
      </c>
      <c r="HZ103" s="36">
        <f t="shared" ca="1" si="248"/>
        <v>51.657904103626358</v>
      </c>
      <c r="IA103" s="36">
        <f t="shared" ca="1" si="248"/>
        <v>50.579224620420767</v>
      </c>
      <c r="IB103" s="36">
        <f t="shared" ca="1" si="248"/>
        <v>50.393902439662256</v>
      </c>
      <c r="IC103" s="36">
        <f t="shared" ca="1" si="248"/>
        <v>49.421790206401333</v>
      </c>
      <c r="ID103" s="36">
        <f t="shared" ca="1" si="248"/>
        <v>49.559021499327535</v>
      </c>
      <c r="IE103" s="36">
        <f t="shared" ca="1" si="248"/>
        <v>50.023518069171217</v>
      </c>
      <c r="IF103" s="36">
        <f t="shared" ca="1" si="248"/>
        <v>50.328342791704848</v>
      </c>
      <c r="IG103" s="36">
        <f t="shared" ca="1" si="248"/>
        <v>51.524279162792283</v>
      </c>
      <c r="IH103" s="36">
        <f t="shared" ca="1" si="248"/>
        <v>51.933401296970125</v>
      </c>
      <c r="II103" s="36">
        <f t="shared" ca="1" si="248"/>
        <v>51.806192940139219</v>
      </c>
      <c r="IJ103" s="36">
        <f t="shared" ca="1" si="248"/>
        <v>51.697724917315618</v>
      </c>
      <c r="IK103" s="36">
        <f t="shared" ca="1" si="248"/>
        <v>50.922706122151652</v>
      </c>
      <c r="IL103" s="36">
        <f t="shared" ca="1" si="248"/>
        <v>51.317832638191909</v>
      </c>
      <c r="IM103" s="36">
        <f t="shared" ca="1" si="248"/>
        <v>51.00217197047786</v>
      </c>
      <c r="IN103" s="36">
        <f t="shared" ca="1" si="248"/>
        <v>51.076969988791532</v>
      </c>
      <c r="IO103" s="36">
        <f t="shared" ca="1" si="248"/>
        <v>50.677093978575996</v>
      </c>
      <c r="IP103" s="36">
        <f t="shared" ca="1" si="248"/>
        <v>51.284190696152258</v>
      </c>
      <c r="IQ103" s="36">
        <f t="shared" ca="1" si="248"/>
        <v>50.575124040381205</v>
      </c>
      <c r="IR103" s="36">
        <f t="shared" ca="1" si="248"/>
        <v>50.759787884984085</v>
      </c>
      <c r="IS103" s="36">
        <f t="shared" ca="1" si="248"/>
        <v>50.329020433117989</v>
      </c>
      <c r="IT103" s="36">
        <f t="shared" ca="1" si="248"/>
        <v>50.579513914845208</v>
      </c>
      <c r="IU103" s="36">
        <f t="shared" ca="1" si="248"/>
        <v>49.47928717636065</v>
      </c>
    </row>
    <row r="104" spans="1:255" x14ac:dyDescent="0.2">
      <c r="A104" s="36"/>
      <c r="B104">
        <v>94</v>
      </c>
      <c r="C104" s="36">
        <v>50</v>
      </c>
      <c r="D104" s="36">
        <f t="shared" ca="1" si="188"/>
        <v>49.312875775764795</v>
      </c>
      <c r="E104" s="36">
        <f t="shared" ca="1" si="188"/>
        <v>49.569175238421003</v>
      </c>
      <c r="F104" s="36">
        <f t="shared" ca="1" si="257"/>
        <v>49.951253622465948</v>
      </c>
      <c r="G104" s="36">
        <f t="shared" ca="1" si="257"/>
        <v>49.515708010263225</v>
      </c>
      <c r="H104" s="36">
        <f t="shared" ca="1" si="257"/>
        <v>49.768934403876564</v>
      </c>
      <c r="I104" s="36">
        <f t="shared" ca="1" si="257"/>
        <v>50.591181413970993</v>
      </c>
      <c r="J104" s="36">
        <f t="shared" ca="1" si="257"/>
        <v>50.55258029342027</v>
      </c>
      <c r="K104" s="36">
        <f t="shared" ca="1" si="257"/>
        <v>50.630911360841978</v>
      </c>
      <c r="L104" s="36">
        <f t="shared" ca="1" si="257"/>
        <v>50.705597993634569</v>
      </c>
      <c r="M104" s="36">
        <f t="shared" ca="1" si="257"/>
        <v>50.498468341384587</v>
      </c>
      <c r="N104" s="36">
        <f t="shared" ca="1" si="257"/>
        <v>50.975846506546823</v>
      </c>
      <c r="O104" s="36">
        <f t="shared" ca="1" si="257"/>
        <v>51.134215471129309</v>
      </c>
      <c r="P104" s="36">
        <f t="shared" ca="1" si="257"/>
        <v>51.320974259445023</v>
      </c>
      <c r="Q104" s="36">
        <f t="shared" ca="1" si="257"/>
        <v>51.142807257087114</v>
      </c>
      <c r="R104" s="36">
        <f t="shared" ca="1" si="257"/>
        <v>51.62734279115957</v>
      </c>
      <c r="S104" s="36">
        <f t="shared" ca="1" si="257"/>
        <v>51.388832963053602</v>
      </c>
      <c r="T104" s="36">
        <f t="shared" ca="1" si="257"/>
        <v>50.600416688979813</v>
      </c>
      <c r="U104" s="36">
        <f t="shared" ca="1" si="257"/>
        <v>51.614255798382601</v>
      </c>
      <c r="V104" s="36">
        <f t="shared" ca="1" si="257"/>
        <v>52.231233252318965</v>
      </c>
      <c r="W104" s="36">
        <f t="shared" ca="1" si="257"/>
        <v>53.270453693082708</v>
      </c>
      <c r="X104" s="36">
        <f t="shared" ca="1" si="257"/>
        <v>52.299542796050957</v>
      </c>
      <c r="Y104" s="36">
        <f t="shared" ca="1" si="257"/>
        <v>52.325039722108009</v>
      </c>
      <c r="Z104" s="36">
        <f t="shared" ca="1" si="257"/>
        <v>52.194307990421208</v>
      </c>
      <c r="AA104" s="36">
        <f t="shared" ca="1" si="257"/>
        <v>50.903367457797081</v>
      </c>
      <c r="AB104" s="36">
        <f t="shared" ca="1" si="257"/>
        <v>51.065661453329845</v>
      </c>
      <c r="AC104" s="36">
        <f t="shared" ca="1" si="257"/>
        <v>50.763500655490439</v>
      </c>
      <c r="AD104" s="36">
        <f t="shared" ca="1" si="257"/>
        <v>50.687370305042066</v>
      </c>
      <c r="AE104" s="36">
        <f t="shared" ca="1" si="257"/>
        <v>50.213002553260431</v>
      </c>
      <c r="AF104" s="36">
        <f t="shared" ca="1" si="257"/>
        <v>50.872863372874598</v>
      </c>
      <c r="AG104" s="36">
        <f t="shared" ca="1" si="257"/>
        <v>52.454935168889428</v>
      </c>
      <c r="AH104" s="36">
        <f t="shared" ca="1" si="257"/>
        <v>52.307758959089682</v>
      </c>
      <c r="AI104" s="36">
        <f t="shared" ca="1" si="257"/>
        <v>52.01033915553716</v>
      </c>
      <c r="AJ104" s="36">
        <f t="shared" ca="1" si="257"/>
        <v>52.652862379679078</v>
      </c>
      <c r="AK104" s="36">
        <f t="shared" ca="1" si="257"/>
        <v>53.01659224254719</v>
      </c>
      <c r="AL104" s="36">
        <f t="shared" ca="1" si="257"/>
        <v>51.919692497260655</v>
      </c>
      <c r="AM104" s="36">
        <f t="shared" ca="1" si="257"/>
        <v>51.582587535608127</v>
      </c>
      <c r="AN104" s="36">
        <f t="shared" ca="1" si="257"/>
        <v>51.337141634165491</v>
      </c>
      <c r="AO104" s="36">
        <f t="shared" ca="1" si="257"/>
        <v>51.181854027598924</v>
      </c>
      <c r="AP104" s="36">
        <f t="shared" ca="1" si="257"/>
        <v>51.19964101412846</v>
      </c>
      <c r="AQ104" s="36">
        <f t="shared" ca="1" si="257"/>
        <v>50.345101207219571</v>
      </c>
      <c r="AR104" s="36">
        <f t="shared" ca="1" si="257"/>
        <v>51.21035261865498</v>
      </c>
      <c r="AS104" s="36">
        <f t="shared" ca="1" si="257"/>
        <v>50.588359916123942</v>
      </c>
      <c r="AT104" s="36">
        <f t="shared" ca="1" si="257"/>
        <v>50.838720561413176</v>
      </c>
      <c r="AU104" s="36">
        <f t="shared" ca="1" si="257"/>
        <v>51.135004606975976</v>
      </c>
      <c r="AV104" s="36">
        <f t="shared" ca="1" si="257"/>
        <v>51.225966264794984</v>
      </c>
      <c r="AW104" s="36">
        <f t="shared" ca="1" si="257"/>
        <v>50.30248321299846</v>
      </c>
      <c r="AX104" s="36">
        <f t="shared" ca="1" si="257"/>
        <v>50.789178525747189</v>
      </c>
      <c r="AY104" s="36">
        <f t="shared" ca="1" si="257"/>
        <v>50.043898842107289</v>
      </c>
      <c r="AZ104" s="36">
        <f t="shared" ca="1" si="257"/>
        <v>49.774204276943642</v>
      </c>
      <c r="BA104" s="36">
        <f t="shared" ca="1" si="257"/>
        <v>49.110550405405732</v>
      </c>
      <c r="BB104" s="36">
        <f t="shared" ca="1" si="257"/>
        <v>48.763011718412542</v>
      </c>
      <c r="BC104" s="36">
        <f t="shared" ca="1" si="257"/>
        <v>48.135314788093154</v>
      </c>
      <c r="BD104" s="36">
        <f t="shared" ca="1" si="257"/>
        <v>48.544689117694737</v>
      </c>
      <c r="BE104" s="36">
        <f t="shared" ca="1" si="257"/>
        <v>47.552255545495399</v>
      </c>
      <c r="BF104" s="36">
        <f t="shared" ca="1" si="257"/>
        <v>47.115500367351316</v>
      </c>
      <c r="BG104" s="36">
        <f t="shared" ca="1" si="257"/>
        <v>46.908020690663577</v>
      </c>
      <c r="BH104" s="36">
        <f t="shared" ca="1" si="257"/>
        <v>46.10960955211732</v>
      </c>
      <c r="BI104" s="36">
        <f t="shared" ca="1" si="257"/>
        <v>46.478435099758016</v>
      </c>
      <c r="BJ104" s="36">
        <f t="shared" ca="1" si="257"/>
        <v>46.538074551743108</v>
      </c>
      <c r="BK104" s="36">
        <f t="shared" ca="1" si="257"/>
        <v>46.796267832622149</v>
      </c>
      <c r="BL104" s="36">
        <f t="shared" ca="1" si="257"/>
        <v>46.296678786412798</v>
      </c>
      <c r="BM104" s="36">
        <f t="shared" ca="1" si="257"/>
        <v>46.082853952945534</v>
      </c>
      <c r="BN104" s="36">
        <f t="shared" ca="1" si="257"/>
        <v>45.998599796192217</v>
      </c>
      <c r="BO104" s="36">
        <f t="shared" ca="1" si="257"/>
        <v>45.298392105174287</v>
      </c>
      <c r="BP104" s="36">
        <f t="shared" ca="1" si="257"/>
        <v>45.685602269455572</v>
      </c>
      <c r="BQ104" s="36">
        <f t="shared" ca="1" si="257"/>
        <v>44.690430646169752</v>
      </c>
      <c r="BR104" s="36">
        <f t="shared" ca="1" si="253"/>
        <v>44.280669566096947</v>
      </c>
      <c r="BS104" s="36">
        <f t="shared" ca="1" si="253"/>
        <v>43.99971794300518</v>
      </c>
      <c r="BT104" s="36">
        <f t="shared" ca="1" si="253"/>
        <v>43.926406034759573</v>
      </c>
      <c r="BU104" s="36">
        <f t="shared" ca="1" si="253"/>
        <v>44.290685709214365</v>
      </c>
      <c r="BV104" s="36">
        <f t="shared" ca="1" si="253"/>
        <v>45.163057441706542</v>
      </c>
      <c r="BW104" s="36">
        <f t="shared" ca="1" si="253"/>
        <v>45.310601689855922</v>
      </c>
      <c r="BX104" s="36">
        <f t="shared" ca="1" si="253"/>
        <v>45.484498980434871</v>
      </c>
      <c r="BY104" s="36">
        <f t="shared" ca="1" si="253"/>
        <v>45.837061629291874</v>
      </c>
      <c r="BZ104" s="36">
        <f t="shared" ca="1" si="253"/>
        <v>45.676772951839176</v>
      </c>
      <c r="CA104" s="36">
        <f t="shared" ca="1" si="253"/>
        <v>46.542352340862891</v>
      </c>
      <c r="CB104" s="36">
        <f t="shared" ca="1" si="253"/>
        <v>46.773120031922566</v>
      </c>
      <c r="CC104" s="36">
        <f t="shared" ca="1" si="253"/>
        <v>46.575838252670358</v>
      </c>
      <c r="CD104" s="36">
        <f t="shared" ca="1" si="253"/>
        <v>47.286595833870763</v>
      </c>
      <c r="CE104" s="36">
        <f t="shared" ca="1" si="253"/>
        <v>46.81951140708815</v>
      </c>
      <c r="CF104" s="36">
        <f t="shared" ca="1" si="253"/>
        <v>46.018736115075804</v>
      </c>
      <c r="CG104" s="36">
        <f t="shared" ca="1" si="253"/>
        <v>46.259127228637958</v>
      </c>
      <c r="CH104" s="36">
        <f t="shared" ca="1" si="253"/>
        <v>46.122304620237031</v>
      </c>
      <c r="CI104" s="36">
        <f t="shared" ca="1" si="253"/>
        <v>46.651150315163861</v>
      </c>
      <c r="CJ104" s="36">
        <f t="shared" ca="1" si="253"/>
        <v>46.18877930850698</v>
      </c>
      <c r="CK104" s="36">
        <f t="shared" ca="1" si="253"/>
        <v>47.384064216689289</v>
      </c>
      <c r="CL104" s="36">
        <f t="shared" ca="1" si="253"/>
        <v>47.956889898875055</v>
      </c>
      <c r="CM104" s="36">
        <f t="shared" ca="1" si="253"/>
        <v>47.816150224086712</v>
      </c>
      <c r="CN104" s="36">
        <f t="shared" ca="1" si="253"/>
        <v>48.456104459484948</v>
      </c>
      <c r="CO104" s="36">
        <f t="shared" ca="1" si="253"/>
        <v>49.495706521374103</v>
      </c>
      <c r="CP104" s="36">
        <f t="shared" ca="1" si="253"/>
        <v>49.380699255711846</v>
      </c>
      <c r="CQ104" s="36">
        <f t="shared" ca="1" si="253"/>
        <v>48.08344819386992</v>
      </c>
      <c r="CR104" s="36">
        <f t="shared" ca="1" si="253"/>
        <v>47.642394161684194</v>
      </c>
      <c r="CS104" s="36">
        <f t="shared" ca="1" si="253"/>
        <v>46.22982365245015</v>
      </c>
      <c r="CT104" s="36">
        <f t="shared" ca="1" si="253"/>
        <v>47.623869985439583</v>
      </c>
      <c r="CU104" s="36">
        <f t="shared" ca="1" si="253"/>
        <v>48.01248165734615</v>
      </c>
      <c r="CV104" s="36">
        <f t="shared" ca="1" si="253"/>
        <v>48.495315141730174</v>
      </c>
      <c r="CW104" s="36">
        <f t="shared" ca="1" si="253"/>
        <v>49.377980410148979</v>
      </c>
      <c r="CX104" s="36">
        <f t="shared" ca="1" si="253"/>
        <v>48.838623886605923</v>
      </c>
      <c r="CY104" s="36">
        <f t="shared" ca="1" si="253"/>
        <v>49.086502962620457</v>
      </c>
      <c r="CZ104" s="36">
        <f t="shared" ca="1" si="253"/>
        <v>48.489067549870974</v>
      </c>
      <c r="DA104" s="36">
        <f t="shared" ca="1" si="253"/>
        <v>48.676910124576622</v>
      </c>
      <c r="DB104" s="36">
        <f t="shared" ca="1" si="253"/>
        <v>48.955032906490928</v>
      </c>
      <c r="DC104" s="36">
        <f t="shared" ca="1" si="253"/>
        <v>49.030376940231385</v>
      </c>
      <c r="DD104" s="36">
        <f t="shared" ca="1" si="253"/>
        <v>48.467178726755556</v>
      </c>
      <c r="DE104" s="36">
        <f t="shared" ca="1" si="253"/>
        <v>48.303839046393193</v>
      </c>
      <c r="DF104" s="36">
        <f t="shared" ca="1" si="253"/>
        <v>48.352974085056942</v>
      </c>
      <c r="DG104" s="36">
        <f t="shared" ca="1" si="253"/>
        <v>48.632944477206657</v>
      </c>
      <c r="DH104" s="36">
        <f t="shared" ca="1" si="253"/>
        <v>47.571654056847009</v>
      </c>
      <c r="DI104" s="36">
        <f t="shared" ca="1" si="253"/>
        <v>47.711667682557611</v>
      </c>
      <c r="DJ104" s="36">
        <f t="shared" ca="1" si="253"/>
        <v>48.270594513817997</v>
      </c>
      <c r="DK104" s="36">
        <f t="shared" ca="1" si="253"/>
        <v>48.461461481024074</v>
      </c>
      <c r="DL104" s="36">
        <f t="shared" ca="1" si="253"/>
        <v>48.460040183443425</v>
      </c>
      <c r="DM104" s="36">
        <f t="shared" ca="1" si="253"/>
        <v>46.854071521602897</v>
      </c>
      <c r="DN104" s="36">
        <f t="shared" ca="1" si="253"/>
        <v>47.639310969374002</v>
      </c>
      <c r="DO104" s="36">
        <f t="shared" ca="1" si="253"/>
        <v>48.675716179660114</v>
      </c>
      <c r="DP104" s="36">
        <f t="shared" ca="1" si="253"/>
        <v>48.655970254174598</v>
      </c>
      <c r="DQ104" s="36">
        <f t="shared" ca="1" si="253"/>
        <v>49.697213095631859</v>
      </c>
      <c r="DR104" s="36">
        <f t="shared" ca="1" si="253"/>
        <v>49.949695027842111</v>
      </c>
      <c r="DS104" s="36">
        <f t="shared" ca="1" si="253"/>
        <v>50.401303337574149</v>
      </c>
      <c r="DT104" s="36">
        <f t="shared" ca="1" si="253"/>
        <v>50.390190253296524</v>
      </c>
      <c r="DU104" s="36">
        <f t="shared" ca="1" si="253"/>
        <v>50.116062000560134</v>
      </c>
      <c r="DV104" s="36">
        <f t="shared" ca="1" si="253"/>
        <v>49.965832817054057</v>
      </c>
      <c r="DW104" s="36">
        <f t="shared" ca="1" si="253"/>
        <v>49.295671137913082</v>
      </c>
      <c r="DX104" s="36">
        <f t="shared" ca="1" si="253"/>
        <v>48.639704097334722</v>
      </c>
      <c r="DY104" s="36">
        <f t="shared" ca="1" si="253"/>
        <v>49.589008337013645</v>
      </c>
      <c r="DZ104" s="36">
        <f t="shared" ca="1" si="253"/>
        <v>49.678720755923948</v>
      </c>
      <c r="EA104" s="36">
        <f t="shared" ca="1" si="253"/>
        <v>48.754365956331405</v>
      </c>
      <c r="EB104" s="36">
        <f t="shared" ca="1" si="253"/>
        <v>48.622068117841962</v>
      </c>
      <c r="EC104" s="36">
        <f t="shared" ca="1" si="239"/>
        <v>48.875108855785804</v>
      </c>
      <c r="ED104" s="36">
        <f t="shared" ca="1" si="239"/>
        <v>48.857166621598523</v>
      </c>
      <c r="EE104" s="36">
        <f t="shared" ca="1" si="239"/>
        <v>49.175499225771027</v>
      </c>
      <c r="EF104" s="36">
        <f t="shared" ca="1" si="239"/>
        <v>49.875408457222342</v>
      </c>
      <c r="EG104" s="36">
        <f t="shared" ca="1" si="239"/>
        <v>49.788554359606387</v>
      </c>
      <c r="EH104" s="36">
        <f t="shared" ca="1" si="239"/>
        <v>49.569076558069952</v>
      </c>
      <c r="EI104" s="36">
        <f t="shared" ca="1" si="239"/>
        <v>49.113794893335267</v>
      </c>
      <c r="EJ104" s="36">
        <f t="shared" ca="1" si="239"/>
        <v>50.500839948138072</v>
      </c>
      <c r="EK104" s="36">
        <f t="shared" ca="1" si="239"/>
        <v>51.058747183084364</v>
      </c>
      <c r="EL104" s="36">
        <f t="shared" ca="1" si="239"/>
        <v>49.488792231359014</v>
      </c>
      <c r="EM104" s="36">
        <f t="shared" ca="1" si="239"/>
        <v>48.373741299701244</v>
      </c>
      <c r="EN104" s="36">
        <f t="shared" ca="1" si="239"/>
        <v>48.242111871214377</v>
      </c>
      <c r="EO104" s="36">
        <f t="shared" ca="1" si="239"/>
        <v>48.700291268850542</v>
      </c>
      <c r="EP104" s="36">
        <f t="shared" ca="1" si="239"/>
        <v>48.415195620116606</v>
      </c>
      <c r="EQ104" s="36">
        <f t="shared" ca="1" si="239"/>
        <v>47.866530834658022</v>
      </c>
      <c r="ER104" s="36">
        <f t="shared" ca="1" si="239"/>
        <v>47.696125128241846</v>
      </c>
      <c r="ES104" s="36">
        <f t="shared" ca="1" si="239"/>
        <v>48.907724292164048</v>
      </c>
      <c r="ET104" s="36">
        <f t="shared" ca="1" si="239"/>
        <v>48.181428868501598</v>
      </c>
      <c r="EU104" s="36">
        <f t="shared" ca="1" si="239"/>
        <v>47.427466254232058</v>
      </c>
      <c r="EV104" s="36">
        <f t="shared" ca="1" si="239"/>
        <v>46.573237191569703</v>
      </c>
      <c r="EW104" s="36">
        <f t="shared" ref="EW104" ca="1" si="262">EV104*EXP(($B$3-$B$4^2/2)*1+$B$4*_xlfn.NORM.S.INV(RAND()))</f>
        <v>46.497212238443034</v>
      </c>
      <c r="EX104" s="36">
        <f t="shared" ca="1" si="258"/>
        <v>47.322422466866811</v>
      </c>
      <c r="EY104" s="36">
        <f t="shared" ca="1" si="258"/>
        <v>47.124007916430436</v>
      </c>
      <c r="EZ104" s="36">
        <f t="shared" ca="1" si="258"/>
        <v>46.636064477642591</v>
      </c>
      <c r="FA104" s="36">
        <f t="shared" ca="1" si="258"/>
        <v>47.078890252599209</v>
      </c>
      <c r="FB104" s="36">
        <f t="shared" ca="1" si="258"/>
        <v>47.919757245401598</v>
      </c>
      <c r="FC104" s="36">
        <f t="shared" ca="1" si="258"/>
        <v>48.680580200150658</v>
      </c>
      <c r="FD104" s="36">
        <f t="shared" ca="1" si="258"/>
        <v>48.217392316333843</v>
      </c>
      <c r="FE104" s="36">
        <f t="shared" ca="1" si="258"/>
        <v>48.716040414672378</v>
      </c>
      <c r="FF104" s="36">
        <f t="shared" ca="1" si="258"/>
        <v>49.554894207936819</v>
      </c>
      <c r="FG104" s="36">
        <f t="shared" ca="1" si="258"/>
        <v>49.657575804415742</v>
      </c>
      <c r="FH104" s="36">
        <f t="shared" ca="1" si="258"/>
        <v>50.460678511092773</v>
      </c>
      <c r="FI104" s="36">
        <f t="shared" ca="1" si="258"/>
        <v>50.504143555611492</v>
      </c>
      <c r="FJ104" s="36">
        <f t="shared" ca="1" si="258"/>
        <v>49.506570726961527</v>
      </c>
      <c r="FK104" s="36">
        <f t="shared" ca="1" si="258"/>
        <v>49.99922702646316</v>
      </c>
      <c r="FL104" s="36">
        <f t="shared" ca="1" si="258"/>
        <v>49.469976092665817</v>
      </c>
      <c r="FM104" s="36">
        <f t="shared" ca="1" si="258"/>
        <v>48.499734782504355</v>
      </c>
      <c r="FN104" s="36">
        <f t="shared" ca="1" si="258"/>
        <v>47.348755728091284</v>
      </c>
      <c r="FO104" s="36">
        <f t="shared" ca="1" si="258"/>
        <v>48.150132381336199</v>
      </c>
      <c r="FP104" s="36">
        <f t="shared" ca="1" si="258"/>
        <v>48.812103730463015</v>
      </c>
      <c r="FQ104" s="36">
        <f t="shared" ca="1" si="258"/>
        <v>49.19059817221401</v>
      </c>
      <c r="FR104" s="36">
        <f t="shared" ca="1" si="258"/>
        <v>50.139396206460454</v>
      </c>
      <c r="FS104" s="36">
        <f t="shared" ca="1" si="258"/>
        <v>50.14669445468828</v>
      </c>
      <c r="FT104" s="36">
        <f t="shared" ca="1" si="258"/>
        <v>50.452020560428736</v>
      </c>
      <c r="FU104" s="36">
        <f t="shared" ca="1" si="258"/>
        <v>50.725350061251085</v>
      </c>
      <c r="FV104" s="36">
        <f t="shared" ca="1" si="258"/>
        <v>51.690426390540523</v>
      </c>
      <c r="FW104" s="36">
        <f t="shared" ca="1" si="258"/>
        <v>51.721119648330173</v>
      </c>
      <c r="FX104" s="36">
        <f t="shared" ca="1" si="258"/>
        <v>50.800203919616919</v>
      </c>
      <c r="FY104" s="36">
        <f t="shared" ca="1" si="258"/>
        <v>51.357362187148638</v>
      </c>
      <c r="FZ104" s="36">
        <f t="shared" ca="1" si="258"/>
        <v>51.012127102854038</v>
      </c>
      <c r="GA104" s="36">
        <f t="shared" ca="1" si="258"/>
        <v>51.018306584520715</v>
      </c>
      <c r="GB104" s="36">
        <f t="shared" ca="1" si="258"/>
        <v>50.763263691522063</v>
      </c>
      <c r="GC104" s="36">
        <f t="shared" ca="1" si="258"/>
        <v>51.121587793230979</v>
      </c>
      <c r="GD104" s="36">
        <f t="shared" ca="1" si="258"/>
        <v>50.41108531120382</v>
      </c>
      <c r="GE104" s="36">
        <f t="shared" ca="1" si="258"/>
        <v>50.290033390081689</v>
      </c>
      <c r="GF104" s="36">
        <f t="shared" ca="1" si="258"/>
        <v>50.322921167295362</v>
      </c>
      <c r="GG104" s="36">
        <f t="shared" ca="1" si="258"/>
        <v>51.424356459543674</v>
      </c>
      <c r="GH104" s="36">
        <f t="shared" ca="1" si="258"/>
        <v>51.553315832692384</v>
      </c>
      <c r="GI104" s="36">
        <f t="shared" ca="1" si="258"/>
        <v>51.326509338068263</v>
      </c>
      <c r="GJ104" s="36">
        <f t="shared" ca="1" si="258"/>
        <v>50.395575491198436</v>
      </c>
      <c r="GK104" s="36">
        <f t="shared" ca="1" si="258"/>
        <v>51.261819214342211</v>
      </c>
      <c r="GL104" s="36">
        <f t="shared" ca="1" si="258"/>
        <v>50.475557407399371</v>
      </c>
      <c r="GM104" s="36">
        <f t="shared" ca="1" si="258"/>
        <v>50.435127639331803</v>
      </c>
      <c r="GN104" s="36">
        <f t="shared" ca="1" si="258"/>
        <v>49.978913875120512</v>
      </c>
      <c r="GO104" s="36">
        <f t="shared" ca="1" si="258"/>
        <v>50.735074702311074</v>
      </c>
      <c r="GP104" s="36">
        <f t="shared" ca="1" si="258"/>
        <v>50.352408416165773</v>
      </c>
      <c r="GQ104" s="36">
        <f t="shared" ca="1" si="258"/>
        <v>50.09801561454325</v>
      </c>
      <c r="GR104" s="36">
        <f t="shared" ca="1" si="258"/>
        <v>50.058438791629058</v>
      </c>
      <c r="GS104" s="36">
        <f t="shared" ca="1" si="258"/>
        <v>49.935968894739844</v>
      </c>
      <c r="GT104" s="36">
        <f t="shared" ca="1" si="258"/>
        <v>50.094573065419709</v>
      </c>
      <c r="GU104" s="36">
        <f t="shared" ca="1" si="258"/>
        <v>51.282213654081296</v>
      </c>
      <c r="GV104" s="36">
        <f t="shared" ca="1" si="258"/>
        <v>50.998474129539183</v>
      </c>
      <c r="GW104" s="36">
        <f t="shared" ca="1" si="258"/>
        <v>50.314770778617174</v>
      </c>
      <c r="GX104" s="36">
        <f t="shared" ca="1" si="258"/>
        <v>50.020528535895686</v>
      </c>
      <c r="GY104" s="36">
        <f t="shared" ca="1" si="258"/>
        <v>50.299178513233898</v>
      </c>
      <c r="GZ104" s="36">
        <f t="shared" ca="1" si="258"/>
        <v>49.989817821722504</v>
      </c>
      <c r="HA104" s="36">
        <f t="shared" ca="1" si="258"/>
        <v>49.934666095446858</v>
      </c>
      <c r="HB104" s="36">
        <f t="shared" ca="1" si="258"/>
        <v>50.300279401915645</v>
      </c>
      <c r="HC104" s="36">
        <f t="shared" ca="1" si="258"/>
        <v>51.645026689844478</v>
      </c>
      <c r="HD104" s="36">
        <f t="shared" ca="1" si="258"/>
        <v>52.091841224951473</v>
      </c>
      <c r="HE104" s="36">
        <f t="shared" ca="1" si="258"/>
        <v>51.353158323008799</v>
      </c>
      <c r="HF104" s="36">
        <f t="shared" ca="1" si="258"/>
        <v>50.671157415485759</v>
      </c>
      <c r="HG104" s="36">
        <f t="shared" ca="1" si="258"/>
        <v>50.606925958115966</v>
      </c>
      <c r="HH104" s="36">
        <f t="shared" ca="1" si="258"/>
        <v>51.031623693446768</v>
      </c>
      <c r="HI104" s="36">
        <f t="shared" ca="1" si="255"/>
        <v>51.130514921205481</v>
      </c>
      <c r="HJ104" s="36">
        <f t="shared" ca="1" si="255"/>
        <v>51.372671690579232</v>
      </c>
      <c r="HK104" s="36">
        <f t="shared" ca="1" si="255"/>
        <v>52.152618196991334</v>
      </c>
      <c r="HL104" s="36">
        <f t="shared" ref="HL104:HT104" ca="1" si="263">HK104*EXP(($B$3-$B$4^2/2)*1+$B$4*_xlfn.NORM.S.INV(RAND()))</f>
        <v>50.554665234952857</v>
      </c>
      <c r="HM104" s="36">
        <f t="shared" ca="1" si="263"/>
        <v>50.445316507343819</v>
      </c>
      <c r="HN104" s="36">
        <f t="shared" ca="1" si="263"/>
        <v>50.491993886154191</v>
      </c>
      <c r="HO104" s="36">
        <f t="shared" ca="1" si="263"/>
        <v>50.588235431968997</v>
      </c>
      <c r="HP104" s="36">
        <f t="shared" ca="1" si="263"/>
        <v>51.14238780173531</v>
      </c>
      <c r="HQ104" s="36">
        <f t="shared" ca="1" si="263"/>
        <v>50.195389315005912</v>
      </c>
      <c r="HR104" s="36">
        <f t="shared" ca="1" si="263"/>
        <v>50.524154325784579</v>
      </c>
      <c r="HS104" s="36">
        <f t="shared" ca="1" si="263"/>
        <v>50.573750118969613</v>
      </c>
      <c r="HT104" s="36">
        <f t="shared" ca="1" si="263"/>
        <v>51.046227349420711</v>
      </c>
      <c r="HU104" s="36">
        <f t="shared" ca="1" si="247"/>
        <v>51.503349478426436</v>
      </c>
      <c r="HV104" s="36">
        <f t="shared" ca="1" si="247"/>
        <v>51.926569818892197</v>
      </c>
      <c r="HW104" s="36">
        <f t="shared" ca="1" si="247"/>
        <v>51.279679065234241</v>
      </c>
      <c r="HX104" s="36">
        <f t="shared" ca="1" si="247"/>
        <v>51.563566155692207</v>
      </c>
      <c r="HY104" s="36">
        <f t="shared" ca="1" si="248"/>
        <v>50.737327218542852</v>
      </c>
      <c r="HZ104" s="36">
        <f t="shared" ca="1" si="248"/>
        <v>50.332243124842016</v>
      </c>
      <c r="IA104" s="36">
        <f t="shared" ca="1" si="248"/>
        <v>50.585316713621104</v>
      </c>
      <c r="IB104" s="36">
        <f t="shared" ca="1" si="248"/>
        <v>49.604610360279054</v>
      </c>
      <c r="IC104" s="36">
        <f t="shared" ca="1" si="248"/>
        <v>50.099527869659681</v>
      </c>
      <c r="ID104" s="36">
        <f t="shared" ca="1" si="248"/>
        <v>49.622944426287368</v>
      </c>
      <c r="IE104" s="36">
        <f t="shared" ca="1" si="248"/>
        <v>49.519172016249691</v>
      </c>
      <c r="IF104" s="36">
        <f t="shared" ca="1" si="248"/>
        <v>49.951668559456557</v>
      </c>
      <c r="IG104" s="36">
        <f t="shared" ca="1" si="248"/>
        <v>50.361367620793018</v>
      </c>
      <c r="IH104" s="36">
        <f t="shared" ca="1" si="248"/>
        <v>50.343818354322416</v>
      </c>
      <c r="II104" s="36">
        <f t="shared" ca="1" si="248"/>
        <v>51.221856103713989</v>
      </c>
      <c r="IJ104" s="36">
        <f t="shared" ca="1" si="248"/>
        <v>51.406254901167507</v>
      </c>
      <c r="IK104" s="36">
        <f t="shared" ca="1" si="248"/>
        <v>52.312474238321698</v>
      </c>
      <c r="IL104" s="36">
        <f t="shared" ca="1" si="248"/>
        <v>52.498987623292948</v>
      </c>
      <c r="IM104" s="36">
        <f t="shared" ca="1" si="248"/>
        <v>52.729091888120983</v>
      </c>
      <c r="IN104" s="36">
        <f t="shared" ca="1" si="248"/>
        <v>53.25561532868317</v>
      </c>
      <c r="IO104" s="36">
        <f t="shared" ca="1" si="248"/>
        <v>54.587322908300102</v>
      </c>
      <c r="IP104" s="36">
        <f t="shared" ca="1" si="248"/>
        <v>54.831017804049026</v>
      </c>
      <c r="IQ104" s="36">
        <f t="shared" ca="1" si="248"/>
        <v>54.357429283947376</v>
      </c>
      <c r="IR104" s="36">
        <f t="shared" ca="1" si="248"/>
        <v>55.051941613338251</v>
      </c>
      <c r="IS104" s="36">
        <f t="shared" ca="1" si="248"/>
        <v>54.272544016705815</v>
      </c>
      <c r="IT104" s="36">
        <f t="shared" ca="1" si="248"/>
        <v>53.474485167890471</v>
      </c>
      <c r="IU104" s="36">
        <f t="shared" ca="1" si="248"/>
        <v>53.621153156981869</v>
      </c>
    </row>
    <row r="105" spans="1:255" x14ac:dyDescent="0.2">
      <c r="A105" s="36"/>
      <c r="B105">
        <v>95</v>
      </c>
      <c r="C105" s="36">
        <v>50</v>
      </c>
      <c r="D105" s="36">
        <f t="shared" ca="1" si="188"/>
        <v>50.50586014205296</v>
      </c>
      <c r="E105" s="36">
        <f t="shared" ca="1" si="188"/>
        <v>51.094758858715394</v>
      </c>
      <c r="F105" s="36">
        <f t="shared" ca="1" si="257"/>
        <v>51.765677682888231</v>
      </c>
      <c r="G105" s="36">
        <f t="shared" ca="1" si="257"/>
        <v>51.103730771818753</v>
      </c>
      <c r="H105" s="36">
        <f t="shared" ca="1" si="257"/>
        <v>51.372628237837446</v>
      </c>
      <c r="I105" s="36">
        <f t="shared" ca="1" si="257"/>
        <v>52.217071328937301</v>
      </c>
      <c r="J105" s="36">
        <f t="shared" ca="1" si="257"/>
        <v>52.139122036972587</v>
      </c>
      <c r="K105" s="36">
        <f t="shared" ca="1" si="257"/>
        <v>51.916018471266383</v>
      </c>
      <c r="L105" s="36">
        <f t="shared" ca="1" si="257"/>
        <v>50.801965470154776</v>
      </c>
      <c r="M105" s="36">
        <f t="shared" ca="1" si="257"/>
        <v>50.191629646012622</v>
      </c>
      <c r="N105" s="36">
        <f t="shared" ca="1" si="257"/>
        <v>49.145026096494817</v>
      </c>
      <c r="O105" s="36">
        <f t="shared" ca="1" si="257"/>
        <v>48.377991319241438</v>
      </c>
      <c r="P105" s="36">
        <f t="shared" ca="1" si="257"/>
        <v>48.336764116091878</v>
      </c>
      <c r="Q105" s="36">
        <f t="shared" ca="1" si="257"/>
        <v>47.826389419331598</v>
      </c>
      <c r="R105" s="36">
        <f t="shared" ca="1" si="257"/>
        <v>47.149249011182597</v>
      </c>
      <c r="S105" s="36">
        <f t="shared" ca="1" si="257"/>
        <v>47.1596034402165</v>
      </c>
      <c r="T105" s="36">
        <f t="shared" ca="1" si="257"/>
        <v>47.196764942593695</v>
      </c>
      <c r="U105" s="36">
        <f t="shared" ca="1" si="257"/>
        <v>46.43036941537823</v>
      </c>
      <c r="V105" s="36">
        <f t="shared" ca="1" si="257"/>
        <v>46.444332703754633</v>
      </c>
      <c r="W105" s="36">
        <f t="shared" ca="1" si="257"/>
        <v>46.438754741470127</v>
      </c>
      <c r="X105" s="36">
        <f t="shared" ca="1" si="257"/>
        <v>46.570877723271344</v>
      </c>
      <c r="Y105" s="36">
        <f t="shared" ca="1" si="257"/>
        <v>46.437866216999517</v>
      </c>
      <c r="Z105" s="36">
        <f t="shared" ca="1" si="257"/>
        <v>46.364483171897326</v>
      </c>
      <c r="AA105" s="36">
        <f t="shared" ca="1" si="257"/>
        <v>46.512527617032823</v>
      </c>
      <c r="AB105" s="36">
        <f t="shared" ca="1" si="257"/>
        <v>45.725095083064197</v>
      </c>
      <c r="AC105" s="36">
        <f t="shared" ca="1" si="257"/>
        <v>45.928955842270646</v>
      </c>
      <c r="AD105" s="36">
        <f t="shared" ca="1" si="257"/>
        <v>46.432927289979901</v>
      </c>
      <c r="AE105" s="36">
        <f t="shared" ca="1" si="257"/>
        <v>46.355985498172608</v>
      </c>
      <c r="AF105" s="36">
        <f t="shared" ca="1" si="257"/>
        <v>46.295691933903527</v>
      </c>
      <c r="AG105" s="36">
        <f t="shared" ca="1" si="257"/>
        <v>46.475717488392142</v>
      </c>
      <c r="AH105" s="36">
        <f t="shared" ca="1" si="257"/>
        <v>45.657563598878816</v>
      </c>
      <c r="AI105" s="36">
        <f t="shared" ca="1" si="257"/>
        <v>45.09849953315355</v>
      </c>
      <c r="AJ105" s="36">
        <f t="shared" ca="1" si="257"/>
        <v>44.725212967574755</v>
      </c>
      <c r="AK105" s="36">
        <f t="shared" ca="1" si="257"/>
        <v>45.31691539409578</v>
      </c>
      <c r="AL105" s="36">
        <f t="shared" ca="1" si="257"/>
        <v>46.193201054789867</v>
      </c>
      <c r="AM105" s="36">
        <f t="shared" ca="1" si="257"/>
        <v>47.800614527219018</v>
      </c>
      <c r="AN105" s="36">
        <f t="shared" ca="1" si="257"/>
        <v>48.060612287509898</v>
      </c>
      <c r="AO105" s="36">
        <f t="shared" ca="1" si="257"/>
        <v>47.433203422257876</v>
      </c>
      <c r="AP105" s="36">
        <f t="shared" ca="1" si="257"/>
        <v>47.756997057023113</v>
      </c>
      <c r="AQ105" s="36">
        <f t="shared" ca="1" si="257"/>
        <v>47.809235717101963</v>
      </c>
      <c r="AR105" s="36">
        <f t="shared" ca="1" si="257"/>
        <v>48.425236522122105</v>
      </c>
      <c r="AS105" s="36">
        <f t="shared" ca="1" si="257"/>
        <v>49.022493499117175</v>
      </c>
      <c r="AT105" s="36">
        <f t="shared" ca="1" si="257"/>
        <v>48.657611728938775</v>
      </c>
      <c r="AU105" s="36">
        <f t="shared" ca="1" si="257"/>
        <v>47.927837555958114</v>
      </c>
      <c r="AV105" s="36">
        <f t="shared" ca="1" si="257"/>
        <v>47.814130169818938</v>
      </c>
      <c r="AW105" s="36">
        <f t="shared" ca="1" si="257"/>
        <v>46.889883949798687</v>
      </c>
      <c r="AX105" s="36">
        <f t="shared" ca="1" si="257"/>
        <v>46.74386322949303</v>
      </c>
      <c r="AY105" s="36">
        <f t="shared" ca="1" si="257"/>
        <v>46.423941135274944</v>
      </c>
      <c r="AZ105" s="36">
        <f t="shared" ca="1" si="257"/>
        <v>46.30685019902225</v>
      </c>
      <c r="BA105" s="36">
        <f t="shared" ca="1" si="257"/>
        <v>46.390741600444031</v>
      </c>
      <c r="BB105" s="36">
        <f t="shared" ca="1" si="257"/>
        <v>45.299209752576488</v>
      </c>
      <c r="BC105" s="36">
        <f t="shared" ca="1" si="257"/>
        <v>45.014141923588888</v>
      </c>
      <c r="BD105" s="36">
        <f t="shared" ca="1" si="257"/>
        <v>45.373364836223487</v>
      </c>
      <c r="BE105" s="36">
        <f t="shared" ca="1" si="257"/>
        <v>45.676013029269804</v>
      </c>
      <c r="BF105" s="36">
        <f t="shared" ca="1" si="257"/>
        <v>45.165123139090817</v>
      </c>
      <c r="BG105" s="36">
        <f t="shared" ca="1" si="257"/>
        <v>46.485457546976065</v>
      </c>
      <c r="BH105" s="36">
        <f t="shared" ca="1" si="257"/>
        <v>47.018347225182382</v>
      </c>
      <c r="BI105" s="36">
        <f t="shared" ca="1" si="257"/>
        <v>47.285022527489403</v>
      </c>
      <c r="BJ105" s="36">
        <f t="shared" ca="1" si="257"/>
        <v>48.302474040666809</v>
      </c>
      <c r="BK105" s="36">
        <f t="shared" ca="1" si="257"/>
        <v>48.859613337592307</v>
      </c>
      <c r="BL105" s="36">
        <f t="shared" ca="1" si="257"/>
        <v>48.296404361174119</v>
      </c>
      <c r="BM105" s="36">
        <f t="shared" ca="1" si="257"/>
        <v>48.534009750374935</v>
      </c>
      <c r="BN105" s="36">
        <f t="shared" ca="1" si="257"/>
        <v>48.618829098611549</v>
      </c>
      <c r="BO105" s="36">
        <f t="shared" ca="1" si="257"/>
        <v>49.198701153587201</v>
      </c>
      <c r="BP105" s="36">
        <f t="shared" ca="1" si="257"/>
        <v>48.315147578452141</v>
      </c>
      <c r="BQ105" s="36">
        <f t="shared" ref="BQ105:EB108" ca="1" si="264">BP105*EXP(($B$3-$B$4^2/2)*1+$B$4*_xlfn.NORM.S.INV(RAND()))</f>
        <v>47.734003342102106</v>
      </c>
      <c r="BR105" s="36">
        <f t="shared" ca="1" si="264"/>
        <v>47.737679704489828</v>
      </c>
      <c r="BS105" s="36">
        <f t="shared" ca="1" si="264"/>
        <v>48.209741128688343</v>
      </c>
      <c r="BT105" s="36">
        <f t="shared" ca="1" si="264"/>
        <v>48.371533640567002</v>
      </c>
      <c r="BU105" s="36">
        <f t="shared" ca="1" si="264"/>
        <v>48.665157510530719</v>
      </c>
      <c r="BV105" s="36">
        <f t="shared" ca="1" si="264"/>
        <v>48.240602415878108</v>
      </c>
      <c r="BW105" s="36">
        <f t="shared" ca="1" si="264"/>
        <v>49.16716825976777</v>
      </c>
      <c r="BX105" s="36">
        <f t="shared" ca="1" si="264"/>
        <v>49.385376422994369</v>
      </c>
      <c r="BY105" s="36">
        <f t="shared" ca="1" si="264"/>
        <v>50.420153656180389</v>
      </c>
      <c r="BZ105" s="36">
        <f t="shared" ca="1" si="264"/>
        <v>51.080445211639436</v>
      </c>
      <c r="CA105" s="36">
        <f t="shared" ca="1" si="264"/>
        <v>51.110873640373448</v>
      </c>
      <c r="CB105" s="36">
        <f t="shared" ca="1" si="264"/>
        <v>50.167605209949372</v>
      </c>
      <c r="CC105" s="36">
        <f t="shared" ca="1" si="264"/>
        <v>50.513222687201505</v>
      </c>
      <c r="CD105" s="36">
        <f t="shared" ca="1" si="264"/>
        <v>51.363209906337154</v>
      </c>
      <c r="CE105" s="36">
        <f t="shared" ca="1" si="264"/>
        <v>51.899475232632639</v>
      </c>
      <c r="CF105" s="36">
        <f t="shared" ca="1" si="264"/>
        <v>52.48779971581299</v>
      </c>
      <c r="CG105" s="36">
        <f t="shared" ca="1" si="264"/>
        <v>52.29750273702205</v>
      </c>
      <c r="CH105" s="36">
        <f t="shared" ca="1" si="264"/>
        <v>52.60951834104835</v>
      </c>
      <c r="CI105" s="36">
        <f t="shared" ca="1" si="264"/>
        <v>51.89661105375707</v>
      </c>
      <c r="CJ105" s="36">
        <f t="shared" ca="1" si="264"/>
        <v>51.895801816691694</v>
      </c>
      <c r="CK105" s="36">
        <f t="shared" ca="1" si="264"/>
        <v>51.12532602964891</v>
      </c>
      <c r="CL105" s="36">
        <f t="shared" ca="1" si="264"/>
        <v>51.400597114679947</v>
      </c>
      <c r="CM105" s="36">
        <f t="shared" ca="1" si="264"/>
        <v>49.91277598879357</v>
      </c>
      <c r="CN105" s="36">
        <f t="shared" ca="1" si="264"/>
        <v>50.880439379584708</v>
      </c>
      <c r="CO105" s="36">
        <f t="shared" ca="1" si="264"/>
        <v>51.555487467208025</v>
      </c>
      <c r="CP105" s="36">
        <f t="shared" ca="1" si="264"/>
        <v>50.660192699615067</v>
      </c>
      <c r="CQ105" s="36">
        <f t="shared" ca="1" si="264"/>
        <v>49.647820774219511</v>
      </c>
      <c r="CR105" s="36">
        <f t="shared" ca="1" si="264"/>
        <v>49.288168415130421</v>
      </c>
      <c r="CS105" s="36">
        <f t="shared" ca="1" si="264"/>
        <v>48.712573026529626</v>
      </c>
      <c r="CT105" s="36">
        <f t="shared" ca="1" si="264"/>
        <v>49.635463595524918</v>
      </c>
      <c r="CU105" s="36">
        <f t="shared" ca="1" si="264"/>
        <v>48.694903980077946</v>
      </c>
      <c r="CV105" s="36">
        <f t="shared" ca="1" si="264"/>
        <v>48.243687913108268</v>
      </c>
      <c r="CW105" s="36">
        <f t="shared" ca="1" si="264"/>
        <v>48.686954370977674</v>
      </c>
      <c r="CX105" s="36">
        <f t="shared" ca="1" si="264"/>
        <v>48.232643488272956</v>
      </c>
      <c r="CY105" s="36">
        <f t="shared" ca="1" si="264"/>
        <v>49.033388174191465</v>
      </c>
      <c r="CZ105" s="36">
        <f t="shared" ca="1" si="264"/>
        <v>48.769576883675747</v>
      </c>
      <c r="DA105" s="36">
        <f t="shared" ca="1" si="264"/>
        <v>49.780080747395083</v>
      </c>
      <c r="DB105" s="36">
        <f t="shared" ca="1" si="264"/>
        <v>49.240641149159551</v>
      </c>
      <c r="DC105" s="36">
        <f t="shared" ca="1" si="264"/>
        <v>48.531289282636067</v>
      </c>
      <c r="DD105" s="36">
        <f t="shared" ca="1" si="264"/>
        <v>48.6141872247997</v>
      </c>
      <c r="DE105" s="36">
        <f t="shared" ca="1" si="264"/>
        <v>48.063523402731875</v>
      </c>
      <c r="DF105" s="36">
        <f t="shared" ca="1" si="264"/>
        <v>48.400824383879105</v>
      </c>
      <c r="DG105" s="36">
        <f t="shared" ca="1" si="264"/>
        <v>49.173169987859751</v>
      </c>
      <c r="DH105" s="36">
        <f t="shared" ca="1" si="264"/>
        <v>49.111917798024258</v>
      </c>
      <c r="DI105" s="36">
        <f t="shared" ca="1" si="264"/>
        <v>49.236740282134456</v>
      </c>
      <c r="DJ105" s="36">
        <f t="shared" ca="1" si="264"/>
        <v>49.10719166610189</v>
      </c>
      <c r="DK105" s="36">
        <f t="shared" ca="1" si="264"/>
        <v>49.15611176642453</v>
      </c>
      <c r="DL105" s="36">
        <f t="shared" ca="1" si="264"/>
        <v>48.589996078085903</v>
      </c>
      <c r="DM105" s="36">
        <f t="shared" ca="1" si="264"/>
        <v>48.59275355807776</v>
      </c>
      <c r="DN105" s="36">
        <f t="shared" ca="1" si="264"/>
        <v>48.485438257247978</v>
      </c>
      <c r="DO105" s="36">
        <f t="shared" ca="1" si="264"/>
        <v>48.833475663532525</v>
      </c>
      <c r="DP105" s="36">
        <f t="shared" ca="1" si="264"/>
        <v>50.315742756502218</v>
      </c>
      <c r="DQ105" s="36">
        <f t="shared" ca="1" si="264"/>
        <v>50.696882289016763</v>
      </c>
      <c r="DR105" s="36">
        <f t="shared" ca="1" si="264"/>
        <v>51.104348892730485</v>
      </c>
      <c r="DS105" s="36">
        <f t="shared" ca="1" si="264"/>
        <v>50.79619839764613</v>
      </c>
      <c r="DT105" s="36">
        <f t="shared" ca="1" si="264"/>
        <v>51.14295125541949</v>
      </c>
      <c r="DU105" s="36">
        <f t="shared" ca="1" si="264"/>
        <v>51.242883686830361</v>
      </c>
      <c r="DV105" s="36">
        <f t="shared" ca="1" si="264"/>
        <v>51.710577418014843</v>
      </c>
      <c r="DW105" s="36">
        <f t="shared" ca="1" si="264"/>
        <v>51.926183745043005</v>
      </c>
      <c r="DX105" s="36">
        <f t="shared" ca="1" si="264"/>
        <v>51.265530829731453</v>
      </c>
      <c r="DY105" s="36">
        <f t="shared" ca="1" si="264"/>
        <v>51.383379893049764</v>
      </c>
      <c r="DZ105" s="36">
        <f t="shared" ca="1" si="264"/>
        <v>52.686968788988047</v>
      </c>
      <c r="EA105" s="36">
        <f t="shared" ca="1" si="264"/>
        <v>52.325777088735684</v>
      </c>
      <c r="EB105" s="36">
        <f t="shared" ca="1" si="264"/>
        <v>51.976193780543717</v>
      </c>
      <c r="EC105" s="36">
        <f t="shared" ca="1" si="239"/>
        <v>52.944813430430109</v>
      </c>
      <c r="ED105" s="36">
        <f t="shared" ca="1" si="239"/>
        <v>53.780420340451087</v>
      </c>
      <c r="EE105" s="36">
        <f t="shared" ca="1" si="239"/>
        <v>54.396889625236824</v>
      </c>
      <c r="EF105" s="36">
        <f t="shared" ca="1" si="239"/>
        <v>53.746070838551034</v>
      </c>
      <c r="EG105" s="36">
        <f t="shared" ca="1" si="239"/>
        <v>54.055486429356257</v>
      </c>
      <c r="EH105" s="36">
        <f t="shared" ca="1" si="239"/>
        <v>54.633012320106637</v>
      </c>
      <c r="EI105" s="36">
        <f t="shared" ca="1" si="239"/>
        <v>53.75091700201714</v>
      </c>
      <c r="EJ105" s="36">
        <f t="shared" ca="1" si="239"/>
        <v>54.163151903328604</v>
      </c>
      <c r="EK105" s="36">
        <f t="shared" ca="1" si="239"/>
        <v>53.782360546585274</v>
      </c>
      <c r="EL105" s="36">
        <f t="shared" ca="1" si="239"/>
        <v>54.247384063969569</v>
      </c>
      <c r="EM105" s="36">
        <f t="shared" ca="1" si="239"/>
        <v>54.121513014995415</v>
      </c>
      <c r="EN105" s="36">
        <f t="shared" ca="1" si="239"/>
        <v>53.93235929656349</v>
      </c>
      <c r="EO105" s="36">
        <f t="shared" ca="1" si="239"/>
        <v>54.492307474899846</v>
      </c>
      <c r="EP105" s="36">
        <f t="shared" ca="1" si="239"/>
        <v>54.881804700124746</v>
      </c>
      <c r="EQ105" s="36">
        <f t="shared" ca="1" si="239"/>
        <v>54.135922256163688</v>
      </c>
      <c r="ER105" s="36">
        <f t="shared" ca="1" si="239"/>
        <v>54.155957760424037</v>
      </c>
      <c r="ES105" s="36">
        <f t="shared" ca="1" si="239"/>
        <v>54.360595370277721</v>
      </c>
      <c r="ET105" s="36">
        <f t="shared" ca="1" si="239"/>
        <v>54.915014321632675</v>
      </c>
      <c r="EU105" s="36">
        <f t="shared" ca="1" si="239"/>
        <v>55.445322708758404</v>
      </c>
      <c r="EV105" s="36">
        <f t="shared" ca="1" si="239"/>
        <v>55.593391442913685</v>
      </c>
      <c r="EW105" s="36">
        <f t="shared" ref="EW105" ca="1" si="265">EV105*EXP(($B$3-$B$4^2/2)*1+$B$4*_xlfn.NORM.S.INV(RAND()))</f>
        <v>56.391953114019522</v>
      </c>
      <c r="EX105" s="36">
        <f t="shared" ca="1" si="258"/>
        <v>56.310559201122224</v>
      </c>
      <c r="EY105" s="36">
        <f t="shared" ca="1" si="258"/>
        <v>57.105581579865166</v>
      </c>
      <c r="EZ105" s="36">
        <f t="shared" ca="1" si="258"/>
        <v>57.591495038275504</v>
      </c>
      <c r="FA105" s="36">
        <f t="shared" ca="1" si="258"/>
        <v>57.268543338055096</v>
      </c>
      <c r="FB105" s="36">
        <f t="shared" ca="1" si="258"/>
        <v>57.648974464697666</v>
      </c>
      <c r="FC105" s="36">
        <f t="shared" ca="1" si="258"/>
        <v>57.088442380119311</v>
      </c>
      <c r="FD105" s="36">
        <f t="shared" ca="1" si="258"/>
        <v>57.219025104067036</v>
      </c>
      <c r="FE105" s="36">
        <f t="shared" ca="1" si="258"/>
        <v>57.446065828135517</v>
      </c>
      <c r="FF105" s="36">
        <f t="shared" ca="1" si="258"/>
        <v>58.854004215743643</v>
      </c>
      <c r="FG105" s="36">
        <f t="shared" ca="1" si="258"/>
        <v>57.772504462878963</v>
      </c>
      <c r="FH105" s="36">
        <f t="shared" ca="1" si="258"/>
        <v>57.93498221470216</v>
      </c>
      <c r="FI105" s="36">
        <f t="shared" ca="1" si="258"/>
        <v>58.407979570974902</v>
      </c>
      <c r="FJ105" s="36">
        <f t="shared" ca="1" si="258"/>
        <v>56.612531187452582</v>
      </c>
      <c r="FK105" s="36">
        <f t="shared" ca="1" si="258"/>
        <v>57.573765883514447</v>
      </c>
      <c r="FL105" s="36">
        <f t="shared" ca="1" si="258"/>
        <v>57.885244189990402</v>
      </c>
      <c r="FM105" s="36">
        <f t="shared" ca="1" si="258"/>
        <v>58.264343344444988</v>
      </c>
      <c r="FN105" s="36">
        <f t="shared" ca="1" si="258"/>
        <v>58.272957596262003</v>
      </c>
      <c r="FO105" s="36">
        <f t="shared" ca="1" si="258"/>
        <v>58.556745671771075</v>
      </c>
      <c r="FP105" s="36">
        <f t="shared" ca="1" si="258"/>
        <v>58.7064852618212</v>
      </c>
      <c r="FQ105" s="36">
        <f t="shared" ca="1" si="258"/>
        <v>59.531250389416471</v>
      </c>
      <c r="FR105" s="36">
        <f t="shared" ca="1" si="258"/>
        <v>61.351521776722137</v>
      </c>
      <c r="FS105" s="36">
        <f t="shared" ca="1" si="258"/>
        <v>62.364707496436971</v>
      </c>
      <c r="FT105" s="36">
        <f t="shared" ca="1" si="258"/>
        <v>61.507812240453354</v>
      </c>
      <c r="FU105" s="36">
        <f t="shared" ca="1" si="258"/>
        <v>60.80004523945783</v>
      </c>
      <c r="FV105" s="36">
        <f t="shared" ca="1" si="258"/>
        <v>59.980340340830381</v>
      </c>
      <c r="FW105" s="36">
        <f t="shared" ca="1" si="258"/>
        <v>58.288739757491321</v>
      </c>
      <c r="FX105" s="36">
        <f t="shared" ca="1" si="258"/>
        <v>57.941123997363206</v>
      </c>
      <c r="FY105" s="36">
        <f t="shared" ca="1" si="258"/>
        <v>58.732630427597449</v>
      </c>
      <c r="FZ105" s="36">
        <f t="shared" ca="1" si="258"/>
        <v>60.663911775512993</v>
      </c>
      <c r="GA105" s="36">
        <f t="shared" ca="1" si="258"/>
        <v>61.157183822195783</v>
      </c>
      <c r="GB105" s="36">
        <f t="shared" ca="1" si="258"/>
        <v>60.833818136956708</v>
      </c>
      <c r="GC105" s="36">
        <f t="shared" ca="1" si="258"/>
        <v>61.217176120052621</v>
      </c>
      <c r="GD105" s="36">
        <f t="shared" ca="1" si="258"/>
        <v>63.050919121907029</v>
      </c>
      <c r="GE105" s="36">
        <f t="shared" ca="1" si="258"/>
        <v>61.384896704440926</v>
      </c>
      <c r="GF105" s="36">
        <f t="shared" ca="1" si="258"/>
        <v>62.000422423256801</v>
      </c>
      <c r="GG105" s="36">
        <f t="shared" ca="1" si="258"/>
        <v>62.399961371606295</v>
      </c>
      <c r="GH105" s="36">
        <f t="shared" ca="1" si="258"/>
        <v>62.244285497445709</v>
      </c>
      <c r="GI105" s="36">
        <f t="shared" ca="1" si="258"/>
        <v>62.183884069462067</v>
      </c>
      <c r="GJ105" s="36">
        <f t="shared" ca="1" si="258"/>
        <v>62.626900492070924</v>
      </c>
      <c r="GK105" s="36">
        <f t="shared" ca="1" si="258"/>
        <v>62.753981012438132</v>
      </c>
      <c r="GL105" s="36">
        <f t="shared" ca="1" si="258"/>
        <v>64.054409278130223</v>
      </c>
      <c r="GM105" s="36">
        <f t="shared" ca="1" si="258"/>
        <v>64.822557431654516</v>
      </c>
      <c r="GN105" s="36">
        <f t="shared" ca="1" si="258"/>
        <v>64.911601393958222</v>
      </c>
      <c r="GO105" s="36">
        <f t="shared" ca="1" si="258"/>
        <v>64.345578550474102</v>
      </c>
      <c r="GP105" s="36">
        <f t="shared" ca="1" si="258"/>
        <v>63.647583126130009</v>
      </c>
      <c r="GQ105" s="36">
        <f t="shared" ca="1" si="258"/>
        <v>64.673833670167213</v>
      </c>
      <c r="GR105" s="36">
        <f t="shared" ca="1" si="258"/>
        <v>64.972303607068028</v>
      </c>
      <c r="GS105" s="36">
        <f t="shared" ca="1" si="258"/>
        <v>64.28594403789505</v>
      </c>
      <c r="GT105" s="36">
        <f t="shared" ca="1" si="258"/>
        <v>63.910982021991295</v>
      </c>
      <c r="GU105" s="36">
        <f t="shared" ca="1" si="258"/>
        <v>65.741191760185231</v>
      </c>
      <c r="GV105" s="36">
        <f t="shared" ca="1" si="258"/>
        <v>64.96264343253921</v>
      </c>
      <c r="GW105" s="36">
        <f t="shared" ca="1" si="258"/>
        <v>65.768320598530693</v>
      </c>
      <c r="GX105" s="36">
        <f t="shared" ca="1" si="258"/>
        <v>65.926833080129327</v>
      </c>
      <c r="GY105" s="36">
        <f t="shared" ca="1" si="258"/>
        <v>67.12211026693528</v>
      </c>
      <c r="GZ105" s="36">
        <f t="shared" ca="1" si="258"/>
        <v>67.6312674139226</v>
      </c>
      <c r="HA105" s="36">
        <f t="shared" ca="1" si="258"/>
        <v>68.406445625664702</v>
      </c>
      <c r="HB105" s="36">
        <f t="shared" ca="1" si="258"/>
        <v>68.137396534281223</v>
      </c>
      <c r="HC105" s="36">
        <f t="shared" ca="1" si="258"/>
        <v>69.04255583622276</v>
      </c>
      <c r="HD105" s="36">
        <f t="shared" ca="1" si="258"/>
        <v>69.528283776194826</v>
      </c>
      <c r="HE105" s="36">
        <f t="shared" ca="1" si="258"/>
        <v>69.277722258542596</v>
      </c>
      <c r="HF105" s="36">
        <f t="shared" ca="1" si="258"/>
        <v>69.38910348701468</v>
      </c>
      <c r="HG105" s="36">
        <f t="shared" ca="1" si="258"/>
        <v>70.334221942707885</v>
      </c>
      <c r="HH105" s="36">
        <f t="shared" ca="1" si="258"/>
        <v>69.073134842043245</v>
      </c>
      <c r="HI105" s="36">
        <f t="shared" ref="HI105:HT105" ca="1" si="266">HH105*EXP(($B$3-$B$4^2/2)*1+$B$4*_xlfn.NORM.S.INV(RAND()))</f>
        <v>69.065756095082435</v>
      </c>
      <c r="HJ105" s="36">
        <f t="shared" ca="1" si="266"/>
        <v>69.64568721946263</v>
      </c>
      <c r="HK105" s="36">
        <f t="shared" ca="1" si="266"/>
        <v>69.591905572246972</v>
      </c>
      <c r="HL105" s="36">
        <f t="shared" ca="1" si="266"/>
        <v>69.443302797179626</v>
      </c>
      <c r="HM105" s="36">
        <f t="shared" ca="1" si="266"/>
        <v>68.332701305127131</v>
      </c>
      <c r="HN105" s="36">
        <f t="shared" ca="1" si="266"/>
        <v>67.777640952677885</v>
      </c>
      <c r="HO105" s="36">
        <f t="shared" ca="1" si="266"/>
        <v>67.727118398086958</v>
      </c>
      <c r="HP105" s="36">
        <f t="shared" ca="1" si="266"/>
        <v>68.157429731821466</v>
      </c>
      <c r="HQ105" s="36">
        <f t="shared" ca="1" si="266"/>
        <v>66.685203457060098</v>
      </c>
      <c r="HR105" s="36">
        <f t="shared" ca="1" si="266"/>
        <v>66.93389612246682</v>
      </c>
      <c r="HS105" s="36">
        <f t="shared" ca="1" si="266"/>
        <v>66.245004973718778</v>
      </c>
      <c r="HT105" s="36">
        <f t="shared" ca="1" si="266"/>
        <v>65.285041387868404</v>
      </c>
      <c r="HU105" s="36">
        <f t="shared" ca="1" si="247"/>
        <v>65.704751843560985</v>
      </c>
      <c r="HV105" s="36">
        <f t="shared" ca="1" si="247"/>
        <v>65.199724717864598</v>
      </c>
      <c r="HW105" s="36">
        <f t="shared" ca="1" si="247"/>
        <v>65.486315346543392</v>
      </c>
      <c r="HX105" s="36">
        <f t="shared" ca="1" si="247"/>
        <v>64.564950936744836</v>
      </c>
      <c r="HY105" s="36">
        <f t="shared" ca="1" si="248"/>
        <v>64.262986712103412</v>
      </c>
      <c r="HZ105" s="36">
        <f t="shared" ca="1" si="248"/>
        <v>65.037230064524195</v>
      </c>
      <c r="IA105" s="36">
        <f t="shared" ca="1" si="248"/>
        <v>65.009597189275866</v>
      </c>
      <c r="IB105" s="36">
        <f t="shared" ca="1" si="248"/>
        <v>66.884009191099096</v>
      </c>
      <c r="IC105" s="36">
        <f t="shared" ca="1" si="248"/>
        <v>66.373031177629883</v>
      </c>
      <c r="ID105" s="36">
        <f t="shared" ca="1" si="248"/>
        <v>65.954723304777545</v>
      </c>
      <c r="IE105" s="36">
        <f t="shared" ca="1" si="248"/>
        <v>66.588093650724304</v>
      </c>
      <c r="IF105" s="36">
        <f t="shared" ca="1" si="248"/>
        <v>66.771023171906563</v>
      </c>
      <c r="IG105" s="36">
        <f t="shared" ca="1" si="248"/>
        <v>65.247158229756081</v>
      </c>
      <c r="IH105" s="36">
        <f t="shared" ca="1" si="248"/>
        <v>65.222609817768983</v>
      </c>
      <c r="II105" s="36">
        <f t="shared" ca="1" si="248"/>
        <v>65.310376023066112</v>
      </c>
      <c r="IJ105" s="36">
        <f t="shared" ca="1" si="248"/>
        <v>65.751542946867644</v>
      </c>
      <c r="IK105" s="36">
        <f t="shared" ca="1" si="248"/>
        <v>64.207744953853592</v>
      </c>
      <c r="IL105" s="36">
        <f t="shared" ca="1" si="248"/>
        <v>63.471000370095794</v>
      </c>
      <c r="IM105" s="36">
        <f t="shared" ca="1" si="248"/>
        <v>64.249461733067903</v>
      </c>
      <c r="IN105" s="36">
        <f t="shared" ca="1" si="248"/>
        <v>64.674817149812327</v>
      </c>
      <c r="IO105" s="36">
        <f t="shared" ca="1" si="248"/>
        <v>65.75582276783561</v>
      </c>
      <c r="IP105" s="36">
        <f t="shared" ca="1" si="248"/>
        <v>65.994700454391207</v>
      </c>
      <c r="IQ105" s="36">
        <f t="shared" ca="1" si="248"/>
        <v>65.339742565601043</v>
      </c>
      <c r="IR105" s="36">
        <f t="shared" ca="1" si="248"/>
        <v>65.637991335181184</v>
      </c>
      <c r="IS105" s="36">
        <f t="shared" ca="1" si="248"/>
        <v>65.146031876564749</v>
      </c>
      <c r="IT105" s="36">
        <f t="shared" ca="1" si="248"/>
        <v>65.627852915972767</v>
      </c>
      <c r="IU105" s="36">
        <f t="shared" ca="1" si="248"/>
        <v>65.89918938614008</v>
      </c>
    </row>
    <row r="106" spans="1:255" x14ac:dyDescent="0.2">
      <c r="A106" s="36"/>
      <c r="B106">
        <v>96</v>
      </c>
      <c r="C106" s="36">
        <v>50</v>
      </c>
      <c r="D106" s="36">
        <f t="shared" ca="1" si="188"/>
        <v>49.807954569486832</v>
      </c>
      <c r="E106" s="36">
        <f t="shared" ca="1" si="188"/>
        <v>50.099610340140131</v>
      </c>
      <c r="F106" s="36">
        <f t="shared" ref="F106:BQ109" ca="1" si="267">E106*EXP(($B$3-$B$4^2/2)*1+$B$4*_xlfn.NORM.S.INV(RAND()))</f>
        <v>50.630226829584778</v>
      </c>
      <c r="G106" s="36">
        <f t="shared" ca="1" si="267"/>
        <v>51.563389536181646</v>
      </c>
      <c r="H106" s="36">
        <f t="shared" ca="1" si="267"/>
        <v>50.767069303041517</v>
      </c>
      <c r="I106" s="36">
        <f t="shared" ca="1" si="267"/>
        <v>51.70213545670449</v>
      </c>
      <c r="J106" s="36">
        <f t="shared" ca="1" si="267"/>
        <v>51.798206802242532</v>
      </c>
      <c r="K106" s="36">
        <f t="shared" ca="1" si="267"/>
        <v>52.41669349856155</v>
      </c>
      <c r="L106" s="36">
        <f t="shared" ca="1" si="267"/>
        <v>53.321156810284201</v>
      </c>
      <c r="M106" s="36">
        <f t="shared" ca="1" si="267"/>
        <v>54.169224364571313</v>
      </c>
      <c r="N106" s="36">
        <f t="shared" ca="1" si="267"/>
        <v>55.267652672161674</v>
      </c>
      <c r="O106" s="36">
        <f t="shared" ca="1" si="267"/>
        <v>55.182150055256471</v>
      </c>
      <c r="P106" s="36">
        <f t="shared" ca="1" si="267"/>
        <v>55.547772420862067</v>
      </c>
      <c r="Q106" s="36">
        <f t="shared" ca="1" si="267"/>
        <v>55.080055827666584</v>
      </c>
      <c r="R106" s="36">
        <f t="shared" ca="1" si="267"/>
        <v>55.284253932298022</v>
      </c>
      <c r="S106" s="36">
        <f t="shared" ca="1" si="267"/>
        <v>55.058790493726498</v>
      </c>
      <c r="T106" s="36">
        <f t="shared" ca="1" si="267"/>
        <v>55.34561652732571</v>
      </c>
      <c r="U106" s="36">
        <f t="shared" ca="1" si="267"/>
        <v>54.990093418376588</v>
      </c>
      <c r="V106" s="36">
        <f t="shared" ca="1" si="267"/>
        <v>54.696275828543037</v>
      </c>
      <c r="W106" s="36">
        <f t="shared" ca="1" si="267"/>
        <v>54.586381369294863</v>
      </c>
      <c r="X106" s="36">
        <f t="shared" ca="1" si="267"/>
        <v>54.757406250089275</v>
      </c>
      <c r="Y106" s="36">
        <f t="shared" ca="1" si="267"/>
        <v>53.897119014933935</v>
      </c>
      <c r="Z106" s="36">
        <f t="shared" ca="1" si="267"/>
        <v>54.351551135578994</v>
      </c>
      <c r="AA106" s="36">
        <f t="shared" ca="1" si="267"/>
        <v>53.701180404532174</v>
      </c>
      <c r="AB106" s="36">
        <f t="shared" ca="1" si="267"/>
        <v>53.775293249827385</v>
      </c>
      <c r="AC106" s="36">
        <f t="shared" ca="1" si="267"/>
        <v>53.401194846082966</v>
      </c>
      <c r="AD106" s="36">
        <f t="shared" ca="1" si="267"/>
        <v>54.071364787077428</v>
      </c>
      <c r="AE106" s="36">
        <f t="shared" ca="1" si="267"/>
        <v>54.31132612066596</v>
      </c>
      <c r="AF106" s="36">
        <f t="shared" ca="1" si="267"/>
        <v>54.254167249473298</v>
      </c>
      <c r="AG106" s="36">
        <f t="shared" ca="1" si="267"/>
        <v>55.01395321648144</v>
      </c>
      <c r="AH106" s="36">
        <f t="shared" ca="1" si="267"/>
        <v>54.778249959468241</v>
      </c>
      <c r="AI106" s="36">
        <f t="shared" ca="1" si="267"/>
        <v>53.785763984722088</v>
      </c>
      <c r="AJ106" s="36">
        <f t="shared" ca="1" si="267"/>
        <v>53.847346405451894</v>
      </c>
      <c r="AK106" s="36">
        <f t="shared" ca="1" si="267"/>
        <v>53.762528882464366</v>
      </c>
      <c r="AL106" s="36">
        <f t="shared" ca="1" si="267"/>
        <v>54.214790984992248</v>
      </c>
      <c r="AM106" s="36">
        <f t="shared" ca="1" si="267"/>
        <v>54.839883052576354</v>
      </c>
      <c r="AN106" s="36">
        <f t="shared" ca="1" si="267"/>
        <v>55.518000720606103</v>
      </c>
      <c r="AO106" s="36">
        <f t="shared" ca="1" si="267"/>
        <v>55.824411705686579</v>
      </c>
      <c r="AP106" s="36">
        <f t="shared" ca="1" si="267"/>
        <v>55.424161300467858</v>
      </c>
      <c r="AQ106" s="36">
        <f t="shared" ca="1" si="267"/>
        <v>55.482748237987636</v>
      </c>
      <c r="AR106" s="36">
        <f t="shared" ca="1" si="267"/>
        <v>56.91957898386314</v>
      </c>
      <c r="AS106" s="36">
        <f t="shared" ca="1" si="267"/>
        <v>56.885356093375265</v>
      </c>
      <c r="AT106" s="36">
        <f t="shared" ca="1" si="267"/>
        <v>56.698243694652788</v>
      </c>
      <c r="AU106" s="36">
        <f t="shared" ca="1" si="267"/>
        <v>56.814237296826008</v>
      </c>
      <c r="AV106" s="36">
        <f t="shared" ca="1" si="267"/>
        <v>56.125092556168589</v>
      </c>
      <c r="AW106" s="36">
        <f t="shared" ca="1" si="267"/>
        <v>55.931317337164018</v>
      </c>
      <c r="AX106" s="36">
        <f t="shared" ca="1" si="267"/>
        <v>55.227469410714832</v>
      </c>
      <c r="AY106" s="36">
        <f t="shared" ca="1" si="267"/>
        <v>54.281171570860316</v>
      </c>
      <c r="AZ106" s="36">
        <f t="shared" ca="1" si="267"/>
        <v>53.492306590431916</v>
      </c>
      <c r="BA106" s="36">
        <f t="shared" ca="1" si="267"/>
        <v>54.008303425401188</v>
      </c>
      <c r="BB106" s="36">
        <f t="shared" ca="1" si="267"/>
        <v>54.071748736665647</v>
      </c>
      <c r="BC106" s="36">
        <f t="shared" ca="1" si="267"/>
        <v>53.548578713192612</v>
      </c>
      <c r="BD106" s="36">
        <f t="shared" ca="1" si="267"/>
        <v>53.207399088475071</v>
      </c>
      <c r="BE106" s="36">
        <f t="shared" ca="1" si="267"/>
        <v>52.702841322196541</v>
      </c>
      <c r="BF106" s="36">
        <f t="shared" ca="1" si="267"/>
        <v>52.600401862746367</v>
      </c>
      <c r="BG106" s="36">
        <f t="shared" ca="1" si="267"/>
        <v>52.698450181162407</v>
      </c>
      <c r="BH106" s="36">
        <f t="shared" ca="1" si="267"/>
        <v>51.627148834556401</v>
      </c>
      <c r="BI106" s="36">
        <f t="shared" ca="1" si="267"/>
        <v>52.280963025537829</v>
      </c>
      <c r="BJ106" s="36">
        <f t="shared" ca="1" si="267"/>
        <v>52.593819017714857</v>
      </c>
      <c r="BK106" s="36">
        <f t="shared" ca="1" si="267"/>
        <v>53.080448193955917</v>
      </c>
      <c r="BL106" s="36">
        <f t="shared" ca="1" si="267"/>
        <v>53.167820427044994</v>
      </c>
      <c r="BM106" s="36">
        <f t="shared" ca="1" si="267"/>
        <v>52.938189347197586</v>
      </c>
      <c r="BN106" s="36">
        <f t="shared" ca="1" si="267"/>
        <v>51.732726524738275</v>
      </c>
      <c r="BO106" s="36">
        <f t="shared" ca="1" si="267"/>
        <v>52.987961580278949</v>
      </c>
      <c r="BP106" s="36">
        <f t="shared" ca="1" si="267"/>
        <v>52.737206895329003</v>
      </c>
      <c r="BQ106" s="36">
        <f t="shared" ca="1" si="267"/>
        <v>52.632544963813039</v>
      </c>
      <c r="BR106" s="36">
        <f t="shared" ca="1" si="264"/>
        <v>51.616357947121294</v>
      </c>
      <c r="BS106" s="36">
        <f t="shared" ca="1" si="264"/>
        <v>51.27415178567076</v>
      </c>
      <c r="BT106" s="36">
        <f t="shared" ca="1" si="264"/>
        <v>52.18577057135181</v>
      </c>
      <c r="BU106" s="36">
        <f t="shared" ca="1" si="264"/>
        <v>52.628618052215579</v>
      </c>
      <c r="BV106" s="36">
        <f t="shared" ca="1" si="264"/>
        <v>52.978213857096144</v>
      </c>
      <c r="BW106" s="36">
        <f t="shared" ca="1" si="264"/>
        <v>52.850387851700077</v>
      </c>
      <c r="BX106" s="36">
        <f t="shared" ca="1" si="264"/>
        <v>52.948742047078689</v>
      </c>
      <c r="BY106" s="36">
        <f t="shared" ca="1" si="264"/>
        <v>53.04374211755124</v>
      </c>
      <c r="BZ106" s="36">
        <f t="shared" ca="1" si="264"/>
        <v>51.655540896380145</v>
      </c>
      <c r="CA106" s="36">
        <f t="shared" ca="1" si="264"/>
        <v>53.0636408019028</v>
      </c>
      <c r="CB106" s="36">
        <f t="shared" ca="1" si="264"/>
        <v>52.960709766916828</v>
      </c>
      <c r="CC106" s="36">
        <f t="shared" ca="1" si="264"/>
        <v>52.752737899944876</v>
      </c>
      <c r="CD106" s="36">
        <f t="shared" ca="1" si="264"/>
        <v>52.229927662317948</v>
      </c>
      <c r="CE106" s="36">
        <f t="shared" ca="1" si="264"/>
        <v>52.094532215555247</v>
      </c>
      <c r="CF106" s="36">
        <f t="shared" ca="1" si="264"/>
        <v>52.061730773816898</v>
      </c>
      <c r="CG106" s="36">
        <f t="shared" ca="1" si="264"/>
        <v>51.771406649504662</v>
      </c>
      <c r="CH106" s="36">
        <f t="shared" ca="1" si="264"/>
        <v>51.333398702752511</v>
      </c>
      <c r="CI106" s="36">
        <f t="shared" ca="1" si="264"/>
        <v>50.830009976331318</v>
      </c>
      <c r="CJ106" s="36">
        <f t="shared" ca="1" si="264"/>
        <v>51.52860396166885</v>
      </c>
      <c r="CK106" s="36">
        <f t="shared" ca="1" si="264"/>
        <v>51.769554165101901</v>
      </c>
      <c r="CL106" s="36">
        <f t="shared" ca="1" si="264"/>
        <v>51.515078440343544</v>
      </c>
      <c r="CM106" s="36">
        <f t="shared" ca="1" si="264"/>
        <v>52.14196467757241</v>
      </c>
      <c r="CN106" s="36">
        <f t="shared" ca="1" si="264"/>
        <v>51.645458083712008</v>
      </c>
      <c r="CO106" s="36">
        <f t="shared" ca="1" si="264"/>
        <v>52.253702978983441</v>
      </c>
      <c r="CP106" s="36">
        <f t="shared" ca="1" si="264"/>
        <v>52.197495835826643</v>
      </c>
      <c r="CQ106" s="36">
        <f t="shared" ca="1" si="264"/>
        <v>52.073814961169859</v>
      </c>
      <c r="CR106" s="36">
        <f t="shared" ca="1" si="264"/>
        <v>52.054657713839376</v>
      </c>
      <c r="CS106" s="36">
        <f t="shared" ca="1" si="264"/>
        <v>51.64186592896516</v>
      </c>
      <c r="CT106" s="36">
        <f t="shared" ca="1" si="264"/>
        <v>51.181544060240896</v>
      </c>
      <c r="CU106" s="36">
        <f t="shared" ca="1" si="264"/>
        <v>51.403793255866084</v>
      </c>
      <c r="CV106" s="36">
        <f t="shared" ca="1" si="264"/>
        <v>50.917498312514262</v>
      </c>
      <c r="CW106" s="36">
        <f t="shared" ca="1" si="264"/>
        <v>51.405276241607147</v>
      </c>
      <c r="CX106" s="36">
        <f t="shared" ca="1" si="264"/>
        <v>51.520745362004547</v>
      </c>
      <c r="CY106" s="36">
        <f t="shared" ca="1" si="264"/>
        <v>51.722791562368528</v>
      </c>
      <c r="CZ106" s="36">
        <f t="shared" ca="1" si="264"/>
        <v>51.282091326818467</v>
      </c>
      <c r="DA106" s="36">
        <f t="shared" ca="1" si="264"/>
        <v>52.444857828713417</v>
      </c>
      <c r="DB106" s="36">
        <f t="shared" ca="1" si="264"/>
        <v>51.813111308213074</v>
      </c>
      <c r="DC106" s="36">
        <f t="shared" ca="1" si="264"/>
        <v>51.401587351377444</v>
      </c>
      <c r="DD106" s="36">
        <f t="shared" ca="1" si="264"/>
        <v>50.654301640252562</v>
      </c>
      <c r="DE106" s="36">
        <f t="shared" ca="1" si="264"/>
        <v>51.352733106562994</v>
      </c>
      <c r="DF106" s="36">
        <f t="shared" ca="1" si="264"/>
        <v>51.76898998890907</v>
      </c>
      <c r="DG106" s="36">
        <f t="shared" ca="1" si="264"/>
        <v>52.517976023271103</v>
      </c>
      <c r="DH106" s="36">
        <f t="shared" ca="1" si="264"/>
        <v>53.457892041551169</v>
      </c>
      <c r="DI106" s="36">
        <f t="shared" ca="1" si="264"/>
        <v>53.951048944467665</v>
      </c>
      <c r="DJ106" s="36">
        <f t="shared" ca="1" si="264"/>
        <v>53.585207356828512</v>
      </c>
      <c r="DK106" s="36">
        <f t="shared" ca="1" si="264"/>
        <v>52.535281285213962</v>
      </c>
      <c r="DL106" s="36">
        <f t="shared" ca="1" si="264"/>
        <v>53.244719127554198</v>
      </c>
      <c r="DM106" s="36">
        <f t="shared" ca="1" si="264"/>
        <v>52.703028542965619</v>
      </c>
      <c r="DN106" s="36">
        <f t="shared" ca="1" si="264"/>
        <v>52.098744748042613</v>
      </c>
      <c r="DO106" s="36">
        <f t="shared" ca="1" si="264"/>
        <v>50.866750446239557</v>
      </c>
      <c r="DP106" s="36">
        <f t="shared" ca="1" si="264"/>
        <v>49.392005660948541</v>
      </c>
      <c r="DQ106" s="36">
        <f t="shared" ca="1" si="264"/>
        <v>49.70655996204696</v>
      </c>
      <c r="DR106" s="36">
        <f t="shared" ca="1" si="264"/>
        <v>50.088553719335373</v>
      </c>
      <c r="DS106" s="36">
        <f t="shared" ca="1" si="264"/>
        <v>50.156771718640194</v>
      </c>
      <c r="DT106" s="36">
        <f t="shared" ca="1" si="264"/>
        <v>50.826103102718392</v>
      </c>
      <c r="DU106" s="36">
        <f t="shared" ca="1" si="264"/>
        <v>50.191551734958246</v>
      </c>
      <c r="DV106" s="36">
        <f t="shared" ca="1" si="264"/>
        <v>49.148806632997093</v>
      </c>
      <c r="DW106" s="36">
        <f t="shared" ca="1" si="264"/>
        <v>49.41508868239945</v>
      </c>
      <c r="DX106" s="36">
        <f t="shared" ca="1" si="264"/>
        <v>49.109191480580478</v>
      </c>
      <c r="DY106" s="36">
        <f t="shared" ca="1" si="264"/>
        <v>49.687163765235816</v>
      </c>
      <c r="DZ106" s="36">
        <f t="shared" ca="1" si="264"/>
        <v>49.578328803790342</v>
      </c>
      <c r="EA106" s="36">
        <f t="shared" ca="1" si="264"/>
        <v>48.986492178768465</v>
      </c>
      <c r="EB106" s="36">
        <f t="shared" ca="1" si="264"/>
        <v>48.582479964825843</v>
      </c>
      <c r="EC106" s="36">
        <f t="shared" ca="1" si="239"/>
        <v>49.286599776578043</v>
      </c>
      <c r="ED106" s="36">
        <f t="shared" ca="1" si="239"/>
        <v>49.302272936264536</v>
      </c>
      <c r="EE106" s="36">
        <f t="shared" ca="1" si="239"/>
        <v>50.334219902338845</v>
      </c>
      <c r="EF106" s="36">
        <f t="shared" ca="1" si="239"/>
        <v>50.40484405140171</v>
      </c>
      <c r="EG106" s="36">
        <f t="shared" ca="1" si="239"/>
        <v>49.576602116546141</v>
      </c>
      <c r="EH106" s="36">
        <f t="shared" ca="1" si="239"/>
        <v>49.316017592533761</v>
      </c>
      <c r="EI106" s="36">
        <f t="shared" ca="1" si="239"/>
        <v>49.361233171124915</v>
      </c>
      <c r="EJ106" s="36">
        <f t="shared" ca="1" si="239"/>
        <v>50.417992593877536</v>
      </c>
      <c r="EK106" s="36">
        <f t="shared" ca="1" si="239"/>
        <v>50.016288536052684</v>
      </c>
      <c r="EL106" s="36">
        <f t="shared" ca="1" si="239"/>
        <v>50.647622237138201</v>
      </c>
      <c r="EM106" s="36">
        <f t="shared" ca="1" si="239"/>
        <v>51.092704858856109</v>
      </c>
      <c r="EN106" s="36">
        <f t="shared" ca="1" si="239"/>
        <v>50.882650370079361</v>
      </c>
      <c r="EO106" s="36">
        <f t="shared" ca="1" si="239"/>
        <v>51.727191732432814</v>
      </c>
      <c r="EP106" s="36">
        <f t="shared" ca="1" si="239"/>
        <v>51.624795981017414</v>
      </c>
      <c r="EQ106" s="36">
        <f t="shared" ca="1" si="239"/>
        <v>51.619222317986576</v>
      </c>
      <c r="ER106" s="36">
        <f t="shared" ref="ER106:EW106" ca="1" si="268">EQ106*EXP(($B$3-$B$4^2/2)*1+$B$4*_xlfn.NORM.S.INV(RAND()))</f>
        <v>51.046432994491866</v>
      </c>
      <c r="ES106" s="36">
        <f t="shared" ca="1" si="268"/>
        <v>50.685036254860208</v>
      </c>
      <c r="ET106" s="36">
        <f t="shared" ca="1" si="268"/>
        <v>50.921056616701051</v>
      </c>
      <c r="EU106" s="36">
        <f t="shared" ca="1" si="268"/>
        <v>51.087140926040824</v>
      </c>
      <c r="EV106" s="36">
        <f t="shared" ca="1" si="268"/>
        <v>49.943325253580454</v>
      </c>
      <c r="EW106" s="36">
        <f t="shared" ca="1" si="268"/>
        <v>50.158751785246338</v>
      </c>
      <c r="EX106" s="36">
        <f t="shared" ca="1" si="258"/>
        <v>50.218086290008799</v>
      </c>
      <c r="EY106" s="36">
        <f t="shared" ca="1" si="258"/>
        <v>50.065068819723002</v>
      </c>
      <c r="EZ106" s="36">
        <f t="shared" ref="EZ106:HK108" ca="1" si="269">EY106*EXP(($B$3-$B$4^2/2)*1+$B$4*_xlfn.NORM.S.INV(RAND()))</f>
        <v>50.03962213961821</v>
      </c>
      <c r="FA106" s="36">
        <f t="shared" ca="1" si="269"/>
        <v>50.458311814819858</v>
      </c>
      <c r="FB106" s="36">
        <f t="shared" ca="1" si="269"/>
        <v>50.225825645696496</v>
      </c>
      <c r="FC106" s="36">
        <f t="shared" ca="1" si="269"/>
        <v>49.964829322433516</v>
      </c>
      <c r="FD106" s="36">
        <f t="shared" ca="1" si="269"/>
        <v>49.653757027610766</v>
      </c>
      <c r="FE106" s="36">
        <f t="shared" ca="1" si="269"/>
        <v>50.356637059359613</v>
      </c>
      <c r="FF106" s="36">
        <f t="shared" ca="1" si="269"/>
        <v>49.967721107103728</v>
      </c>
      <c r="FG106" s="36">
        <f t="shared" ca="1" si="269"/>
        <v>49.360612864784386</v>
      </c>
      <c r="FH106" s="36">
        <f t="shared" ca="1" si="269"/>
        <v>49.900216318194467</v>
      </c>
      <c r="FI106" s="36">
        <f t="shared" ca="1" si="269"/>
        <v>50.795666341856162</v>
      </c>
      <c r="FJ106" s="36">
        <f t="shared" ca="1" si="269"/>
        <v>52.094047770522899</v>
      </c>
      <c r="FK106" s="36">
        <f t="shared" ca="1" si="269"/>
        <v>53.104349685263742</v>
      </c>
      <c r="FL106" s="36">
        <f t="shared" ca="1" si="269"/>
        <v>54.478247831664788</v>
      </c>
      <c r="FM106" s="36">
        <f t="shared" ca="1" si="269"/>
        <v>54.152972971226568</v>
      </c>
      <c r="FN106" s="36">
        <f t="shared" ca="1" si="269"/>
        <v>52.93887370987423</v>
      </c>
      <c r="FO106" s="36">
        <f t="shared" ca="1" si="269"/>
        <v>53.569105495075789</v>
      </c>
      <c r="FP106" s="36">
        <f t="shared" ca="1" si="269"/>
        <v>53.249994697140735</v>
      </c>
      <c r="FQ106" s="36">
        <f t="shared" ca="1" si="269"/>
        <v>53.264965532570706</v>
      </c>
      <c r="FR106" s="36">
        <f t="shared" ca="1" si="269"/>
        <v>52.620069011000311</v>
      </c>
      <c r="FS106" s="36">
        <f t="shared" ca="1" si="269"/>
        <v>53.210412923907093</v>
      </c>
      <c r="FT106" s="36">
        <f t="shared" ca="1" si="269"/>
        <v>53.276523532456117</v>
      </c>
      <c r="FU106" s="36">
        <f t="shared" ca="1" si="269"/>
        <v>53.810256570638082</v>
      </c>
      <c r="FV106" s="36">
        <f t="shared" ca="1" si="269"/>
        <v>55.050801274411882</v>
      </c>
      <c r="FW106" s="36">
        <f t="shared" ca="1" si="269"/>
        <v>55.584403287264898</v>
      </c>
      <c r="FX106" s="36">
        <f t="shared" ca="1" si="269"/>
        <v>56.274095915745001</v>
      </c>
      <c r="FY106" s="36">
        <f t="shared" ca="1" si="269"/>
        <v>55.819248399564167</v>
      </c>
      <c r="FZ106" s="36">
        <f t="shared" ca="1" si="269"/>
        <v>55.055034381756386</v>
      </c>
      <c r="GA106" s="36">
        <f t="shared" ca="1" si="269"/>
        <v>56.67793094546267</v>
      </c>
      <c r="GB106" s="36">
        <f t="shared" ca="1" si="269"/>
        <v>56.123423721671941</v>
      </c>
      <c r="GC106" s="36">
        <f t="shared" ca="1" si="269"/>
        <v>56.304957473304107</v>
      </c>
      <c r="GD106" s="36">
        <f t="shared" ca="1" si="269"/>
        <v>56.179953583121467</v>
      </c>
      <c r="GE106" s="36">
        <f t="shared" ca="1" si="269"/>
        <v>56.242167386325214</v>
      </c>
      <c r="GF106" s="36">
        <f t="shared" ca="1" si="269"/>
        <v>56.883513327366565</v>
      </c>
      <c r="GG106" s="36">
        <f t="shared" ca="1" si="269"/>
        <v>56.647005322720297</v>
      </c>
      <c r="GH106" s="36">
        <f t="shared" ca="1" si="269"/>
        <v>55.840161988292891</v>
      </c>
      <c r="GI106" s="36">
        <f t="shared" ca="1" si="269"/>
        <v>57.098863358893794</v>
      </c>
      <c r="GJ106" s="36">
        <f t="shared" ca="1" si="269"/>
        <v>56.723386808398068</v>
      </c>
      <c r="GK106" s="36">
        <f t="shared" ca="1" si="269"/>
        <v>57.021065569351883</v>
      </c>
      <c r="GL106" s="36">
        <f t="shared" ca="1" si="269"/>
        <v>56.298406678538512</v>
      </c>
      <c r="GM106" s="36">
        <f t="shared" ca="1" si="269"/>
        <v>55.838925822326011</v>
      </c>
      <c r="GN106" s="36">
        <f t="shared" ca="1" si="269"/>
        <v>55.418856955934459</v>
      </c>
      <c r="GO106" s="36">
        <f t="shared" ca="1" si="269"/>
        <v>55.761727495652408</v>
      </c>
      <c r="GP106" s="36">
        <f t="shared" ca="1" si="269"/>
        <v>56.961333162014185</v>
      </c>
      <c r="GQ106" s="36">
        <f t="shared" ca="1" si="269"/>
        <v>57.417811171569795</v>
      </c>
      <c r="GR106" s="36">
        <f t="shared" ca="1" si="269"/>
        <v>57.056226955022147</v>
      </c>
      <c r="GS106" s="36">
        <f t="shared" ca="1" si="269"/>
        <v>57.150041936823555</v>
      </c>
      <c r="GT106" s="36">
        <f t="shared" ca="1" si="269"/>
        <v>56.513051600749257</v>
      </c>
      <c r="GU106" s="36">
        <f t="shared" ca="1" si="269"/>
        <v>57.170995512247934</v>
      </c>
      <c r="GV106" s="36">
        <f t="shared" ca="1" si="269"/>
        <v>57.075252027391862</v>
      </c>
      <c r="GW106" s="36">
        <f t="shared" ca="1" si="269"/>
        <v>56.860214932518105</v>
      </c>
      <c r="GX106" s="36">
        <f t="shared" ca="1" si="269"/>
        <v>57.164165566198307</v>
      </c>
      <c r="GY106" s="36">
        <f t="shared" ca="1" si="269"/>
        <v>57.537069198672022</v>
      </c>
      <c r="GZ106" s="36">
        <f t="shared" ca="1" si="269"/>
        <v>56.933734788510563</v>
      </c>
      <c r="HA106" s="36">
        <f t="shared" ca="1" si="269"/>
        <v>56.985228399334758</v>
      </c>
      <c r="HB106" s="36">
        <f t="shared" ca="1" si="269"/>
        <v>56.176843398818136</v>
      </c>
      <c r="HC106" s="36">
        <f t="shared" ca="1" si="269"/>
        <v>56.38005102855373</v>
      </c>
      <c r="HD106" s="36">
        <f t="shared" ca="1" si="269"/>
        <v>57.132051102766674</v>
      </c>
      <c r="HE106" s="36">
        <f t="shared" ca="1" si="269"/>
        <v>57.011099356458594</v>
      </c>
      <c r="HF106" s="36">
        <f t="shared" ca="1" si="269"/>
        <v>56.08139398053666</v>
      </c>
      <c r="HG106" s="36">
        <f t="shared" ca="1" si="269"/>
        <v>55.934345675610835</v>
      </c>
      <c r="HH106" s="36">
        <f t="shared" ca="1" si="269"/>
        <v>56.525782565096748</v>
      </c>
      <c r="HI106" s="36">
        <f t="shared" ca="1" si="269"/>
        <v>57.407568396536838</v>
      </c>
      <c r="HJ106" s="36">
        <f t="shared" ca="1" si="269"/>
        <v>56.473974677007682</v>
      </c>
      <c r="HK106" s="36">
        <f t="shared" ca="1" si="269"/>
        <v>56.618857795965745</v>
      </c>
      <c r="HL106" s="36">
        <f t="shared" ref="HL106:HT106" ca="1" si="270">HK106*EXP(($B$3-$B$4^2/2)*1+$B$4*_xlfn.NORM.S.INV(RAND()))</f>
        <v>55.872297169227252</v>
      </c>
      <c r="HM106" s="36">
        <f t="shared" ca="1" si="270"/>
        <v>55.720288944569525</v>
      </c>
      <c r="HN106" s="36">
        <f t="shared" ca="1" si="270"/>
        <v>54.548380828740548</v>
      </c>
      <c r="HO106" s="36">
        <f t="shared" ca="1" si="270"/>
        <v>55.518768732142711</v>
      </c>
      <c r="HP106" s="36">
        <f t="shared" ca="1" si="270"/>
        <v>55.109906414943502</v>
      </c>
      <c r="HQ106" s="36">
        <f t="shared" ca="1" si="270"/>
        <v>55.962885005839745</v>
      </c>
      <c r="HR106" s="36">
        <f t="shared" ca="1" si="270"/>
        <v>55.75423473043849</v>
      </c>
      <c r="HS106" s="36">
        <f t="shared" ca="1" si="270"/>
        <v>56.740584358489457</v>
      </c>
      <c r="HT106" s="36">
        <f t="shared" ca="1" si="270"/>
        <v>56.859762389437606</v>
      </c>
      <c r="HU106" s="36">
        <f t="shared" ca="1" si="247"/>
        <v>56.662679681601595</v>
      </c>
      <c r="HV106" s="36">
        <f t="shared" ca="1" si="247"/>
        <v>56.16238031916798</v>
      </c>
      <c r="HW106" s="36">
        <f t="shared" ca="1" si="247"/>
        <v>55.341641862288611</v>
      </c>
      <c r="HX106" s="36">
        <f t="shared" ca="1" si="247"/>
        <v>55.881391420194078</v>
      </c>
      <c r="HY106" s="36">
        <f t="shared" ca="1" si="248"/>
        <v>55.581265822073981</v>
      </c>
      <c r="HZ106" s="36">
        <f t="shared" ca="1" si="248"/>
        <v>55.792648586441146</v>
      </c>
      <c r="IA106" s="36">
        <f t="shared" ca="1" si="248"/>
        <v>55.203689791032765</v>
      </c>
      <c r="IB106" s="36">
        <f t="shared" ca="1" si="248"/>
        <v>55.798050226064312</v>
      </c>
      <c r="IC106" s="36">
        <f t="shared" ca="1" si="248"/>
        <v>54.666414244005288</v>
      </c>
      <c r="ID106" s="36">
        <f t="shared" ca="1" si="248"/>
        <v>54.464783440638925</v>
      </c>
      <c r="IE106" s="36">
        <f t="shared" ca="1" si="248"/>
        <v>53.866599866846904</v>
      </c>
      <c r="IF106" s="36">
        <f t="shared" ca="1" si="248"/>
        <v>53.421226295589008</v>
      </c>
      <c r="IG106" s="36">
        <f t="shared" ca="1" si="248"/>
        <v>52.904181856825495</v>
      </c>
      <c r="IH106" s="36">
        <f t="shared" ca="1" si="248"/>
        <v>52.756926112778665</v>
      </c>
      <c r="II106" s="36">
        <f t="shared" ca="1" si="248"/>
        <v>52.340539822727791</v>
      </c>
      <c r="IJ106" s="36">
        <f t="shared" ca="1" si="248"/>
        <v>52.327552381455348</v>
      </c>
      <c r="IK106" s="36">
        <f t="shared" ca="1" si="248"/>
        <v>52.1122293171656</v>
      </c>
      <c r="IL106" s="36">
        <f t="shared" ca="1" si="248"/>
        <v>52.144809970466127</v>
      </c>
      <c r="IM106" s="36">
        <f t="shared" ca="1" si="248"/>
        <v>53.466588149606309</v>
      </c>
      <c r="IN106" s="36">
        <f t="shared" ca="1" si="248"/>
        <v>54.024635815405361</v>
      </c>
      <c r="IO106" s="36">
        <f t="shared" ca="1" si="248"/>
        <v>53.906810653182916</v>
      </c>
      <c r="IP106" s="36">
        <f t="shared" ca="1" si="248"/>
        <v>53.623431741400694</v>
      </c>
      <c r="IQ106" s="36">
        <f t="shared" ca="1" si="248"/>
        <v>52.692285755237684</v>
      </c>
      <c r="IR106" s="36">
        <f t="shared" ca="1" si="248"/>
        <v>52.651285295155517</v>
      </c>
      <c r="IS106" s="36">
        <f t="shared" ca="1" si="248"/>
        <v>52.924154803895007</v>
      </c>
      <c r="IT106" s="36">
        <f t="shared" ca="1" si="248"/>
        <v>52.132870218125355</v>
      </c>
      <c r="IU106" s="36">
        <f t="shared" ca="1" si="248"/>
        <v>52.500369956212488</v>
      </c>
    </row>
    <row r="107" spans="1:255" x14ac:dyDescent="0.2">
      <c r="A107" s="36"/>
      <c r="B107">
        <v>97</v>
      </c>
      <c r="C107" s="36">
        <v>50</v>
      </c>
      <c r="D107" s="36">
        <f t="shared" ca="1" si="188"/>
        <v>51.682230984223608</v>
      </c>
      <c r="E107" s="36">
        <f t="shared" ca="1" si="188"/>
        <v>52.101844618672331</v>
      </c>
      <c r="F107" s="36">
        <f t="shared" ca="1" si="267"/>
        <v>51.993176593760396</v>
      </c>
      <c r="G107" s="36">
        <f t="shared" ca="1" si="267"/>
        <v>52.413244814007804</v>
      </c>
      <c r="H107" s="36">
        <f t="shared" ca="1" si="267"/>
        <v>51.85144633460213</v>
      </c>
      <c r="I107" s="36">
        <f t="shared" ca="1" si="267"/>
        <v>51.525576137889544</v>
      </c>
      <c r="J107" s="36">
        <f t="shared" ca="1" si="267"/>
        <v>51.1656339172727</v>
      </c>
      <c r="K107" s="36">
        <f t="shared" ca="1" si="267"/>
        <v>50.587974878830181</v>
      </c>
      <c r="L107" s="36">
        <f t="shared" ca="1" si="267"/>
        <v>51.504408569640937</v>
      </c>
      <c r="M107" s="36">
        <f t="shared" ca="1" si="267"/>
        <v>52.337097079249588</v>
      </c>
      <c r="N107" s="36">
        <f t="shared" ca="1" si="267"/>
        <v>52.44800847146162</v>
      </c>
      <c r="O107" s="36">
        <f t="shared" ca="1" si="267"/>
        <v>52.515265063750654</v>
      </c>
      <c r="P107" s="36">
        <f t="shared" ca="1" si="267"/>
        <v>53.994898184671079</v>
      </c>
      <c r="Q107" s="36">
        <f t="shared" ca="1" si="267"/>
        <v>54.170318678868064</v>
      </c>
      <c r="R107" s="36">
        <f t="shared" ca="1" si="267"/>
        <v>55.15427513390631</v>
      </c>
      <c r="S107" s="36">
        <f t="shared" ca="1" si="267"/>
        <v>55.123330644156155</v>
      </c>
      <c r="T107" s="36">
        <f t="shared" ca="1" si="267"/>
        <v>56.923140083456204</v>
      </c>
      <c r="U107" s="36">
        <f t="shared" ca="1" si="267"/>
        <v>56.70230687400003</v>
      </c>
      <c r="V107" s="36">
        <f t="shared" ca="1" si="267"/>
        <v>57.041934939129241</v>
      </c>
      <c r="W107" s="36">
        <f t="shared" ca="1" si="267"/>
        <v>56.550642877805309</v>
      </c>
      <c r="X107" s="36">
        <f t="shared" ca="1" si="267"/>
        <v>56.422981478858325</v>
      </c>
      <c r="Y107" s="36">
        <f t="shared" ca="1" si="267"/>
        <v>56.461799402708678</v>
      </c>
      <c r="Z107" s="36">
        <f t="shared" ca="1" si="267"/>
        <v>56.056275965255544</v>
      </c>
      <c r="AA107" s="36">
        <f t="shared" ca="1" si="267"/>
        <v>55.621692571502187</v>
      </c>
      <c r="AB107" s="36">
        <f t="shared" ca="1" si="267"/>
        <v>55.558835922513524</v>
      </c>
      <c r="AC107" s="36">
        <f t="shared" ca="1" si="267"/>
        <v>56.708307261952875</v>
      </c>
      <c r="AD107" s="36">
        <f t="shared" ca="1" si="267"/>
        <v>57.202854132904449</v>
      </c>
      <c r="AE107" s="36">
        <f t="shared" ca="1" si="267"/>
        <v>57.263585952041389</v>
      </c>
      <c r="AF107" s="36">
        <f t="shared" ca="1" si="267"/>
        <v>57.444033082715571</v>
      </c>
      <c r="AG107" s="36">
        <f t="shared" ca="1" si="267"/>
        <v>58.188026655228633</v>
      </c>
      <c r="AH107" s="36">
        <f t="shared" ca="1" si="267"/>
        <v>58.782304653577825</v>
      </c>
      <c r="AI107" s="36">
        <f t="shared" ca="1" si="267"/>
        <v>58.261807528554172</v>
      </c>
      <c r="AJ107" s="36">
        <f t="shared" ca="1" si="267"/>
        <v>58.38984210463768</v>
      </c>
      <c r="AK107" s="36">
        <f t="shared" ca="1" si="267"/>
        <v>58.101761533959781</v>
      </c>
      <c r="AL107" s="36">
        <f t="shared" ca="1" si="267"/>
        <v>57.51753750781544</v>
      </c>
      <c r="AM107" s="36">
        <f t="shared" ca="1" si="267"/>
        <v>57.823533679218208</v>
      </c>
      <c r="AN107" s="36">
        <f t="shared" ca="1" si="267"/>
        <v>58.926204067094375</v>
      </c>
      <c r="AO107" s="36">
        <f t="shared" ca="1" si="267"/>
        <v>58.42907748952679</v>
      </c>
      <c r="AP107" s="36">
        <f t="shared" ca="1" si="267"/>
        <v>57.356223160511405</v>
      </c>
      <c r="AQ107" s="36">
        <f t="shared" ca="1" si="267"/>
        <v>56.538592400745273</v>
      </c>
      <c r="AR107" s="36">
        <f t="shared" ca="1" si="267"/>
        <v>56.849748215972426</v>
      </c>
      <c r="AS107" s="36">
        <f t="shared" ca="1" si="267"/>
        <v>57.628029831002074</v>
      </c>
      <c r="AT107" s="36">
        <f t="shared" ca="1" si="267"/>
        <v>57.286172123280302</v>
      </c>
      <c r="AU107" s="36">
        <f t="shared" ca="1" si="267"/>
        <v>58.395647026707145</v>
      </c>
      <c r="AV107" s="36">
        <f t="shared" ca="1" si="267"/>
        <v>57.682622090619006</v>
      </c>
      <c r="AW107" s="36">
        <f t="shared" ca="1" si="267"/>
        <v>59.319726367870771</v>
      </c>
      <c r="AX107" s="36">
        <f t="shared" ca="1" si="267"/>
        <v>59.480746945084746</v>
      </c>
      <c r="AY107" s="36">
        <f t="shared" ca="1" si="267"/>
        <v>58.430202925129997</v>
      </c>
      <c r="AZ107" s="36">
        <f t="shared" ca="1" si="267"/>
        <v>58.154010927074538</v>
      </c>
      <c r="BA107" s="36">
        <f t="shared" ca="1" si="267"/>
        <v>58.786506835183033</v>
      </c>
      <c r="BB107" s="36">
        <f t="shared" ca="1" si="267"/>
        <v>58.316040165990884</v>
      </c>
      <c r="BC107" s="36">
        <f t="shared" ca="1" si="267"/>
        <v>57.114433720957294</v>
      </c>
      <c r="BD107" s="36">
        <f t="shared" ca="1" si="267"/>
        <v>57.513566059495204</v>
      </c>
      <c r="BE107" s="36">
        <f t="shared" ca="1" si="267"/>
        <v>57.006087829731996</v>
      </c>
      <c r="BF107" s="36">
        <f t="shared" ca="1" si="267"/>
        <v>55.594472177116771</v>
      </c>
      <c r="BG107" s="36">
        <f t="shared" ca="1" si="267"/>
        <v>55.277043734508297</v>
      </c>
      <c r="BH107" s="36">
        <f t="shared" ca="1" si="267"/>
        <v>55.116814604012795</v>
      </c>
      <c r="BI107" s="36">
        <f t="shared" ca="1" si="267"/>
        <v>55.366834276358645</v>
      </c>
      <c r="BJ107" s="36">
        <f t="shared" ca="1" si="267"/>
        <v>55.769303280840354</v>
      </c>
      <c r="BK107" s="36">
        <f t="shared" ca="1" si="267"/>
        <v>55.195299118844183</v>
      </c>
      <c r="BL107" s="36">
        <f t="shared" ca="1" si="267"/>
        <v>55.120052496759847</v>
      </c>
      <c r="BM107" s="36">
        <f t="shared" ca="1" si="267"/>
        <v>54.265499529799683</v>
      </c>
      <c r="BN107" s="36">
        <f t="shared" ca="1" si="267"/>
        <v>54.009373580569246</v>
      </c>
      <c r="BO107" s="36">
        <f t="shared" ca="1" si="267"/>
        <v>53.28921015817297</v>
      </c>
      <c r="BP107" s="36">
        <f t="shared" ca="1" si="267"/>
        <v>53.601817900114092</v>
      </c>
      <c r="BQ107" s="36">
        <f t="shared" ca="1" si="267"/>
        <v>52.890352597116802</v>
      </c>
      <c r="BR107" s="36">
        <f t="shared" ca="1" si="264"/>
        <v>53.669692833677914</v>
      </c>
      <c r="BS107" s="36">
        <f t="shared" ca="1" si="264"/>
        <v>52.538639470094907</v>
      </c>
      <c r="BT107" s="36">
        <f t="shared" ca="1" si="264"/>
        <v>52.301324133765952</v>
      </c>
      <c r="BU107" s="36">
        <f t="shared" ca="1" si="264"/>
        <v>52.111683957788891</v>
      </c>
      <c r="BV107" s="36">
        <f t="shared" ca="1" si="264"/>
        <v>51.528251060127474</v>
      </c>
      <c r="BW107" s="36">
        <f t="shared" ca="1" si="264"/>
        <v>52.521991953084552</v>
      </c>
      <c r="BX107" s="36">
        <f t="shared" ca="1" si="264"/>
        <v>52.440193502145597</v>
      </c>
      <c r="BY107" s="36">
        <f t="shared" ca="1" si="264"/>
        <v>52.0888613210751</v>
      </c>
      <c r="BZ107" s="36">
        <f t="shared" ca="1" si="264"/>
        <v>51.597293301206165</v>
      </c>
      <c r="CA107" s="36">
        <f t="shared" ca="1" si="264"/>
        <v>51.640649655926481</v>
      </c>
      <c r="CB107" s="36">
        <f t="shared" ca="1" si="264"/>
        <v>52.561822366764531</v>
      </c>
      <c r="CC107" s="36">
        <f t="shared" ca="1" si="264"/>
        <v>52.334480620340301</v>
      </c>
      <c r="CD107" s="36">
        <f t="shared" ca="1" si="264"/>
        <v>51.404291819736436</v>
      </c>
      <c r="CE107" s="36">
        <f t="shared" ca="1" si="264"/>
        <v>50.927652842825616</v>
      </c>
      <c r="CF107" s="36">
        <f t="shared" ca="1" si="264"/>
        <v>50.223206776167935</v>
      </c>
      <c r="CG107" s="36">
        <f t="shared" ca="1" si="264"/>
        <v>50.792916861815215</v>
      </c>
      <c r="CH107" s="36">
        <f t="shared" ca="1" si="264"/>
        <v>50.503037468082304</v>
      </c>
      <c r="CI107" s="36">
        <f t="shared" ca="1" si="264"/>
        <v>50.692300398856801</v>
      </c>
      <c r="CJ107" s="36">
        <f t="shared" ca="1" si="264"/>
        <v>50.163208238531453</v>
      </c>
      <c r="CK107" s="36">
        <f t="shared" ca="1" si="264"/>
        <v>50.650920052937572</v>
      </c>
      <c r="CL107" s="36">
        <f t="shared" ca="1" si="264"/>
        <v>51.032245221976098</v>
      </c>
      <c r="CM107" s="36">
        <f t="shared" ca="1" si="264"/>
        <v>50.883141423607022</v>
      </c>
      <c r="CN107" s="36">
        <f t="shared" ca="1" si="264"/>
        <v>50.075174876869738</v>
      </c>
      <c r="CO107" s="36">
        <f t="shared" ca="1" si="264"/>
        <v>49.84287880938534</v>
      </c>
      <c r="CP107" s="36">
        <f t="shared" ca="1" si="264"/>
        <v>50.285355359021821</v>
      </c>
      <c r="CQ107" s="36">
        <f t="shared" ca="1" si="264"/>
        <v>50.439338174612956</v>
      </c>
      <c r="CR107" s="36">
        <f t="shared" ca="1" si="264"/>
        <v>50.086270888150729</v>
      </c>
      <c r="CS107" s="36">
        <f t="shared" ca="1" si="264"/>
        <v>49.304794316091368</v>
      </c>
      <c r="CT107" s="36">
        <f t="shared" ca="1" si="264"/>
        <v>49.620744048262864</v>
      </c>
      <c r="CU107" s="36">
        <f t="shared" ca="1" si="264"/>
        <v>49.929069616343853</v>
      </c>
      <c r="CV107" s="36">
        <f t="shared" ca="1" si="264"/>
        <v>50.362472546618868</v>
      </c>
      <c r="CW107" s="36">
        <f t="shared" ca="1" si="264"/>
        <v>49.741940513270571</v>
      </c>
      <c r="CX107" s="36">
        <f t="shared" ca="1" si="264"/>
        <v>50.649598618575382</v>
      </c>
      <c r="CY107" s="36">
        <f t="shared" ca="1" si="264"/>
        <v>49.150491718702703</v>
      </c>
      <c r="CZ107" s="36">
        <f t="shared" ca="1" si="264"/>
        <v>49.386286438209744</v>
      </c>
      <c r="DA107" s="36">
        <f t="shared" ca="1" si="264"/>
        <v>48.755820468721737</v>
      </c>
      <c r="DB107" s="36">
        <f t="shared" ca="1" si="264"/>
        <v>47.739723319602483</v>
      </c>
      <c r="DC107" s="36">
        <f t="shared" ca="1" si="264"/>
        <v>48.162049836222636</v>
      </c>
      <c r="DD107" s="36">
        <f t="shared" ca="1" si="264"/>
        <v>49.378133472368901</v>
      </c>
      <c r="DE107" s="36">
        <f t="shared" ca="1" si="264"/>
        <v>48.949980475484274</v>
      </c>
      <c r="DF107" s="36">
        <f t="shared" ca="1" si="264"/>
        <v>48.196892166805753</v>
      </c>
      <c r="DG107" s="36">
        <f t="shared" ca="1" si="264"/>
        <v>48.136585341304468</v>
      </c>
      <c r="DH107" s="36">
        <f t="shared" ca="1" si="264"/>
        <v>48.870022592406876</v>
      </c>
      <c r="DI107" s="36">
        <f t="shared" ca="1" si="264"/>
        <v>48.868148049966926</v>
      </c>
      <c r="DJ107" s="36">
        <f t="shared" ca="1" si="264"/>
        <v>48.542969982157842</v>
      </c>
      <c r="DK107" s="36">
        <f t="shared" ca="1" si="264"/>
        <v>48.310285300240899</v>
      </c>
      <c r="DL107" s="36">
        <f t="shared" ca="1" si="264"/>
        <v>48.508506750898874</v>
      </c>
      <c r="DM107" s="36">
        <f t="shared" ca="1" si="264"/>
        <v>48.405727269880941</v>
      </c>
      <c r="DN107" s="36">
        <f t="shared" ca="1" si="264"/>
        <v>48.307152694856278</v>
      </c>
      <c r="DO107" s="36">
        <f t="shared" ca="1" si="264"/>
        <v>48.370502868480308</v>
      </c>
      <c r="DP107" s="36">
        <f t="shared" ca="1" si="264"/>
        <v>48.819438876899021</v>
      </c>
      <c r="DQ107" s="36">
        <f t="shared" ca="1" si="264"/>
        <v>48.874666368343348</v>
      </c>
      <c r="DR107" s="36">
        <f t="shared" ca="1" si="264"/>
        <v>49.129043201782807</v>
      </c>
      <c r="DS107" s="36">
        <f t="shared" ca="1" si="264"/>
        <v>50.213565410700539</v>
      </c>
      <c r="DT107" s="36">
        <f t="shared" ca="1" si="264"/>
        <v>49.096713644851462</v>
      </c>
      <c r="DU107" s="36">
        <f t="shared" ca="1" si="264"/>
        <v>48.568076113155712</v>
      </c>
      <c r="DV107" s="36">
        <f t="shared" ca="1" si="264"/>
        <v>48.771848743702428</v>
      </c>
      <c r="DW107" s="36">
        <f t="shared" ca="1" si="264"/>
        <v>48.818723722955127</v>
      </c>
      <c r="DX107" s="36">
        <f t="shared" ca="1" si="264"/>
        <v>49.111322369996763</v>
      </c>
      <c r="DY107" s="36">
        <f t="shared" ca="1" si="264"/>
        <v>48.766620023196737</v>
      </c>
      <c r="DZ107" s="36">
        <f t="shared" ca="1" si="264"/>
        <v>48.197827375566177</v>
      </c>
      <c r="EA107" s="36">
        <f t="shared" ca="1" si="264"/>
        <v>48.971904755950916</v>
      </c>
      <c r="EB107" s="36">
        <f t="shared" ca="1" si="264"/>
        <v>49.10785861248462</v>
      </c>
      <c r="EC107" s="36">
        <f t="shared" ref="EC107:EV110" ca="1" si="271">EB107*EXP(($B$3-$B$4^2/2)*1+$B$4*_xlfn.NORM.S.INV(RAND()))</f>
        <v>49.362251357849786</v>
      </c>
      <c r="ED107" s="36">
        <f t="shared" ca="1" si="271"/>
        <v>48.509000028812913</v>
      </c>
      <c r="EE107" s="36">
        <f t="shared" ca="1" si="271"/>
        <v>48.326549944819668</v>
      </c>
      <c r="EF107" s="36">
        <f t="shared" ca="1" si="271"/>
        <v>47.541656672348537</v>
      </c>
      <c r="EG107" s="36">
        <f t="shared" ca="1" si="271"/>
        <v>47.55031080876882</v>
      </c>
      <c r="EH107" s="36">
        <f t="shared" ca="1" si="271"/>
        <v>47.168631607844056</v>
      </c>
      <c r="EI107" s="36">
        <f t="shared" ca="1" si="271"/>
        <v>47.267304821587956</v>
      </c>
      <c r="EJ107" s="36">
        <f t="shared" ca="1" si="271"/>
        <v>46.867718161565179</v>
      </c>
      <c r="EK107" s="36">
        <f t="shared" ca="1" si="271"/>
        <v>47.168292942336286</v>
      </c>
      <c r="EL107" s="36">
        <f t="shared" ca="1" si="271"/>
        <v>46.581358030804395</v>
      </c>
      <c r="EM107" s="36">
        <f t="shared" ca="1" si="271"/>
        <v>46.567207467407037</v>
      </c>
      <c r="EN107" s="36">
        <f t="shared" ca="1" si="271"/>
        <v>47.187406972551166</v>
      </c>
      <c r="EO107" s="36">
        <f t="shared" ca="1" si="271"/>
        <v>46.830581463531153</v>
      </c>
      <c r="EP107" s="36">
        <f t="shared" ca="1" si="271"/>
        <v>47.854232449531985</v>
      </c>
      <c r="EQ107" s="36">
        <f t="shared" ca="1" si="271"/>
        <v>48.6995737140548</v>
      </c>
      <c r="ER107" s="36">
        <f t="shared" ca="1" si="271"/>
        <v>48.212789378195701</v>
      </c>
      <c r="ES107" s="36">
        <f t="shared" ca="1" si="271"/>
        <v>48.217188703803259</v>
      </c>
      <c r="ET107" s="36">
        <f t="shared" ca="1" si="271"/>
        <v>47.872242029319771</v>
      </c>
      <c r="EU107" s="36">
        <f t="shared" ca="1" si="271"/>
        <v>47.520227303128451</v>
      </c>
      <c r="EV107" s="36">
        <f t="shared" ca="1" si="271"/>
        <v>47.508951507890792</v>
      </c>
      <c r="EW107" s="36">
        <f t="shared" ref="EW107:HH109" ca="1" si="272">EV107*EXP(($B$3-$B$4^2/2)*1+$B$4*_xlfn.NORM.S.INV(RAND()))</f>
        <v>47.394587706944627</v>
      </c>
      <c r="EX107" s="36">
        <f t="shared" ca="1" si="272"/>
        <v>47.99173126020488</v>
      </c>
      <c r="EY107" s="36">
        <f t="shared" ca="1" si="272"/>
        <v>47.901939554996673</v>
      </c>
      <c r="EZ107" s="36">
        <f t="shared" ca="1" si="272"/>
        <v>48.617386469919445</v>
      </c>
      <c r="FA107" s="36">
        <f t="shared" ca="1" si="272"/>
        <v>49.557465311450713</v>
      </c>
      <c r="FB107" s="36">
        <f t="shared" ca="1" si="272"/>
        <v>50.151169904782044</v>
      </c>
      <c r="FC107" s="36">
        <f t="shared" ca="1" si="272"/>
        <v>49.586525492515463</v>
      </c>
      <c r="FD107" s="36">
        <f t="shared" ca="1" si="272"/>
        <v>50.165870243229541</v>
      </c>
      <c r="FE107" s="36">
        <f t="shared" ca="1" si="272"/>
        <v>50.679524103641846</v>
      </c>
      <c r="FF107" s="36">
        <f t="shared" ca="1" si="272"/>
        <v>50.903585619695725</v>
      </c>
      <c r="FG107" s="36">
        <f t="shared" ca="1" si="272"/>
        <v>51.084476757828519</v>
      </c>
      <c r="FH107" s="36">
        <f t="shared" ca="1" si="272"/>
        <v>51.058749280913986</v>
      </c>
      <c r="FI107" s="36">
        <f t="shared" ca="1" si="272"/>
        <v>51.100532251239258</v>
      </c>
      <c r="FJ107" s="36">
        <f t="shared" ca="1" si="272"/>
        <v>52.057375495572821</v>
      </c>
      <c r="FK107" s="36">
        <f t="shared" ca="1" si="272"/>
        <v>51.549907323950535</v>
      </c>
      <c r="FL107" s="36">
        <f t="shared" ca="1" si="272"/>
        <v>50.277204445350328</v>
      </c>
      <c r="FM107" s="36">
        <f t="shared" ca="1" si="272"/>
        <v>50.08715186140553</v>
      </c>
      <c r="FN107" s="36">
        <f t="shared" ca="1" si="272"/>
        <v>51.019885935212059</v>
      </c>
      <c r="FO107" s="36">
        <f t="shared" ca="1" si="272"/>
        <v>51.474668921356717</v>
      </c>
      <c r="FP107" s="36">
        <f t="shared" ca="1" si="272"/>
        <v>52.626025297737684</v>
      </c>
      <c r="FQ107" s="36">
        <f t="shared" ca="1" si="272"/>
        <v>53.493104464567985</v>
      </c>
      <c r="FR107" s="36">
        <f t="shared" ca="1" si="272"/>
        <v>53.553997608188808</v>
      </c>
      <c r="FS107" s="36">
        <f t="shared" ca="1" si="272"/>
        <v>53.700524817067851</v>
      </c>
      <c r="FT107" s="36">
        <f t="shared" ca="1" si="272"/>
        <v>54.256974241161402</v>
      </c>
      <c r="FU107" s="36">
        <f t="shared" ca="1" si="272"/>
        <v>53.113987562394456</v>
      </c>
      <c r="FV107" s="36">
        <f t="shared" ca="1" si="272"/>
        <v>53.881313450364956</v>
      </c>
      <c r="FW107" s="36">
        <f t="shared" ca="1" si="272"/>
        <v>53.670341217204061</v>
      </c>
      <c r="FX107" s="36">
        <f t="shared" ca="1" si="272"/>
        <v>53.522374690275392</v>
      </c>
      <c r="FY107" s="36">
        <f t="shared" ca="1" si="272"/>
        <v>54.447697313534377</v>
      </c>
      <c r="FZ107" s="36">
        <f t="shared" ca="1" si="272"/>
        <v>54.064918740557353</v>
      </c>
      <c r="GA107" s="36">
        <f t="shared" ca="1" si="272"/>
        <v>51.981238163440487</v>
      </c>
      <c r="GB107" s="36">
        <f t="shared" ca="1" si="272"/>
        <v>51.244432684233423</v>
      </c>
      <c r="GC107" s="36">
        <f t="shared" ca="1" si="272"/>
        <v>51.313769906920001</v>
      </c>
      <c r="GD107" s="36">
        <f t="shared" ca="1" si="272"/>
        <v>51.033091810089708</v>
      </c>
      <c r="GE107" s="36">
        <f t="shared" ca="1" si="272"/>
        <v>51.383011751862519</v>
      </c>
      <c r="GF107" s="36">
        <f t="shared" ca="1" si="272"/>
        <v>50.915420155995292</v>
      </c>
      <c r="GG107" s="36">
        <f t="shared" ca="1" si="272"/>
        <v>50.175391287785821</v>
      </c>
      <c r="GH107" s="36">
        <f t="shared" ca="1" si="272"/>
        <v>49.781435865270055</v>
      </c>
      <c r="GI107" s="36">
        <f t="shared" ca="1" si="272"/>
        <v>50.183844971847229</v>
      </c>
      <c r="GJ107" s="36">
        <f t="shared" ca="1" si="272"/>
        <v>50.782449351375085</v>
      </c>
      <c r="GK107" s="36">
        <f t="shared" ca="1" si="272"/>
        <v>50.453079308495603</v>
      </c>
      <c r="GL107" s="36">
        <f t="shared" ca="1" si="272"/>
        <v>50.63272665001616</v>
      </c>
      <c r="GM107" s="36">
        <f t="shared" ca="1" si="272"/>
        <v>50.428969538025228</v>
      </c>
      <c r="GN107" s="36">
        <f t="shared" ca="1" si="272"/>
        <v>49.715028611475134</v>
      </c>
      <c r="GO107" s="36">
        <f t="shared" ca="1" si="272"/>
        <v>47.8044811378183</v>
      </c>
      <c r="GP107" s="36">
        <f t="shared" ca="1" si="272"/>
        <v>47.994834949777676</v>
      </c>
      <c r="GQ107" s="36">
        <f t="shared" ca="1" si="272"/>
        <v>47.647886776875296</v>
      </c>
      <c r="GR107" s="36">
        <f t="shared" ca="1" si="272"/>
        <v>49.142574854920618</v>
      </c>
      <c r="GS107" s="36">
        <f t="shared" ca="1" si="272"/>
        <v>48.696775614738101</v>
      </c>
      <c r="GT107" s="36">
        <f t="shared" ca="1" si="272"/>
        <v>48.679051890150788</v>
      </c>
      <c r="GU107" s="36">
        <f t="shared" ca="1" si="272"/>
        <v>48.374313784365135</v>
      </c>
      <c r="GV107" s="36">
        <f t="shared" ca="1" si="272"/>
        <v>47.101554880269042</v>
      </c>
      <c r="GW107" s="36">
        <f t="shared" ca="1" si="272"/>
        <v>47.67654579788114</v>
      </c>
      <c r="GX107" s="36">
        <f t="shared" ca="1" si="272"/>
        <v>48.124428945756229</v>
      </c>
      <c r="GY107" s="36">
        <f t="shared" ca="1" si="272"/>
        <v>48.093152731554881</v>
      </c>
      <c r="GZ107" s="36">
        <f t="shared" ca="1" si="272"/>
        <v>48.300142288531859</v>
      </c>
      <c r="HA107" s="36">
        <f t="shared" ca="1" si="272"/>
        <v>48.999048960595481</v>
      </c>
      <c r="HB107" s="36">
        <f t="shared" ca="1" si="272"/>
        <v>47.692255459305692</v>
      </c>
      <c r="HC107" s="36">
        <f t="shared" ca="1" si="272"/>
        <v>46.565697751851829</v>
      </c>
      <c r="HD107" s="36">
        <f t="shared" ca="1" si="272"/>
        <v>47.302034196162531</v>
      </c>
      <c r="HE107" s="36">
        <f t="shared" ca="1" si="272"/>
        <v>47.629900199035035</v>
      </c>
      <c r="HF107" s="36">
        <f t="shared" ca="1" si="272"/>
        <v>47.926321701778569</v>
      </c>
      <c r="HG107" s="36">
        <f t="shared" ca="1" si="272"/>
        <v>47.265260839444629</v>
      </c>
      <c r="HH107" s="36">
        <f t="shared" ca="1" si="272"/>
        <v>47.595754982504758</v>
      </c>
      <c r="HI107" s="36">
        <f t="shared" ca="1" si="269"/>
        <v>47.753306526346918</v>
      </c>
      <c r="HJ107" s="36">
        <f t="shared" ca="1" si="269"/>
        <v>47.283479700249693</v>
      </c>
      <c r="HK107" s="36">
        <f t="shared" ca="1" si="269"/>
        <v>47.007184259339979</v>
      </c>
      <c r="HL107" s="36">
        <f t="shared" ref="HL107:HT107" ca="1" si="273">HK107*EXP(($B$3-$B$4^2/2)*1+$B$4*_xlfn.NORM.S.INV(RAND()))</f>
        <v>46.049499925463117</v>
      </c>
      <c r="HM107" s="36">
        <f t="shared" ca="1" si="273"/>
        <v>45.742437535414652</v>
      </c>
      <c r="HN107" s="36">
        <f t="shared" ca="1" si="273"/>
        <v>45.776327256307056</v>
      </c>
      <c r="HO107" s="36">
        <f t="shared" ca="1" si="273"/>
        <v>45.500988174113395</v>
      </c>
      <c r="HP107" s="36">
        <f t="shared" ca="1" si="273"/>
        <v>44.846129661755938</v>
      </c>
      <c r="HQ107" s="36">
        <f t="shared" ca="1" si="273"/>
        <v>44.467595676005992</v>
      </c>
      <c r="HR107" s="36">
        <f t="shared" ca="1" si="273"/>
        <v>43.458301980606393</v>
      </c>
      <c r="HS107" s="36">
        <f t="shared" ca="1" si="273"/>
        <v>43.651956407858499</v>
      </c>
      <c r="HT107" s="36">
        <f t="shared" ca="1" si="273"/>
        <v>43.818717450728862</v>
      </c>
      <c r="HU107" s="36">
        <f t="shared" ca="1" si="247"/>
        <v>44.302041265890985</v>
      </c>
      <c r="HV107" s="36">
        <f t="shared" ca="1" si="247"/>
        <v>42.979204956170364</v>
      </c>
      <c r="HW107" s="36">
        <f t="shared" ca="1" si="247"/>
        <v>42.663513791196003</v>
      </c>
      <c r="HX107" s="36">
        <f t="shared" ca="1" si="247"/>
        <v>42.979060060672957</v>
      </c>
      <c r="HY107" s="36">
        <f t="shared" ca="1" si="248"/>
        <v>42.027878427846403</v>
      </c>
      <c r="HZ107" s="36">
        <f t="shared" ca="1" si="248"/>
        <v>42.069574461890092</v>
      </c>
      <c r="IA107" s="36">
        <f t="shared" ca="1" si="248"/>
        <v>42.290823085872091</v>
      </c>
      <c r="IB107" s="36">
        <f t="shared" ca="1" si="248"/>
        <v>41.864887763778462</v>
      </c>
      <c r="IC107" s="36">
        <f t="shared" ca="1" si="248"/>
        <v>42.485727292856595</v>
      </c>
      <c r="ID107" s="36">
        <f t="shared" ca="1" si="248"/>
        <v>42.737218289202154</v>
      </c>
      <c r="IE107" s="36">
        <f t="shared" ca="1" si="248"/>
        <v>42.543120717342163</v>
      </c>
      <c r="IF107" s="36">
        <f t="shared" ca="1" si="248"/>
        <v>42.194634352560762</v>
      </c>
      <c r="IG107" s="36">
        <f t="shared" ca="1" si="248"/>
        <v>41.942358519862921</v>
      </c>
      <c r="IH107" s="36">
        <f t="shared" ca="1" si="248"/>
        <v>41.649023677115103</v>
      </c>
      <c r="II107" s="36">
        <f t="shared" ca="1" si="248"/>
        <v>41.660164547135132</v>
      </c>
      <c r="IJ107" s="36">
        <f t="shared" ca="1" si="248"/>
        <v>41.525373040609693</v>
      </c>
      <c r="IK107" s="36">
        <f t="shared" ca="1" si="248"/>
        <v>42.002017413966634</v>
      </c>
      <c r="IL107" s="36">
        <f t="shared" ca="1" si="248"/>
        <v>41.16507482846616</v>
      </c>
      <c r="IM107" s="36">
        <f t="shared" ca="1" si="248"/>
        <v>40.940104174120783</v>
      </c>
      <c r="IN107" s="36">
        <f t="shared" ca="1" si="248"/>
        <v>40.992902475654475</v>
      </c>
      <c r="IO107" s="36">
        <f t="shared" ca="1" si="248"/>
        <v>41.152658026486293</v>
      </c>
      <c r="IP107" s="36">
        <f t="shared" ca="1" si="248"/>
        <v>40.643585586729507</v>
      </c>
      <c r="IQ107" s="36">
        <f t="shared" ca="1" si="248"/>
        <v>40.96543537348078</v>
      </c>
      <c r="IR107" s="36">
        <f t="shared" ca="1" si="248"/>
        <v>40.953583858057577</v>
      </c>
      <c r="IS107" s="36">
        <f t="shared" ca="1" si="248"/>
        <v>40.385930497711776</v>
      </c>
      <c r="IT107" s="36">
        <f t="shared" ca="1" si="248"/>
        <v>40.056788738803498</v>
      </c>
      <c r="IU107" s="36">
        <f t="shared" ca="1" si="248"/>
        <v>39.473051897842375</v>
      </c>
    </row>
    <row r="108" spans="1:255" x14ac:dyDescent="0.2">
      <c r="A108" s="36"/>
      <c r="B108">
        <v>98</v>
      </c>
      <c r="C108" s="36">
        <v>50</v>
      </c>
      <c r="D108" s="36">
        <f t="shared" ca="1" si="188"/>
        <v>50.00503188801644</v>
      </c>
      <c r="E108" s="36">
        <f t="shared" ca="1" si="188"/>
        <v>49.53700039824367</v>
      </c>
      <c r="F108" s="36">
        <f t="shared" ca="1" si="267"/>
        <v>50.543867534851046</v>
      </c>
      <c r="G108" s="36">
        <f t="shared" ca="1" si="267"/>
        <v>50.043810198798056</v>
      </c>
      <c r="H108" s="36">
        <f t="shared" ca="1" si="267"/>
        <v>48.54163979907667</v>
      </c>
      <c r="I108" s="36">
        <f t="shared" ca="1" si="267"/>
        <v>48.963441827790774</v>
      </c>
      <c r="J108" s="36">
        <f t="shared" ca="1" si="267"/>
        <v>49.172192981154531</v>
      </c>
      <c r="K108" s="36">
        <f t="shared" ca="1" si="267"/>
        <v>49.940461286861705</v>
      </c>
      <c r="L108" s="36">
        <f t="shared" ca="1" si="267"/>
        <v>51.3488846955171</v>
      </c>
      <c r="M108" s="36">
        <f t="shared" ca="1" si="267"/>
        <v>51.120260606042535</v>
      </c>
      <c r="N108" s="36">
        <f t="shared" ca="1" si="267"/>
        <v>51.127972058528925</v>
      </c>
      <c r="O108" s="36">
        <f t="shared" ca="1" si="267"/>
        <v>51.098476971972325</v>
      </c>
      <c r="P108" s="36">
        <f t="shared" ca="1" si="267"/>
        <v>51.48656952147882</v>
      </c>
      <c r="Q108" s="36">
        <f t="shared" ca="1" si="267"/>
        <v>52.212820439021584</v>
      </c>
      <c r="R108" s="36">
        <f t="shared" ca="1" si="267"/>
        <v>53.266359522449974</v>
      </c>
      <c r="S108" s="36">
        <f t="shared" ca="1" si="267"/>
        <v>53.629730300755902</v>
      </c>
      <c r="T108" s="36">
        <f t="shared" ca="1" si="267"/>
        <v>52.869490338433579</v>
      </c>
      <c r="U108" s="36">
        <f t="shared" ca="1" si="267"/>
        <v>53.099301693969643</v>
      </c>
      <c r="V108" s="36">
        <f t="shared" ca="1" si="267"/>
        <v>53.385792874228223</v>
      </c>
      <c r="W108" s="36">
        <f t="shared" ca="1" si="267"/>
        <v>52.773088328722338</v>
      </c>
      <c r="X108" s="36">
        <f t="shared" ca="1" si="267"/>
        <v>52.767526288509437</v>
      </c>
      <c r="Y108" s="36">
        <f t="shared" ca="1" si="267"/>
        <v>52.245407262478096</v>
      </c>
      <c r="Z108" s="36">
        <f t="shared" ca="1" si="267"/>
        <v>51.39982807962528</v>
      </c>
      <c r="AA108" s="36">
        <f t="shared" ca="1" si="267"/>
        <v>51.816915924215095</v>
      </c>
      <c r="AB108" s="36">
        <f t="shared" ca="1" si="267"/>
        <v>50.751171428403254</v>
      </c>
      <c r="AC108" s="36">
        <f t="shared" ca="1" si="267"/>
        <v>51.456389874461934</v>
      </c>
      <c r="AD108" s="36">
        <f t="shared" ca="1" si="267"/>
        <v>52.63952915302665</v>
      </c>
      <c r="AE108" s="36">
        <f t="shared" ca="1" si="267"/>
        <v>52.031030158598753</v>
      </c>
      <c r="AF108" s="36">
        <f t="shared" ca="1" si="267"/>
        <v>51.118491200505559</v>
      </c>
      <c r="AG108" s="36">
        <f t="shared" ca="1" si="267"/>
        <v>51.935092151284408</v>
      </c>
      <c r="AH108" s="36">
        <f t="shared" ca="1" si="267"/>
        <v>51.410325705699556</v>
      </c>
      <c r="AI108" s="36">
        <f t="shared" ca="1" si="267"/>
        <v>51.717181178916938</v>
      </c>
      <c r="AJ108" s="36">
        <f t="shared" ca="1" si="267"/>
        <v>51.433971453625766</v>
      </c>
      <c r="AK108" s="36">
        <f t="shared" ca="1" si="267"/>
        <v>53.57260443864471</v>
      </c>
      <c r="AL108" s="36">
        <f t="shared" ca="1" si="267"/>
        <v>53.80564132613366</v>
      </c>
      <c r="AM108" s="36">
        <f t="shared" ca="1" si="267"/>
        <v>53.040039535573626</v>
      </c>
      <c r="AN108" s="36">
        <f t="shared" ca="1" si="267"/>
        <v>53.266241393134628</v>
      </c>
      <c r="AO108" s="36">
        <f t="shared" ca="1" si="267"/>
        <v>52.793971618575263</v>
      </c>
      <c r="AP108" s="36">
        <f t="shared" ca="1" si="267"/>
        <v>53.460905366315259</v>
      </c>
      <c r="AQ108" s="36">
        <f t="shared" ca="1" si="267"/>
        <v>53.656892027559373</v>
      </c>
      <c r="AR108" s="36">
        <f t="shared" ca="1" si="267"/>
        <v>54.347902007798773</v>
      </c>
      <c r="AS108" s="36">
        <f t="shared" ca="1" si="267"/>
        <v>54.92374291246729</v>
      </c>
      <c r="AT108" s="36">
        <f t="shared" ca="1" si="267"/>
        <v>54.639165558556634</v>
      </c>
      <c r="AU108" s="36">
        <f t="shared" ca="1" si="267"/>
        <v>55.32887613706712</v>
      </c>
      <c r="AV108" s="36">
        <f t="shared" ca="1" si="267"/>
        <v>56.103072586607006</v>
      </c>
      <c r="AW108" s="36">
        <f t="shared" ca="1" si="267"/>
        <v>55.577143523518899</v>
      </c>
      <c r="AX108" s="36">
        <f t="shared" ca="1" si="267"/>
        <v>54.573437206049427</v>
      </c>
      <c r="AY108" s="36">
        <f t="shared" ca="1" si="267"/>
        <v>54.356441874173015</v>
      </c>
      <c r="AZ108" s="36">
        <f t="shared" ca="1" si="267"/>
        <v>53.812568663936105</v>
      </c>
      <c r="BA108" s="36">
        <f t="shared" ca="1" si="267"/>
        <v>53.549788714816756</v>
      </c>
      <c r="BB108" s="36">
        <f t="shared" ca="1" si="267"/>
        <v>52.524172508291521</v>
      </c>
      <c r="BC108" s="36">
        <f t="shared" ca="1" si="267"/>
        <v>52.27889853911843</v>
      </c>
      <c r="BD108" s="36">
        <f t="shared" ca="1" si="267"/>
        <v>53.721940151213957</v>
      </c>
      <c r="BE108" s="36">
        <f t="shared" ca="1" si="267"/>
        <v>53.188470611231885</v>
      </c>
      <c r="BF108" s="36">
        <f t="shared" ca="1" si="267"/>
        <v>53.529449855742719</v>
      </c>
      <c r="BG108" s="36">
        <f t="shared" ca="1" si="267"/>
        <v>55.778278824725646</v>
      </c>
      <c r="BH108" s="36">
        <f t="shared" ca="1" si="267"/>
        <v>55.074144795327427</v>
      </c>
      <c r="BI108" s="36">
        <f t="shared" ca="1" si="267"/>
        <v>55.263638607000097</v>
      </c>
      <c r="BJ108" s="36">
        <f t="shared" ca="1" si="267"/>
        <v>55.290776234621482</v>
      </c>
      <c r="BK108" s="36">
        <f t="shared" ca="1" si="267"/>
        <v>55.759777203719203</v>
      </c>
      <c r="BL108" s="36">
        <f t="shared" ca="1" si="267"/>
        <v>55.823303920725671</v>
      </c>
      <c r="BM108" s="36">
        <f t="shared" ca="1" si="267"/>
        <v>55.146607969585318</v>
      </c>
      <c r="BN108" s="36">
        <f t="shared" ca="1" si="267"/>
        <v>55.04913061649097</v>
      </c>
      <c r="BO108" s="36">
        <f t="shared" ca="1" si="267"/>
        <v>54.580120662142093</v>
      </c>
      <c r="BP108" s="36">
        <f t="shared" ca="1" si="267"/>
        <v>55.519669360339563</v>
      </c>
      <c r="BQ108" s="36">
        <f t="shared" ca="1" si="267"/>
        <v>55.784245162979104</v>
      </c>
      <c r="BR108" s="36">
        <f t="shared" ca="1" si="264"/>
        <v>54.707069461594891</v>
      </c>
      <c r="BS108" s="36">
        <f t="shared" ca="1" si="264"/>
        <v>53.304403633806075</v>
      </c>
      <c r="BT108" s="36">
        <f t="shared" ca="1" si="264"/>
        <v>52.494028398879053</v>
      </c>
      <c r="BU108" s="36">
        <f t="shared" ca="1" si="264"/>
        <v>54.276043791723403</v>
      </c>
      <c r="BV108" s="36">
        <f t="shared" ca="1" si="264"/>
        <v>54.80841260673737</v>
      </c>
      <c r="BW108" s="36">
        <f t="shared" ca="1" si="264"/>
        <v>55.20926366383258</v>
      </c>
      <c r="BX108" s="36">
        <f t="shared" ca="1" si="264"/>
        <v>54.611839377910179</v>
      </c>
      <c r="BY108" s="36">
        <f t="shared" ca="1" si="264"/>
        <v>54.457130370592274</v>
      </c>
      <c r="BZ108" s="36">
        <f t="shared" ca="1" si="264"/>
        <v>54.646304706232065</v>
      </c>
      <c r="CA108" s="36">
        <f t="shared" ca="1" si="264"/>
        <v>54.822352899509397</v>
      </c>
      <c r="CB108" s="36">
        <f t="shared" ca="1" si="264"/>
        <v>54.917728119133628</v>
      </c>
      <c r="CC108" s="36">
        <f t="shared" ca="1" si="264"/>
        <v>54.470211675697819</v>
      </c>
      <c r="CD108" s="36">
        <f t="shared" ca="1" si="264"/>
        <v>54.68544990217476</v>
      </c>
      <c r="CE108" s="36">
        <f t="shared" ca="1" si="264"/>
        <v>55.144450754429279</v>
      </c>
      <c r="CF108" s="36">
        <f t="shared" ca="1" si="264"/>
        <v>54.353858610637992</v>
      </c>
      <c r="CG108" s="36">
        <f t="shared" ca="1" si="264"/>
        <v>54.336522795721045</v>
      </c>
      <c r="CH108" s="36">
        <f t="shared" ca="1" si="264"/>
        <v>53.094052936297921</v>
      </c>
      <c r="CI108" s="36">
        <f t="shared" ca="1" si="264"/>
        <v>53.182264298654147</v>
      </c>
      <c r="CJ108" s="36">
        <f t="shared" ca="1" si="264"/>
        <v>53.526393708881422</v>
      </c>
      <c r="CK108" s="36">
        <f t="shared" ca="1" si="264"/>
        <v>53.443154973756521</v>
      </c>
      <c r="CL108" s="36">
        <f t="shared" ca="1" si="264"/>
        <v>51.768307679694622</v>
      </c>
      <c r="CM108" s="36">
        <f t="shared" ca="1" si="264"/>
        <v>51.426213384626038</v>
      </c>
      <c r="CN108" s="36">
        <f t="shared" ca="1" si="264"/>
        <v>52.362498079986651</v>
      </c>
      <c r="CO108" s="36">
        <f t="shared" ca="1" si="264"/>
        <v>51.897058081373672</v>
      </c>
      <c r="CP108" s="36">
        <f t="shared" ca="1" si="264"/>
        <v>51.998491079091934</v>
      </c>
      <c r="CQ108" s="36">
        <f t="shared" ca="1" si="264"/>
        <v>52.574480634132051</v>
      </c>
      <c r="CR108" s="36">
        <f t="shared" ca="1" si="264"/>
        <v>53.220707625162795</v>
      </c>
      <c r="CS108" s="36">
        <f t="shared" ca="1" si="264"/>
        <v>53.079442794693641</v>
      </c>
      <c r="CT108" s="36">
        <f t="shared" ca="1" si="264"/>
        <v>53.613346042675708</v>
      </c>
      <c r="CU108" s="36">
        <f t="shared" ca="1" si="264"/>
        <v>53.151146172972553</v>
      </c>
      <c r="CV108" s="36">
        <f t="shared" ca="1" si="264"/>
        <v>52.88705924585593</v>
      </c>
      <c r="CW108" s="36">
        <f t="shared" ca="1" si="264"/>
        <v>52.620442420466091</v>
      </c>
      <c r="CX108" s="36">
        <f t="shared" ca="1" si="264"/>
        <v>52.977287972980399</v>
      </c>
      <c r="CY108" s="36">
        <f t="shared" ca="1" si="264"/>
        <v>52.515894559725609</v>
      </c>
      <c r="CZ108" s="36">
        <f t="shared" ca="1" si="264"/>
        <v>52.002390310575713</v>
      </c>
      <c r="DA108" s="36">
        <f t="shared" ca="1" si="264"/>
        <v>52.642474172086864</v>
      </c>
      <c r="DB108" s="36">
        <f t="shared" ca="1" si="264"/>
        <v>52.986940175611672</v>
      </c>
      <c r="DC108" s="36">
        <f t="shared" ca="1" si="264"/>
        <v>51.487547099840725</v>
      </c>
      <c r="DD108" s="36">
        <f t="shared" ca="1" si="264"/>
        <v>51.548846085975335</v>
      </c>
      <c r="DE108" s="36">
        <f t="shared" ca="1" si="264"/>
        <v>51.394653890803745</v>
      </c>
      <c r="DF108" s="36">
        <f t="shared" ca="1" si="264"/>
        <v>52.307119538945066</v>
      </c>
      <c r="DG108" s="36">
        <f t="shared" ca="1" si="264"/>
        <v>52.567643350698141</v>
      </c>
      <c r="DH108" s="36">
        <f t="shared" ca="1" si="264"/>
        <v>52.342952161438987</v>
      </c>
      <c r="DI108" s="36">
        <f t="shared" ca="1" si="264"/>
        <v>53.252869955392356</v>
      </c>
      <c r="DJ108" s="36">
        <f t="shared" ca="1" si="264"/>
        <v>52.873001375812294</v>
      </c>
      <c r="DK108" s="36">
        <f t="shared" ca="1" si="264"/>
        <v>53.465023515256995</v>
      </c>
      <c r="DL108" s="36">
        <f t="shared" ca="1" si="264"/>
        <v>52.660935164477372</v>
      </c>
      <c r="DM108" s="36">
        <f t="shared" ca="1" si="264"/>
        <v>52.568794156381657</v>
      </c>
      <c r="DN108" s="36">
        <f t="shared" ca="1" si="264"/>
        <v>54.697932516065833</v>
      </c>
      <c r="DO108" s="36">
        <f t="shared" ca="1" si="264"/>
        <v>54.35427799459255</v>
      </c>
      <c r="DP108" s="36">
        <f t="shared" ca="1" si="264"/>
        <v>53.197668518639915</v>
      </c>
      <c r="DQ108" s="36">
        <f t="shared" ca="1" si="264"/>
        <v>53.697904690176777</v>
      </c>
      <c r="DR108" s="36">
        <f t="shared" ca="1" si="264"/>
        <v>54.607534486492227</v>
      </c>
      <c r="DS108" s="36">
        <f t="shared" ca="1" si="264"/>
        <v>54.151059014747815</v>
      </c>
      <c r="DT108" s="36">
        <f t="shared" ca="1" si="264"/>
        <v>54.940509016628937</v>
      </c>
      <c r="DU108" s="36">
        <f t="shared" ca="1" si="264"/>
        <v>54.072860167570411</v>
      </c>
      <c r="DV108" s="36">
        <f t="shared" ca="1" si="264"/>
        <v>53.081950803384125</v>
      </c>
      <c r="DW108" s="36">
        <f t="shared" ca="1" si="264"/>
        <v>53.46134887836881</v>
      </c>
      <c r="DX108" s="36">
        <f t="shared" ca="1" si="264"/>
        <v>53.098416466658556</v>
      </c>
      <c r="DY108" s="36">
        <f t="shared" ca="1" si="264"/>
        <v>53.50341911923686</v>
      </c>
      <c r="DZ108" s="36">
        <f t="shared" ca="1" si="264"/>
        <v>53.637081068637009</v>
      </c>
      <c r="EA108" s="36">
        <f t="shared" ca="1" si="264"/>
        <v>53.549003216530075</v>
      </c>
      <c r="EB108" s="36">
        <f t="shared" ca="1" si="264"/>
        <v>54.825597333651039</v>
      </c>
      <c r="EC108" s="36">
        <f t="shared" ca="1" si="271"/>
        <v>55.480108543757787</v>
      </c>
      <c r="ED108" s="36">
        <f t="shared" ca="1" si="271"/>
        <v>55.558814832017269</v>
      </c>
      <c r="EE108" s="36">
        <f t="shared" ca="1" si="271"/>
        <v>54.58455545522213</v>
      </c>
      <c r="EF108" s="36">
        <f t="shared" ca="1" si="271"/>
        <v>54.511501363828266</v>
      </c>
      <c r="EG108" s="36">
        <f t="shared" ca="1" si="271"/>
        <v>55.942735747207593</v>
      </c>
      <c r="EH108" s="36">
        <f t="shared" ca="1" si="271"/>
        <v>55.705316197041903</v>
      </c>
      <c r="EI108" s="36">
        <f t="shared" ca="1" si="271"/>
        <v>56.902820261807264</v>
      </c>
      <c r="EJ108" s="36">
        <f t="shared" ca="1" si="271"/>
        <v>56.743030764762608</v>
      </c>
      <c r="EK108" s="36">
        <f t="shared" ca="1" si="271"/>
        <v>56.723971232341086</v>
      </c>
      <c r="EL108" s="36">
        <f t="shared" ca="1" si="271"/>
        <v>56.254004363478053</v>
      </c>
      <c r="EM108" s="36">
        <f t="shared" ca="1" si="271"/>
        <v>55.239866933631127</v>
      </c>
      <c r="EN108" s="36">
        <f t="shared" ca="1" si="271"/>
        <v>56.013262716956284</v>
      </c>
      <c r="EO108" s="36">
        <f t="shared" ca="1" si="271"/>
        <v>56.121964530169237</v>
      </c>
      <c r="EP108" s="36">
        <f t="shared" ca="1" si="271"/>
        <v>56.713493100342149</v>
      </c>
      <c r="EQ108" s="36">
        <f t="shared" ca="1" si="271"/>
        <v>56.742819150539084</v>
      </c>
      <c r="ER108" s="36">
        <f t="shared" ca="1" si="271"/>
        <v>56.759557547953847</v>
      </c>
      <c r="ES108" s="36">
        <f t="shared" ca="1" si="271"/>
        <v>56.132645376475622</v>
      </c>
      <c r="ET108" s="36">
        <f t="shared" ca="1" si="271"/>
        <v>55.67564296365417</v>
      </c>
      <c r="EU108" s="36">
        <f t="shared" ca="1" si="271"/>
        <v>55.745277271866158</v>
      </c>
      <c r="EV108" s="36">
        <f t="shared" ca="1" si="271"/>
        <v>55.428577257738901</v>
      </c>
      <c r="EW108" s="36">
        <f t="shared" ref="EW108" ca="1" si="274">EV108*EXP(($B$3-$B$4^2/2)*1+$B$4*_xlfn.NORM.S.INV(RAND()))</f>
        <v>55.449875784531379</v>
      </c>
      <c r="EX108" s="36">
        <f t="shared" ca="1" si="272"/>
        <v>55.372790177081313</v>
      </c>
      <c r="EY108" s="36">
        <f t="shared" ca="1" si="272"/>
        <v>55.203256514822314</v>
      </c>
      <c r="EZ108" s="36">
        <f t="shared" ca="1" si="272"/>
        <v>54.742746073326003</v>
      </c>
      <c r="FA108" s="36">
        <f t="shared" ca="1" si="272"/>
        <v>53.698760584056679</v>
      </c>
      <c r="FB108" s="36">
        <f t="shared" ca="1" si="272"/>
        <v>54.672894594982516</v>
      </c>
      <c r="FC108" s="36">
        <f t="shared" ca="1" si="272"/>
        <v>55.250517359324142</v>
      </c>
      <c r="FD108" s="36">
        <f t="shared" ca="1" si="272"/>
        <v>54.628590011037751</v>
      </c>
      <c r="FE108" s="36">
        <f t="shared" ca="1" si="272"/>
        <v>52.848551269703364</v>
      </c>
      <c r="FF108" s="36">
        <f t="shared" ca="1" si="272"/>
        <v>53.388255330026226</v>
      </c>
      <c r="FG108" s="36">
        <f t="shared" ca="1" si="272"/>
        <v>54.469353966860574</v>
      </c>
      <c r="FH108" s="36">
        <f t="shared" ca="1" si="272"/>
        <v>54.477419328636543</v>
      </c>
      <c r="FI108" s="36">
        <f t="shared" ca="1" si="272"/>
        <v>53.722563308961568</v>
      </c>
      <c r="FJ108" s="36">
        <f t="shared" ca="1" si="272"/>
        <v>54.21071547791054</v>
      </c>
      <c r="FK108" s="36">
        <f t="shared" ca="1" si="272"/>
        <v>55.784390543273616</v>
      </c>
      <c r="FL108" s="36">
        <f t="shared" ca="1" si="272"/>
        <v>57.069690028200043</v>
      </c>
      <c r="FM108" s="36">
        <f t="shared" ca="1" si="272"/>
        <v>57.271333076540614</v>
      </c>
      <c r="FN108" s="36">
        <f t="shared" ca="1" si="272"/>
        <v>57.665937822704606</v>
      </c>
      <c r="FO108" s="36">
        <f t="shared" ca="1" si="272"/>
        <v>56.663905920577811</v>
      </c>
      <c r="FP108" s="36">
        <f t="shared" ca="1" si="272"/>
        <v>56.958043392617142</v>
      </c>
      <c r="FQ108" s="36">
        <f t="shared" ca="1" si="272"/>
        <v>56.785114741248066</v>
      </c>
      <c r="FR108" s="36">
        <f t="shared" ca="1" si="272"/>
        <v>55.960403854345515</v>
      </c>
      <c r="FS108" s="36">
        <f t="shared" ca="1" si="272"/>
        <v>56.890190913173065</v>
      </c>
      <c r="FT108" s="36">
        <f t="shared" ca="1" si="272"/>
        <v>56.692303961020585</v>
      </c>
      <c r="FU108" s="36">
        <f t="shared" ca="1" si="272"/>
        <v>56.462198006897204</v>
      </c>
      <c r="FV108" s="36">
        <f t="shared" ca="1" si="272"/>
        <v>56.225135361382335</v>
      </c>
      <c r="FW108" s="36">
        <f t="shared" ca="1" si="272"/>
        <v>57.332992562540028</v>
      </c>
      <c r="FX108" s="36">
        <f t="shared" ca="1" si="272"/>
        <v>56.465777979617812</v>
      </c>
      <c r="FY108" s="36">
        <f t="shared" ca="1" si="272"/>
        <v>56.45533873352111</v>
      </c>
      <c r="FZ108" s="36">
        <f t="shared" ca="1" si="272"/>
        <v>57.23629764077058</v>
      </c>
      <c r="GA108" s="36">
        <f t="shared" ca="1" si="272"/>
        <v>56.929380825213009</v>
      </c>
      <c r="GB108" s="36">
        <f t="shared" ca="1" si="272"/>
        <v>56.772441649281333</v>
      </c>
      <c r="GC108" s="36">
        <f t="shared" ca="1" si="272"/>
        <v>55.401470693073357</v>
      </c>
      <c r="GD108" s="36">
        <f t="shared" ca="1" si="272"/>
        <v>55.212633053244062</v>
      </c>
      <c r="GE108" s="36">
        <f t="shared" ca="1" si="272"/>
        <v>54.238491109305222</v>
      </c>
      <c r="GF108" s="36">
        <f t="shared" ca="1" si="272"/>
        <v>54.454398328551839</v>
      </c>
      <c r="GG108" s="36">
        <f t="shared" ca="1" si="272"/>
        <v>54.50178399100011</v>
      </c>
      <c r="GH108" s="36">
        <f t="shared" ca="1" si="272"/>
        <v>53.828745776582686</v>
      </c>
      <c r="GI108" s="36">
        <f t="shared" ca="1" si="272"/>
        <v>53.093785362971921</v>
      </c>
      <c r="GJ108" s="36">
        <f t="shared" ca="1" si="272"/>
        <v>54.438328199267815</v>
      </c>
      <c r="GK108" s="36">
        <f t="shared" ca="1" si="272"/>
        <v>55.364174948441502</v>
      </c>
      <c r="GL108" s="36">
        <f t="shared" ca="1" si="272"/>
        <v>55.866860438354024</v>
      </c>
      <c r="GM108" s="36">
        <f t="shared" ca="1" si="272"/>
        <v>56.505392784865705</v>
      </c>
      <c r="GN108" s="36">
        <f t="shared" ca="1" si="272"/>
        <v>57.810900890594091</v>
      </c>
      <c r="GO108" s="36">
        <f t="shared" ca="1" si="272"/>
        <v>57.80660816281884</v>
      </c>
      <c r="GP108" s="36">
        <f t="shared" ca="1" si="272"/>
        <v>59.145629606375564</v>
      </c>
      <c r="GQ108" s="36">
        <f t="shared" ca="1" si="272"/>
        <v>58.970362838601467</v>
      </c>
      <c r="GR108" s="36">
        <f t="shared" ca="1" si="272"/>
        <v>58.388189733314789</v>
      </c>
      <c r="GS108" s="36">
        <f t="shared" ca="1" si="272"/>
        <v>58.847313175854403</v>
      </c>
      <c r="GT108" s="36">
        <f t="shared" ca="1" si="272"/>
        <v>58.79050424740651</v>
      </c>
      <c r="GU108" s="36">
        <f t="shared" ca="1" si="272"/>
        <v>60.625021717262513</v>
      </c>
      <c r="GV108" s="36">
        <f t="shared" ca="1" si="272"/>
        <v>60.468385564314083</v>
      </c>
      <c r="GW108" s="36">
        <f t="shared" ca="1" si="272"/>
        <v>59.932241942751752</v>
      </c>
      <c r="GX108" s="36">
        <f t="shared" ca="1" si="272"/>
        <v>61.194472717886896</v>
      </c>
      <c r="GY108" s="36">
        <f t="shared" ca="1" si="272"/>
        <v>61.233398864583613</v>
      </c>
      <c r="GZ108" s="36">
        <f t="shared" ca="1" si="272"/>
        <v>60.577701797512702</v>
      </c>
      <c r="HA108" s="36">
        <f t="shared" ca="1" si="272"/>
        <v>59.94530822111799</v>
      </c>
      <c r="HB108" s="36">
        <f t="shared" ca="1" si="272"/>
        <v>60.611917438964319</v>
      </c>
      <c r="HC108" s="36">
        <f t="shared" ca="1" si="272"/>
        <v>60.141439310370103</v>
      </c>
      <c r="HD108" s="36">
        <f t="shared" ca="1" si="272"/>
        <v>60.48106530845304</v>
      </c>
      <c r="HE108" s="36">
        <f t="shared" ca="1" si="272"/>
        <v>59.498640294243586</v>
      </c>
      <c r="HF108" s="36">
        <f t="shared" ca="1" si="272"/>
        <v>59.437533210497826</v>
      </c>
      <c r="HG108" s="36">
        <f t="shared" ca="1" si="272"/>
        <v>59.172383449005061</v>
      </c>
      <c r="HH108" s="36">
        <f t="shared" ca="1" si="272"/>
        <v>59.337717172342046</v>
      </c>
      <c r="HI108" s="36">
        <f t="shared" ca="1" si="269"/>
        <v>59.097115057049443</v>
      </c>
      <c r="HJ108" s="36">
        <f t="shared" ca="1" si="269"/>
        <v>59.006136566265567</v>
      </c>
      <c r="HK108" s="36">
        <f t="shared" ca="1" si="269"/>
        <v>59.259888039598344</v>
      </c>
      <c r="HL108" s="36">
        <f t="shared" ref="HL108:HT108" ca="1" si="275">HK108*EXP(($B$3-$B$4^2/2)*1+$B$4*_xlfn.NORM.S.INV(RAND()))</f>
        <v>58.330695033432271</v>
      </c>
      <c r="HM108" s="36">
        <f t="shared" ca="1" si="275"/>
        <v>57.787824557995464</v>
      </c>
      <c r="HN108" s="36">
        <f t="shared" ca="1" si="275"/>
        <v>57.772823929101868</v>
      </c>
      <c r="HO108" s="36">
        <f t="shared" ca="1" si="275"/>
        <v>57.437719817386849</v>
      </c>
      <c r="HP108" s="36">
        <f t="shared" ca="1" si="275"/>
        <v>58.633406388278232</v>
      </c>
      <c r="HQ108" s="36">
        <f t="shared" ca="1" si="275"/>
        <v>56.797824573115719</v>
      </c>
      <c r="HR108" s="36">
        <f t="shared" ca="1" si="275"/>
        <v>56.040913553290608</v>
      </c>
      <c r="HS108" s="36">
        <f t="shared" ca="1" si="275"/>
        <v>55.473593129102944</v>
      </c>
      <c r="HT108" s="36">
        <f t="shared" ca="1" si="275"/>
        <v>55.885529992158688</v>
      </c>
      <c r="HU108" s="36">
        <f t="shared" ca="1" si="247"/>
        <v>56.538635975018209</v>
      </c>
      <c r="HV108" s="36">
        <f t="shared" ca="1" si="247"/>
        <v>56.350652811710219</v>
      </c>
      <c r="HW108" s="36">
        <f t="shared" ca="1" si="247"/>
        <v>56.674318894496544</v>
      </c>
      <c r="HX108" s="36">
        <f t="shared" ca="1" si="247"/>
        <v>57.10398594843582</v>
      </c>
      <c r="HY108" s="36">
        <f t="shared" ca="1" si="248"/>
        <v>56.362489374608039</v>
      </c>
      <c r="HZ108" s="36">
        <f t="shared" ref="HU108:IU109" ca="1" si="276">HY108*EXP(($B$3-$B$4^2/2)*1+$B$4*_xlfn.NORM.S.INV(RAND()))</f>
        <v>56.935490807839876</v>
      </c>
      <c r="IA108" s="36">
        <f t="shared" ca="1" si="276"/>
        <v>57.136209895773305</v>
      </c>
      <c r="IB108" s="36">
        <f t="shared" ca="1" si="276"/>
        <v>57.564833785484964</v>
      </c>
      <c r="IC108" s="36">
        <f t="shared" ca="1" si="276"/>
        <v>58.248587716305131</v>
      </c>
      <c r="ID108" s="36">
        <f t="shared" ca="1" si="276"/>
        <v>58.853483195755395</v>
      </c>
      <c r="IE108" s="36">
        <f t="shared" ca="1" si="276"/>
        <v>59.590322641587804</v>
      </c>
      <c r="IF108" s="36">
        <f t="shared" ca="1" si="276"/>
        <v>59.589388506726152</v>
      </c>
      <c r="IG108" s="36">
        <f t="shared" ca="1" si="276"/>
        <v>59.523621499775032</v>
      </c>
      <c r="IH108" s="36">
        <f t="shared" ca="1" si="276"/>
        <v>59.014379933433908</v>
      </c>
      <c r="II108" s="36">
        <f t="shared" ca="1" si="276"/>
        <v>59.246730786033879</v>
      </c>
      <c r="IJ108" s="36">
        <f t="shared" ca="1" si="276"/>
        <v>59.856636893522683</v>
      </c>
      <c r="IK108" s="36">
        <f t="shared" ca="1" si="276"/>
        <v>59.842808167008712</v>
      </c>
      <c r="IL108" s="36">
        <f t="shared" ca="1" si="276"/>
        <v>60.970828375555271</v>
      </c>
      <c r="IM108" s="36">
        <f t="shared" ca="1" si="276"/>
        <v>60.653193574334523</v>
      </c>
      <c r="IN108" s="36">
        <f t="shared" ca="1" si="276"/>
        <v>61.466423077387581</v>
      </c>
      <c r="IO108" s="36">
        <f t="shared" ca="1" si="276"/>
        <v>62.334124413401504</v>
      </c>
      <c r="IP108" s="36">
        <f t="shared" ca="1" si="276"/>
        <v>62.353736410011749</v>
      </c>
      <c r="IQ108" s="36">
        <f t="shared" ca="1" si="276"/>
        <v>62.75208498122818</v>
      </c>
      <c r="IR108" s="36">
        <f t="shared" ca="1" si="276"/>
        <v>63.847509669128137</v>
      </c>
      <c r="IS108" s="36">
        <f t="shared" ca="1" si="276"/>
        <v>63.931855839166076</v>
      </c>
      <c r="IT108" s="36">
        <f t="shared" ca="1" si="276"/>
        <v>63.955614165544887</v>
      </c>
      <c r="IU108" s="36">
        <f t="shared" ca="1" si="276"/>
        <v>64.470799323877173</v>
      </c>
    </row>
    <row r="109" spans="1:255" x14ac:dyDescent="0.2">
      <c r="A109" s="36"/>
      <c r="B109">
        <v>99</v>
      </c>
      <c r="C109" s="36">
        <v>50</v>
      </c>
      <c r="D109" s="36">
        <f t="shared" ca="1" si="188"/>
        <v>49.495722350513979</v>
      </c>
      <c r="E109" s="36">
        <f t="shared" ca="1" si="188"/>
        <v>49.766504458174708</v>
      </c>
      <c r="F109" s="36">
        <f t="shared" ca="1" si="267"/>
        <v>50.542984890171567</v>
      </c>
      <c r="G109" s="36">
        <f t="shared" ca="1" si="267"/>
        <v>49.486513265532963</v>
      </c>
      <c r="H109" s="36">
        <f t="shared" ca="1" si="267"/>
        <v>48.916092517337241</v>
      </c>
      <c r="I109" s="36">
        <f t="shared" ca="1" si="267"/>
        <v>48.063863288155915</v>
      </c>
      <c r="J109" s="36">
        <f t="shared" ca="1" si="267"/>
        <v>46.302711211719128</v>
      </c>
      <c r="K109" s="36">
        <f t="shared" ca="1" si="267"/>
        <v>46.008551071499959</v>
      </c>
      <c r="L109" s="36">
        <f t="shared" ca="1" si="267"/>
        <v>46.161812409667938</v>
      </c>
      <c r="M109" s="36">
        <f t="shared" ca="1" si="267"/>
        <v>46.042124730972283</v>
      </c>
      <c r="N109" s="36">
        <f t="shared" ca="1" si="267"/>
        <v>46.210193995707286</v>
      </c>
      <c r="O109" s="36">
        <f t="shared" ca="1" si="267"/>
        <v>46.39932424155748</v>
      </c>
      <c r="P109" s="36">
        <f t="shared" ca="1" si="267"/>
        <v>46.505574926702927</v>
      </c>
      <c r="Q109" s="36">
        <f t="shared" ca="1" si="267"/>
        <v>45.952434742999934</v>
      </c>
      <c r="R109" s="36">
        <f t="shared" ca="1" si="267"/>
        <v>45.630251635150735</v>
      </c>
      <c r="S109" s="36">
        <f t="shared" ca="1" si="267"/>
        <v>45.832391427891594</v>
      </c>
      <c r="T109" s="36">
        <f t="shared" ca="1" si="267"/>
        <v>45.686381910251384</v>
      </c>
      <c r="U109" s="36">
        <f t="shared" ca="1" si="267"/>
        <v>45.918286700140342</v>
      </c>
      <c r="V109" s="36">
        <f t="shared" ca="1" si="267"/>
        <v>46.726345316903426</v>
      </c>
      <c r="W109" s="36">
        <f t="shared" ca="1" si="267"/>
        <v>46.913872382851174</v>
      </c>
      <c r="X109" s="36">
        <f t="shared" ca="1" si="267"/>
        <v>46.137729712877842</v>
      </c>
      <c r="Y109" s="36">
        <f t="shared" ca="1" si="267"/>
        <v>47.244706826861261</v>
      </c>
      <c r="Z109" s="36">
        <f t="shared" ca="1" si="267"/>
        <v>47.695531514434634</v>
      </c>
      <c r="AA109" s="36">
        <f t="shared" ca="1" si="267"/>
        <v>48.238488398129569</v>
      </c>
      <c r="AB109" s="36">
        <f t="shared" ca="1" si="267"/>
        <v>48.94209420679541</v>
      </c>
      <c r="AC109" s="36">
        <f t="shared" ca="1" si="267"/>
        <v>48.773545370634814</v>
      </c>
      <c r="AD109" s="36">
        <f t="shared" ca="1" si="267"/>
        <v>48.204843943237222</v>
      </c>
      <c r="AE109" s="36">
        <f t="shared" ca="1" si="267"/>
        <v>47.742154846744846</v>
      </c>
      <c r="AF109" s="36">
        <f t="shared" ca="1" si="267"/>
        <v>47.938290715247504</v>
      </c>
      <c r="AG109" s="36">
        <f t="shared" ca="1" si="267"/>
        <v>49.056507987102009</v>
      </c>
      <c r="AH109" s="36">
        <f t="shared" ca="1" si="267"/>
        <v>48.515367644371992</v>
      </c>
      <c r="AI109" s="36">
        <f t="shared" ca="1" si="267"/>
        <v>47.512502707214985</v>
      </c>
      <c r="AJ109" s="36">
        <f t="shared" ca="1" si="267"/>
        <v>47.709892047214176</v>
      </c>
      <c r="AK109" s="36">
        <f t="shared" ca="1" si="267"/>
        <v>47.851354041313733</v>
      </c>
      <c r="AL109" s="36">
        <f t="shared" ca="1" si="267"/>
        <v>47.065076455179373</v>
      </c>
      <c r="AM109" s="36">
        <f t="shared" ca="1" si="267"/>
        <v>47.15765942509924</v>
      </c>
      <c r="AN109" s="36">
        <f t="shared" ca="1" si="267"/>
        <v>48.71620475169815</v>
      </c>
      <c r="AO109" s="36">
        <f t="shared" ca="1" si="267"/>
        <v>48.913775799508535</v>
      </c>
      <c r="AP109" s="36">
        <f t="shared" ca="1" si="267"/>
        <v>48.362667863582743</v>
      </c>
      <c r="AQ109" s="36">
        <f t="shared" ca="1" si="267"/>
        <v>47.950131614560043</v>
      </c>
      <c r="AR109" s="36">
        <f t="shared" ca="1" si="267"/>
        <v>48.086157926092085</v>
      </c>
      <c r="AS109" s="36">
        <f t="shared" ca="1" si="267"/>
        <v>48.369757611198374</v>
      </c>
      <c r="AT109" s="36">
        <f t="shared" ca="1" si="267"/>
        <v>49.285227818596141</v>
      </c>
      <c r="AU109" s="36">
        <f t="shared" ca="1" si="267"/>
        <v>49.417194723251171</v>
      </c>
      <c r="AV109" s="36">
        <f t="shared" ca="1" si="267"/>
        <v>49.330849971288764</v>
      </c>
      <c r="AW109" s="36">
        <f t="shared" ca="1" si="267"/>
        <v>48.185344573075234</v>
      </c>
      <c r="AX109" s="36">
        <f t="shared" ca="1" si="267"/>
        <v>48.255500845859117</v>
      </c>
      <c r="AY109" s="36">
        <f t="shared" ca="1" si="267"/>
        <v>48.28268326835456</v>
      </c>
      <c r="AZ109" s="36">
        <f t="shared" ca="1" si="267"/>
        <v>47.885826662756692</v>
      </c>
      <c r="BA109" s="36">
        <f t="shared" ca="1" si="267"/>
        <v>48.8161583850775</v>
      </c>
      <c r="BB109" s="36">
        <f t="shared" ca="1" si="267"/>
        <v>48.817696641706014</v>
      </c>
      <c r="BC109" s="36">
        <f t="shared" ca="1" si="267"/>
        <v>49.37308433410734</v>
      </c>
      <c r="BD109" s="36">
        <f t="shared" ca="1" si="267"/>
        <v>49.77801141307657</v>
      </c>
      <c r="BE109" s="36">
        <f t="shared" ca="1" si="267"/>
        <v>50.181324162866936</v>
      </c>
      <c r="BF109" s="36">
        <f t="shared" ca="1" si="267"/>
        <v>50.389510765377644</v>
      </c>
      <c r="BG109" s="36">
        <f t="shared" ca="1" si="267"/>
        <v>50.90095716130886</v>
      </c>
      <c r="BH109" s="36">
        <f t="shared" ca="1" si="267"/>
        <v>50.380390816717266</v>
      </c>
      <c r="BI109" s="36">
        <f t="shared" ca="1" si="267"/>
        <v>50.185107728987489</v>
      </c>
      <c r="BJ109" s="36">
        <f t="shared" ca="1" si="267"/>
        <v>48.929488615441741</v>
      </c>
      <c r="BK109" s="36">
        <f t="shared" ca="1" si="267"/>
        <v>49.436712068261407</v>
      </c>
      <c r="BL109" s="36">
        <f t="shared" ca="1" si="267"/>
        <v>48.920821002553609</v>
      </c>
      <c r="BM109" s="36">
        <f t="shared" ca="1" si="267"/>
        <v>48.456822383965424</v>
      </c>
      <c r="BN109" s="36">
        <f t="shared" ca="1" si="267"/>
        <v>46.879636456006459</v>
      </c>
      <c r="BO109" s="36">
        <f t="shared" ca="1" si="267"/>
        <v>47.66238184461811</v>
      </c>
      <c r="BP109" s="36">
        <f t="shared" ca="1" si="267"/>
        <v>48.371352889712512</v>
      </c>
      <c r="BQ109" s="36">
        <f t="shared" ref="BQ109:EB110" ca="1" si="277">BP109*EXP(($B$3-$B$4^2/2)*1+$B$4*_xlfn.NORM.S.INV(RAND()))</f>
        <v>49.185272165045156</v>
      </c>
      <c r="BR109" s="36">
        <f t="shared" ca="1" si="277"/>
        <v>49.375774952665857</v>
      </c>
      <c r="BS109" s="36">
        <f t="shared" ca="1" si="277"/>
        <v>50.027575533887628</v>
      </c>
      <c r="BT109" s="36">
        <f t="shared" ca="1" si="277"/>
        <v>50.392748582588808</v>
      </c>
      <c r="BU109" s="36">
        <f t="shared" ca="1" si="277"/>
        <v>50.470771172797185</v>
      </c>
      <c r="BV109" s="36">
        <f t="shared" ca="1" si="277"/>
        <v>50.264692150025326</v>
      </c>
      <c r="BW109" s="36">
        <f t="shared" ca="1" si="277"/>
        <v>49.997972511609305</v>
      </c>
      <c r="BX109" s="36">
        <f t="shared" ca="1" si="277"/>
        <v>49.630527119696062</v>
      </c>
      <c r="BY109" s="36">
        <f t="shared" ca="1" si="277"/>
        <v>48.729382119038057</v>
      </c>
      <c r="BZ109" s="36">
        <f t="shared" ca="1" si="277"/>
        <v>49.083527328375126</v>
      </c>
      <c r="CA109" s="36">
        <f t="shared" ca="1" si="277"/>
        <v>49.03852222682805</v>
      </c>
      <c r="CB109" s="36">
        <f t="shared" ca="1" si="277"/>
        <v>49.109802543665793</v>
      </c>
      <c r="CC109" s="36">
        <f t="shared" ca="1" si="277"/>
        <v>48.820587511288366</v>
      </c>
      <c r="CD109" s="36">
        <f t="shared" ca="1" si="277"/>
        <v>48.974998922987695</v>
      </c>
      <c r="CE109" s="36">
        <f t="shared" ca="1" si="277"/>
        <v>48.451588532282095</v>
      </c>
      <c r="CF109" s="36">
        <f t="shared" ca="1" si="277"/>
        <v>48.378516296789741</v>
      </c>
      <c r="CG109" s="36">
        <f t="shared" ca="1" si="277"/>
        <v>47.687695662013034</v>
      </c>
      <c r="CH109" s="36">
        <f t="shared" ca="1" si="277"/>
        <v>47.33008565736899</v>
      </c>
      <c r="CI109" s="36">
        <f t="shared" ca="1" si="277"/>
        <v>47.081566863816725</v>
      </c>
      <c r="CJ109" s="36">
        <f t="shared" ca="1" si="277"/>
        <v>47.421386983616209</v>
      </c>
      <c r="CK109" s="36">
        <f t="shared" ca="1" si="277"/>
        <v>47.625729532674974</v>
      </c>
      <c r="CL109" s="36">
        <f t="shared" ca="1" si="277"/>
        <v>47.591195713891054</v>
      </c>
      <c r="CM109" s="36">
        <f t="shared" ca="1" si="277"/>
        <v>48.474772983348593</v>
      </c>
      <c r="CN109" s="36">
        <f t="shared" ca="1" si="277"/>
        <v>48.70026495577406</v>
      </c>
      <c r="CO109" s="36">
        <f t="shared" ca="1" si="277"/>
        <v>48.993232848156772</v>
      </c>
      <c r="CP109" s="36">
        <f t="shared" ca="1" si="277"/>
        <v>49.58205067858848</v>
      </c>
      <c r="CQ109" s="36">
        <f t="shared" ca="1" si="277"/>
        <v>50.601455651416771</v>
      </c>
      <c r="CR109" s="36">
        <f t="shared" ca="1" si="277"/>
        <v>49.990042878255103</v>
      </c>
      <c r="CS109" s="36">
        <f t="shared" ca="1" si="277"/>
        <v>49.625414991018026</v>
      </c>
      <c r="CT109" s="36">
        <f t="shared" ca="1" si="277"/>
        <v>48.855467309199604</v>
      </c>
      <c r="CU109" s="36">
        <f t="shared" ca="1" si="277"/>
        <v>48.368190635467009</v>
      </c>
      <c r="CV109" s="36">
        <f t="shared" ca="1" si="277"/>
        <v>48.65680041804243</v>
      </c>
      <c r="CW109" s="36">
        <f t="shared" ca="1" si="277"/>
        <v>49.755951421073931</v>
      </c>
      <c r="CX109" s="36">
        <f t="shared" ca="1" si="277"/>
        <v>49.869575863316008</v>
      </c>
      <c r="CY109" s="36">
        <f t="shared" ca="1" si="277"/>
        <v>49.132610232992299</v>
      </c>
      <c r="CZ109" s="36">
        <f t="shared" ca="1" si="277"/>
        <v>48.996471460478119</v>
      </c>
      <c r="DA109" s="36">
        <f t="shared" ca="1" si="277"/>
        <v>48.751009899612129</v>
      </c>
      <c r="DB109" s="36">
        <f t="shared" ca="1" si="277"/>
        <v>48.813293416409529</v>
      </c>
      <c r="DC109" s="36">
        <f t="shared" ca="1" si="277"/>
        <v>49.063919678092397</v>
      </c>
      <c r="DD109" s="36">
        <f t="shared" ca="1" si="277"/>
        <v>49.230405797333397</v>
      </c>
      <c r="DE109" s="36">
        <f t="shared" ca="1" si="277"/>
        <v>50.074049446705274</v>
      </c>
      <c r="DF109" s="36">
        <f t="shared" ca="1" si="277"/>
        <v>50.55209823063111</v>
      </c>
      <c r="DG109" s="36">
        <f t="shared" ca="1" si="277"/>
        <v>50.162841767566434</v>
      </c>
      <c r="DH109" s="36">
        <f t="shared" ca="1" si="277"/>
        <v>50.365152702608825</v>
      </c>
      <c r="DI109" s="36">
        <f t="shared" ca="1" si="277"/>
        <v>50.330042851849946</v>
      </c>
      <c r="DJ109" s="36">
        <f t="shared" ca="1" si="277"/>
        <v>49.668672726257626</v>
      </c>
      <c r="DK109" s="36">
        <f t="shared" ca="1" si="277"/>
        <v>48.867242892503143</v>
      </c>
      <c r="DL109" s="36">
        <f t="shared" ca="1" si="277"/>
        <v>49.047169793520347</v>
      </c>
      <c r="DM109" s="36">
        <f t="shared" ca="1" si="277"/>
        <v>48.6320664489755</v>
      </c>
      <c r="DN109" s="36">
        <f t="shared" ca="1" si="277"/>
        <v>47.083889745328513</v>
      </c>
      <c r="DO109" s="36">
        <f t="shared" ca="1" si="277"/>
        <v>46.591718104522613</v>
      </c>
      <c r="DP109" s="36">
        <f t="shared" ca="1" si="277"/>
        <v>46.878145195362414</v>
      </c>
      <c r="DQ109" s="36">
        <f t="shared" ca="1" si="277"/>
        <v>46.578559796001528</v>
      </c>
      <c r="DR109" s="36">
        <f t="shared" ca="1" si="277"/>
        <v>47.087070598679894</v>
      </c>
      <c r="DS109" s="36">
        <f t="shared" ca="1" si="277"/>
        <v>47.257893657309168</v>
      </c>
      <c r="DT109" s="36">
        <f t="shared" ca="1" si="277"/>
        <v>47.014477824644295</v>
      </c>
      <c r="DU109" s="36">
        <f t="shared" ca="1" si="277"/>
        <v>46.421302185685271</v>
      </c>
      <c r="DV109" s="36">
        <f t="shared" ca="1" si="277"/>
        <v>47.08233013288536</v>
      </c>
      <c r="DW109" s="36">
        <f t="shared" ca="1" si="277"/>
        <v>47.253465465089334</v>
      </c>
      <c r="DX109" s="36">
        <f t="shared" ca="1" si="277"/>
        <v>46.936942074023079</v>
      </c>
      <c r="DY109" s="36">
        <f t="shared" ca="1" si="277"/>
        <v>47.298808130879479</v>
      </c>
      <c r="DZ109" s="36">
        <f t="shared" ca="1" si="277"/>
        <v>47.422722075883954</v>
      </c>
      <c r="EA109" s="36">
        <f t="shared" ca="1" si="277"/>
        <v>46.648896112864833</v>
      </c>
      <c r="EB109" s="36">
        <f t="shared" ca="1" si="277"/>
        <v>46.379494661379098</v>
      </c>
      <c r="EC109" s="36">
        <f t="shared" ca="1" si="271"/>
        <v>46.828054090825177</v>
      </c>
      <c r="ED109" s="36">
        <f t="shared" ca="1" si="271"/>
        <v>46.082663530165135</v>
      </c>
      <c r="EE109" s="36">
        <f t="shared" ca="1" si="271"/>
        <v>46.390853867796672</v>
      </c>
      <c r="EF109" s="36">
        <f t="shared" ca="1" si="271"/>
        <v>46.549108966628651</v>
      </c>
      <c r="EG109" s="36">
        <f t="shared" ca="1" si="271"/>
        <v>47.038872676532876</v>
      </c>
      <c r="EH109" s="36">
        <f t="shared" ca="1" si="271"/>
        <v>48.032847022320652</v>
      </c>
      <c r="EI109" s="36">
        <f t="shared" ca="1" si="271"/>
        <v>48.496406997408869</v>
      </c>
      <c r="EJ109" s="36">
        <f t="shared" ca="1" si="271"/>
        <v>48.722559266134944</v>
      </c>
      <c r="EK109" s="36">
        <f t="shared" ca="1" si="271"/>
        <v>49.067604192860777</v>
      </c>
      <c r="EL109" s="36">
        <f t="shared" ca="1" si="271"/>
        <v>48.731186825476271</v>
      </c>
      <c r="EM109" s="36">
        <f t="shared" ca="1" si="271"/>
        <v>47.88664625209001</v>
      </c>
      <c r="EN109" s="36">
        <f t="shared" ca="1" si="271"/>
        <v>47.812242936122836</v>
      </c>
      <c r="EO109" s="36">
        <f t="shared" ca="1" si="271"/>
        <v>47.481683816653643</v>
      </c>
      <c r="EP109" s="36">
        <f t="shared" ca="1" si="271"/>
        <v>47.536631106260657</v>
      </c>
      <c r="EQ109" s="36">
        <f t="shared" ca="1" si="271"/>
        <v>48.25546185572238</v>
      </c>
      <c r="ER109" s="36">
        <f t="shared" ca="1" si="271"/>
        <v>49.122099096668727</v>
      </c>
      <c r="ES109" s="36">
        <f t="shared" ca="1" si="271"/>
        <v>50.065743973221089</v>
      </c>
      <c r="ET109" s="36">
        <f t="shared" ca="1" si="271"/>
        <v>49.580399470704634</v>
      </c>
      <c r="EU109" s="36">
        <f t="shared" ca="1" si="271"/>
        <v>49.423567213530745</v>
      </c>
      <c r="EV109" s="36">
        <f t="shared" ca="1" si="271"/>
        <v>48.686281562901662</v>
      </c>
      <c r="EW109" s="36">
        <f t="shared" ref="EW109" ca="1" si="278">EV109*EXP(($B$3-$B$4^2/2)*1+$B$4*_xlfn.NORM.S.INV(RAND()))</f>
        <v>49.501551651335951</v>
      </c>
      <c r="EX109" s="36">
        <f t="shared" ca="1" si="272"/>
        <v>49.902367503561997</v>
      </c>
      <c r="EY109" s="36">
        <f t="shared" ca="1" si="272"/>
        <v>49.824019868083248</v>
      </c>
      <c r="EZ109" s="36">
        <f t="shared" ca="1" si="272"/>
        <v>50.150257441641166</v>
      </c>
      <c r="FA109" s="36">
        <f t="shared" ca="1" si="272"/>
        <v>49.673737900669806</v>
      </c>
      <c r="FB109" s="36">
        <f t="shared" ca="1" si="272"/>
        <v>49.864489998444562</v>
      </c>
      <c r="FC109" s="36">
        <f t="shared" ca="1" si="272"/>
        <v>49.639492169578865</v>
      </c>
      <c r="FD109" s="36">
        <f t="shared" ca="1" si="272"/>
        <v>49.054759180882044</v>
      </c>
      <c r="FE109" s="36">
        <f t="shared" ca="1" si="272"/>
        <v>49.072304440829662</v>
      </c>
      <c r="FF109" s="36">
        <f t="shared" ca="1" si="272"/>
        <v>49.19507249085229</v>
      </c>
      <c r="FG109" s="36">
        <f t="shared" ca="1" si="272"/>
        <v>49.637638443864844</v>
      </c>
      <c r="FH109" s="36">
        <f t="shared" ca="1" si="272"/>
        <v>50.030129616314937</v>
      </c>
      <c r="FI109" s="36">
        <f t="shared" ca="1" si="272"/>
        <v>49.737281916333266</v>
      </c>
      <c r="FJ109" s="36">
        <f t="shared" ca="1" si="272"/>
        <v>49.763497381819697</v>
      </c>
      <c r="FK109" s="36">
        <f t="shared" ca="1" si="272"/>
        <v>49.978341589609258</v>
      </c>
      <c r="FL109" s="36">
        <f t="shared" ca="1" si="272"/>
        <v>50.124959720077229</v>
      </c>
      <c r="FM109" s="36">
        <f t="shared" ca="1" si="272"/>
        <v>50.095931266247163</v>
      </c>
      <c r="FN109" s="36">
        <f t="shared" ca="1" si="272"/>
        <v>50.114230080298867</v>
      </c>
      <c r="FO109" s="36">
        <f t="shared" ca="1" si="272"/>
        <v>50.174920181203731</v>
      </c>
      <c r="FP109" s="36">
        <f t="shared" ca="1" si="272"/>
        <v>50.779468823669568</v>
      </c>
      <c r="FQ109" s="36">
        <f t="shared" ca="1" si="272"/>
        <v>51.840953572046971</v>
      </c>
      <c r="FR109" s="36">
        <f t="shared" ca="1" si="272"/>
        <v>51.62424003871562</v>
      </c>
      <c r="FS109" s="36">
        <f t="shared" ca="1" si="272"/>
        <v>51.513003180818636</v>
      </c>
      <c r="FT109" s="36">
        <f t="shared" ca="1" si="272"/>
        <v>51.568730931274978</v>
      </c>
      <c r="FU109" s="36">
        <f t="shared" ca="1" si="272"/>
        <v>52.601722277195108</v>
      </c>
      <c r="FV109" s="36">
        <f t="shared" ca="1" si="272"/>
        <v>52.956649712375601</v>
      </c>
      <c r="FW109" s="36">
        <f t="shared" ca="1" si="272"/>
        <v>51.823476194094248</v>
      </c>
      <c r="FX109" s="36">
        <f t="shared" ca="1" si="272"/>
        <v>51.101434229793114</v>
      </c>
      <c r="FY109" s="36">
        <f t="shared" ca="1" si="272"/>
        <v>50.166345047662233</v>
      </c>
      <c r="FZ109" s="36">
        <f t="shared" ca="1" si="272"/>
        <v>50.072053704200044</v>
      </c>
      <c r="GA109" s="36">
        <f t="shared" ca="1" si="272"/>
        <v>50.708595568469065</v>
      </c>
      <c r="GB109" s="36">
        <f t="shared" ca="1" si="272"/>
        <v>50.385732716752656</v>
      </c>
      <c r="GC109" s="36">
        <f t="shared" ca="1" si="272"/>
        <v>51.142933325656934</v>
      </c>
      <c r="GD109" s="36">
        <f t="shared" ca="1" si="272"/>
        <v>52.101887746313601</v>
      </c>
      <c r="GE109" s="36">
        <f t="shared" ca="1" si="272"/>
        <v>51.497812301203666</v>
      </c>
      <c r="GF109" s="36">
        <f t="shared" ca="1" si="272"/>
        <v>50.393401645026238</v>
      </c>
      <c r="GG109" s="36">
        <f t="shared" ca="1" si="272"/>
        <v>50.253331320077258</v>
      </c>
      <c r="GH109" s="36">
        <f t="shared" ca="1" si="272"/>
        <v>49.21824016971626</v>
      </c>
      <c r="GI109" s="36">
        <f t="shared" ca="1" si="272"/>
        <v>49.153141752037023</v>
      </c>
      <c r="GJ109" s="36">
        <f t="shared" ca="1" si="272"/>
        <v>48.556030117573279</v>
      </c>
      <c r="GK109" s="36">
        <f t="shared" ca="1" si="272"/>
        <v>47.819175085166613</v>
      </c>
      <c r="GL109" s="36">
        <f t="shared" ca="1" si="272"/>
        <v>47.461989509768912</v>
      </c>
      <c r="GM109" s="36">
        <f t="shared" ca="1" si="272"/>
        <v>46.40172931888948</v>
      </c>
      <c r="GN109" s="36">
        <f t="shared" ca="1" si="272"/>
        <v>46.296352324320424</v>
      </c>
      <c r="GO109" s="36">
        <f t="shared" ca="1" si="272"/>
        <v>45.625154728652667</v>
      </c>
      <c r="GP109" s="36">
        <f t="shared" ca="1" si="272"/>
        <v>46.616161937679095</v>
      </c>
      <c r="GQ109" s="36">
        <f t="shared" ca="1" si="272"/>
        <v>46.256181821980007</v>
      </c>
      <c r="GR109" s="36">
        <f t="shared" ca="1" si="272"/>
        <v>45.674999139609319</v>
      </c>
      <c r="GS109" s="36">
        <f t="shared" ca="1" si="272"/>
        <v>44.923394086310189</v>
      </c>
      <c r="GT109" s="36">
        <f t="shared" ca="1" si="272"/>
        <v>44.454850404781176</v>
      </c>
      <c r="GU109" s="36">
        <f t="shared" ca="1" si="272"/>
        <v>43.083022156260498</v>
      </c>
      <c r="GV109" s="36">
        <f t="shared" ca="1" si="272"/>
        <v>43.745288316438632</v>
      </c>
      <c r="GW109" s="36">
        <f t="shared" ca="1" si="272"/>
        <v>43.254140645580115</v>
      </c>
      <c r="GX109" s="36">
        <f t="shared" ca="1" si="272"/>
        <v>42.763319646394201</v>
      </c>
      <c r="GY109" s="36">
        <f t="shared" ca="1" si="272"/>
        <v>42.500346455611393</v>
      </c>
      <c r="GZ109" s="36">
        <f t="shared" ca="1" si="272"/>
        <v>42.31830272164872</v>
      </c>
      <c r="HA109" s="36">
        <f t="shared" ca="1" si="272"/>
        <v>42.525834025168791</v>
      </c>
      <c r="HB109" s="36">
        <f t="shared" ca="1" si="272"/>
        <v>42.095098381463174</v>
      </c>
      <c r="HC109" s="36">
        <f t="shared" ca="1" si="272"/>
        <v>42.39026170188783</v>
      </c>
      <c r="HD109" s="36">
        <f t="shared" ca="1" si="272"/>
        <v>41.432977398017336</v>
      </c>
      <c r="HE109" s="36">
        <f t="shared" ca="1" si="272"/>
        <v>42.41252526259801</v>
      </c>
      <c r="HF109" s="36">
        <f t="shared" ca="1" si="272"/>
        <v>42.370878252006015</v>
      </c>
      <c r="HG109" s="36">
        <f t="shared" ca="1" si="272"/>
        <v>43.272951247586683</v>
      </c>
      <c r="HH109" s="36">
        <f t="shared" ca="1" si="272"/>
        <v>43.41205380078236</v>
      </c>
      <c r="HI109" s="36">
        <f t="shared" ref="HI109:HT109" ca="1" si="279">HH109*EXP(($B$3-$B$4^2/2)*1+$B$4*_xlfn.NORM.S.INV(RAND()))</f>
        <v>43.382255036977242</v>
      </c>
      <c r="HJ109" s="36">
        <f t="shared" ca="1" si="279"/>
        <v>43.821654118818245</v>
      </c>
      <c r="HK109" s="36">
        <f t="shared" ca="1" si="279"/>
        <v>43.455644602349231</v>
      </c>
      <c r="HL109" s="36">
        <f t="shared" ca="1" si="279"/>
        <v>43.286849074666144</v>
      </c>
      <c r="HM109" s="36">
        <f t="shared" ca="1" si="279"/>
        <v>43.32463009224557</v>
      </c>
      <c r="HN109" s="36">
        <f t="shared" ca="1" si="279"/>
        <v>43.75238804579034</v>
      </c>
      <c r="HO109" s="36">
        <f t="shared" ca="1" si="279"/>
        <v>43.900842957095463</v>
      </c>
      <c r="HP109" s="36">
        <f t="shared" ca="1" si="279"/>
        <v>43.813903738337117</v>
      </c>
      <c r="HQ109" s="36">
        <f t="shared" ca="1" si="279"/>
        <v>43.98384592418882</v>
      </c>
      <c r="HR109" s="36">
        <f t="shared" ca="1" si="279"/>
        <v>43.765527384807605</v>
      </c>
      <c r="HS109" s="36">
        <f t="shared" ca="1" si="279"/>
        <v>43.489981570718065</v>
      </c>
      <c r="HT109" s="36">
        <f t="shared" ca="1" si="279"/>
        <v>43.990385997117485</v>
      </c>
      <c r="HU109" s="36">
        <f t="shared" ca="1" si="276"/>
        <v>43.157870753496383</v>
      </c>
      <c r="HV109" s="36">
        <f t="shared" ca="1" si="276"/>
        <v>42.481344009351879</v>
      </c>
      <c r="HW109" s="36">
        <f t="shared" ca="1" si="276"/>
        <v>42.376149884035733</v>
      </c>
      <c r="HX109" s="36">
        <f t="shared" ca="1" si="276"/>
        <v>42.137940916148594</v>
      </c>
      <c r="HY109" s="36">
        <f t="shared" ca="1" si="276"/>
        <v>42.518326367133191</v>
      </c>
      <c r="HZ109" s="36">
        <f t="shared" ca="1" si="276"/>
        <v>42.773753235787062</v>
      </c>
      <c r="IA109" s="36">
        <f t="shared" ca="1" si="276"/>
        <v>41.727051157519668</v>
      </c>
      <c r="IB109" s="36">
        <f t="shared" ca="1" si="276"/>
        <v>41.590738455468042</v>
      </c>
      <c r="IC109" s="36">
        <f t="shared" ca="1" si="276"/>
        <v>41.425650544507647</v>
      </c>
      <c r="ID109" s="36">
        <f t="shared" ca="1" si="276"/>
        <v>42.109223578276435</v>
      </c>
      <c r="IE109" s="36">
        <f t="shared" ca="1" si="276"/>
        <v>42.763691437704466</v>
      </c>
      <c r="IF109" s="36">
        <f t="shared" ca="1" si="276"/>
        <v>42.044734103198721</v>
      </c>
      <c r="IG109" s="36">
        <f t="shared" ca="1" si="276"/>
        <v>42.415232070978206</v>
      </c>
      <c r="IH109" s="36">
        <f t="shared" ca="1" si="276"/>
        <v>42.341309757257953</v>
      </c>
      <c r="II109" s="36">
        <f t="shared" ca="1" si="276"/>
        <v>43.123017461303398</v>
      </c>
      <c r="IJ109" s="36">
        <f t="shared" ca="1" si="276"/>
        <v>43.487398685576139</v>
      </c>
      <c r="IK109" s="36">
        <f t="shared" ca="1" si="276"/>
        <v>43.08296445083937</v>
      </c>
      <c r="IL109" s="36">
        <f t="shared" ca="1" si="276"/>
        <v>43.474629116913633</v>
      </c>
      <c r="IM109" s="36">
        <f t="shared" ca="1" si="276"/>
        <v>43.618803832058688</v>
      </c>
      <c r="IN109" s="36">
        <f t="shared" ca="1" si="276"/>
        <v>43.154258880032053</v>
      </c>
      <c r="IO109" s="36">
        <f t="shared" ca="1" si="276"/>
        <v>43.140974597174278</v>
      </c>
      <c r="IP109" s="36">
        <f t="shared" ca="1" si="276"/>
        <v>43.050027230460948</v>
      </c>
      <c r="IQ109" s="36">
        <f t="shared" ca="1" si="276"/>
        <v>43.905787863088435</v>
      </c>
      <c r="IR109" s="36">
        <f t="shared" ca="1" si="276"/>
        <v>44.497797976345844</v>
      </c>
      <c r="IS109" s="36">
        <f t="shared" ca="1" si="276"/>
        <v>44.592639158259885</v>
      </c>
      <c r="IT109" s="36">
        <f t="shared" ca="1" si="276"/>
        <v>43.817455142320874</v>
      </c>
      <c r="IU109" s="36">
        <f t="shared" ca="1" si="276"/>
        <v>44.488864380567414</v>
      </c>
    </row>
    <row r="110" spans="1:255" x14ac:dyDescent="0.2">
      <c r="A110" s="36"/>
      <c r="B110">
        <v>100</v>
      </c>
      <c r="C110" s="36">
        <v>50</v>
      </c>
      <c r="D110" s="36">
        <f t="shared" ca="1" si="188"/>
        <v>49.484402683713128</v>
      </c>
      <c r="E110" s="36">
        <f t="shared" ca="1" si="188"/>
        <v>50.059186214529475</v>
      </c>
      <c r="F110" s="36">
        <f t="shared" ref="F110:BQ110" ca="1" si="280">E110*EXP(($B$3-$B$4^2/2)*1+$B$4*_xlfn.NORM.S.INV(RAND()))</f>
        <v>49.820802485155106</v>
      </c>
      <c r="G110" s="36">
        <f t="shared" ca="1" si="280"/>
        <v>49.114809911094078</v>
      </c>
      <c r="H110" s="36">
        <f t="shared" ca="1" si="280"/>
        <v>49.27257431057334</v>
      </c>
      <c r="I110" s="36">
        <f t="shared" ca="1" si="280"/>
        <v>50.358506775180437</v>
      </c>
      <c r="J110" s="36">
        <f t="shared" ca="1" si="280"/>
        <v>49.790162779701831</v>
      </c>
      <c r="K110" s="36">
        <f t="shared" ca="1" si="280"/>
        <v>49.942369694871637</v>
      </c>
      <c r="L110" s="36">
        <f t="shared" ca="1" si="280"/>
        <v>49.523666424218852</v>
      </c>
      <c r="M110" s="36">
        <f t="shared" ca="1" si="280"/>
        <v>49.606940655985376</v>
      </c>
      <c r="N110" s="36">
        <f t="shared" ca="1" si="280"/>
        <v>49.379070150868245</v>
      </c>
      <c r="O110" s="36">
        <f t="shared" ca="1" si="280"/>
        <v>48.864082154600823</v>
      </c>
      <c r="P110" s="36">
        <f t="shared" ca="1" si="280"/>
        <v>48.227319220447299</v>
      </c>
      <c r="Q110" s="36">
        <f t="shared" ca="1" si="280"/>
        <v>48.260832497971492</v>
      </c>
      <c r="R110" s="36">
        <f t="shared" ca="1" si="280"/>
        <v>49.128810928678796</v>
      </c>
      <c r="S110" s="36">
        <f t="shared" ca="1" si="280"/>
        <v>48.434857243916639</v>
      </c>
      <c r="T110" s="36">
        <f t="shared" ca="1" si="280"/>
        <v>48.924894458275283</v>
      </c>
      <c r="U110" s="36">
        <f t="shared" ca="1" si="280"/>
        <v>48.512525978932239</v>
      </c>
      <c r="V110" s="36">
        <f t="shared" ca="1" si="280"/>
        <v>48.277961998183919</v>
      </c>
      <c r="W110" s="36">
        <f t="shared" ca="1" si="280"/>
        <v>49.215995234502607</v>
      </c>
      <c r="X110" s="36">
        <f t="shared" ca="1" si="280"/>
        <v>49.861985670097162</v>
      </c>
      <c r="Y110" s="36">
        <f t="shared" ca="1" si="280"/>
        <v>49.566170783647792</v>
      </c>
      <c r="Z110" s="36">
        <f t="shared" ca="1" si="280"/>
        <v>49.256108816847352</v>
      </c>
      <c r="AA110" s="36">
        <f t="shared" ca="1" si="280"/>
        <v>49.487596126720739</v>
      </c>
      <c r="AB110" s="36">
        <f t="shared" ca="1" si="280"/>
        <v>49.486128996908235</v>
      </c>
      <c r="AC110" s="36">
        <f t="shared" ca="1" si="280"/>
        <v>49.266606562365567</v>
      </c>
      <c r="AD110" s="36">
        <f t="shared" ca="1" si="280"/>
        <v>49.418414259281597</v>
      </c>
      <c r="AE110" s="36">
        <f t="shared" ca="1" si="280"/>
        <v>48.836206364731261</v>
      </c>
      <c r="AF110" s="36">
        <f t="shared" ca="1" si="280"/>
        <v>49.80157802493153</v>
      </c>
      <c r="AG110" s="36">
        <f t="shared" ca="1" si="280"/>
        <v>48.065021876152734</v>
      </c>
      <c r="AH110" s="36">
        <f t="shared" ca="1" si="280"/>
        <v>47.634942775803609</v>
      </c>
      <c r="AI110" s="36">
        <f t="shared" ca="1" si="280"/>
        <v>47.437655507803505</v>
      </c>
      <c r="AJ110" s="36">
        <f t="shared" ca="1" si="280"/>
        <v>47.507069456065118</v>
      </c>
      <c r="AK110" s="36">
        <f t="shared" ca="1" si="280"/>
        <v>47.614047283029947</v>
      </c>
      <c r="AL110" s="36">
        <f t="shared" ca="1" si="280"/>
        <v>47.436766183197875</v>
      </c>
      <c r="AM110" s="36">
        <f t="shared" ca="1" si="280"/>
        <v>48.01784740913449</v>
      </c>
      <c r="AN110" s="36">
        <f t="shared" ca="1" si="280"/>
        <v>47.697547219937107</v>
      </c>
      <c r="AO110" s="36">
        <f t="shared" ca="1" si="280"/>
        <v>48.393227695170737</v>
      </c>
      <c r="AP110" s="36">
        <f t="shared" ca="1" si="280"/>
        <v>47.415051121910111</v>
      </c>
      <c r="AQ110" s="36">
        <f t="shared" ca="1" si="280"/>
        <v>48.198355551367783</v>
      </c>
      <c r="AR110" s="36">
        <f t="shared" ca="1" si="280"/>
        <v>48.058090627567658</v>
      </c>
      <c r="AS110" s="36">
        <f t="shared" ca="1" si="280"/>
        <v>48.163492506638804</v>
      </c>
      <c r="AT110" s="36">
        <f t="shared" ca="1" si="280"/>
        <v>48.341597464543135</v>
      </c>
      <c r="AU110" s="36">
        <f t="shared" ca="1" si="280"/>
        <v>48.767986044030607</v>
      </c>
      <c r="AV110" s="36">
        <f t="shared" ca="1" si="280"/>
        <v>49.386123534276294</v>
      </c>
      <c r="AW110" s="36">
        <f t="shared" ca="1" si="280"/>
        <v>49.870096094821001</v>
      </c>
      <c r="AX110" s="36">
        <f t="shared" ca="1" si="280"/>
        <v>51.193675968464646</v>
      </c>
      <c r="AY110" s="36">
        <f t="shared" ca="1" si="280"/>
        <v>51.746853755012651</v>
      </c>
      <c r="AZ110" s="36">
        <f t="shared" ca="1" si="280"/>
        <v>51.010488437407609</v>
      </c>
      <c r="BA110" s="36">
        <f t="shared" ca="1" si="280"/>
        <v>51.716045656319885</v>
      </c>
      <c r="BB110" s="36">
        <f t="shared" ca="1" si="280"/>
        <v>51.122220516780665</v>
      </c>
      <c r="BC110" s="36">
        <f t="shared" ca="1" si="280"/>
        <v>50.93532463587789</v>
      </c>
      <c r="BD110" s="36">
        <f t="shared" ca="1" si="280"/>
        <v>51.01179687779409</v>
      </c>
      <c r="BE110" s="36">
        <f t="shared" ca="1" si="280"/>
        <v>51.406178107799199</v>
      </c>
      <c r="BF110" s="36">
        <f t="shared" ca="1" si="280"/>
        <v>50.788815476169447</v>
      </c>
      <c r="BG110" s="36">
        <f t="shared" ca="1" si="280"/>
        <v>50.475276623728959</v>
      </c>
      <c r="BH110" s="36">
        <f t="shared" ca="1" si="280"/>
        <v>49.564343766493991</v>
      </c>
      <c r="BI110" s="36">
        <f t="shared" ca="1" si="280"/>
        <v>48.60588544988056</v>
      </c>
      <c r="BJ110" s="36">
        <f t="shared" ca="1" si="280"/>
        <v>48.66544908743186</v>
      </c>
      <c r="BK110" s="36">
        <f t="shared" ca="1" si="280"/>
        <v>48.097301480958237</v>
      </c>
      <c r="BL110" s="36">
        <f t="shared" ca="1" si="280"/>
        <v>48.300876212634741</v>
      </c>
      <c r="BM110" s="36">
        <f t="shared" ca="1" si="280"/>
        <v>48.54930188718744</v>
      </c>
      <c r="BN110" s="36">
        <f t="shared" ca="1" si="280"/>
        <v>49.002969904078668</v>
      </c>
      <c r="BO110" s="36">
        <f t="shared" ca="1" si="280"/>
        <v>48.466792658809624</v>
      </c>
      <c r="BP110" s="36">
        <f t="shared" ca="1" si="280"/>
        <v>48.705605520862015</v>
      </c>
      <c r="BQ110" s="36">
        <f t="shared" ca="1" si="280"/>
        <v>48.547621641904016</v>
      </c>
      <c r="BR110" s="36">
        <f t="shared" ca="1" si="277"/>
        <v>49.665585227586192</v>
      </c>
      <c r="BS110" s="36">
        <f t="shared" ca="1" si="277"/>
        <v>48.777233331098266</v>
      </c>
      <c r="BT110" s="36">
        <f t="shared" ca="1" si="277"/>
        <v>49.668200475356173</v>
      </c>
      <c r="BU110" s="36">
        <f t="shared" ca="1" si="277"/>
        <v>49.392021716969367</v>
      </c>
      <c r="BV110" s="36">
        <f t="shared" ca="1" si="277"/>
        <v>49.458504135804816</v>
      </c>
      <c r="BW110" s="36">
        <f t="shared" ca="1" si="277"/>
        <v>49.644338419768147</v>
      </c>
      <c r="BX110" s="36">
        <f t="shared" ca="1" si="277"/>
        <v>49.952986753597777</v>
      </c>
      <c r="BY110" s="36">
        <f t="shared" ca="1" si="277"/>
        <v>50.664596400758974</v>
      </c>
      <c r="BZ110" s="36">
        <f t="shared" ca="1" si="277"/>
        <v>49.185771467145649</v>
      </c>
      <c r="CA110" s="36">
        <f t="shared" ca="1" si="277"/>
        <v>49.288446422997517</v>
      </c>
      <c r="CB110" s="36">
        <f t="shared" ca="1" si="277"/>
        <v>49.220321988519736</v>
      </c>
      <c r="CC110" s="36">
        <f t="shared" ca="1" si="277"/>
        <v>49.582397634590073</v>
      </c>
      <c r="CD110" s="36">
        <f t="shared" ca="1" si="277"/>
        <v>49.755578470968572</v>
      </c>
      <c r="CE110" s="36">
        <f t="shared" ca="1" si="277"/>
        <v>49.459329400927473</v>
      </c>
      <c r="CF110" s="36">
        <f t="shared" ca="1" si="277"/>
        <v>49.707177073189342</v>
      </c>
      <c r="CG110" s="36">
        <f t="shared" ca="1" si="277"/>
        <v>49.726406054518179</v>
      </c>
      <c r="CH110" s="36">
        <f t="shared" ca="1" si="277"/>
        <v>50.998710836735953</v>
      </c>
      <c r="CI110" s="36">
        <f t="shared" ca="1" si="277"/>
        <v>49.72384384875933</v>
      </c>
      <c r="CJ110" s="36">
        <f t="shared" ca="1" si="277"/>
        <v>49.196216364273262</v>
      </c>
      <c r="CK110" s="36">
        <f t="shared" ca="1" si="277"/>
        <v>49.007007842074508</v>
      </c>
      <c r="CL110" s="36">
        <f t="shared" ca="1" si="277"/>
        <v>48.27766044450577</v>
      </c>
      <c r="CM110" s="36">
        <f t="shared" ca="1" si="277"/>
        <v>47.306603946717487</v>
      </c>
      <c r="CN110" s="36">
        <f t="shared" ca="1" si="277"/>
        <v>47.636803612338213</v>
      </c>
      <c r="CO110" s="36">
        <f t="shared" ca="1" si="277"/>
        <v>48.039734515639289</v>
      </c>
      <c r="CP110" s="36">
        <f t="shared" ca="1" si="277"/>
        <v>46.430873535444974</v>
      </c>
      <c r="CQ110" s="36">
        <f t="shared" ca="1" si="277"/>
        <v>46.429057691389502</v>
      </c>
      <c r="CR110" s="36">
        <f t="shared" ca="1" si="277"/>
        <v>46.248265542516499</v>
      </c>
      <c r="CS110" s="36">
        <f t="shared" ca="1" si="277"/>
        <v>46.63782937631747</v>
      </c>
      <c r="CT110" s="36">
        <f t="shared" ca="1" si="277"/>
        <v>46.7355837427626</v>
      </c>
      <c r="CU110" s="36">
        <f t="shared" ca="1" si="277"/>
        <v>47.301294126811349</v>
      </c>
      <c r="CV110" s="36">
        <f t="shared" ca="1" si="277"/>
        <v>47.306454787466429</v>
      </c>
      <c r="CW110" s="36">
        <f t="shared" ca="1" si="277"/>
        <v>47.696003837326941</v>
      </c>
      <c r="CX110" s="36">
        <f t="shared" ca="1" si="277"/>
        <v>47.692043859168848</v>
      </c>
      <c r="CY110" s="36">
        <f t="shared" ca="1" si="277"/>
        <v>48.757385368772894</v>
      </c>
      <c r="CZ110" s="36">
        <f t="shared" ca="1" si="277"/>
        <v>48.320555622580521</v>
      </c>
      <c r="DA110" s="36">
        <f t="shared" ca="1" si="277"/>
        <v>47.815582137387324</v>
      </c>
      <c r="DB110" s="36">
        <f t="shared" ca="1" si="277"/>
        <v>48.016402311743647</v>
      </c>
      <c r="DC110" s="36">
        <f t="shared" ca="1" si="277"/>
        <v>47.243287935097364</v>
      </c>
      <c r="DD110" s="36">
        <f t="shared" ca="1" si="277"/>
        <v>47.437159359885882</v>
      </c>
      <c r="DE110" s="36">
        <f t="shared" ca="1" si="277"/>
        <v>48.111688029366135</v>
      </c>
      <c r="DF110" s="36">
        <f t="shared" ca="1" si="277"/>
        <v>49.930842550019911</v>
      </c>
      <c r="DG110" s="36">
        <f t="shared" ca="1" si="277"/>
        <v>48.48487363134592</v>
      </c>
      <c r="DH110" s="36">
        <f t="shared" ca="1" si="277"/>
        <v>48.047029811357206</v>
      </c>
      <c r="DI110" s="36">
        <f t="shared" ca="1" si="277"/>
        <v>48.459455731125281</v>
      </c>
      <c r="DJ110" s="36">
        <f t="shared" ca="1" si="277"/>
        <v>48.656761835071286</v>
      </c>
      <c r="DK110" s="36">
        <f t="shared" ca="1" si="277"/>
        <v>49.694673019393257</v>
      </c>
      <c r="DL110" s="36">
        <f t="shared" ca="1" si="277"/>
        <v>49.630259428380022</v>
      </c>
      <c r="DM110" s="36">
        <f t="shared" ca="1" si="277"/>
        <v>50.393102303221021</v>
      </c>
      <c r="DN110" s="36">
        <f t="shared" ca="1" si="277"/>
        <v>50.733466378333347</v>
      </c>
      <c r="DO110" s="36">
        <f t="shared" ca="1" si="277"/>
        <v>50.593834918778001</v>
      </c>
      <c r="DP110" s="36">
        <f t="shared" ca="1" si="277"/>
        <v>51.108563700059058</v>
      </c>
      <c r="DQ110" s="36">
        <f t="shared" ca="1" si="277"/>
        <v>51.047325704001224</v>
      </c>
      <c r="DR110" s="36">
        <f t="shared" ca="1" si="277"/>
        <v>50.958619673221172</v>
      </c>
      <c r="DS110" s="36">
        <f t="shared" ca="1" si="277"/>
        <v>50.717345136908449</v>
      </c>
      <c r="DT110" s="36">
        <f t="shared" ca="1" si="277"/>
        <v>50.566680476936092</v>
      </c>
      <c r="DU110" s="36">
        <f t="shared" ca="1" si="277"/>
        <v>50.599992661648066</v>
      </c>
      <c r="DV110" s="36">
        <f t="shared" ca="1" si="277"/>
        <v>51.692685400062963</v>
      </c>
      <c r="DW110" s="36">
        <f t="shared" ca="1" si="277"/>
        <v>52.13704003546394</v>
      </c>
      <c r="DX110" s="36">
        <f t="shared" ca="1" si="277"/>
        <v>52.145955015763874</v>
      </c>
      <c r="DY110" s="36">
        <f t="shared" ca="1" si="277"/>
        <v>51.6806079382173</v>
      </c>
      <c r="DZ110" s="36">
        <f t="shared" ca="1" si="277"/>
        <v>51.418720861305665</v>
      </c>
      <c r="EA110" s="36">
        <f t="shared" ca="1" si="277"/>
        <v>51.097394165462639</v>
      </c>
      <c r="EB110" s="36">
        <f t="shared" ca="1" si="277"/>
        <v>51.478607961381833</v>
      </c>
      <c r="EC110" s="36">
        <f t="shared" ca="1" si="271"/>
        <v>50.451838638116868</v>
      </c>
      <c r="ED110" s="36">
        <f t="shared" ca="1" si="271"/>
        <v>49.845185614079561</v>
      </c>
      <c r="EE110" s="36">
        <f t="shared" ca="1" si="271"/>
        <v>49.894786106110971</v>
      </c>
      <c r="EF110" s="36">
        <f t="shared" ca="1" si="271"/>
        <v>50.296336288338885</v>
      </c>
      <c r="EG110" s="36">
        <f t="shared" ca="1" si="271"/>
        <v>50.567141819417635</v>
      </c>
      <c r="EH110" s="36">
        <f t="shared" ca="1" si="271"/>
        <v>50.163130007990794</v>
      </c>
      <c r="EI110" s="36">
        <f t="shared" ca="1" si="271"/>
        <v>49.650320951465964</v>
      </c>
      <c r="EJ110" s="36">
        <f t="shared" ca="1" si="271"/>
        <v>50.004322574038348</v>
      </c>
      <c r="EK110" s="36">
        <f t="shared" ca="1" si="271"/>
        <v>49.762506158349041</v>
      </c>
      <c r="EL110" s="36">
        <f t="shared" ca="1" si="271"/>
        <v>50.788360059584903</v>
      </c>
      <c r="EM110" s="36">
        <f t="shared" ca="1" si="271"/>
        <v>51.77685397882518</v>
      </c>
      <c r="EN110" s="36">
        <f t="shared" ca="1" si="271"/>
        <v>51.576623555470292</v>
      </c>
      <c r="EO110" s="36">
        <f t="shared" ca="1" si="271"/>
        <v>53.210153507736251</v>
      </c>
      <c r="EP110" s="36">
        <f t="shared" ca="1" si="271"/>
        <v>54.133186871264385</v>
      </c>
      <c r="EQ110" s="36">
        <f t="shared" ca="1" si="271"/>
        <v>54.377997791155934</v>
      </c>
      <c r="ER110" s="36">
        <f t="shared" ca="1" si="271"/>
        <v>55.249155618218005</v>
      </c>
      <c r="ES110" s="36">
        <f t="shared" ca="1" si="271"/>
        <v>53.963955906225458</v>
      </c>
      <c r="ET110" s="36">
        <f t="shared" ca="1" si="271"/>
        <v>54.210316391510446</v>
      </c>
      <c r="EU110" s="36">
        <f t="shared" ca="1" si="271"/>
        <v>54.410214005307196</v>
      </c>
      <c r="EV110" s="36">
        <f t="shared" ca="1" si="271"/>
        <v>54.183015863593518</v>
      </c>
      <c r="EW110" s="36">
        <f t="shared" ref="EW110:HH110" ca="1" si="281">EV110*EXP(($B$3-$B$4^2/2)*1+$B$4*_xlfn.NORM.S.INV(RAND()))</f>
        <v>54.240540836616155</v>
      </c>
      <c r="EX110" s="36">
        <f t="shared" ca="1" si="281"/>
        <v>54.277329350363559</v>
      </c>
      <c r="EY110" s="36">
        <f t="shared" ca="1" si="281"/>
        <v>55.306606493641972</v>
      </c>
      <c r="EZ110" s="36">
        <f t="shared" ca="1" si="281"/>
        <v>56.477632646795534</v>
      </c>
      <c r="FA110" s="36">
        <f t="shared" ca="1" si="281"/>
        <v>56.564779669644807</v>
      </c>
      <c r="FB110" s="36">
        <f t="shared" ca="1" si="281"/>
        <v>56.874745462013166</v>
      </c>
      <c r="FC110" s="36">
        <f t="shared" ca="1" si="281"/>
        <v>55.964932071353786</v>
      </c>
      <c r="FD110" s="36">
        <f t="shared" ca="1" si="281"/>
        <v>55.281450888191635</v>
      </c>
      <c r="FE110" s="36">
        <f t="shared" ca="1" si="281"/>
        <v>55.001604602720697</v>
      </c>
      <c r="FF110" s="36">
        <f t="shared" ca="1" si="281"/>
        <v>55.980467788913558</v>
      </c>
      <c r="FG110" s="36">
        <f t="shared" ca="1" si="281"/>
        <v>55.097004277199524</v>
      </c>
      <c r="FH110" s="36">
        <f t="shared" ca="1" si="281"/>
        <v>55.8510369930232</v>
      </c>
      <c r="FI110" s="36">
        <f t="shared" ca="1" si="281"/>
        <v>55.404760725019656</v>
      </c>
      <c r="FJ110" s="36">
        <f t="shared" ca="1" si="281"/>
        <v>55.433748152101302</v>
      </c>
      <c r="FK110" s="36">
        <f t="shared" ca="1" si="281"/>
        <v>55.028967510498411</v>
      </c>
      <c r="FL110" s="36">
        <f t="shared" ca="1" si="281"/>
        <v>54.801920308103895</v>
      </c>
      <c r="FM110" s="36">
        <f t="shared" ca="1" si="281"/>
        <v>55.641035525028251</v>
      </c>
      <c r="FN110" s="36">
        <f t="shared" ca="1" si="281"/>
        <v>55.820429192734359</v>
      </c>
      <c r="FO110" s="36">
        <f t="shared" ca="1" si="281"/>
        <v>55.830200551172204</v>
      </c>
      <c r="FP110" s="36">
        <f t="shared" ca="1" si="281"/>
        <v>56.805074850751929</v>
      </c>
      <c r="FQ110" s="36">
        <f t="shared" ca="1" si="281"/>
        <v>58.183600871881318</v>
      </c>
      <c r="FR110" s="36">
        <f t="shared" ca="1" si="281"/>
        <v>58.983292232146134</v>
      </c>
      <c r="FS110" s="36">
        <f t="shared" ca="1" si="281"/>
        <v>59.577434598066731</v>
      </c>
      <c r="FT110" s="36">
        <f t="shared" ca="1" si="281"/>
        <v>58.673002840152385</v>
      </c>
      <c r="FU110" s="36">
        <f t="shared" ca="1" si="281"/>
        <v>58.581573328857026</v>
      </c>
      <c r="FV110" s="36">
        <f t="shared" ca="1" si="281"/>
        <v>59.585884105234044</v>
      </c>
      <c r="FW110" s="36">
        <f t="shared" ca="1" si="281"/>
        <v>59.602355540239266</v>
      </c>
      <c r="FX110" s="36">
        <f t="shared" ca="1" si="281"/>
        <v>59.547474742741812</v>
      </c>
      <c r="FY110" s="36">
        <f t="shared" ca="1" si="281"/>
        <v>60.539901854261053</v>
      </c>
      <c r="FZ110" s="36">
        <f t="shared" ca="1" si="281"/>
        <v>60.836200474893744</v>
      </c>
      <c r="GA110" s="36">
        <f t="shared" ca="1" si="281"/>
        <v>61.436536562553322</v>
      </c>
      <c r="GB110" s="36">
        <f t="shared" ca="1" si="281"/>
        <v>60.603771690590868</v>
      </c>
      <c r="GC110" s="36">
        <f t="shared" ca="1" si="281"/>
        <v>62.323478417582479</v>
      </c>
      <c r="GD110" s="36">
        <f t="shared" ca="1" si="281"/>
        <v>61.719011004087413</v>
      </c>
      <c r="GE110" s="36">
        <f t="shared" ca="1" si="281"/>
        <v>61.027385188535128</v>
      </c>
      <c r="GF110" s="36">
        <f t="shared" ca="1" si="281"/>
        <v>59.887661932885997</v>
      </c>
      <c r="GG110" s="36">
        <f t="shared" ca="1" si="281"/>
        <v>61.047504202623628</v>
      </c>
      <c r="GH110" s="36">
        <f t="shared" ca="1" si="281"/>
        <v>60.699202375569108</v>
      </c>
      <c r="GI110" s="36">
        <f t="shared" ca="1" si="281"/>
        <v>61.403132064582408</v>
      </c>
      <c r="GJ110" s="36">
        <f t="shared" ca="1" si="281"/>
        <v>61.428970503922692</v>
      </c>
      <c r="GK110" s="36">
        <f t="shared" ca="1" si="281"/>
        <v>62.328340900862401</v>
      </c>
      <c r="GL110" s="36">
        <f t="shared" ca="1" si="281"/>
        <v>63.496496289485059</v>
      </c>
      <c r="GM110" s="36">
        <f t="shared" ca="1" si="281"/>
        <v>62.368420036661306</v>
      </c>
      <c r="GN110" s="36">
        <f t="shared" ca="1" si="281"/>
        <v>61.832568790362245</v>
      </c>
      <c r="GO110" s="36">
        <f t="shared" ca="1" si="281"/>
        <v>61.635256270684195</v>
      </c>
      <c r="GP110" s="36">
        <f t="shared" ca="1" si="281"/>
        <v>61.405129926339136</v>
      </c>
      <c r="GQ110" s="36">
        <f t="shared" ca="1" si="281"/>
        <v>61.142138148330758</v>
      </c>
      <c r="GR110" s="36">
        <f t="shared" ca="1" si="281"/>
        <v>61.106511359277711</v>
      </c>
      <c r="GS110" s="36">
        <f t="shared" ca="1" si="281"/>
        <v>60.497926340095994</v>
      </c>
      <c r="GT110" s="36">
        <f t="shared" ca="1" si="281"/>
        <v>60.348819648298175</v>
      </c>
      <c r="GU110" s="36">
        <f t="shared" ca="1" si="281"/>
        <v>61.26509564057212</v>
      </c>
      <c r="GV110" s="36">
        <f t="shared" ca="1" si="281"/>
        <v>61.115866851355712</v>
      </c>
      <c r="GW110" s="36">
        <f t="shared" ca="1" si="281"/>
        <v>61.161820718803092</v>
      </c>
      <c r="GX110" s="36">
        <f t="shared" ca="1" si="281"/>
        <v>62.054636162894667</v>
      </c>
      <c r="GY110" s="36">
        <f t="shared" ca="1" si="281"/>
        <v>62.010556623158308</v>
      </c>
      <c r="GZ110" s="36">
        <f t="shared" ca="1" si="281"/>
        <v>61.287527070585035</v>
      </c>
      <c r="HA110" s="36">
        <f t="shared" ca="1" si="281"/>
        <v>61.420622372240146</v>
      </c>
      <c r="HB110" s="36">
        <f t="shared" ca="1" si="281"/>
        <v>61.244198545134381</v>
      </c>
      <c r="HC110" s="36">
        <f t="shared" ca="1" si="281"/>
        <v>63.158366236973897</v>
      </c>
      <c r="HD110" s="36">
        <f t="shared" ca="1" si="281"/>
        <v>63.965588813625509</v>
      </c>
      <c r="HE110" s="36">
        <f t="shared" ca="1" si="281"/>
        <v>65.254435002546685</v>
      </c>
      <c r="HF110" s="36">
        <f t="shared" ca="1" si="281"/>
        <v>66.085398137246031</v>
      </c>
      <c r="HG110" s="36">
        <f t="shared" ca="1" si="281"/>
        <v>65.886082698372064</v>
      </c>
      <c r="HH110" s="36">
        <f t="shared" ca="1" si="281"/>
        <v>65.560117596876793</v>
      </c>
      <c r="HI110" s="36">
        <f t="shared" ref="HI110:IU110" ca="1" si="282">HH110*EXP(($B$3-$B$4^2/2)*1+$B$4*_xlfn.NORM.S.INV(RAND()))</f>
        <v>65.697495455189241</v>
      </c>
      <c r="HJ110" s="36">
        <f t="shared" ca="1" si="282"/>
        <v>65.814991304599744</v>
      </c>
      <c r="HK110" s="36">
        <f t="shared" ca="1" si="282"/>
        <v>66.203908638667201</v>
      </c>
      <c r="HL110" s="36">
        <f t="shared" ca="1" si="282"/>
        <v>65.084949123879568</v>
      </c>
      <c r="HM110" s="36">
        <f t="shared" ca="1" si="282"/>
        <v>66.29966116219704</v>
      </c>
      <c r="HN110" s="36">
        <f t="shared" ca="1" si="282"/>
        <v>65.046990008309479</v>
      </c>
      <c r="HO110" s="36">
        <f t="shared" ca="1" si="282"/>
        <v>64.78918736351136</v>
      </c>
      <c r="HP110" s="36">
        <f t="shared" ca="1" si="282"/>
        <v>63.486429834193217</v>
      </c>
      <c r="HQ110" s="36">
        <f t="shared" ca="1" si="282"/>
        <v>63.445053774713912</v>
      </c>
      <c r="HR110" s="36">
        <f t="shared" ca="1" si="282"/>
        <v>63.548855372217481</v>
      </c>
      <c r="HS110" s="36">
        <f t="shared" ca="1" si="282"/>
        <v>63.128709869089271</v>
      </c>
      <c r="HT110" s="36">
        <f t="shared" ca="1" si="282"/>
        <v>63.240891839897948</v>
      </c>
      <c r="HU110" s="36">
        <f t="shared" ca="1" si="282"/>
        <v>64.535082088651365</v>
      </c>
      <c r="HV110" s="36">
        <f t="shared" ca="1" si="282"/>
        <v>64.560754975149536</v>
      </c>
      <c r="HW110" s="36">
        <f t="shared" ca="1" si="282"/>
        <v>65.487308181853436</v>
      </c>
      <c r="HX110" s="36">
        <f t="shared" ca="1" si="282"/>
        <v>64.363334488094793</v>
      </c>
      <c r="HY110" s="36">
        <f t="shared" ca="1" si="282"/>
        <v>64.046627341798839</v>
      </c>
      <c r="HZ110" s="36">
        <f t="shared" ca="1" si="282"/>
        <v>65.098207001393291</v>
      </c>
      <c r="IA110" s="36">
        <f t="shared" ca="1" si="282"/>
        <v>65.541775384797276</v>
      </c>
      <c r="IB110" s="36">
        <f t="shared" ca="1" si="282"/>
        <v>65.580436989169883</v>
      </c>
      <c r="IC110" s="36">
        <f t="shared" ca="1" si="282"/>
        <v>65.806984834380856</v>
      </c>
      <c r="ID110" s="36">
        <f t="shared" ca="1" si="282"/>
        <v>64.777939838276396</v>
      </c>
      <c r="IE110" s="36">
        <f t="shared" ca="1" si="282"/>
        <v>65.054042275815291</v>
      </c>
      <c r="IF110" s="36">
        <f t="shared" ca="1" si="282"/>
        <v>65.28422146620133</v>
      </c>
      <c r="IG110" s="36">
        <f t="shared" ca="1" si="282"/>
        <v>64.851285635320124</v>
      </c>
      <c r="IH110" s="36">
        <f t="shared" ca="1" si="282"/>
        <v>64.73389682634847</v>
      </c>
      <c r="II110" s="36">
        <f t="shared" ca="1" si="282"/>
        <v>65.141635875318499</v>
      </c>
      <c r="IJ110" s="36">
        <f t="shared" ca="1" si="282"/>
        <v>65.687979052933642</v>
      </c>
      <c r="IK110" s="36">
        <f t="shared" ca="1" si="282"/>
        <v>65.582892306699449</v>
      </c>
      <c r="IL110" s="36">
        <f t="shared" ca="1" si="282"/>
        <v>64.940707398275663</v>
      </c>
      <c r="IM110" s="36">
        <f t="shared" ca="1" si="282"/>
        <v>65.410926655041294</v>
      </c>
      <c r="IN110" s="36">
        <f t="shared" ca="1" si="282"/>
        <v>65.704133687249467</v>
      </c>
      <c r="IO110" s="36">
        <f t="shared" ca="1" si="282"/>
        <v>66.87451124207206</v>
      </c>
      <c r="IP110" s="36">
        <f t="shared" ca="1" si="282"/>
        <v>67.354914375195307</v>
      </c>
      <c r="IQ110" s="36">
        <f t="shared" ca="1" si="282"/>
        <v>67.121929720940457</v>
      </c>
      <c r="IR110" s="36">
        <f t="shared" ca="1" si="282"/>
        <v>67.860928907548683</v>
      </c>
      <c r="IS110" s="36">
        <f t="shared" ca="1" si="282"/>
        <v>68.410956897403423</v>
      </c>
      <c r="IT110" s="36">
        <f t="shared" ca="1" si="282"/>
        <v>68.741306560392644</v>
      </c>
      <c r="IU110" s="36">
        <f t="shared" ca="1" si="282"/>
        <v>67.899131668051922</v>
      </c>
    </row>
    <row r="111" spans="1:255" x14ac:dyDescent="0.2">
      <c r="A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row>
    <row r="112" spans="1:255" x14ac:dyDescent="0.2">
      <c r="A112" s="36"/>
      <c r="C112" s="36"/>
      <c r="D112" s="36"/>
      <c r="E112" s="36"/>
      <c r="F112" s="36"/>
      <c r="G112" s="36"/>
      <c r="H112" s="36"/>
      <c r="I112" s="36"/>
      <c r="J112" s="36"/>
      <c r="K112" s="36"/>
      <c r="L112" s="36"/>
      <c r="M112" s="36"/>
      <c r="N112" s="36"/>
      <c r="O112" s="36"/>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36"/>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row>
    <row r="113" spans="1:103" x14ac:dyDescent="0.2">
      <c r="A113" s="36"/>
      <c r="C113" s="36"/>
      <c r="D113" s="36"/>
      <c r="E113" s="36"/>
      <c r="F113" s="36"/>
      <c r="G113" s="36"/>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36"/>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row>
    <row r="114" spans="1:103" x14ac:dyDescent="0.2">
      <c r="A114" s="36"/>
      <c r="C114" s="36"/>
      <c r="D114" s="36"/>
      <c r="E114" s="36"/>
      <c r="F114" s="36"/>
      <c r="G114" s="36"/>
      <c r="H114" s="36"/>
      <c r="I114" s="36"/>
      <c r="J114" s="36"/>
      <c r="K114" s="36"/>
      <c r="L114" s="36"/>
      <c r="M114" s="36"/>
      <c r="N114" s="36"/>
      <c r="O114" s="36"/>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36"/>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row>
    <row r="115" spans="1:103" x14ac:dyDescent="0.2">
      <c r="A115" s="36"/>
      <c r="C115" s="36"/>
      <c r="D115" s="36"/>
      <c r="E115" s="36"/>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row>
    <row r="116" spans="1:103" x14ac:dyDescent="0.2">
      <c r="A116" s="36"/>
      <c r="C116" s="36"/>
      <c r="D116" s="36"/>
      <c r="E116" s="36"/>
      <c r="F116" s="36"/>
      <c r="G116" s="36"/>
      <c r="H116" s="36"/>
      <c r="I116" s="36"/>
      <c r="J116" s="36"/>
      <c r="K116" s="36"/>
      <c r="L116" s="36"/>
      <c r="M116" s="36"/>
      <c r="N116" s="36"/>
      <c r="O116" s="36"/>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row>
    <row r="117" spans="1:103" x14ac:dyDescent="0.2">
      <c r="A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row>
    <row r="118" spans="1:103" x14ac:dyDescent="0.2">
      <c r="A118" s="36"/>
      <c r="C118" s="36"/>
      <c r="D118" s="36"/>
      <c r="E118" s="36"/>
      <c r="F118" s="36"/>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row>
    <row r="119" spans="1:103" x14ac:dyDescent="0.2">
      <c r="A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row>
    <row r="120" spans="1:103" x14ac:dyDescent="0.2">
      <c r="A120" s="36"/>
      <c r="C120" s="36"/>
      <c r="D120" s="36"/>
      <c r="E120" s="36"/>
      <c r="F120" s="36"/>
      <c r="G120" s="36"/>
      <c r="H120" s="36"/>
      <c r="I120" s="36"/>
      <c r="J120" s="36"/>
      <c r="K120" s="36"/>
      <c r="L120" s="36"/>
      <c r="M120" s="36"/>
      <c r="N120" s="36"/>
      <c r="O120" s="36"/>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row>
    <row r="121" spans="1:103" x14ac:dyDescent="0.2">
      <c r="A121" s="36"/>
      <c r="C121" s="36"/>
      <c r="D121" s="36"/>
      <c r="E121" s="36"/>
      <c r="F121" s="36"/>
      <c r="G121" s="36"/>
      <c r="H121" s="36"/>
      <c r="I121" s="36"/>
      <c r="J121" s="36"/>
      <c r="K121" s="36"/>
      <c r="L121" s="36"/>
      <c r="M121" s="36"/>
      <c r="N121" s="36"/>
      <c r="O121" s="36"/>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row>
    <row r="122" spans="1:103" x14ac:dyDescent="0.2">
      <c r="A122" s="36"/>
      <c r="C122" s="36"/>
      <c r="D122" s="36"/>
      <c r="E122" s="36"/>
      <c r="F122" s="36"/>
      <c r="G122" s="36"/>
      <c r="H122" s="36"/>
      <c r="I122" s="36"/>
      <c r="J122" s="36"/>
      <c r="K122" s="36"/>
      <c r="L122" s="36"/>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row>
    <row r="123" spans="1:103" x14ac:dyDescent="0.2">
      <c r="A123" s="36"/>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row>
    <row r="124" spans="1:103" x14ac:dyDescent="0.2">
      <c r="A124" s="36"/>
      <c r="C124" s="36"/>
      <c r="D124" s="36"/>
      <c r="E124" s="36"/>
      <c r="F124" s="36"/>
      <c r="G124" s="36"/>
      <c r="H124" s="36"/>
      <c r="I124" s="36"/>
      <c r="J124" s="36"/>
      <c r="K124" s="36"/>
      <c r="L124" s="36"/>
      <c r="M124" s="36"/>
      <c r="N124" s="36"/>
      <c r="O124" s="36"/>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row>
    <row r="125" spans="1:103" x14ac:dyDescent="0.2">
      <c r="A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row>
    <row r="126" spans="1:103" x14ac:dyDescent="0.2">
      <c r="A126" s="36"/>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row>
    <row r="127" spans="1:103" x14ac:dyDescent="0.2">
      <c r="A127" s="36"/>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row>
    <row r="128" spans="1:103" x14ac:dyDescent="0.2">
      <c r="A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row>
    <row r="129" spans="1:103" x14ac:dyDescent="0.2">
      <c r="A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row>
    <row r="130" spans="1:103" x14ac:dyDescent="0.2">
      <c r="A130" s="36"/>
      <c r="C130" s="36"/>
      <c r="D130" s="36"/>
      <c r="E130" s="36"/>
      <c r="F130" s="36"/>
      <c r="G130" s="36"/>
      <c r="H130" s="36"/>
      <c r="I130" s="36"/>
      <c r="J130" s="36"/>
      <c r="K130" s="36"/>
      <c r="L130" s="36"/>
      <c r="M130" s="36"/>
      <c r="N130" s="36"/>
      <c r="O130" s="36"/>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row>
    <row r="131" spans="1:103" x14ac:dyDescent="0.2">
      <c r="A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row>
    <row r="132" spans="1:103" x14ac:dyDescent="0.2">
      <c r="A132" s="36"/>
      <c r="C132" s="36"/>
      <c r="D132" s="36"/>
      <c r="E132" s="36"/>
      <c r="F132" s="36"/>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row>
    <row r="133" spans="1:103" x14ac:dyDescent="0.2">
      <c r="A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row>
    <row r="134" spans="1:103" x14ac:dyDescent="0.2">
      <c r="A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row>
    <row r="135" spans="1:103" x14ac:dyDescent="0.2">
      <c r="A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row>
    <row r="136" spans="1:103" x14ac:dyDescent="0.2">
      <c r="A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row>
    <row r="137" spans="1:103" x14ac:dyDescent="0.2">
      <c r="A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row>
    <row r="138" spans="1:103" x14ac:dyDescent="0.2">
      <c r="A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row>
    <row r="139" spans="1:103" x14ac:dyDescent="0.2">
      <c r="A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row>
    <row r="140" spans="1:103" x14ac:dyDescent="0.2">
      <c r="A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row>
    <row r="141" spans="1:103" x14ac:dyDescent="0.2">
      <c r="A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row>
    <row r="142" spans="1:103" x14ac:dyDescent="0.2">
      <c r="A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row>
    <row r="143" spans="1:103" x14ac:dyDescent="0.2">
      <c r="A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row>
    <row r="144" spans="1:103" x14ac:dyDescent="0.2">
      <c r="A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row>
    <row r="145" spans="1:103" x14ac:dyDescent="0.2">
      <c r="A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row>
    <row r="146" spans="1:103" x14ac:dyDescent="0.2">
      <c r="A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row>
    <row r="147" spans="1:103" x14ac:dyDescent="0.2">
      <c r="A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row>
    <row r="148" spans="1:103" x14ac:dyDescent="0.2">
      <c r="A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row>
    <row r="149" spans="1:103" x14ac:dyDescent="0.2">
      <c r="A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row>
    <row r="150" spans="1:103" x14ac:dyDescent="0.2">
      <c r="A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row>
    <row r="151" spans="1:103" x14ac:dyDescent="0.2">
      <c r="A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row>
    <row r="152" spans="1:103" x14ac:dyDescent="0.2">
      <c r="A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row>
    <row r="153" spans="1:103" x14ac:dyDescent="0.2">
      <c r="A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row>
    <row r="154" spans="1:103" x14ac:dyDescent="0.2">
      <c r="A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row>
    <row r="155" spans="1:103" x14ac:dyDescent="0.2">
      <c r="A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row>
    <row r="156" spans="1:103" x14ac:dyDescent="0.2">
      <c r="A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row>
    <row r="157" spans="1:103" x14ac:dyDescent="0.2">
      <c r="A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row>
    <row r="158" spans="1:103" x14ac:dyDescent="0.2">
      <c r="A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row>
    <row r="159" spans="1:103" x14ac:dyDescent="0.2">
      <c r="A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row>
    <row r="160" spans="1:103" x14ac:dyDescent="0.2">
      <c r="A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36"/>
      <c r="BD160" s="36"/>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row>
    <row r="161" spans="1:103" x14ac:dyDescent="0.2">
      <c r="A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row>
    <row r="162" spans="1:103" x14ac:dyDescent="0.2">
      <c r="A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36"/>
      <c r="BD162" s="36"/>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row>
    <row r="163" spans="1:103" x14ac:dyDescent="0.2">
      <c r="A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36"/>
      <c r="BD163" s="36"/>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row>
    <row r="164" spans="1:103" x14ac:dyDescent="0.2">
      <c r="A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row>
    <row r="165" spans="1:103" x14ac:dyDescent="0.2">
      <c r="A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row>
    <row r="166" spans="1:103" x14ac:dyDescent="0.2">
      <c r="A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36"/>
      <c r="BD166" s="36"/>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row>
    <row r="167" spans="1:103" x14ac:dyDescent="0.2">
      <c r="A167" s="36"/>
      <c r="C167" s="36"/>
      <c r="D167" s="36"/>
      <c r="E167" s="36"/>
      <c r="F167" s="36"/>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36"/>
      <c r="BD167" s="36"/>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row>
    <row r="168" spans="1:103" x14ac:dyDescent="0.2">
      <c r="A168" s="36"/>
      <c r="C168" s="36"/>
      <c r="D168" s="36"/>
      <c r="E168" s="36"/>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36"/>
      <c r="BD168" s="36"/>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row>
    <row r="169" spans="1:103" x14ac:dyDescent="0.2">
      <c r="A169" s="36"/>
      <c r="C169" s="36"/>
      <c r="D169" s="36"/>
      <c r="E169" s="36"/>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36"/>
      <c r="BD169" s="36"/>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row>
    <row r="170" spans="1:103" x14ac:dyDescent="0.2">
      <c r="A170" s="36"/>
      <c r="C170" s="36"/>
      <c r="D170" s="36"/>
      <c r="E170" s="36"/>
      <c r="F170" s="36"/>
      <c r="G170" s="36"/>
      <c r="H170" s="36"/>
      <c r="I170" s="36"/>
      <c r="J170" s="36"/>
      <c r="K170" s="36"/>
      <c r="L170" s="36"/>
      <c r="M170" s="36"/>
      <c r="N170" s="36"/>
      <c r="O170" s="36"/>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row>
    <row r="171" spans="1:103" x14ac:dyDescent="0.2">
      <c r="A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row>
    <row r="172" spans="1:103" x14ac:dyDescent="0.2">
      <c r="A172" s="36"/>
      <c r="C172" s="36"/>
      <c r="D172" s="36"/>
      <c r="E172" s="36"/>
      <c r="F172" s="36"/>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row>
    <row r="173" spans="1:103" x14ac:dyDescent="0.2">
      <c r="A173" s="36"/>
      <c r="C173" s="36"/>
      <c r="D173" s="36"/>
      <c r="E173" s="36"/>
      <c r="F173" s="36"/>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row>
    <row r="174" spans="1:103" x14ac:dyDescent="0.2">
      <c r="A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row>
    <row r="175" spans="1:103" x14ac:dyDescent="0.2">
      <c r="A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row>
    <row r="176" spans="1:103" x14ac:dyDescent="0.2">
      <c r="A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row>
    <row r="177" spans="1:103" x14ac:dyDescent="0.2">
      <c r="A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row>
    <row r="178" spans="1:103" x14ac:dyDescent="0.2">
      <c r="A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row>
    <row r="179" spans="1:103" x14ac:dyDescent="0.2">
      <c r="A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row>
    <row r="180" spans="1:103" x14ac:dyDescent="0.2">
      <c r="A180" s="36"/>
      <c r="C180" s="36"/>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36"/>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row>
    <row r="181" spans="1:103" x14ac:dyDescent="0.2">
      <c r="A181" s="36"/>
      <c r="C181" s="36"/>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36"/>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row>
    <row r="182" spans="1:103" x14ac:dyDescent="0.2">
      <c r="A182" s="36"/>
      <c r="C182" s="36"/>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36"/>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row>
    <row r="183" spans="1:103" x14ac:dyDescent="0.2">
      <c r="A183" s="36"/>
      <c r="C183" s="36"/>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row>
    <row r="184" spans="1:103" x14ac:dyDescent="0.2">
      <c r="A184" s="36"/>
      <c r="C184" s="36"/>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row>
    <row r="185" spans="1:103" x14ac:dyDescent="0.2">
      <c r="A185" s="36"/>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row>
    <row r="186" spans="1:103" x14ac:dyDescent="0.2">
      <c r="A186" s="36"/>
      <c r="C186" s="36"/>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36"/>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row>
    <row r="187" spans="1:103" x14ac:dyDescent="0.2">
      <c r="A187" s="36"/>
      <c r="C187" s="36"/>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36"/>
      <c r="BD187" s="36"/>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row>
    <row r="188" spans="1:103" x14ac:dyDescent="0.2">
      <c r="A188" s="36"/>
      <c r="C188" s="36"/>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36"/>
      <c r="BD188" s="36"/>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row>
    <row r="189" spans="1:103" x14ac:dyDescent="0.2">
      <c r="A189" s="36"/>
      <c r="C189" s="36"/>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row>
    <row r="190" spans="1:103" x14ac:dyDescent="0.2">
      <c r="A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row>
    <row r="191" spans="1:103" x14ac:dyDescent="0.2">
      <c r="A191" s="36"/>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row>
    <row r="192" spans="1:103" x14ac:dyDescent="0.2">
      <c r="A192" s="36"/>
      <c r="C192" s="36"/>
      <c r="D192" s="36"/>
      <c r="E192" s="36"/>
      <c r="F192" s="36"/>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row>
    <row r="193" spans="1:103" x14ac:dyDescent="0.2">
      <c r="A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row>
    <row r="194" spans="1:103" x14ac:dyDescent="0.2">
      <c r="A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row>
    <row r="195" spans="1:103" x14ac:dyDescent="0.2">
      <c r="A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row>
    <row r="196" spans="1:103" x14ac:dyDescent="0.2">
      <c r="A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row>
    <row r="197" spans="1:103" x14ac:dyDescent="0.2">
      <c r="A197" s="36"/>
      <c r="C197" s="36"/>
      <c r="D197" s="36"/>
      <c r="E197" s="36"/>
      <c r="F197" s="36"/>
      <c r="G197" s="36"/>
      <c r="H197" s="36"/>
      <c r="I197" s="36"/>
      <c r="J197" s="36"/>
      <c r="K197" s="36"/>
      <c r="L197" s="36"/>
      <c r="M197" s="36"/>
      <c r="N197" s="36"/>
      <c r="O197" s="36"/>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row>
    <row r="198" spans="1:103" x14ac:dyDescent="0.2">
      <c r="A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row>
    <row r="199" spans="1:103" x14ac:dyDescent="0.2">
      <c r="A199" s="36"/>
      <c r="C199" s="36"/>
      <c r="D199" s="36"/>
      <c r="E199" s="36"/>
      <c r="F199" s="36"/>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row>
    <row r="200" spans="1:103" x14ac:dyDescent="0.2">
      <c r="A200" s="36"/>
      <c r="C200" s="36"/>
      <c r="D200" s="36"/>
      <c r="E200" s="36"/>
      <c r="F200" s="36"/>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row>
    <row r="201" spans="1:103" x14ac:dyDescent="0.2">
      <c r="A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row>
    <row r="202" spans="1:103" x14ac:dyDescent="0.2">
      <c r="A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row>
    <row r="203" spans="1:103" x14ac:dyDescent="0.2">
      <c r="A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row>
    <row r="204" spans="1:103" x14ac:dyDescent="0.2">
      <c r="A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row>
    <row r="205" spans="1:103" x14ac:dyDescent="0.2">
      <c r="A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row>
    <row r="206" spans="1:103" x14ac:dyDescent="0.2">
      <c r="A206" s="36"/>
      <c r="C206" s="36"/>
      <c r="D206" s="36"/>
      <c r="E206" s="36"/>
      <c r="F206" s="36"/>
      <c r="G206" s="36"/>
      <c r="H206" s="36"/>
      <c r="I206" s="36"/>
      <c r="J206" s="36"/>
      <c r="K206" s="36"/>
      <c r="L206" s="36"/>
      <c r="M206" s="36"/>
      <c r="N206" s="36"/>
      <c r="O206" s="36"/>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row>
    <row r="207" spans="1:103" x14ac:dyDescent="0.2">
      <c r="A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row>
    <row r="208" spans="1:103" x14ac:dyDescent="0.2">
      <c r="A208" s="36"/>
      <c r="C208" s="36"/>
      <c r="D208" s="36"/>
      <c r="E208" s="36"/>
      <c r="F208" s="36"/>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row>
    <row r="209" spans="1:103" x14ac:dyDescent="0.2">
      <c r="A209" s="36"/>
      <c r="C209" s="36"/>
      <c r="D209" s="36"/>
      <c r="E209" s="36"/>
      <c r="F209" s="36"/>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row>
    <row r="210" spans="1:103" x14ac:dyDescent="0.2">
      <c r="A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row>
    <row r="211" spans="1:103" x14ac:dyDescent="0.2">
      <c r="A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row>
    <row r="212" spans="1:103" x14ac:dyDescent="0.2">
      <c r="A212" s="36"/>
      <c r="C212" s="36"/>
      <c r="D212" s="36"/>
      <c r="E212" s="36"/>
      <c r="F212" s="36"/>
      <c r="G212" s="36"/>
      <c r="H212" s="36"/>
      <c r="I212" s="36"/>
      <c r="J212" s="36"/>
      <c r="K212" s="36"/>
      <c r="L212" s="36"/>
      <c r="M212" s="36"/>
      <c r="N212" s="36"/>
      <c r="O212" s="36"/>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row>
    <row r="213" spans="1:103" x14ac:dyDescent="0.2">
      <c r="A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row>
    <row r="214" spans="1:103" x14ac:dyDescent="0.2">
      <c r="A214" s="36"/>
      <c r="C214" s="36"/>
      <c r="D214" s="36"/>
      <c r="E214" s="36"/>
      <c r="F214" s="36"/>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row>
    <row r="215" spans="1:103" x14ac:dyDescent="0.2">
      <c r="A215" s="36"/>
      <c r="C215" s="36"/>
      <c r="D215" s="36"/>
      <c r="E215" s="36"/>
      <c r="F215" s="36"/>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row>
    <row r="216" spans="1:103" x14ac:dyDescent="0.2">
      <c r="A216" s="36"/>
      <c r="C216" s="36"/>
      <c r="D216" s="36"/>
      <c r="E216" s="36"/>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row>
    <row r="217" spans="1:103" x14ac:dyDescent="0.2">
      <c r="A217" s="36"/>
      <c r="C217" s="36"/>
      <c r="D217" s="36"/>
      <c r="E217" s="36"/>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row>
    <row r="218" spans="1:103" x14ac:dyDescent="0.2">
      <c r="A218" s="36"/>
      <c r="C218" s="36"/>
      <c r="D218" s="36"/>
      <c r="E218" s="36"/>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36"/>
      <c r="BD218" s="36"/>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row>
    <row r="219" spans="1:103" x14ac:dyDescent="0.2">
      <c r="A219" s="36"/>
      <c r="C219" s="36"/>
      <c r="D219" s="36"/>
      <c r="E219" s="36"/>
      <c r="F219" s="36"/>
      <c r="G219" s="36"/>
      <c r="H219" s="36"/>
      <c r="I219" s="36"/>
      <c r="J219" s="36"/>
      <c r="K219" s="36"/>
      <c r="L219" s="36"/>
      <c r="M219" s="36"/>
      <c r="N219" s="36"/>
      <c r="O219" s="36"/>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row>
    <row r="220" spans="1:103" x14ac:dyDescent="0.2">
      <c r="A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row>
    <row r="221" spans="1:103" x14ac:dyDescent="0.2">
      <c r="A221" s="36"/>
      <c r="C221" s="36"/>
      <c r="D221" s="36"/>
      <c r="E221" s="36"/>
      <c r="F221" s="36"/>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row>
    <row r="222" spans="1:103" x14ac:dyDescent="0.2">
      <c r="A222" s="36"/>
      <c r="C222" s="36"/>
      <c r="D222" s="36"/>
      <c r="E222" s="36"/>
      <c r="F222" s="36"/>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row>
    <row r="223" spans="1:103" x14ac:dyDescent="0.2">
      <c r="A223" s="36"/>
      <c r="C223" s="36"/>
      <c r="D223" s="36"/>
      <c r="E223" s="36"/>
      <c r="F223" s="36"/>
      <c r="G223" s="36"/>
      <c r="H223" s="36"/>
      <c r="I223" s="36"/>
      <c r="J223" s="36"/>
      <c r="K223" s="36"/>
      <c r="L223" s="36"/>
      <c r="M223" s="36"/>
      <c r="N223" s="36"/>
      <c r="O223" s="36"/>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row>
    <row r="224" spans="1:103" x14ac:dyDescent="0.2">
      <c r="A224" s="36"/>
      <c r="C224" s="36"/>
      <c r="D224" s="36"/>
      <c r="E224" s="36"/>
      <c r="F224" s="36"/>
      <c r="G224" s="36"/>
      <c r="H224" s="36"/>
      <c r="I224" s="36"/>
      <c r="J224" s="36"/>
      <c r="K224" s="36"/>
      <c r="L224" s="36"/>
      <c r="M224" s="36"/>
      <c r="N224" s="36"/>
      <c r="O224" s="36"/>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row>
    <row r="225" spans="1:103" x14ac:dyDescent="0.2">
      <c r="A225" s="36"/>
      <c r="C225" s="36"/>
      <c r="D225" s="36"/>
      <c r="E225" s="36"/>
      <c r="F225" s="36"/>
      <c r="G225" s="36"/>
      <c r="H225" s="36"/>
      <c r="I225" s="36"/>
      <c r="J225" s="36"/>
      <c r="K225" s="36"/>
      <c r="L225" s="36"/>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row>
    <row r="226" spans="1:103" x14ac:dyDescent="0.2">
      <c r="A226" s="36"/>
      <c r="C226" s="36"/>
      <c r="D226" s="36"/>
      <c r="E226" s="36"/>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row>
    <row r="227" spans="1:103" x14ac:dyDescent="0.2">
      <c r="A227" s="36"/>
      <c r="C227" s="36"/>
      <c r="D227" s="36"/>
      <c r="E227" s="36"/>
      <c r="F227" s="36"/>
      <c r="G227" s="36"/>
      <c r="H227" s="36"/>
      <c r="I227" s="36"/>
      <c r="J227" s="36"/>
      <c r="K227" s="36"/>
      <c r="L227" s="36"/>
      <c r="M227" s="36"/>
      <c r="N227" s="36"/>
      <c r="O227" s="36"/>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row>
    <row r="228" spans="1:103" x14ac:dyDescent="0.2">
      <c r="A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row>
    <row r="229" spans="1:103" x14ac:dyDescent="0.2">
      <c r="A229" s="36"/>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row>
    <row r="230" spans="1:103" x14ac:dyDescent="0.2">
      <c r="A230" s="36"/>
      <c r="C230" s="36"/>
      <c r="D230" s="36"/>
      <c r="E230" s="36"/>
      <c r="F230" s="36"/>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row>
    <row r="231" spans="1:103" x14ac:dyDescent="0.2">
      <c r="A231" s="36"/>
      <c r="C231" s="36"/>
      <c r="D231" s="36"/>
      <c r="E231" s="36"/>
      <c r="F231" s="36"/>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row>
    <row r="232" spans="1:103" x14ac:dyDescent="0.2">
      <c r="A232" s="36"/>
      <c r="C232" s="36"/>
      <c r="D232" s="36"/>
      <c r="E232" s="36"/>
      <c r="F232" s="36"/>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row>
    <row r="233" spans="1:103" x14ac:dyDescent="0.2">
      <c r="A233" s="36"/>
      <c r="C233" s="36"/>
      <c r="D233" s="36"/>
      <c r="E233" s="36"/>
      <c r="F233" s="36"/>
      <c r="G233" s="36"/>
      <c r="H233" s="36"/>
      <c r="I233" s="36"/>
      <c r="J233" s="36"/>
      <c r="K233" s="36"/>
      <c r="L233" s="36"/>
      <c r="M233" s="36"/>
      <c r="N233" s="36"/>
      <c r="O233" s="36"/>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row>
    <row r="234" spans="1:103" x14ac:dyDescent="0.2">
      <c r="A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row>
    <row r="235" spans="1:103" x14ac:dyDescent="0.2">
      <c r="A235" s="36"/>
      <c r="C235" s="36"/>
      <c r="D235" s="36"/>
      <c r="E235" s="36"/>
      <c r="F235" s="36"/>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row>
    <row r="236" spans="1:103" x14ac:dyDescent="0.2">
      <c r="A236" s="36"/>
      <c r="C236" s="36"/>
      <c r="D236" s="36"/>
      <c r="E236" s="36"/>
      <c r="F236" s="36"/>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row>
    <row r="237" spans="1:103" x14ac:dyDescent="0.2">
      <c r="A237" s="36"/>
      <c r="C237" s="36"/>
      <c r="D237" s="36"/>
      <c r="E237" s="36"/>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row>
    <row r="238" spans="1:103" x14ac:dyDescent="0.2">
      <c r="A238" s="36"/>
      <c r="C238" s="36"/>
      <c r="D238" s="36"/>
      <c r="E238" s="36"/>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row>
    <row r="239" spans="1:103" x14ac:dyDescent="0.2">
      <c r="A239" s="36"/>
      <c r="C239" s="36"/>
      <c r="D239" s="36"/>
      <c r="E239" s="36"/>
      <c r="F239" s="36"/>
      <c r="G239" s="36"/>
      <c r="H239" s="36"/>
      <c r="I239" s="36"/>
      <c r="J239" s="36"/>
      <c r="K239" s="36"/>
      <c r="L239" s="36"/>
      <c r="M239" s="36"/>
      <c r="N239" s="36"/>
      <c r="O239" s="36"/>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row>
    <row r="240" spans="1:103" x14ac:dyDescent="0.2">
      <c r="A240" s="36"/>
      <c r="C240" s="36"/>
      <c r="D240" s="36"/>
      <c r="E240" s="36"/>
      <c r="F240" s="3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row>
    <row r="241" spans="1:103" x14ac:dyDescent="0.2">
      <c r="A241" s="36"/>
      <c r="C241" s="36"/>
      <c r="D241" s="36"/>
      <c r="E241" s="36"/>
      <c r="F241" s="36"/>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row>
    <row r="242" spans="1:103" x14ac:dyDescent="0.2">
      <c r="A242" s="36"/>
      <c r="C242" s="36"/>
      <c r="D242" s="36"/>
      <c r="E242" s="36"/>
      <c r="F242" s="36"/>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row>
    <row r="243" spans="1:103" x14ac:dyDescent="0.2">
      <c r="A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row>
    <row r="244" spans="1:103" x14ac:dyDescent="0.2">
      <c r="A244" s="36"/>
      <c r="C244" s="36"/>
      <c r="D244" s="36"/>
      <c r="E244" s="36"/>
      <c r="F244" s="36"/>
      <c r="G244" s="36"/>
      <c r="H244" s="36"/>
      <c r="I244" s="36"/>
      <c r="J244" s="36"/>
      <c r="K244" s="36"/>
      <c r="L244" s="36"/>
      <c r="M244" s="36"/>
      <c r="N244" s="36"/>
      <c r="O244" s="36"/>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36"/>
      <c r="BD244" s="36"/>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row>
    <row r="245" spans="1:103" x14ac:dyDescent="0.2">
      <c r="A245" s="36"/>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row>
    <row r="246" spans="1:103" x14ac:dyDescent="0.2">
      <c r="A246" s="36"/>
      <c r="C246" s="36"/>
      <c r="D246" s="36"/>
      <c r="E246" s="36"/>
      <c r="F246" s="36"/>
      <c r="G246" s="36"/>
      <c r="H246" s="36"/>
      <c r="I246" s="36"/>
      <c r="J246" s="36"/>
      <c r="K246" s="36"/>
      <c r="L246" s="36"/>
      <c r="M246" s="36"/>
      <c r="N246" s="36"/>
      <c r="O246" s="36"/>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36"/>
      <c r="BD246" s="36"/>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row>
    <row r="247" spans="1:103" x14ac:dyDescent="0.2">
      <c r="A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row>
    <row r="248" spans="1:103" x14ac:dyDescent="0.2">
      <c r="A248" s="36"/>
      <c r="C248" s="36"/>
      <c r="D248" s="36"/>
      <c r="E248" s="36"/>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row>
    <row r="249" spans="1:103" x14ac:dyDescent="0.2">
      <c r="A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row>
    <row r="250" spans="1:103" x14ac:dyDescent="0.2">
      <c r="A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row>
    <row r="251" spans="1:103" x14ac:dyDescent="0.2">
      <c r="A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row>
    <row r="252" spans="1:103" x14ac:dyDescent="0.2">
      <c r="A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row>
    <row r="253" spans="1:103" x14ac:dyDescent="0.2">
      <c r="A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row>
    <row r="254" spans="1:103" x14ac:dyDescent="0.2">
      <c r="A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row>
    <row r="255" spans="1:103" x14ac:dyDescent="0.2">
      <c r="A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row>
    <row r="256" spans="1:103" x14ac:dyDescent="0.2">
      <c r="A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row>
    <row r="257" spans="1:103" x14ac:dyDescent="0.2">
      <c r="A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row>
    <row r="258" spans="1:103" x14ac:dyDescent="0.2">
      <c r="A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row>
    <row r="259" spans="1:103" x14ac:dyDescent="0.2">
      <c r="A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row>
    <row r="260" spans="1:103" x14ac:dyDescent="0.2">
      <c r="A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row>
    <row r="261" spans="1:103" x14ac:dyDescent="0.2">
      <c r="A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row>
    <row r="262" spans="1:103" x14ac:dyDescent="0.2">
      <c r="A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row>
    <row r="263" spans="1:103" x14ac:dyDescent="0.2">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row>
    <row r="264" spans="1:103" x14ac:dyDescent="0.2">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F0144-7073-2B46-B5E3-23669D83681B}">
  <sheetPr codeName="Sheet6"/>
  <dimension ref="A1:B10006"/>
  <sheetViews>
    <sheetView tabSelected="1" workbookViewId="0">
      <selection activeCell="H14" sqref="H14"/>
    </sheetView>
  </sheetViews>
  <sheetFormatPr baseColWidth="10" defaultRowHeight="16" x14ac:dyDescent="0.2"/>
  <cols>
    <col min="2" max="2" width="10.6640625" customWidth="1"/>
  </cols>
  <sheetData>
    <row r="1" spans="1:2" x14ac:dyDescent="0.2">
      <c r="A1" s="5" t="s">
        <v>76</v>
      </c>
      <c r="B1" s="13">
        <f ca="1">RAND()</f>
        <v>4.3985270842761159E-2</v>
      </c>
    </row>
    <row r="2" spans="1:2" x14ac:dyDescent="0.2">
      <c r="A2" s="5" t="s">
        <v>77</v>
      </c>
      <c r="B2" s="5">
        <v>10000</v>
      </c>
    </row>
    <row r="3" spans="1:2" x14ac:dyDescent="0.2">
      <c r="A3" s="5" t="s">
        <v>78</v>
      </c>
      <c r="B3" s="5">
        <v>10000</v>
      </c>
    </row>
    <row r="4" spans="1:2" x14ac:dyDescent="0.2">
      <c r="A4" s="7" t="s">
        <v>79</v>
      </c>
      <c r="B4" s="5">
        <v>0.50120323867580285</v>
      </c>
    </row>
    <row r="6" spans="1:2" x14ac:dyDescent="0.2">
      <c r="A6" s="5" t="s">
        <v>81</v>
      </c>
      <c r="B6" s="5" t="s">
        <v>80</v>
      </c>
    </row>
    <row r="7" spans="1:2" x14ac:dyDescent="0.2">
      <c r="A7">
        <v>1</v>
      </c>
      <c r="B7">
        <v>0.76465543198694164</v>
      </c>
    </row>
    <row r="8" spans="1:2" x14ac:dyDescent="0.2">
      <c r="A8">
        <v>2</v>
      </c>
      <c r="B8">
        <v>0.40816056025454062</v>
      </c>
    </row>
    <row r="9" spans="1:2" x14ac:dyDescent="0.2">
      <c r="A9">
        <v>3</v>
      </c>
      <c r="B9">
        <v>0.95356755794952441</v>
      </c>
    </row>
    <row r="10" spans="1:2" x14ac:dyDescent="0.2">
      <c r="A10">
        <v>4</v>
      </c>
      <c r="B10">
        <v>0.99351564862330322</v>
      </c>
    </row>
    <row r="11" spans="1:2" x14ac:dyDescent="0.2">
      <c r="A11">
        <v>5</v>
      </c>
      <c r="B11">
        <v>0.6223764865142003</v>
      </c>
    </row>
    <row r="12" spans="1:2" x14ac:dyDescent="0.2">
      <c r="A12">
        <v>6</v>
      </c>
      <c r="B12">
        <v>0.53678132996349692</v>
      </c>
    </row>
    <row r="13" spans="1:2" x14ac:dyDescent="0.2">
      <c r="A13">
        <v>7</v>
      </c>
      <c r="B13">
        <v>0.54030268423535122</v>
      </c>
    </row>
    <row r="14" spans="1:2" x14ac:dyDescent="0.2">
      <c r="A14">
        <v>8</v>
      </c>
      <c r="B14">
        <v>0.46527335845883433</v>
      </c>
    </row>
    <row r="15" spans="1:2" x14ac:dyDescent="0.2">
      <c r="A15">
        <v>9</v>
      </c>
      <c r="B15">
        <v>0.20283340458757548</v>
      </c>
    </row>
    <row r="16" spans="1:2" x14ac:dyDescent="0.2">
      <c r="A16">
        <v>10</v>
      </c>
      <c r="B16">
        <v>0.7990647695287616</v>
      </c>
    </row>
    <row r="17" spans="1:2" x14ac:dyDescent="0.2">
      <c r="A17">
        <v>11</v>
      </c>
      <c r="B17">
        <v>0.3900282865789122</v>
      </c>
    </row>
    <row r="18" spans="1:2" x14ac:dyDescent="0.2">
      <c r="A18">
        <v>12</v>
      </c>
      <c r="B18">
        <v>0.35987911715522114</v>
      </c>
    </row>
    <row r="19" spans="1:2" x14ac:dyDescent="0.2">
      <c r="A19">
        <v>13</v>
      </c>
      <c r="B19">
        <v>0.1531024668840083</v>
      </c>
    </row>
    <row r="20" spans="1:2" x14ac:dyDescent="0.2">
      <c r="A20">
        <v>14</v>
      </c>
      <c r="B20">
        <v>0.20889368360614691</v>
      </c>
    </row>
    <row r="21" spans="1:2" x14ac:dyDescent="0.2">
      <c r="A21">
        <v>15</v>
      </c>
      <c r="B21">
        <v>0.36921427318828115</v>
      </c>
    </row>
    <row r="22" spans="1:2" x14ac:dyDescent="0.2">
      <c r="A22">
        <v>16</v>
      </c>
      <c r="B22">
        <v>0.12032372187728646</v>
      </c>
    </row>
    <row r="23" spans="1:2" x14ac:dyDescent="0.2">
      <c r="A23">
        <v>17</v>
      </c>
      <c r="B23">
        <v>0.44556962004263334</v>
      </c>
    </row>
    <row r="24" spans="1:2" x14ac:dyDescent="0.2">
      <c r="A24">
        <v>18</v>
      </c>
      <c r="B24">
        <v>0.80280501678995708</v>
      </c>
    </row>
    <row r="25" spans="1:2" x14ac:dyDescent="0.2">
      <c r="A25">
        <v>19</v>
      </c>
      <c r="B25">
        <v>0.57030220206376303</v>
      </c>
    </row>
    <row r="26" spans="1:2" x14ac:dyDescent="0.2">
      <c r="A26">
        <v>20</v>
      </c>
      <c r="B26">
        <v>1.1331867982764421E-2</v>
      </c>
    </row>
    <row r="27" spans="1:2" x14ac:dyDescent="0.2">
      <c r="A27">
        <v>21</v>
      </c>
      <c r="B27">
        <v>0.6044740923855535</v>
      </c>
    </row>
    <row r="28" spans="1:2" x14ac:dyDescent="0.2">
      <c r="A28">
        <v>22</v>
      </c>
      <c r="B28">
        <v>0.32074568451313856</v>
      </c>
    </row>
    <row r="29" spans="1:2" x14ac:dyDescent="0.2">
      <c r="A29">
        <v>23</v>
      </c>
      <c r="B29">
        <v>0.51747385698434156</v>
      </c>
    </row>
    <row r="30" spans="1:2" x14ac:dyDescent="0.2">
      <c r="A30">
        <v>24</v>
      </c>
      <c r="B30">
        <v>0.22842257909949171</v>
      </c>
    </row>
    <row r="31" spans="1:2" x14ac:dyDescent="0.2">
      <c r="A31">
        <v>25</v>
      </c>
      <c r="B31">
        <v>0.98196253283895707</v>
      </c>
    </row>
    <row r="32" spans="1:2" x14ac:dyDescent="0.2">
      <c r="A32">
        <v>26</v>
      </c>
      <c r="B32">
        <v>0.19477993150248185</v>
      </c>
    </row>
    <row r="33" spans="1:2" x14ac:dyDescent="0.2">
      <c r="A33">
        <v>27</v>
      </c>
      <c r="B33">
        <v>0.93458549996143381</v>
      </c>
    </row>
    <row r="34" spans="1:2" x14ac:dyDescent="0.2">
      <c r="A34">
        <v>28</v>
      </c>
      <c r="B34">
        <v>0.87530993234653176</v>
      </c>
    </row>
    <row r="35" spans="1:2" x14ac:dyDescent="0.2">
      <c r="A35">
        <v>29</v>
      </c>
      <c r="B35">
        <v>0.28421950855195111</v>
      </c>
    </row>
    <row r="36" spans="1:2" x14ac:dyDescent="0.2">
      <c r="A36">
        <v>30</v>
      </c>
      <c r="B36">
        <v>0.82350136678488761</v>
      </c>
    </row>
    <row r="37" spans="1:2" x14ac:dyDescent="0.2">
      <c r="A37">
        <v>31</v>
      </c>
      <c r="B37">
        <v>0.33908719679375787</v>
      </c>
    </row>
    <row r="38" spans="1:2" x14ac:dyDescent="0.2">
      <c r="A38">
        <v>32</v>
      </c>
      <c r="B38">
        <v>0.53906104246311692</v>
      </c>
    </row>
    <row r="39" spans="1:2" x14ac:dyDescent="0.2">
      <c r="A39">
        <v>33</v>
      </c>
      <c r="B39">
        <v>0.97207915975352432</v>
      </c>
    </row>
    <row r="40" spans="1:2" x14ac:dyDescent="0.2">
      <c r="A40">
        <v>34</v>
      </c>
      <c r="B40">
        <v>0.87473903811578801</v>
      </c>
    </row>
    <row r="41" spans="1:2" x14ac:dyDescent="0.2">
      <c r="A41">
        <v>35</v>
      </c>
      <c r="B41">
        <v>0.73713392199334005</v>
      </c>
    </row>
    <row r="42" spans="1:2" x14ac:dyDescent="0.2">
      <c r="A42">
        <v>36</v>
      </c>
      <c r="B42">
        <v>0.34377884417936766</v>
      </c>
    </row>
    <row r="43" spans="1:2" x14ac:dyDescent="0.2">
      <c r="A43">
        <v>37</v>
      </c>
      <c r="B43">
        <v>0.8984123585052658</v>
      </c>
    </row>
    <row r="44" spans="1:2" x14ac:dyDescent="0.2">
      <c r="A44">
        <v>38</v>
      </c>
      <c r="B44">
        <v>0.75473028704310441</v>
      </c>
    </row>
    <row r="45" spans="1:2" x14ac:dyDescent="0.2">
      <c r="A45">
        <v>39</v>
      </c>
      <c r="B45">
        <v>0.53993849723963649</v>
      </c>
    </row>
    <row r="46" spans="1:2" x14ac:dyDescent="0.2">
      <c r="A46">
        <v>40</v>
      </c>
      <c r="B46">
        <v>0.21419472823471997</v>
      </c>
    </row>
    <row r="47" spans="1:2" x14ac:dyDescent="0.2">
      <c r="A47">
        <v>41</v>
      </c>
      <c r="B47">
        <v>0.65967346709407493</v>
      </c>
    </row>
    <row r="48" spans="1:2" x14ac:dyDescent="0.2">
      <c r="A48">
        <v>42</v>
      </c>
      <c r="B48">
        <v>0.41208010111003057</v>
      </c>
    </row>
    <row r="49" spans="1:2" x14ac:dyDescent="0.2">
      <c r="A49">
        <v>43</v>
      </c>
      <c r="B49">
        <v>0.32916142972401563</v>
      </c>
    </row>
    <row r="50" spans="1:2" x14ac:dyDescent="0.2">
      <c r="A50">
        <v>44</v>
      </c>
      <c r="B50">
        <v>0.7175276206959974</v>
      </c>
    </row>
    <row r="51" spans="1:2" x14ac:dyDescent="0.2">
      <c r="A51">
        <v>45</v>
      </c>
      <c r="B51">
        <v>0.85276849942945054</v>
      </c>
    </row>
    <row r="52" spans="1:2" x14ac:dyDescent="0.2">
      <c r="A52">
        <v>46</v>
      </c>
      <c r="B52">
        <v>0.34880939295122959</v>
      </c>
    </row>
    <row r="53" spans="1:2" x14ac:dyDescent="0.2">
      <c r="A53">
        <v>47</v>
      </c>
      <c r="B53">
        <v>0.82941318304440936</v>
      </c>
    </row>
    <row r="54" spans="1:2" x14ac:dyDescent="0.2">
      <c r="A54">
        <v>48</v>
      </c>
      <c r="B54">
        <v>0.64393537149355073</v>
      </c>
    </row>
    <row r="55" spans="1:2" x14ac:dyDescent="0.2">
      <c r="A55">
        <v>49</v>
      </c>
      <c r="B55">
        <v>0.54533799720337062</v>
      </c>
    </row>
    <row r="56" spans="1:2" x14ac:dyDescent="0.2">
      <c r="A56">
        <v>50</v>
      </c>
      <c r="B56">
        <v>5.4097631833976201E-2</v>
      </c>
    </row>
    <row r="57" spans="1:2" x14ac:dyDescent="0.2">
      <c r="A57">
        <v>51</v>
      </c>
      <c r="B57">
        <v>0.21678370850772466</v>
      </c>
    </row>
    <row r="58" spans="1:2" x14ac:dyDescent="0.2">
      <c r="A58">
        <v>52</v>
      </c>
      <c r="B58">
        <v>0.99884852025113968</v>
      </c>
    </row>
    <row r="59" spans="1:2" x14ac:dyDescent="0.2">
      <c r="A59">
        <v>53</v>
      </c>
      <c r="B59">
        <v>0.44338472682864227</v>
      </c>
    </row>
    <row r="60" spans="1:2" x14ac:dyDescent="0.2">
      <c r="A60">
        <v>54</v>
      </c>
      <c r="B60">
        <v>0.36330149927227495</v>
      </c>
    </row>
    <row r="61" spans="1:2" x14ac:dyDescent="0.2">
      <c r="A61">
        <v>55</v>
      </c>
      <c r="B61">
        <v>0.50091606664702137</v>
      </c>
    </row>
    <row r="62" spans="1:2" x14ac:dyDescent="0.2">
      <c r="A62">
        <v>56</v>
      </c>
      <c r="B62">
        <v>0.62318282296803962</v>
      </c>
    </row>
    <row r="63" spans="1:2" x14ac:dyDescent="0.2">
      <c r="A63">
        <v>57</v>
      </c>
      <c r="B63">
        <v>0.45291092865452764</v>
      </c>
    </row>
    <row r="64" spans="1:2" x14ac:dyDescent="0.2">
      <c r="A64">
        <v>58</v>
      </c>
      <c r="B64">
        <v>0.86127047968682557</v>
      </c>
    </row>
    <row r="65" spans="1:2" x14ac:dyDescent="0.2">
      <c r="A65">
        <v>59</v>
      </c>
      <c r="B65">
        <v>0.27750901326733879</v>
      </c>
    </row>
    <row r="66" spans="1:2" x14ac:dyDescent="0.2">
      <c r="A66">
        <v>60</v>
      </c>
      <c r="B66">
        <v>0.26187027581462397</v>
      </c>
    </row>
    <row r="67" spans="1:2" x14ac:dyDescent="0.2">
      <c r="A67">
        <v>61</v>
      </c>
      <c r="B67">
        <v>0.65382247321050313</v>
      </c>
    </row>
    <row r="68" spans="1:2" x14ac:dyDescent="0.2">
      <c r="A68">
        <v>62</v>
      </c>
      <c r="B68">
        <v>0.29720475095782772</v>
      </c>
    </row>
    <row r="69" spans="1:2" x14ac:dyDescent="0.2">
      <c r="A69">
        <v>63</v>
      </c>
      <c r="B69">
        <v>0.29897145660820279</v>
      </c>
    </row>
    <row r="70" spans="1:2" x14ac:dyDescent="0.2">
      <c r="A70">
        <v>64</v>
      </c>
      <c r="B70">
        <v>0.80350276213366234</v>
      </c>
    </row>
    <row r="71" spans="1:2" x14ac:dyDescent="0.2">
      <c r="A71">
        <v>65</v>
      </c>
      <c r="B71">
        <v>0.77725214866217562</v>
      </c>
    </row>
    <row r="72" spans="1:2" x14ac:dyDescent="0.2">
      <c r="A72">
        <v>66</v>
      </c>
      <c r="B72">
        <v>5.3812617378128924E-2</v>
      </c>
    </row>
    <row r="73" spans="1:2" x14ac:dyDescent="0.2">
      <c r="A73">
        <v>67</v>
      </c>
      <c r="B73">
        <v>0.79293658185327243</v>
      </c>
    </row>
    <row r="74" spans="1:2" x14ac:dyDescent="0.2">
      <c r="A74">
        <v>68</v>
      </c>
      <c r="B74">
        <v>0.37854276572431289</v>
      </c>
    </row>
    <row r="75" spans="1:2" x14ac:dyDescent="0.2">
      <c r="A75">
        <v>69</v>
      </c>
      <c r="B75">
        <v>0.71079878353637227</v>
      </c>
    </row>
    <row r="76" spans="1:2" x14ac:dyDescent="0.2">
      <c r="A76">
        <v>70</v>
      </c>
      <c r="B76">
        <v>0.35808172497694624</v>
      </c>
    </row>
    <row r="77" spans="1:2" x14ac:dyDescent="0.2">
      <c r="A77">
        <v>71</v>
      </c>
      <c r="B77">
        <v>0.32952659760076142</v>
      </c>
    </row>
    <row r="78" spans="1:2" x14ac:dyDescent="0.2">
      <c r="A78">
        <v>72</v>
      </c>
      <c r="B78">
        <v>0.65959867755621127</v>
      </c>
    </row>
    <row r="79" spans="1:2" x14ac:dyDescent="0.2">
      <c r="A79">
        <v>73</v>
      </c>
      <c r="B79">
        <v>2.886381087637746E-2</v>
      </c>
    </row>
    <row r="80" spans="1:2" x14ac:dyDescent="0.2">
      <c r="A80">
        <v>74</v>
      </c>
      <c r="B80">
        <v>0.22553650699064753</v>
      </c>
    </row>
    <row r="81" spans="1:2" x14ac:dyDescent="0.2">
      <c r="A81">
        <v>75</v>
      </c>
      <c r="B81">
        <v>0.2258984352993646</v>
      </c>
    </row>
    <row r="82" spans="1:2" x14ac:dyDescent="0.2">
      <c r="A82">
        <v>76</v>
      </c>
      <c r="B82">
        <v>0.91971137661310765</v>
      </c>
    </row>
    <row r="83" spans="1:2" x14ac:dyDescent="0.2">
      <c r="A83">
        <v>77</v>
      </c>
      <c r="B83">
        <v>0.760136302173266</v>
      </c>
    </row>
    <row r="84" spans="1:2" x14ac:dyDescent="0.2">
      <c r="A84">
        <v>78</v>
      </c>
      <c r="B84">
        <v>0.38486441648308301</v>
      </c>
    </row>
    <row r="85" spans="1:2" x14ac:dyDescent="0.2">
      <c r="A85">
        <v>79</v>
      </c>
      <c r="B85">
        <v>0.96400739840999605</v>
      </c>
    </row>
    <row r="86" spans="1:2" x14ac:dyDescent="0.2">
      <c r="A86">
        <v>80</v>
      </c>
      <c r="B86">
        <v>0.43272162848224549</v>
      </c>
    </row>
    <row r="87" spans="1:2" x14ac:dyDescent="0.2">
      <c r="A87">
        <v>81</v>
      </c>
      <c r="B87">
        <v>0.69115264425265566</v>
      </c>
    </row>
    <row r="88" spans="1:2" x14ac:dyDescent="0.2">
      <c r="A88">
        <v>82</v>
      </c>
      <c r="B88">
        <v>0.10841419241252359</v>
      </c>
    </row>
    <row r="89" spans="1:2" x14ac:dyDescent="0.2">
      <c r="A89">
        <v>83</v>
      </c>
      <c r="B89">
        <v>0.68565110128878082</v>
      </c>
    </row>
    <row r="90" spans="1:2" x14ac:dyDescent="0.2">
      <c r="A90">
        <v>84</v>
      </c>
      <c r="B90">
        <v>0.72305121803456673</v>
      </c>
    </row>
    <row r="91" spans="1:2" x14ac:dyDescent="0.2">
      <c r="A91">
        <v>85</v>
      </c>
      <c r="B91">
        <v>0.56564150236712341</v>
      </c>
    </row>
    <row r="92" spans="1:2" x14ac:dyDescent="0.2">
      <c r="A92">
        <v>86</v>
      </c>
      <c r="B92">
        <v>0.38434368853815859</v>
      </c>
    </row>
    <row r="93" spans="1:2" x14ac:dyDescent="0.2">
      <c r="A93">
        <v>87</v>
      </c>
      <c r="B93">
        <v>3.539021803082798E-2</v>
      </c>
    </row>
    <row r="94" spans="1:2" x14ac:dyDescent="0.2">
      <c r="A94">
        <v>88</v>
      </c>
      <c r="B94">
        <v>0.80637396863372823</v>
      </c>
    </row>
    <row r="95" spans="1:2" x14ac:dyDescent="0.2">
      <c r="A95">
        <v>89</v>
      </c>
      <c r="B95">
        <v>0.50037240421255746</v>
      </c>
    </row>
    <row r="96" spans="1:2" x14ac:dyDescent="0.2">
      <c r="A96">
        <v>90</v>
      </c>
      <c r="B96">
        <v>0.22265074379366057</v>
      </c>
    </row>
    <row r="97" spans="1:2" x14ac:dyDescent="0.2">
      <c r="A97">
        <v>91</v>
      </c>
      <c r="B97">
        <v>0.9640957411475084</v>
      </c>
    </row>
    <row r="98" spans="1:2" x14ac:dyDescent="0.2">
      <c r="A98">
        <v>92</v>
      </c>
      <c r="B98">
        <v>0.23661529991139896</v>
      </c>
    </row>
    <row r="99" spans="1:2" x14ac:dyDescent="0.2">
      <c r="A99">
        <v>93</v>
      </c>
      <c r="B99">
        <v>2.3618535279183117E-2</v>
      </c>
    </row>
    <row r="100" spans="1:2" x14ac:dyDescent="0.2">
      <c r="A100">
        <v>94</v>
      </c>
      <c r="B100">
        <v>0.69841409020570067</v>
      </c>
    </row>
    <row r="101" spans="1:2" x14ac:dyDescent="0.2">
      <c r="A101">
        <v>95</v>
      </c>
      <c r="B101">
        <v>0.12088853160334445</v>
      </c>
    </row>
    <row r="102" spans="1:2" x14ac:dyDescent="0.2">
      <c r="A102">
        <v>96</v>
      </c>
      <c r="B102">
        <v>0.24515173135795354</v>
      </c>
    </row>
    <row r="103" spans="1:2" x14ac:dyDescent="0.2">
      <c r="A103">
        <v>97</v>
      </c>
      <c r="B103">
        <v>0.22449481889097822</v>
      </c>
    </row>
    <row r="104" spans="1:2" x14ac:dyDescent="0.2">
      <c r="A104">
        <v>98</v>
      </c>
      <c r="B104">
        <v>0.1455080980707123</v>
      </c>
    </row>
    <row r="105" spans="1:2" x14ac:dyDescent="0.2">
      <c r="A105">
        <v>99</v>
      </c>
      <c r="B105">
        <v>0.61639080229733823</v>
      </c>
    </row>
    <row r="106" spans="1:2" x14ac:dyDescent="0.2">
      <c r="A106">
        <v>100</v>
      </c>
      <c r="B106">
        <v>7.4159195021072932E-5</v>
      </c>
    </row>
    <row r="107" spans="1:2" x14ac:dyDescent="0.2">
      <c r="A107">
        <v>101</v>
      </c>
      <c r="B107">
        <v>0.15945399734562238</v>
      </c>
    </row>
    <row r="108" spans="1:2" x14ac:dyDescent="0.2">
      <c r="A108">
        <v>102</v>
      </c>
      <c r="B108">
        <v>0.7583137506296318</v>
      </c>
    </row>
    <row r="109" spans="1:2" x14ac:dyDescent="0.2">
      <c r="A109">
        <v>103</v>
      </c>
      <c r="B109">
        <v>0.4478612610460645</v>
      </c>
    </row>
    <row r="110" spans="1:2" x14ac:dyDescent="0.2">
      <c r="A110">
        <v>104</v>
      </c>
      <c r="B110">
        <v>0.49466232104869201</v>
      </c>
    </row>
    <row r="111" spans="1:2" x14ac:dyDescent="0.2">
      <c r="A111">
        <v>105</v>
      </c>
      <c r="B111">
        <v>0.99706921574515917</v>
      </c>
    </row>
    <row r="112" spans="1:2" x14ac:dyDescent="0.2">
      <c r="A112">
        <v>106</v>
      </c>
      <c r="B112">
        <v>5.2427378672591285E-2</v>
      </c>
    </row>
    <row r="113" spans="1:2" x14ac:dyDescent="0.2">
      <c r="A113">
        <v>107</v>
      </c>
      <c r="B113">
        <v>0.46284837186268435</v>
      </c>
    </row>
    <row r="114" spans="1:2" x14ac:dyDescent="0.2">
      <c r="A114">
        <v>108</v>
      </c>
      <c r="B114">
        <v>0.26878415387014598</v>
      </c>
    </row>
    <row r="115" spans="1:2" x14ac:dyDescent="0.2">
      <c r="A115">
        <v>109</v>
      </c>
      <c r="B115">
        <v>0.76598082240732324</v>
      </c>
    </row>
    <row r="116" spans="1:2" x14ac:dyDescent="0.2">
      <c r="A116">
        <v>110</v>
      </c>
      <c r="B116">
        <v>9.045446005119151E-2</v>
      </c>
    </row>
    <row r="117" spans="1:2" x14ac:dyDescent="0.2">
      <c r="A117">
        <v>111</v>
      </c>
      <c r="B117">
        <v>0.50608411912914308</v>
      </c>
    </row>
    <row r="118" spans="1:2" x14ac:dyDescent="0.2">
      <c r="A118">
        <v>112</v>
      </c>
      <c r="B118">
        <v>0.89013590368593343</v>
      </c>
    </row>
    <row r="119" spans="1:2" x14ac:dyDescent="0.2">
      <c r="A119">
        <v>113</v>
      </c>
      <c r="B119">
        <v>0.14625635702659268</v>
      </c>
    </row>
    <row r="120" spans="1:2" x14ac:dyDescent="0.2">
      <c r="A120">
        <v>114</v>
      </c>
      <c r="B120">
        <v>0.90509087433247126</v>
      </c>
    </row>
    <row r="121" spans="1:2" x14ac:dyDescent="0.2">
      <c r="A121">
        <v>115</v>
      </c>
      <c r="B121">
        <v>0.83482704353654202</v>
      </c>
    </row>
    <row r="122" spans="1:2" x14ac:dyDescent="0.2">
      <c r="A122">
        <v>116</v>
      </c>
      <c r="B122">
        <v>0.7484893770514337</v>
      </c>
    </row>
    <row r="123" spans="1:2" x14ac:dyDescent="0.2">
      <c r="A123">
        <v>117</v>
      </c>
      <c r="B123">
        <v>0.58399403525100735</v>
      </c>
    </row>
    <row r="124" spans="1:2" x14ac:dyDescent="0.2">
      <c r="A124">
        <v>118</v>
      </c>
      <c r="B124">
        <v>0.92134143805361135</v>
      </c>
    </row>
    <row r="125" spans="1:2" x14ac:dyDescent="0.2">
      <c r="A125">
        <v>119</v>
      </c>
      <c r="B125">
        <v>0.1800798994346825</v>
      </c>
    </row>
    <row r="126" spans="1:2" x14ac:dyDescent="0.2">
      <c r="A126">
        <v>120</v>
      </c>
      <c r="B126">
        <v>3.2756270580932556E-2</v>
      </c>
    </row>
    <row r="127" spans="1:2" x14ac:dyDescent="0.2">
      <c r="A127">
        <v>121</v>
      </c>
      <c r="B127">
        <v>0.28651887353286443</v>
      </c>
    </row>
    <row r="128" spans="1:2" x14ac:dyDescent="0.2">
      <c r="A128">
        <v>122</v>
      </c>
      <c r="B128">
        <v>0.9223926179425963</v>
      </c>
    </row>
    <row r="129" spans="1:2" x14ac:dyDescent="0.2">
      <c r="A129">
        <v>123</v>
      </c>
      <c r="B129">
        <v>0.5787907338660595</v>
      </c>
    </row>
    <row r="130" spans="1:2" x14ac:dyDescent="0.2">
      <c r="A130">
        <v>124</v>
      </c>
      <c r="B130">
        <v>4.2128297768971534E-2</v>
      </c>
    </row>
    <row r="131" spans="1:2" x14ac:dyDescent="0.2">
      <c r="A131">
        <v>125</v>
      </c>
      <c r="B131">
        <v>0.61455501964586534</v>
      </c>
    </row>
    <row r="132" spans="1:2" x14ac:dyDescent="0.2">
      <c r="A132">
        <v>126</v>
      </c>
      <c r="B132">
        <v>0.38457127287705983</v>
      </c>
    </row>
    <row r="133" spans="1:2" x14ac:dyDescent="0.2">
      <c r="A133">
        <v>127</v>
      </c>
      <c r="B133">
        <v>0.64176920935759485</v>
      </c>
    </row>
    <row r="134" spans="1:2" x14ac:dyDescent="0.2">
      <c r="A134">
        <v>128</v>
      </c>
      <c r="B134">
        <v>0.3519568890907071</v>
      </c>
    </row>
    <row r="135" spans="1:2" x14ac:dyDescent="0.2">
      <c r="A135">
        <v>129</v>
      </c>
      <c r="B135">
        <v>4.1368373481693199E-2</v>
      </c>
    </row>
    <row r="136" spans="1:2" x14ac:dyDescent="0.2">
      <c r="A136">
        <v>130</v>
      </c>
      <c r="B136">
        <v>0.8433260236949589</v>
      </c>
    </row>
    <row r="137" spans="1:2" x14ac:dyDescent="0.2">
      <c r="A137">
        <v>131</v>
      </c>
      <c r="B137">
        <v>0.54305970660030711</v>
      </c>
    </row>
    <row r="138" spans="1:2" x14ac:dyDescent="0.2">
      <c r="A138">
        <v>132</v>
      </c>
      <c r="B138">
        <v>0.22043307011411539</v>
      </c>
    </row>
    <row r="139" spans="1:2" x14ac:dyDescent="0.2">
      <c r="A139">
        <v>133</v>
      </c>
      <c r="B139">
        <v>0.55955128557939926</v>
      </c>
    </row>
    <row r="140" spans="1:2" x14ac:dyDescent="0.2">
      <c r="A140">
        <v>134</v>
      </c>
      <c r="B140">
        <v>0.63441690750603352</v>
      </c>
    </row>
    <row r="141" spans="1:2" x14ac:dyDescent="0.2">
      <c r="A141">
        <v>135</v>
      </c>
      <c r="B141">
        <v>0.37289116269425349</v>
      </c>
    </row>
    <row r="142" spans="1:2" x14ac:dyDescent="0.2">
      <c r="A142">
        <v>136</v>
      </c>
      <c r="B142">
        <v>0.20900512276807681</v>
      </c>
    </row>
    <row r="143" spans="1:2" x14ac:dyDescent="0.2">
      <c r="A143">
        <v>137</v>
      </c>
      <c r="B143">
        <v>0.37454142831680826</v>
      </c>
    </row>
    <row r="144" spans="1:2" x14ac:dyDescent="0.2">
      <c r="A144">
        <v>138</v>
      </c>
      <c r="B144">
        <v>0.39624959713645669</v>
      </c>
    </row>
    <row r="145" spans="1:2" x14ac:dyDescent="0.2">
      <c r="A145">
        <v>139</v>
      </c>
      <c r="B145">
        <v>0.12383434327883436</v>
      </c>
    </row>
    <row r="146" spans="1:2" x14ac:dyDescent="0.2">
      <c r="A146">
        <v>140</v>
      </c>
      <c r="B146">
        <v>0.25249616682083365</v>
      </c>
    </row>
    <row r="147" spans="1:2" x14ac:dyDescent="0.2">
      <c r="A147">
        <v>141</v>
      </c>
      <c r="B147">
        <v>6.0624826791671804E-2</v>
      </c>
    </row>
    <row r="148" spans="1:2" x14ac:dyDescent="0.2">
      <c r="A148">
        <v>142</v>
      </c>
      <c r="B148">
        <v>7.6579796676054301E-2</v>
      </c>
    </row>
    <row r="149" spans="1:2" x14ac:dyDescent="0.2">
      <c r="A149">
        <v>143</v>
      </c>
      <c r="B149">
        <v>0.17569946965056649</v>
      </c>
    </row>
    <row r="150" spans="1:2" x14ac:dyDescent="0.2">
      <c r="A150">
        <v>144</v>
      </c>
      <c r="B150">
        <v>0.11639030688682439</v>
      </c>
    </row>
    <row r="151" spans="1:2" x14ac:dyDescent="0.2">
      <c r="A151">
        <v>145</v>
      </c>
      <c r="B151">
        <v>0.49496758388729378</v>
      </c>
    </row>
    <row r="152" spans="1:2" x14ac:dyDescent="0.2">
      <c r="A152">
        <v>146</v>
      </c>
      <c r="B152">
        <v>0.36538906215101474</v>
      </c>
    </row>
    <row r="153" spans="1:2" x14ac:dyDescent="0.2">
      <c r="A153">
        <v>147</v>
      </c>
      <c r="B153">
        <v>0.21448110487040128</v>
      </c>
    </row>
    <row r="154" spans="1:2" x14ac:dyDescent="0.2">
      <c r="A154">
        <v>148</v>
      </c>
      <c r="B154">
        <v>4.9450859176450424E-2</v>
      </c>
    </row>
    <row r="155" spans="1:2" x14ac:dyDescent="0.2">
      <c r="A155">
        <v>149</v>
      </c>
      <c r="B155">
        <v>0.21200774950223211</v>
      </c>
    </row>
    <row r="156" spans="1:2" x14ac:dyDescent="0.2">
      <c r="A156">
        <v>150</v>
      </c>
      <c r="B156">
        <v>0.32541950244218987</v>
      </c>
    </row>
    <row r="157" spans="1:2" x14ac:dyDescent="0.2">
      <c r="A157">
        <v>151</v>
      </c>
      <c r="B157">
        <v>0.50290981985555161</v>
      </c>
    </row>
    <row r="158" spans="1:2" x14ac:dyDescent="0.2">
      <c r="A158">
        <v>152</v>
      </c>
      <c r="B158">
        <v>0.30023142545229575</v>
      </c>
    </row>
    <row r="159" spans="1:2" x14ac:dyDescent="0.2">
      <c r="A159">
        <v>153</v>
      </c>
      <c r="B159">
        <v>0.977294912232748</v>
      </c>
    </row>
    <row r="160" spans="1:2" x14ac:dyDescent="0.2">
      <c r="A160">
        <v>154</v>
      </c>
      <c r="B160">
        <v>0.885405876044565</v>
      </c>
    </row>
    <row r="161" spans="1:2" x14ac:dyDescent="0.2">
      <c r="A161">
        <v>155</v>
      </c>
      <c r="B161">
        <v>0.56829591449280126</v>
      </c>
    </row>
    <row r="162" spans="1:2" x14ac:dyDescent="0.2">
      <c r="A162">
        <v>156</v>
      </c>
      <c r="B162">
        <v>5.3557989247332238E-2</v>
      </c>
    </row>
    <row r="163" spans="1:2" x14ac:dyDescent="0.2">
      <c r="A163">
        <v>157</v>
      </c>
      <c r="B163">
        <v>8.5874175463409586E-2</v>
      </c>
    </row>
    <row r="164" spans="1:2" x14ac:dyDescent="0.2">
      <c r="A164">
        <v>158</v>
      </c>
      <c r="B164">
        <v>0.12708472705116203</v>
      </c>
    </row>
    <row r="165" spans="1:2" x14ac:dyDescent="0.2">
      <c r="A165">
        <v>159</v>
      </c>
      <c r="B165">
        <v>0.23725146562580113</v>
      </c>
    </row>
    <row r="166" spans="1:2" x14ac:dyDescent="0.2">
      <c r="A166">
        <v>160</v>
      </c>
      <c r="B166">
        <v>0.68251642194344231</v>
      </c>
    </row>
    <row r="167" spans="1:2" x14ac:dyDescent="0.2">
      <c r="A167">
        <v>161</v>
      </c>
      <c r="B167">
        <v>0.63108539278454001</v>
      </c>
    </row>
    <row r="168" spans="1:2" x14ac:dyDescent="0.2">
      <c r="A168">
        <v>162</v>
      </c>
      <c r="B168">
        <v>0.30683892829071768</v>
      </c>
    </row>
    <row r="169" spans="1:2" x14ac:dyDescent="0.2">
      <c r="A169">
        <v>163</v>
      </c>
      <c r="B169">
        <v>0.87019143257060227</v>
      </c>
    </row>
    <row r="170" spans="1:2" x14ac:dyDescent="0.2">
      <c r="A170">
        <v>164</v>
      </c>
      <c r="B170">
        <v>0.2527604107141681</v>
      </c>
    </row>
    <row r="171" spans="1:2" x14ac:dyDescent="0.2">
      <c r="A171">
        <v>165</v>
      </c>
      <c r="B171">
        <v>0.82868525372942792</v>
      </c>
    </row>
    <row r="172" spans="1:2" x14ac:dyDescent="0.2">
      <c r="A172">
        <v>166</v>
      </c>
      <c r="B172">
        <v>0.8144047189997069</v>
      </c>
    </row>
    <row r="173" spans="1:2" x14ac:dyDescent="0.2">
      <c r="A173">
        <v>167</v>
      </c>
      <c r="B173">
        <v>0.95315470571164707</v>
      </c>
    </row>
    <row r="174" spans="1:2" x14ac:dyDescent="0.2">
      <c r="A174">
        <v>168</v>
      </c>
      <c r="B174">
        <v>0.32411032948907581</v>
      </c>
    </row>
    <row r="175" spans="1:2" x14ac:dyDescent="0.2">
      <c r="A175">
        <v>169</v>
      </c>
      <c r="B175">
        <v>0.31225082424422457</v>
      </c>
    </row>
    <row r="176" spans="1:2" x14ac:dyDescent="0.2">
      <c r="A176">
        <v>170</v>
      </c>
      <c r="B176">
        <v>0.16258007511726502</v>
      </c>
    </row>
    <row r="177" spans="1:2" x14ac:dyDescent="0.2">
      <c r="A177">
        <v>171</v>
      </c>
      <c r="B177">
        <v>0.53504982144371993</v>
      </c>
    </row>
    <row r="178" spans="1:2" x14ac:dyDescent="0.2">
      <c r="A178">
        <v>172</v>
      </c>
      <c r="B178">
        <v>6.7996372369276914E-2</v>
      </c>
    </row>
    <row r="179" spans="1:2" x14ac:dyDescent="0.2">
      <c r="A179">
        <v>173</v>
      </c>
      <c r="B179">
        <v>0.88832410493342029</v>
      </c>
    </row>
    <row r="180" spans="1:2" x14ac:dyDescent="0.2">
      <c r="A180">
        <v>174</v>
      </c>
      <c r="B180">
        <v>0.2583734658201261</v>
      </c>
    </row>
    <row r="181" spans="1:2" x14ac:dyDescent="0.2">
      <c r="A181">
        <v>175</v>
      </c>
      <c r="B181">
        <v>0.556280599735131</v>
      </c>
    </row>
    <row r="182" spans="1:2" x14ac:dyDescent="0.2">
      <c r="A182">
        <v>176</v>
      </c>
      <c r="B182">
        <v>0.8025747364643453</v>
      </c>
    </row>
    <row r="183" spans="1:2" x14ac:dyDescent="0.2">
      <c r="A183">
        <v>177</v>
      </c>
      <c r="B183">
        <v>0.13000702751155835</v>
      </c>
    </row>
    <row r="184" spans="1:2" x14ac:dyDescent="0.2">
      <c r="A184">
        <v>178</v>
      </c>
      <c r="B184">
        <v>0.93663124043161305</v>
      </c>
    </row>
    <row r="185" spans="1:2" x14ac:dyDescent="0.2">
      <c r="A185">
        <v>179</v>
      </c>
      <c r="B185">
        <v>0.23800254216625893</v>
      </c>
    </row>
    <row r="186" spans="1:2" x14ac:dyDescent="0.2">
      <c r="A186">
        <v>180</v>
      </c>
      <c r="B186">
        <v>8.4671990381075535E-3</v>
      </c>
    </row>
    <row r="187" spans="1:2" x14ac:dyDescent="0.2">
      <c r="A187">
        <v>181</v>
      </c>
      <c r="B187">
        <v>0.21105108039165166</v>
      </c>
    </row>
    <row r="188" spans="1:2" x14ac:dyDescent="0.2">
      <c r="A188">
        <v>182</v>
      </c>
      <c r="B188">
        <v>0.91519670813925302</v>
      </c>
    </row>
    <row r="189" spans="1:2" x14ac:dyDescent="0.2">
      <c r="A189">
        <v>183</v>
      </c>
      <c r="B189">
        <v>0.54659741564734654</v>
      </c>
    </row>
    <row r="190" spans="1:2" x14ac:dyDescent="0.2">
      <c r="A190">
        <v>184</v>
      </c>
      <c r="B190">
        <v>0.69503054667139119</v>
      </c>
    </row>
    <row r="191" spans="1:2" x14ac:dyDescent="0.2">
      <c r="A191">
        <v>185</v>
      </c>
      <c r="B191">
        <v>0.45176181757254452</v>
      </c>
    </row>
    <row r="192" spans="1:2" x14ac:dyDescent="0.2">
      <c r="A192">
        <v>186</v>
      </c>
      <c r="B192">
        <v>0.14052230978750779</v>
      </c>
    </row>
    <row r="193" spans="1:2" x14ac:dyDescent="0.2">
      <c r="A193">
        <v>187</v>
      </c>
      <c r="B193">
        <v>0.70706344158163703</v>
      </c>
    </row>
    <row r="194" spans="1:2" x14ac:dyDescent="0.2">
      <c r="A194">
        <v>188</v>
      </c>
      <c r="B194">
        <v>0.66578681066956547</v>
      </c>
    </row>
    <row r="195" spans="1:2" x14ac:dyDescent="0.2">
      <c r="A195">
        <v>189</v>
      </c>
      <c r="B195">
        <v>0.43180660311910779</v>
      </c>
    </row>
    <row r="196" spans="1:2" x14ac:dyDescent="0.2">
      <c r="A196">
        <v>190</v>
      </c>
      <c r="B196">
        <v>0.41851802886021272</v>
      </c>
    </row>
    <row r="197" spans="1:2" x14ac:dyDescent="0.2">
      <c r="A197">
        <v>191</v>
      </c>
      <c r="B197">
        <v>0.63757623913613093</v>
      </c>
    </row>
    <row r="198" spans="1:2" x14ac:dyDescent="0.2">
      <c r="A198">
        <v>192</v>
      </c>
      <c r="B198">
        <v>0.40415459715963231</v>
      </c>
    </row>
    <row r="199" spans="1:2" x14ac:dyDescent="0.2">
      <c r="A199">
        <v>193</v>
      </c>
      <c r="B199">
        <v>0.39067435773968606</v>
      </c>
    </row>
    <row r="200" spans="1:2" x14ac:dyDescent="0.2">
      <c r="A200">
        <v>194</v>
      </c>
      <c r="B200">
        <v>0.78860183674804829</v>
      </c>
    </row>
    <row r="201" spans="1:2" x14ac:dyDescent="0.2">
      <c r="A201">
        <v>195</v>
      </c>
      <c r="B201">
        <v>0.9501767904319306</v>
      </c>
    </row>
    <row r="202" spans="1:2" x14ac:dyDescent="0.2">
      <c r="A202">
        <v>196</v>
      </c>
      <c r="B202">
        <v>0.73877252681031969</v>
      </c>
    </row>
    <row r="203" spans="1:2" x14ac:dyDescent="0.2">
      <c r="A203">
        <v>197</v>
      </c>
      <c r="B203">
        <v>0.82220037736703822</v>
      </c>
    </row>
    <row r="204" spans="1:2" x14ac:dyDescent="0.2">
      <c r="A204">
        <v>198</v>
      </c>
      <c r="B204">
        <v>0.32090618180628472</v>
      </c>
    </row>
    <row r="205" spans="1:2" x14ac:dyDescent="0.2">
      <c r="A205">
        <v>199</v>
      </c>
      <c r="B205">
        <v>0.3847227904805901</v>
      </c>
    </row>
    <row r="206" spans="1:2" x14ac:dyDescent="0.2">
      <c r="A206">
        <v>200</v>
      </c>
      <c r="B206">
        <v>0.77027854634164272</v>
      </c>
    </row>
    <row r="207" spans="1:2" x14ac:dyDescent="0.2">
      <c r="A207">
        <v>201</v>
      </c>
      <c r="B207">
        <v>0.22398435496352231</v>
      </c>
    </row>
    <row r="208" spans="1:2" x14ac:dyDescent="0.2">
      <c r="A208">
        <v>202</v>
      </c>
      <c r="B208">
        <v>3.8843722189212282E-2</v>
      </c>
    </row>
    <row r="209" spans="1:2" x14ac:dyDescent="0.2">
      <c r="A209">
        <v>203</v>
      </c>
      <c r="B209">
        <v>0.28480256167491114</v>
      </c>
    </row>
    <row r="210" spans="1:2" x14ac:dyDescent="0.2">
      <c r="A210">
        <v>204</v>
      </c>
      <c r="B210">
        <v>0.13950653047694594</v>
      </c>
    </row>
    <row r="211" spans="1:2" x14ac:dyDescent="0.2">
      <c r="A211">
        <v>205</v>
      </c>
      <c r="B211">
        <v>0.35299594801284784</v>
      </c>
    </row>
    <row r="212" spans="1:2" x14ac:dyDescent="0.2">
      <c r="A212">
        <v>206</v>
      </c>
      <c r="B212">
        <v>0.15952524906548893</v>
      </c>
    </row>
    <row r="213" spans="1:2" x14ac:dyDescent="0.2">
      <c r="A213">
        <v>207</v>
      </c>
      <c r="B213">
        <v>0.91134248394616135</v>
      </c>
    </row>
    <row r="214" spans="1:2" x14ac:dyDescent="0.2">
      <c r="A214">
        <v>208</v>
      </c>
      <c r="B214">
        <v>0.38731340345971177</v>
      </c>
    </row>
    <row r="215" spans="1:2" x14ac:dyDescent="0.2">
      <c r="A215">
        <v>209</v>
      </c>
      <c r="B215">
        <v>0.1309796145059765</v>
      </c>
    </row>
    <row r="216" spans="1:2" x14ac:dyDescent="0.2">
      <c r="A216">
        <v>210</v>
      </c>
      <c r="B216">
        <v>0.4871763588196999</v>
      </c>
    </row>
    <row r="217" spans="1:2" x14ac:dyDescent="0.2">
      <c r="A217">
        <v>211</v>
      </c>
      <c r="B217">
        <v>0.61460893465667255</v>
      </c>
    </row>
    <row r="218" spans="1:2" x14ac:dyDescent="0.2">
      <c r="A218">
        <v>212</v>
      </c>
      <c r="B218">
        <v>0.40098605315951286</v>
      </c>
    </row>
    <row r="219" spans="1:2" x14ac:dyDescent="0.2">
      <c r="A219">
        <v>213</v>
      </c>
      <c r="B219">
        <v>0.21905492263665505</v>
      </c>
    </row>
    <row r="220" spans="1:2" x14ac:dyDescent="0.2">
      <c r="A220">
        <v>214</v>
      </c>
      <c r="B220">
        <v>0.14060940012904388</v>
      </c>
    </row>
    <row r="221" spans="1:2" x14ac:dyDescent="0.2">
      <c r="A221">
        <v>215</v>
      </c>
      <c r="B221">
        <v>0.98934188820949731</v>
      </c>
    </row>
    <row r="222" spans="1:2" x14ac:dyDescent="0.2">
      <c r="A222">
        <v>216</v>
      </c>
      <c r="B222">
        <v>0.92170243245533001</v>
      </c>
    </row>
    <row r="223" spans="1:2" x14ac:dyDescent="0.2">
      <c r="A223">
        <v>217</v>
      </c>
      <c r="B223">
        <v>1.5831251549229264E-2</v>
      </c>
    </row>
    <row r="224" spans="1:2" x14ac:dyDescent="0.2">
      <c r="A224">
        <v>218</v>
      </c>
      <c r="B224">
        <v>0.56028204268837434</v>
      </c>
    </row>
    <row r="225" spans="1:2" x14ac:dyDescent="0.2">
      <c r="A225">
        <v>219</v>
      </c>
      <c r="B225">
        <v>0.30728821444752741</v>
      </c>
    </row>
    <row r="226" spans="1:2" x14ac:dyDescent="0.2">
      <c r="A226">
        <v>220</v>
      </c>
      <c r="B226">
        <v>0.3377801449079807</v>
      </c>
    </row>
    <row r="227" spans="1:2" x14ac:dyDescent="0.2">
      <c r="A227">
        <v>221</v>
      </c>
      <c r="B227">
        <v>0.16241593804469978</v>
      </c>
    </row>
    <row r="228" spans="1:2" x14ac:dyDescent="0.2">
      <c r="A228">
        <v>222</v>
      </c>
      <c r="B228">
        <v>0.15162208715968484</v>
      </c>
    </row>
    <row r="229" spans="1:2" x14ac:dyDescent="0.2">
      <c r="A229">
        <v>223</v>
      </c>
      <c r="B229">
        <v>0.93243748088102174</v>
      </c>
    </row>
    <row r="230" spans="1:2" x14ac:dyDescent="0.2">
      <c r="A230">
        <v>224</v>
      </c>
      <c r="B230">
        <v>0.74832402729749736</v>
      </c>
    </row>
    <row r="231" spans="1:2" x14ac:dyDescent="0.2">
      <c r="A231">
        <v>225</v>
      </c>
      <c r="B231">
        <v>0.40486172833578982</v>
      </c>
    </row>
    <row r="232" spans="1:2" x14ac:dyDescent="0.2">
      <c r="A232">
        <v>226</v>
      </c>
      <c r="B232">
        <v>0.1042023533599431</v>
      </c>
    </row>
    <row r="233" spans="1:2" x14ac:dyDescent="0.2">
      <c r="A233">
        <v>227</v>
      </c>
      <c r="B233">
        <v>0.63616172304175189</v>
      </c>
    </row>
    <row r="234" spans="1:2" x14ac:dyDescent="0.2">
      <c r="A234">
        <v>228</v>
      </c>
      <c r="B234">
        <v>0.73461140043648221</v>
      </c>
    </row>
    <row r="235" spans="1:2" x14ac:dyDescent="0.2">
      <c r="A235">
        <v>229</v>
      </c>
      <c r="B235">
        <v>0.34433609611207594</v>
      </c>
    </row>
    <row r="236" spans="1:2" x14ac:dyDescent="0.2">
      <c r="A236">
        <v>230</v>
      </c>
      <c r="B236">
        <v>0.26918322839552444</v>
      </c>
    </row>
    <row r="237" spans="1:2" x14ac:dyDescent="0.2">
      <c r="A237">
        <v>231</v>
      </c>
      <c r="B237">
        <v>0.57061968119161077</v>
      </c>
    </row>
    <row r="238" spans="1:2" x14ac:dyDescent="0.2">
      <c r="A238">
        <v>232</v>
      </c>
      <c r="B238">
        <v>0.28730948324174055</v>
      </c>
    </row>
    <row r="239" spans="1:2" x14ac:dyDescent="0.2">
      <c r="A239">
        <v>233</v>
      </c>
      <c r="B239">
        <v>6.4651355671516697E-3</v>
      </c>
    </row>
    <row r="240" spans="1:2" x14ac:dyDescent="0.2">
      <c r="A240">
        <v>234</v>
      </c>
      <c r="B240">
        <v>0.85961469272725999</v>
      </c>
    </row>
    <row r="241" spans="1:2" x14ac:dyDescent="0.2">
      <c r="A241">
        <v>235</v>
      </c>
      <c r="B241">
        <v>0.85014479196194492</v>
      </c>
    </row>
    <row r="242" spans="1:2" x14ac:dyDescent="0.2">
      <c r="A242">
        <v>236</v>
      </c>
      <c r="B242">
        <v>0.10760526479213828</v>
      </c>
    </row>
    <row r="243" spans="1:2" x14ac:dyDescent="0.2">
      <c r="A243">
        <v>237</v>
      </c>
      <c r="B243">
        <v>0.27109801159350166</v>
      </c>
    </row>
    <row r="244" spans="1:2" x14ac:dyDescent="0.2">
      <c r="A244">
        <v>238</v>
      </c>
      <c r="B244">
        <v>1.2341777884449456E-2</v>
      </c>
    </row>
    <row r="245" spans="1:2" x14ac:dyDescent="0.2">
      <c r="A245">
        <v>239</v>
      </c>
      <c r="B245">
        <v>0.49548995400034868</v>
      </c>
    </row>
    <row r="246" spans="1:2" x14ac:dyDescent="0.2">
      <c r="A246">
        <v>240</v>
      </c>
      <c r="B246">
        <v>0.23048341457315646</v>
      </c>
    </row>
    <row r="247" spans="1:2" x14ac:dyDescent="0.2">
      <c r="A247">
        <v>241</v>
      </c>
      <c r="B247">
        <v>0.57695564791186293</v>
      </c>
    </row>
    <row r="248" spans="1:2" x14ac:dyDescent="0.2">
      <c r="A248">
        <v>242</v>
      </c>
      <c r="B248">
        <v>0.394784108443339</v>
      </c>
    </row>
    <row r="249" spans="1:2" x14ac:dyDescent="0.2">
      <c r="A249">
        <v>243</v>
      </c>
      <c r="B249">
        <v>0.86330518223088393</v>
      </c>
    </row>
    <row r="250" spans="1:2" x14ac:dyDescent="0.2">
      <c r="A250">
        <v>244</v>
      </c>
      <c r="B250">
        <v>0.54219486679540818</v>
      </c>
    </row>
    <row r="251" spans="1:2" x14ac:dyDescent="0.2">
      <c r="A251">
        <v>245</v>
      </c>
      <c r="B251">
        <v>0.59023367681319949</v>
      </c>
    </row>
    <row r="252" spans="1:2" x14ac:dyDescent="0.2">
      <c r="A252">
        <v>246</v>
      </c>
      <c r="B252">
        <v>0.10683677226961585</v>
      </c>
    </row>
    <row r="253" spans="1:2" x14ac:dyDescent="0.2">
      <c r="A253">
        <v>247</v>
      </c>
      <c r="B253">
        <v>0.76898085080571521</v>
      </c>
    </row>
    <row r="254" spans="1:2" x14ac:dyDescent="0.2">
      <c r="A254">
        <v>248</v>
      </c>
      <c r="B254">
        <v>0.25289924171709999</v>
      </c>
    </row>
    <row r="255" spans="1:2" x14ac:dyDescent="0.2">
      <c r="A255">
        <v>249</v>
      </c>
      <c r="B255">
        <v>0.63192629832393432</v>
      </c>
    </row>
    <row r="256" spans="1:2" x14ac:dyDescent="0.2">
      <c r="A256">
        <v>250</v>
      </c>
      <c r="B256">
        <v>0.66487338987606004</v>
      </c>
    </row>
    <row r="257" spans="1:2" x14ac:dyDescent="0.2">
      <c r="A257">
        <v>251</v>
      </c>
      <c r="B257">
        <v>6.3490233876224433E-2</v>
      </c>
    </row>
    <row r="258" spans="1:2" x14ac:dyDescent="0.2">
      <c r="A258">
        <v>252</v>
      </c>
      <c r="B258">
        <v>0.33219263903124241</v>
      </c>
    </row>
    <row r="259" spans="1:2" x14ac:dyDescent="0.2">
      <c r="A259">
        <v>253</v>
      </c>
      <c r="B259">
        <v>6.6830720951579603E-2</v>
      </c>
    </row>
    <row r="260" spans="1:2" x14ac:dyDescent="0.2">
      <c r="A260">
        <v>254</v>
      </c>
      <c r="B260">
        <v>4.2878775482216192E-2</v>
      </c>
    </row>
    <row r="261" spans="1:2" x14ac:dyDescent="0.2">
      <c r="A261">
        <v>255</v>
      </c>
      <c r="B261">
        <v>0.62654595489914422</v>
      </c>
    </row>
    <row r="262" spans="1:2" x14ac:dyDescent="0.2">
      <c r="A262">
        <v>256</v>
      </c>
      <c r="B262">
        <v>0.54219278748720434</v>
      </c>
    </row>
    <row r="263" spans="1:2" x14ac:dyDescent="0.2">
      <c r="A263">
        <v>257</v>
      </c>
      <c r="B263">
        <v>0.96946462681528367</v>
      </c>
    </row>
    <row r="264" spans="1:2" x14ac:dyDescent="0.2">
      <c r="A264">
        <v>258</v>
      </c>
      <c r="B264">
        <v>0.47197543767850725</v>
      </c>
    </row>
    <row r="265" spans="1:2" x14ac:dyDescent="0.2">
      <c r="A265">
        <v>259</v>
      </c>
      <c r="B265">
        <v>4.4452674433339556E-2</v>
      </c>
    </row>
    <row r="266" spans="1:2" x14ac:dyDescent="0.2">
      <c r="A266">
        <v>260</v>
      </c>
      <c r="B266">
        <v>0.33287352440390672</v>
      </c>
    </row>
    <row r="267" spans="1:2" x14ac:dyDescent="0.2">
      <c r="A267">
        <v>261</v>
      </c>
      <c r="B267">
        <v>0.23863278347471273</v>
      </c>
    </row>
    <row r="268" spans="1:2" x14ac:dyDescent="0.2">
      <c r="A268">
        <v>262</v>
      </c>
      <c r="B268">
        <v>0.79214755283590466</v>
      </c>
    </row>
    <row r="269" spans="1:2" x14ac:dyDescent="0.2">
      <c r="A269">
        <v>263</v>
      </c>
      <c r="B269">
        <v>0.31686877046158202</v>
      </c>
    </row>
    <row r="270" spans="1:2" x14ac:dyDescent="0.2">
      <c r="A270">
        <v>264</v>
      </c>
      <c r="B270">
        <v>0.7243487543327225</v>
      </c>
    </row>
    <row r="271" spans="1:2" x14ac:dyDescent="0.2">
      <c r="A271">
        <v>265</v>
      </c>
      <c r="B271">
        <v>7.8896625486919891E-2</v>
      </c>
    </row>
    <row r="272" spans="1:2" x14ac:dyDescent="0.2">
      <c r="A272">
        <v>266</v>
      </c>
      <c r="B272">
        <v>8.0632598016492474E-2</v>
      </c>
    </row>
    <row r="273" spans="1:2" x14ac:dyDescent="0.2">
      <c r="A273">
        <v>267</v>
      </c>
      <c r="B273">
        <v>0.48059964647239506</v>
      </c>
    </row>
    <row r="274" spans="1:2" x14ac:dyDescent="0.2">
      <c r="A274">
        <v>268</v>
      </c>
      <c r="B274">
        <v>0.37159496928775815</v>
      </c>
    </row>
    <row r="275" spans="1:2" x14ac:dyDescent="0.2">
      <c r="A275">
        <v>269</v>
      </c>
      <c r="B275">
        <v>0.8397666087625637</v>
      </c>
    </row>
    <row r="276" spans="1:2" x14ac:dyDescent="0.2">
      <c r="A276">
        <v>270</v>
      </c>
      <c r="B276">
        <v>0.78677452067252962</v>
      </c>
    </row>
    <row r="277" spans="1:2" x14ac:dyDescent="0.2">
      <c r="A277">
        <v>271</v>
      </c>
      <c r="B277">
        <v>0.68580778427835243</v>
      </c>
    </row>
    <row r="278" spans="1:2" x14ac:dyDescent="0.2">
      <c r="A278">
        <v>272</v>
      </c>
      <c r="B278">
        <v>0.50979051027478539</v>
      </c>
    </row>
    <row r="279" spans="1:2" x14ac:dyDescent="0.2">
      <c r="A279">
        <v>273</v>
      </c>
      <c r="B279">
        <v>0.16414565601996067</v>
      </c>
    </row>
    <row r="280" spans="1:2" x14ac:dyDescent="0.2">
      <c r="A280">
        <v>274</v>
      </c>
      <c r="B280">
        <v>0.96748894690199139</v>
      </c>
    </row>
    <row r="281" spans="1:2" x14ac:dyDescent="0.2">
      <c r="A281">
        <v>275</v>
      </c>
      <c r="B281">
        <v>0.74384954248736967</v>
      </c>
    </row>
    <row r="282" spans="1:2" x14ac:dyDescent="0.2">
      <c r="A282">
        <v>276</v>
      </c>
      <c r="B282">
        <v>0.59801933925867523</v>
      </c>
    </row>
    <row r="283" spans="1:2" x14ac:dyDescent="0.2">
      <c r="A283">
        <v>277</v>
      </c>
      <c r="B283">
        <v>0.28843086382735583</v>
      </c>
    </row>
    <row r="284" spans="1:2" x14ac:dyDescent="0.2">
      <c r="A284">
        <v>278</v>
      </c>
      <c r="B284">
        <v>0.30602910970487396</v>
      </c>
    </row>
    <row r="285" spans="1:2" x14ac:dyDescent="0.2">
      <c r="A285">
        <v>279</v>
      </c>
      <c r="B285">
        <v>0.91173490213046071</v>
      </c>
    </row>
    <row r="286" spans="1:2" x14ac:dyDescent="0.2">
      <c r="A286">
        <v>280</v>
      </c>
      <c r="B286">
        <v>0.29566136486893979</v>
      </c>
    </row>
    <row r="287" spans="1:2" x14ac:dyDescent="0.2">
      <c r="A287">
        <v>281</v>
      </c>
      <c r="B287">
        <v>0.10819026603635751</v>
      </c>
    </row>
    <row r="288" spans="1:2" x14ac:dyDescent="0.2">
      <c r="A288">
        <v>282</v>
      </c>
      <c r="B288">
        <v>0.65030344502546711</v>
      </c>
    </row>
    <row r="289" spans="1:2" x14ac:dyDescent="0.2">
      <c r="A289">
        <v>283</v>
      </c>
      <c r="B289">
        <v>0.65332534708503021</v>
      </c>
    </row>
    <row r="290" spans="1:2" x14ac:dyDescent="0.2">
      <c r="A290">
        <v>284</v>
      </c>
      <c r="B290">
        <v>0.59815733069665289</v>
      </c>
    </row>
    <row r="291" spans="1:2" x14ac:dyDescent="0.2">
      <c r="A291">
        <v>285</v>
      </c>
      <c r="B291">
        <v>0.76601046458634392</v>
      </c>
    </row>
    <row r="292" spans="1:2" x14ac:dyDescent="0.2">
      <c r="A292">
        <v>286</v>
      </c>
      <c r="B292">
        <v>0.87454812301340912</v>
      </c>
    </row>
    <row r="293" spans="1:2" x14ac:dyDescent="0.2">
      <c r="A293">
        <v>287</v>
      </c>
      <c r="B293">
        <v>0.79216618695978525</v>
      </c>
    </row>
    <row r="294" spans="1:2" x14ac:dyDescent="0.2">
      <c r="A294">
        <v>288</v>
      </c>
      <c r="B294">
        <v>0.94960145893846015</v>
      </c>
    </row>
    <row r="295" spans="1:2" x14ac:dyDescent="0.2">
      <c r="A295">
        <v>289</v>
      </c>
      <c r="B295">
        <v>0.91271600235574979</v>
      </c>
    </row>
    <row r="296" spans="1:2" x14ac:dyDescent="0.2">
      <c r="A296">
        <v>290</v>
      </c>
      <c r="B296">
        <v>0.71134144219362161</v>
      </c>
    </row>
    <row r="297" spans="1:2" x14ac:dyDescent="0.2">
      <c r="A297">
        <v>291</v>
      </c>
      <c r="B297">
        <v>0.5065865548927877</v>
      </c>
    </row>
    <row r="298" spans="1:2" x14ac:dyDescent="0.2">
      <c r="A298">
        <v>292</v>
      </c>
      <c r="B298">
        <v>0.3163024852176084</v>
      </c>
    </row>
    <row r="299" spans="1:2" x14ac:dyDescent="0.2">
      <c r="A299">
        <v>293</v>
      </c>
      <c r="B299">
        <v>0.50337911942068703</v>
      </c>
    </row>
    <row r="300" spans="1:2" x14ac:dyDescent="0.2">
      <c r="A300">
        <v>294</v>
      </c>
      <c r="B300">
        <v>0.27682115001752883</v>
      </c>
    </row>
    <row r="301" spans="1:2" x14ac:dyDescent="0.2">
      <c r="A301">
        <v>295</v>
      </c>
      <c r="B301">
        <v>0.28527470309708436</v>
      </c>
    </row>
    <row r="302" spans="1:2" x14ac:dyDescent="0.2">
      <c r="A302">
        <v>296</v>
      </c>
      <c r="B302">
        <v>0.87312090253881502</v>
      </c>
    </row>
    <row r="303" spans="1:2" x14ac:dyDescent="0.2">
      <c r="A303">
        <v>297</v>
      </c>
      <c r="B303">
        <v>0.90596664437579155</v>
      </c>
    </row>
    <row r="304" spans="1:2" x14ac:dyDescent="0.2">
      <c r="A304">
        <v>298</v>
      </c>
      <c r="B304">
        <v>0.30542537040636886</v>
      </c>
    </row>
    <row r="305" spans="1:2" x14ac:dyDescent="0.2">
      <c r="A305">
        <v>299</v>
      </c>
      <c r="B305">
        <v>0.10741012788424842</v>
      </c>
    </row>
    <row r="306" spans="1:2" x14ac:dyDescent="0.2">
      <c r="A306">
        <v>300</v>
      </c>
      <c r="B306">
        <v>0.8180666975384675</v>
      </c>
    </row>
    <row r="307" spans="1:2" x14ac:dyDescent="0.2">
      <c r="A307">
        <v>301</v>
      </c>
      <c r="B307">
        <v>0.79742890197777938</v>
      </c>
    </row>
    <row r="308" spans="1:2" x14ac:dyDescent="0.2">
      <c r="A308">
        <v>302</v>
      </c>
      <c r="B308">
        <v>0.85842607883914246</v>
      </c>
    </row>
    <row r="309" spans="1:2" x14ac:dyDescent="0.2">
      <c r="A309">
        <v>303</v>
      </c>
      <c r="B309">
        <v>0.2804854157402874</v>
      </c>
    </row>
    <row r="310" spans="1:2" x14ac:dyDescent="0.2">
      <c r="A310">
        <v>304</v>
      </c>
      <c r="B310">
        <v>0.81913636014894109</v>
      </c>
    </row>
    <row r="311" spans="1:2" x14ac:dyDescent="0.2">
      <c r="A311">
        <v>305</v>
      </c>
      <c r="B311">
        <v>0.8762510317211617</v>
      </c>
    </row>
    <row r="312" spans="1:2" x14ac:dyDescent="0.2">
      <c r="A312">
        <v>306</v>
      </c>
      <c r="B312">
        <v>0.5807688117758637</v>
      </c>
    </row>
    <row r="313" spans="1:2" x14ac:dyDescent="0.2">
      <c r="A313">
        <v>307</v>
      </c>
      <c r="B313">
        <v>0.91905436240118543</v>
      </c>
    </row>
    <row r="314" spans="1:2" x14ac:dyDescent="0.2">
      <c r="A314">
        <v>308</v>
      </c>
      <c r="B314">
        <v>0.63346830319247127</v>
      </c>
    </row>
    <row r="315" spans="1:2" x14ac:dyDescent="0.2">
      <c r="A315">
        <v>309</v>
      </c>
      <c r="B315">
        <v>0.7234543665114489</v>
      </c>
    </row>
    <row r="316" spans="1:2" x14ac:dyDescent="0.2">
      <c r="A316">
        <v>310</v>
      </c>
      <c r="B316">
        <v>0.71126957621195586</v>
      </c>
    </row>
    <row r="317" spans="1:2" x14ac:dyDescent="0.2">
      <c r="A317">
        <v>311</v>
      </c>
      <c r="B317">
        <v>0.18456424764361012</v>
      </c>
    </row>
    <row r="318" spans="1:2" x14ac:dyDescent="0.2">
      <c r="A318">
        <v>312</v>
      </c>
      <c r="B318">
        <v>0.7896303580736822</v>
      </c>
    </row>
    <row r="319" spans="1:2" x14ac:dyDescent="0.2">
      <c r="A319">
        <v>313</v>
      </c>
      <c r="B319">
        <v>0.149386443652887</v>
      </c>
    </row>
    <row r="320" spans="1:2" x14ac:dyDescent="0.2">
      <c r="A320">
        <v>314</v>
      </c>
      <c r="B320">
        <v>0.92599801734962328</v>
      </c>
    </row>
    <row r="321" spans="1:2" x14ac:dyDescent="0.2">
      <c r="A321">
        <v>315</v>
      </c>
      <c r="B321">
        <v>0.4196313738357843</v>
      </c>
    </row>
    <row r="322" spans="1:2" x14ac:dyDescent="0.2">
      <c r="A322">
        <v>316</v>
      </c>
      <c r="B322">
        <v>0.97447118572096736</v>
      </c>
    </row>
    <row r="323" spans="1:2" x14ac:dyDescent="0.2">
      <c r="A323">
        <v>317</v>
      </c>
      <c r="B323">
        <v>0.43118890881328142</v>
      </c>
    </row>
    <row r="324" spans="1:2" x14ac:dyDescent="0.2">
      <c r="A324">
        <v>318</v>
      </c>
      <c r="B324">
        <v>0.13188685974357739</v>
      </c>
    </row>
    <row r="325" spans="1:2" x14ac:dyDescent="0.2">
      <c r="A325">
        <v>319</v>
      </c>
      <c r="B325">
        <v>0.84497934783617135</v>
      </c>
    </row>
    <row r="326" spans="1:2" x14ac:dyDescent="0.2">
      <c r="A326">
        <v>320</v>
      </c>
      <c r="B326">
        <v>0.20707033612336001</v>
      </c>
    </row>
    <row r="327" spans="1:2" x14ac:dyDescent="0.2">
      <c r="A327">
        <v>321</v>
      </c>
      <c r="B327">
        <v>0.20015304150129087</v>
      </c>
    </row>
    <row r="328" spans="1:2" x14ac:dyDescent="0.2">
      <c r="A328">
        <v>322</v>
      </c>
      <c r="B328">
        <v>0.50890657940853146</v>
      </c>
    </row>
    <row r="329" spans="1:2" x14ac:dyDescent="0.2">
      <c r="A329">
        <v>323</v>
      </c>
      <c r="B329">
        <v>0.59231997945932247</v>
      </c>
    </row>
    <row r="330" spans="1:2" x14ac:dyDescent="0.2">
      <c r="A330">
        <v>324</v>
      </c>
      <c r="B330">
        <v>0.69741097746234404</v>
      </c>
    </row>
    <row r="331" spans="1:2" x14ac:dyDescent="0.2">
      <c r="A331">
        <v>325</v>
      </c>
      <c r="B331">
        <v>0.71809723510515699</v>
      </c>
    </row>
    <row r="332" spans="1:2" x14ac:dyDescent="0.2">
      <c r="A332">
        <v>326</v>
      </c>
      <c r="B332">
        <v>0.92522659755976977</v>
      </c>
    </row>
    <row r="333" spans="1:2" x14ac:dyDescent="0.2">
      <c r="A333">
        <v>327</v>
      </c>
      <c r="B333">
        <v>0.96776951280003209</v>
      </c>
    </row>
    <row r="334" spans="1:2" x14ac:dyDescent="0.2">
      <c r="A334">
        <v>328</v>
      </c>
      <c r="B334">
        <v>0.83230706562015055</v>
      </c>
    </row>
    <row r="335" spans="1:2" x14ac:dyDescent="0.2">
      <c r="A335">
        <v>329</v>
      </c>
      <c r="B335">
        <v>0.10165214685169166</v>
      </c>
    </row>
    <row r="336" spans="1:2" x14ac:dyDescent="0.2">
      <c r="A336">
        <v>330</v>
      </c>
      <c r="B336">
        <v>0.36368715810974583</v>
      </c>
    </row>
    <row r="337" spans="1:2" x14ac:dyDescent="0.2">
      <c r="A337">
        <v>331</v>
      </c>
      <c r="B337">
        <v>0.71953880255706004</v>
      </c>
    </row>
    <row r="338" spans="1:2" x14ac:dyDescent="0.2">
      <c r="A338">
        <v>332</v>
      </c>
      <c r="B338">
        <v>0.54738415842408328</v>
      </c>
    </row>
    <row r="339" spans="1:2" x14ac:dyDescent="0.2">
      <c r="A339">
        <v>333</v>
      </c>
      <c r="B339">
        <v>0.58959422563439934</v>
      </c>
    </row>
    <row r="340" spans="1:2" x14ac:dyDescent="0.2">
      <c r="A340">
        <v>334</v>
      </c>
      <c r="B340">
        <v>4.6626849206804599E-2</v>
      </c>
    </row>
    <row r="341" spans="1:2" x14ac:dyDescent="0.2">
      <c r="A341">
        <v>335</v>
      </c>
      <c r="B341">
        <v>7.3317800477127659E-2</v>
      </c>
    </row>
    <row r="342" spans="1:2" x14ac:dyDescent="0.2">
      <c r="A342">
        <v>336</v>
      </c>
      <c r="B342">
        <v>4.0569031455155447E-2</v>
      </c>
    </row>
    <row r="343" spans="1:2" x14ac:dyDescent="0.2">
      <c r="A343">
        <v>337</v>
      </c>
      <c r="B343">
        <v>0.99428114355712549</v>
      </c>
    </row>
    <row r="344" spans="1:2" x14ac:dyDescent="0.2">
      <c r="A344">
        <v>338</v>
      </c>
      <c r="B344">
        <v>2.3550395780628897E-2</v>
      </c>
    </row>
    <row r="345" spans="1:2" x14ac:dyDescent="0.2">
      <c r="A345">
        <v>339</v>
      </c>
      <c r="B345">
        <v>0.7476910537615411</v>
      </c>
    </row>
    <row r="346" spans="1:2" x14ac:dyDescent="0.2">
      <c r="A346">
        <v>340</v>
      </c>
      <c r="B346">
        <v>0.39738370976904169</v>
      </c>
    </row>
    <row r="347" spans="1:2" x14ac:dyDescent="0.2">
      <c r="A347">
        <v>341</v>
      </c>
      <c r="B347">
        <v>0.93549484728947918</v>
      </c>
    </row>
    <row r="348" spans="1:2" x14ac:dyDescent="0.2">
      <c r="A348">
        <v>342</v>
      </c>
      <c r="B348">
        <v>0.93420122507321879</v>
      </c>
    </row>
    <row r="349" spans="1:2" x14ac:dyDescent="0.2">
      <c r="A349">
        <v>343</v>
      </c>
      <c r="B349">
        <v>0.4987374993065482</v>
      </c>
    </row>
    <row r="350" spans="1:2" x14ac:dyDescent="0.2">
      <c r="A350">
        <v>344</v>
      </c>
      <c r="B350">
        <v>0.31733385406926096</v>
      </c>
    </row>
    <row r="351" spans="1:2" x14ac:dyDescent="0.2">
      <c r="A351">
        <v>345</v>
      </c>
      <c r="B351">
        <v>0.18722249044945627</v>
      </c>
    </row>
    <row r="352" spans="1:2" x14ac:dyDescent="0.2">
      <c r="A352">
        <v>346</v>
      </c>
      <c r="B352">
        <v>1.8336852043409291E-2</v>
      </c>
    </row>
    <row r="353" spans="1:2" x14ac:dyDescent="0.2">
      <c r="A353">
        <v>347</v>
      </c>
      <c r="B353">
        <v>0.76414816098920724</v>
      </c>
    </row>
    <row r="354" spans="1:2" x14ac:dyDescent="0.2">
      <c r="A354">
        <v>348</v>
      </c>
      <c r="B354">
        <v>0.95923038660215187</v>
      </c>
    </row>
    <row r="355" spans="1:2" x14ac:dyDescent="0.2">
      <c r="A355">
        <v>349</v>
      </c>
      <c r="B355">
        <v>0.99242616742246559</v>
      </c>
    </row>
    <row r="356" spans="1:2" x14ac:dyDescent="0.2">
      <c r="A356">
        <v>350</v>
      </c>
      <c r="B356">
        <v>0.64219378591426102</v>
      </c>
    </row>
    <row r="357" spans="1:2" x14ac:dyDescent="0.2">
      <c r="A357">
        <v>351</v>
      </c>
      <c r="B357">
        <v>0.85896708278359224</v>
      </c>
    </row>
    <row r="358" spans="1:2" x14ac:dyDescent="0.2">
      <c r="A358">
        <v>352</v>
      </c>
      <c r="B358">
        <v>0.25284663446581102</v>
      </c>
    </row>
    <row r="359" spans="1:2" x14ac:dyDescent="0.2">
      <c r="A359">
        <v>353</v>
      </c>
      <c r="B359">
        <v>0.63141930585671235</v>
      </c>
    </row>
    <row r="360" spans="1:2" x14ac:dyDescent="0.2">
      <c r="A360">
        <v>354</v>
      </c>
      <c r="B360">
        <v>0.30402530647937465</v>
      </c>
    </row>
    <row r="361" spans="1:2" x14ac:dyDescent="0.2">
      <c r="A361">
        <v>355</v>
      </c>
      <c r="B361">
        <v>0.3760488562515697</v>
      </c>
    </row>
    <row r="362" spans="1:2" x14ac:dyDescent="0.2">
      <c r="A362">
        <v>356</v>
      </c>
      <c r="B362">
        <v>0.58256215355294683</v>
      </c>
    </row>
    <row r="363" spans="1:2" x14ac:dyDescent="0.2">
      <c r="A363">
        <v>357</v>
      </c>
      <c r="B363">
        <v>0.1597072045042699</v>
      </c>
    </row>
    <row r="364" spans="1:2" x14ac:dyDescent="0.2">
      <c r="A364">
        <v>358</v>
      </c>
      <c r="B364">
        <v>0.28967679815712766</v>
      </c>
    </row>
    <row r="365" spans="1:2" x14ac:dyDescent="0.2">
      <c r="A365">
        <v>359</v>
      </c>
      <c r="B365">
        <v>0.81106096663505745</v>
      </c>
    </row>
    <row r="366" spans="1:2" x14ac:dyDescent="0.2">
      <c r="A366">
        <v>360</v>
      </c>
      <c r="B366">
        <v>0.50949059121176399</v>
      </c>
    </row>
    <row r="367" spans="1:2" x14ac:dyDescent="0.2">
      <c r="A367">
        <v>361</v>
      </c>
      <c r="B367">
        <v>0.41755934151482144</v>
      </c>
    </row>
    <row r="368" spans="1:2" x14ac:dyDescent="0.2">
      <c r="A368">
        <v>362</v>
      </c>
      <c r="B368">
        <v>0.28336662613638797</v>
      </c>
    </row>
    <row r="369" spans="1:2" x14ac:dyDescent="0.2">
      <c r="A369">
        <v>363</v>
      </c>
      <c r="B369">
        <v>0.9182631632766648</v>
      </c>
    </row>
    <row r="370" spans="1:2" x14ac:dyDescent="0.2">
      <c r="A370">
        <v>364</v>
      </c>
      <c r="B370">
        <v>0.13760456914186681</v>
      </c>
    </row>
    <row r="371" spans="1:2" x14ac:dyDescent="0.2">
      <c r="A371">
        <v>365</v>
      </c>
      <c r="B371">
        <v>0.84614029278710556</v>
      </c>
    </row>
    <row r="372" spans="1:2" x14ac:dyDescent="0.2">
      <c r="A372">
        <v>366</v>
      </c>
      <c r="B372">
        <v>0.74637128412795239</v>
      </c>
    </row>
    <row r="373" spans="1:2" x14ac:dyDescent="0.2">
      <c r="A373">
        <v>367</v>
      </c>
      <c r="B373">
        <v>0.12521527416364764</v>
      </c>
    </row>
    <row r="374" spans="1:2" x14ac:dyDescent="0.2">
      <c r="A374">
        <v>368</v>
      </c>
      <c r="B374">
        <v>0.47904216800252397</v>
      </c>
    </row>
    <row r="375" spans="1:2" x14ac:dyDescent="0.2">
      <c r="A375">
        <v>369</v>
      </c>
      <c r="B375">
        <v>0.29425749578340821</v>
      </c>
    </row>
    <row r="376" spans="1:2" x14ac:dyDescent="0.2">
      <c r="A376">
        <v>370</v>
      </c>
      <c r="B376">
        <v>0.17367802882202965</v>
      </c>
    </row>
    <row r="377" spans="1:2" x14ac:dyDescent="0.2">
      <c r="A377">
        <v>371</v>
      </c>
      <c r="B377">
        <v>0.42766356187306553</v>
      </c>
    </row>
    <row r="378" spans="1:2" x14ac:dyDescent="0.2">
      <c r="A378">
        <v>372</v>
      </c>
      <c r="B378">
        <v>0.79720419413679766</v>
      </c>
    </row>
    <row r="379" spans="1:2" x14ac:dyDescent="0.2">
      <c r="A379">
        <v>373</v>
      </c>
      <c r="B379">
        <v>0.51377654615985735</v>
      </c>
    </row>
    <row r="380" spans="1:2" x14ac:dyDescent="0.2">
      <c r="A380">
        <v>374</v>
      </c>
      <c r="B380">
        <v>0.87321513177142218</v>
      </c>
    </row>
    <row r="381" spans="1:2" x14ac:dyDescent="0.2">
      <c r="A381">
        <v>375</v>
      </c>
      <c r="B381">
        <v>0.40674740578814494</v>
      </c>
    </row>
    <row r="382" spans="1:2" x14ac:dyDescent="0.2">
      <c r="A382">
        <v>376</v>
      </c>
      <c r="B382">
        <v>0.28827402063813101</v>
      </c>
    </row>
    <row r="383" spans="1:2" x14ac:dyDescent="0.2">
      <c r="A383">
        <v>377</v>
      </c>
      <c r="B383">
        <v>0.71361106126635432</v>
      </c>
    </row>
    <row r="384" spans="1:2" x14ac:dyDescent="0.2">
      <c r="A384">
        <v>378</v>
      </c>
      <c r="B384">
        <v>0.2297735446441509</v>
      </c>
    </row>
    <row r="385" spans="1:2" x14ac:dyDescent="0.2">
      <c r="A385">
        <v>379</v>
      </c>
      <c r="B385">
        <v>0.47118133762719416</v>
      </c>
    </row>
    <row r="386" spans="1:2" x14ac:dyDescent="0.2">
      <c r="A386">
        <v>380</v>
      </c>
      <c r="B386">
        <v>0.93845161691359502</v>
      </c>
    </row>
    <row r="387" spans="1:2" x14ac:dyDescent="0.2">
      <c r="A387">
        <v>381</v>
      </c>
      <c r="B387">
        <v>0.75602324684943689</v>
      </c>
    </row>
    <row r="388" spans="1:2" x14ac:dyDescent="0.2">
      <c r="A388">
        <v>382</v>
      </c>
      <c r="B388">
        <v>0.7995781366776572</v>
      </c>
    </row>
    <row r="389" spans="1:2" x14ac:dyDescent="0.2">
      <c r="A389">
        <v>383</v>
      </c>
      <c r="B389">
        <v>0.53460237515896869</v>
      </c>
    </row>
    <row r="390" spans="1:2" x14ac:dyDescent="0.2">
      <c r="A390">
        <v>384</v>
      </c>
      <c r="B390">
        <v>0.33926805165746488</v>
      </c>
    </row>
    <row r="391" spans="1:2" x14ac:dyDescent="0.2">
      <c r="A391">
        <v>385</v>
      </c>
      <c r="B391">
        <v>0.32886845118828911</v>
      </c>
    </row>
    <row r="392" spans="1:2" x14ac:dyDescent="0.2">
      <c r="A392">
        <v>386</v>
      </c>
      <c r="B392">
        <v>0.10093059036905261</v>
      </c>
    </row>
    <row r="393" spans="1:2" x14ac:dyDescent="0.2">
      <c r="A393">
        <v>387</v>
      </c>
      <c r="B393">
        <v>0.59495344855009613</v>
      </c>
    </row>
    <row r="394" spans="1:2" x14ac:dyDescent="0.2">
      <c r="A394">
        <v>388</v>
      </c>
      <c r="B394">
        <v>0.5989642698357619</v>
      </c>
    </row>
    <row r="395" spans="1:2" x14ac:dyDescent="0.2">
      <c r="A395">
        <v>389</v>
      </c>
      <c r="B395">
        <v>0.55815052413231647</v>
      </c>
    </row>
    <row r="396" spans="1:2" x14ac:dyDescent="0.2">
      <c r="A396">
        <v>390</v>
      </c>
      <c r="B396">
        <v>3.2787363429684246E-2</v>
      </c>
    </row>
    <row r="397" spans="1:2" x14ac:dyDescent="0.2">
      <c r="A397">
        <v>391</v>
      </c>
      <c r="B397">
        <v>0.8581648169082583</v>
      </c>
    </row>
    <row r="398" spans="1:2" x14ac:dyDescent="0.2">
      <c r="A398">
        <v>392</v>
      </c>
      <c r="B398">
        <v>9.7056071775851183E-2</v>
      </c>
    </row>
    <row r="399" spans="1:2" x14ac:dyDescent="0.2">
      <c r="A399">
        <v>393</v>
      </c>
      <c r="B399">
        <v>0.5124245680106414</v>
      </c>
    </row>
    <row r="400" spans="1:2" x14ac:dyDescent="0.2">
      <c r="A400">
        <v>394</v>
      </c>
      <c r="B400">
        <v>1.8079009188138873E-2</v>
      </c>
    </row>
    <row r="401" spans="1:2" x14ac:dyDescent="0.2">
      <c r="A401">
        <v>395</v>
      </c>
      <c r="B401">
        <v>9.926001292309794E-2</v>
      </c>
    </row>
    <row r="402" spans="1:2" x14ac:dyDescent="0.2">
      <c r="A402">
        <v>396</v>
      </c>
      <c r="B402">
        <v>0.4426214923370797</v>
      </c>
    </row>
    <row r="403" spans="1:2" x14ac:dyDescent="0.2">
      <c r="A403">
        <v>397</v>
      </c>
      <c r="B403">
        <v>2.1158073873777106E-2</v>
      </c>
    </row>
    <row r="404" spans="1:2" x14ac:dyDescent="0.2">
      <c r="A404">
        <v>398</v>
      </c>
      <c r="B404">
        <v>0.37790532781018737</v>
      </c>
    </row>
    <row r="405" spans="1:2" x14ac:dyDescent="0.2">
      <c r="A405">
        <v>399</v>
      </c>
      <c r="B405">
        <v>0.48250070710872395</v>
      </c>
    </row>
    <row r="406" spans="1:2" x14ac:dyDescent="0.2">
      <c r="A406">
        <v>400</v>
      </c>
      <c r="B406">
        <v>0.70808914781546706</v>
      </c>
    </row>
    <row r="407" spans="1:2" x14ac:dyDescent="0.2">
      <c r="A407">
        <v>401</v>
      </c>
      <c r="B407">
        <v>0.1537389859056062</v>
      </c>
    </row>
    <row r="408" spans="1:2" x14ac:dyDescent="0.2">
      <c r="A408">
        <v>402</v>
      </c>
      <c r="B408">
        <v>6.9320525359978125E-2</v>
      </c>
    </row>
    <row r="409" spans="1:2" x14ac:dyDescent="0.2">
      <c r="A409">
        <v>403</v>
      </c>
      <c r="B409">
        <v>6.5288368263305308E-2</v>
      </c>
    </row>
    <row r="410" spans="1:2" x14ac:dyDescent="0.2">
      <c r="A410">
        <v>404</v>
      </c>
      <c r="B410">
        <v>0.78839467464828339</v>
      </c>
    </row>
    <row r="411" spans="1:2" x14ac:dyDescent="0.2">
      <c r="A411">
        <v>405</v>
      </c>
      <c r="B411">
        <v>0.60670124295192107</v>
      </c>
    </row>
    <row r="412" spans="1:2" x14ac:dyDescent="0.2">
      <c r="A412">
        <v>406</v>
      </c>
      <c r="B412">
        <v>0.2147915154940061</v>
      </c>
    </row>
    <row r="413" spans="1:2" x14ac:dyDescent="0.2">
      <c r="A413">
        <v>407</v>
      </c>
      <c r="B413">
        <v>0.91650175365276099</v>
      </c>
    </row>
    <row r="414" spans="1:2" x14ac:dyDescent="0.2">
      <c r="A414">
        <v>408</v>
      </c>
      <c r="B414">
        <v>0.16702387985439282</v>
      </c>
    </row>
    <row r="415" spans="1:2" x14ac:dyDescent="0.2">
      <c r="A415">
        <v>409</v>
      </c>
      <c r="B415">
        <v>0.61073976996172363</v>
      </c>
    </row>
    <row r="416" spans="1:2" x14ac:dyDescent="0.2">
      <c r="A416">
        <v>410</v>
      </c>
      <c r="B416">
        <v>0.28385505362154384</v>
      </c>
    </row>
    <row r="417" spans="1:2" x14ac:dyDescent="0.2">
      <c r="A417">
        <v>411</v>
      </c>
      <c r="B417">
        <v>0.23448757812380117</v>
      </c>
    </row>
    <row r="418" spans="1:2" x14ac:dyDescent="0.2">
      <c r="A418">
        <v>412</v>
      </c>
      <c r="B418">
        <v>0.7257427067474268</v>
      </c>
    </row>
    <row r="419" spans="1:2" x14ac:dyDescent="0.2">
      <c r="A419">
        <v>413</v>
      </c>
      <c r="B419">
        <v>0.69042786365301489</v>
      </c>
    </row>
    <row r="420" spans="1:2" x14ac:dyDescent="0.2">
      <c r="A420">
        <v>414</v>
      </c>
      <c r="B420">
        <v>7.9747307525003253E-3</v>
      </c>
    </row>
    <row r="421" spans="1:2" x14ac:dyDescent="0.2">
      <c r="A421">
        <v>415</v>
      </c>
      <c r="B421">
        <v>0.34358902234995747</v>
      </c>
    </row>
    <row r="422" spans="1:2" x14ac:dyDescent="0.2">
      <c r="A422">
        <v>416</v>
      </c>
      <c r="B422">
        <v>0.51477325913032912</v>
      </c>
    </row>
    <row r="423" spans="1:2" x14ac:dyDescent="0.2">
      <c r="A423">
        <v>417</v>
      </c>
      <c r="B423">
        <v>0.84530882130908447</v>
      </c>
    </row>
    <row r="424" spans="1:2" x14ac:dyDescent="0.2">
      <c r="A424">
        <v>418</v>
      </c>
      <c r="B424">
        <v>0.34258500025817129</v>
      </c>
    </row>
    <row r="425" spans="1:2" x14ac:dyDescent="0.2">
      <c r="A425">
        <v>419</v>
      </c>
      <c r="B425">
        <v>0.89073716920205703</v>
      </c>
    </row>
    <row r="426" spans="1:2" x14ac:dyDescent="0.2">
      <c r="A426">
        <v>420</v>
      </c>
      <c r="B426">
        <v>0.55847115497715272</v>
      </c>
    </row>
    <row r="427" spans="1:2" x14ac:dyDescent="0.2">
      <c r="A427">
        <v>421</v>
      </c>
      <c r="B427">
        <v>0.1004511169956106</v>
      </c>
    </row>
    <row r="428" spans="1:2" x14ac:dyDescent="0.2">
      <c r="A428">
        <v>422</v>
      </c>
      <c r="B428">
        <v>0.26222908369473374</v>
      </c>
    </row>
    <row r="429" spans="1:2" x14ac:dyDescent="0.2">
      <c r="A429">
        <v>423</v>
      </c>
      <c r="B429">
        <v>0.98776120063441264</v>
      </c>
    </row>
    <row r="430" spans="1:2" x14ac:dyDescent="0.2">
      <c r="A430">
        <v>424</v>
      </c>
      <c r="B430">
        <v>0.49202978320272173</v>
      </c>
    </row>
    <row r="431" spans="1:2" x14ac:dyDescent="0.2">
      <c r="A431">
        <v>425</v>
      </c>
      <c r="B431">
        <v>0.36710489226177989</v>
      </c>
    </row>
    <row r="432" spans="1:2" x14ac:dyDescent="0.2">
      <c r="A432">
        <v>426</v>
      </c>
      <c r="B432">
        <v>0.47678415837188115</v>
      </c>
    </row>
    <row r="433" spans="1:2" x14ac:dyDescent="0.2">
      <c r="A433">
        <v>427</v>
      </c>
      <c r="B433">
        <v>0.18550186704447302</v>
      </c>
    </row>
    <row r="434" spans="1:2" x14ac:dyDescent="0.2">
      <c r="A434">
        <v>428</v>
      </c>
      <c r="B434">
        <v>0.43504810011890294</v>
      </c>
    </row>
    <row r="435" spans="1:2" x14ac:dyDescent="0.2">
      <c r="A435">
        <v>429</v>
      </c>
      <c r="B435">
        <v>8.8275096243902951E-2</v>
      </c>
    </row>
    <row r="436" spans="1:2" x14ac:dyDescent="0.2">
      <c r="A436">
        <v>430</v>
      </c>
      <c r="B436">
        <v>0.87313432525171153</v>
      </c>
    </row>
    <row r="437" spans="1:2" x14ac:dyDescent="0.2">
      <c r="A437">
        <v>431</v>
      </c>
      <c r="B437">
        <v>0.90496496618500477</v>
      </c>
    </row>
    <row r="438" spans="1:2" x14ac:dyDescent="0.2">
      <c r="A438">
        <v>432</v>
      </c>
      <c r="B438">
        <v>0.52925338388943211</v>
      </c>
    </row>
    <row r="439" spans="1:2" x14ac:dyDescent="0.2">
      <c r="A439">
        <v>433</v>
      </c>
      <c r="B439">
        <v>0.79568798082634229</v>
      </c>
    </row>
    <row r="440" spans="1:2" x14ac:dyDescent="0.2">
      <c r="A440">
        <v>434</v>
      </c>
      <c r="B440">
        <v>0.54275308732999428</v>
      </c>
    </row>
    <row r="441" spans="1:2" x14ac:dyDescent="0.2">
      <c r="A441">
        <v>435</v>
      </c>
      <c r="B441">
        <v>0.51035784960311859</v>
      </c>
    </row>
    <row r="442" spans="1:2" x14ac:dyDescent="0.2">
      <c r="A442">
        <v>436</v>
      </c>
      <c r="B442">
        <v>0.71740527781671337</v>
      </c>
    </row>
    <row r="443" spans="1:2" x14ac:dyDescent="0.2">
      <c r="A443">
        <v>437</v>
      </c>
      <c r="B443">
        <v>0.75842053230930229</v>
      </c>
    </row>
    <row r="444" spans="1:2" x14ac:dyDescent="0.2">
      <c r="A444">
        <v>438</v>
      </c>
      <c r="B444">
        <v>3.2887860751734777E-2</v>
      </c>
    </row>
    <row r="445" spans="1:2" x14ac:dyDescent="0.2">
      <c r="A445">
        <v>439</v>
      </c>
      <c r="B445">
        <v>6.6072783510912059E-3</v>
      </c>
    </row>
    <row r="446" spans="1:2" x14ac:dyDescent="0.2">
      <c r="A446">
        <v>440</v>
      </c>
      <c r="B446">
        <v>0.1514472732014045</v>
      </c>
    </row>
    <row r="447" spans="1:2" x14ac:dyDescent="0.2">
      <c r="A447">
        <v>441</v>
      </c>
      <c r="B447">
        <v>0.92540872168977806</v>
      </c>
    </row>
    <row r="448" spans="1:2" x14ac:dyDescent="0.2">
      <c r="A448">
        <v>442</v>
      </c>
      <c r="B448">
        <v>0.26365209121121069</v>
      </c>
    </row>
    <row r="449" spans="1:2" x14ac:dyDescent="0.2">
      <c r="A449">
        <v>443</v>
      </c>
      <c r="B449">
        <v>0.87909837711621208</v>
      </c>
    </row>
    <row r="450" spans="1:2" x14ac:dyDescent="0.2">
      <c r="A450">
        <v>444</v>
      </c>
      <c r="B450">
        <v>4.541992270901074E-2</v>
      </c>
    </row>
    <row r="451" spans="1:2" x14ac:dyDescent="0.2">
      <c r="A451">
        <v>445</v>
      </c>
      <c r="B451">
        <v>0.61404220801703413</v>
      </c>
    </row>
    <row r="452" spans="1:2" x14ac:dyDescent="0.2">
      <c r="A452">
        <v>446</v>
      </c>
      <c r="B452">
        <v>0.35724979818532032</v>
      </c>
    </row>
    <row r="453" spans="1:2" x14ac:dyDescent="0.2">
      <c r="A453">
        <v>447</v>
      </c>
      <c r="B453">
        <v>0.31937393246943446</v>
      </c>
    </row>
    <row r="454" spans="1:2" x14ac:dyDescent="0.2">
      <c r="A454">
        <v>448</v>
      </c>
      <c r="B454">
        <v>0.4581263456274528</v>
      </c>
    </row>
    <row r="455" spans="1:2" x14ac:dyDescent="0.2">
      <c r="A455">
        <v>449</v>
      </c>
      <c r="B455">
        <v>0.64277688251638343</v>
      </c>
    </row>
    <row r="456" spans="1:2" x14ac:dyDescent="0.2">
      <c r="A456">
        <v>450</v>
      </c>
      <c r="B456">
        <v>0.64458192393962155</v>
      </c>
    </row>
    <row r="457" spans="1:2" x14ac:dyDescent="0.2">
      <c r="A457">
        <v>451</v>
      </c>
      <c r="B457">
        <v>0.70088776939244146</v>
      </c>
    </row>
    <row r="458" spans="1:2" x14ac:dyDescent="0.2">
      <c r="A458">
        <v>452</v>
      </c>
      <c r="B458">
        <v>0.5119521189759203</v>
      </c>
    </row>
    <row r="459" spans="1:2" x14ac:dyDescent="0.2">
      <c r="A459">
        <v>453</v>
      </c>
      <c r="B459">
        <v>0.33359364793014845</v>
      </c>
    </row>
    <row r="460" spans="1:2" x14ac:dyDescent="0.2">
      <c r="A460">
        <v>454</v>
      </c>
      <c r="B460">
        <v>0.70460384848558566</v>
      </c>
    </row>
    <row r="461" spans="1:2" x14ac:dyDescent="0.2">
      <c r="A461">
        <v>455</v>
      </c>
      <c r="B461">
        <v>0.42023035693945165</v>
      </c>
    </row>
    <row r="462" spans="1:2" x14ac:dyDescent="0.2">
      <c r="A462">
        <v>456</v>
      </c>
      <c r="B462">
        <v>6.9074555425533202E-2</v>
      </c>
    </row>
    <row r="463" spans="1:2" x14ac:dyDescent="0.2">
      <c r="A463">
        <v>457</v>
      </c>
      <c r="B463">
        <v>0.7701632712394948</v>
      </c>
    </row>
    <row r="464" spans="1:2" x14ac:dyDescent="0.2">
      <c r="A464">
        <v>458</v>
      </c>
      <c r="B464">
        <v>0.69817300699931795</v>
      </c>
    </row>
    <row r="465" spans="1:2" x14ac:dyDescent="0.2">
      <c r="A465">
        <v>459</v>
      </c>
      <c r="B465">
        <v>0.40585335412535084</v>
      </c>
    </row>
    <row r="466" spans="1:2" x14ac:dyDescent="0.2">
      <c r="A466">
        <v>460</v>
      </c>
      <c r="B466">
        <v>9.7302712505363487E-2</v>
      </c>
    </row>
    <row r="467" spans="1:2" x14ac:dyDescent="0.2">
      <c r="A467">
        <v>461</v>
      </c>
      <c r="B467">
        <v>0.83392587792391837</v>
      </c>
    </row>
    <row r="468" spans="1:2" x14ac:dyDescent="0.2">
      <c r="A468">
        <v>462</v>
      </c>
      <c r="B468">
        <v>0.67969671731370696</v>
      </c>
    </row>
    <row r="469" spans="1:2" x14ac:dyDescent="0.2">
      <c r="A469">
        <v>463</v>
      </c>
      <c r="B469">
        <v>0.30290334747055458</v>
      </c>
    </row>
    <row r="470" spans="1:2" x14ac:dyDescent="0.2">
      <c r="A470">
        <v>464</v>
      </c>
      <c r="B470">
        <v>0.14069629414462648</v>
      </c>
    </row>
    <row r="471" spans="1:2" x14ac:dyDescent="0.2">
      <c r="A471">
        <v>465</v>
      </c>
      <c r="B471">
        <v>0.60880694241966227</v>
      </c>
    </row>
    <row r="472" spans="1:2" x14ac:dyDescent="0.2">
      <c r="A472">
        <v>466</v>
      </c>
      <c r="B472">
        <v>0.61037158065224106</v>
      </c>
    </row>
    <row r="473" spans="1:2" x14ac:dyDescent="0.2">
      <c r="A473">
        <v>467</v>
      </c>
      <c r="B473">
        <v>0.17835263502146825</v>
      </c>
    </row>
    <row r="474" spans="1:2" x14ac:dyDescent="0.2">
      <c r="A474">
        <v>468</v>
      </c>
      <c r="B474">
        <v>0.73715244731805929</v>
      </c>
    </row>
    <row r="475" spans="1:2" x14ac:dyDescent="0.2">
      <c r="A475">
        <v>469</v>
      </c>
      <c r="B475">
        <v>0.93770470955430318</v>
      </c>
    </row>
    <row r="476" spans="1:2" x14ac:dyDescent="0.2">
      <c r="A476">
        <v>470</v>
      </c>
      <c r="B476">
        <v>0.57434100842710401</v>
      </c>
    </row>
    <row r="477" spans="1:2" x14ac:dyDescent="0.2">
      <c r="A477">
        <v>471</v>
      </c>
      <c r="B477">
        <v>0.21868496766253043</v>
      </c>
    </row>
    <row r="478" spans="1:2" x14ac:dyDescent="0.2">
      <c r="A478">
        <v>472</v>
      </c>
      <c r="B478">
        <v>0.27464603966023582</v>
      </c>
    </row>
    <row r="479" spans="1:2" x14ac:dyDescent="0.2">
      <c r="A479">
        <v>473</v>
      </c>
      <c r="B479">
        <v>0.97353126653292377</v>
      </c>
    </row>
    <row r="480" spans="1:2" x14ac:dyDescent="0.2">
      <c r="A480">
        <v>474</v>
      </c>
      <c r="B480">
        <v>0.95706087789356853</v>
      </c>
    </row>
    <row r="481" spans="1:2" x14ac:dyDescent="0.2">
      <c r="A481">
        <v>475</v>
      </c>
      <c r="B481">
        <v>0.39292260621956732</v>
      </c>
    </row>
    <row r="482" spans="1:2" x14ac:dyDescent="0.2">
      <c r="A482">
        <v>476</v>
      </c>
      <c r="B482">
        <v>0.20947151804440067</v>
      </c>
    </row>
    <row r="483" spans="1:2" x14ac:dyDescent="0.2">
      <c r="A483">
        <v>477</v>
      </c>
      <c r="B483">
        <v>0.25177709480001742</v>
      </c>
    </row>
    <row r="484" spans="1:2" x14ac:dyDescent="0.2">
      <c r="A484">
        <v>478</v>
      </c>
      <c r="B484">
        <v>6.2066004064156854E-2</v>
      </c>
    </row>
    <row r="485" spans="1:2" x14ac:dyDescent="0.2">
      <c r="A485">
        <v>479</v>
      </c>
      <c r="B485">
        <v>0.56660808945033125</v>
      </c>
    </row>
    <row r="486" spans="1:2" x14ac:dyDescent="0.2">
      <c r="A486">
        <v>480</v>
      </c>
      <c r="B486">
        <v>0.40076215933438541</v>
      </c>
    </row>
    <row r="487" spans="1:2" x14ac:dyDescent="0.2">
      <c r="A487">
        <v>481</v>
      </c>
      <c r="B487">
        <v>0.69993744379240797</v>
      </c>
    </row>
    <row r="488" spans="1:2" x14ac:dyDescent="0.2">
      <c r="A488">
        <v>482</v>
      </c>
      <c r="B488">
        <v>3.7881222392797786E-2</v>
      </c>
    </row>
    <row r="489" spans="1:2" x14ac:dyDescent="0.2">
      <c r="A489">
        <v>483</v>
      </c>
      <c r="B489">
        <v>0.92724801190516704</v>
      </c>
    </row>
    <row r="490" spans="1:2" x14ac:dyDescent="0.2">
      <c r="A490">
        <v>484</v>
      </c>
      <c r="B490">
        <v>0.64255996917898739</v>
      </c>
    </row>
    <row r="491" spans="1:2" x14ac:dyDescent="0.2">
      <c r="A491">
        <v>485</v>
      </c>
      <c r="B491">
        <v>0.51140815934053219</v>
      </c>
    </row>
    <row r="492" spans="1:2" x14ac:dyDescent="0.2">
      <c r="A492">
        <v>486</v>
      </c>
      <c r="B492">
        <v>0.51365798547261354</v>
      </c>
    </row>
    <row r="493" spans="1:2" x14ac:dyDescent="0.2">
      <c r="A493">
        <v>487</v>
      </c>
      <c r="B493">
        <v>9.5741426728136458E-2</v>
      </c>
    </row>
    <row r="494" spans="1:2" x14ac:dyDescent="0.2">
      <c r="A494">
        <v>488</v>
      </c>
      <c r="B494">
        <v>0.7683170511770171</v>
      </c>
    </row>
    <row r="495" spans="1:2" x14ac:dyDescent="0.2">
      <c r="A495">
        <v>489</v>
      </c>
      <c r="B495">
        <v>0.78934517907871959</v>
      </c>
    </row>
    <row r="496" spans="1:2" x14ac:dyDescent="0.2">
      <c r="A496">
        <v>490</v>
      </c>
      <c r="B496">
        <v>0.93961416562804967</v>
      </c>
    </row>
    <row r="497" spans="1:2" x14ac:dyDescent="0.2">
      <c r="A497">
        <v>491</v>
      </c>
      <c r="B497">
        <v>0.73851798160496618</v>
      </c>
    </row>
    <row r="498" spans="1:2" x14ac:dyDescent="0.2">
      <c r="A498">
        <v>492</v>
      </c>
      <c r="B498">
        <v>0.88062881305356333</v>
      </c>
    </row>
    <row r="499" spans="1:2" x14ac:dyDescent="0.2">
      <c r="A499">
        <v>493</v>
      </c>
      <c r="B499">
        <v>0.41766342548611157</v>
      </c>
    </row>
    <row r="500" spans="1:2" x14ac:dyDescent="0.2">
      <c r="A500">
        <v>494</v>
      </c>
      <c r="B500">
        <v>0.48537747241375395</v>
      </c>
    </row>
    <row r="501" spans="1:2" x14ac:dyDescent="0.2">
      <c r="A501">
        <v>495</v>
      </c>
      <c r="B501">
        <v>0.34783527097162958</v>
      </c>
    </row>
    <row r="502" spans="1:2" x14ac:dyDescent="0.2">
      <c r="A502">
        <v>496</v>
      </c>
      <c r="B502">
        <v>0.30694058852919193</v>
      </c>
    </row>
    <row r="503" spans="1:2" x14ac:dyDescent="0.2">
      <c r="A503">
        <v>497</v>
      </c>
      <c r="B503">
        <v>0.78392353007995652</v>
      </c>
    </row>
    <row r="504" spans="1:2" x14ac:dyDescent="0.2">
      <c r="A504">
        <v>498</v>
      </c>
      <c r="B504">
        <v>0.74219791560018622</v>
      </c>
    </row>
    <row r="505" spans="1:2" x14ac:dyDescent="0.2">
      <c r="A505">
        <v>499</v>
      </c>
      <c r="B505">
        <v>0.51772385375315444</v>
      </c>
    </row>
    <row r="506" spans="1:2" x14ac:dyDescent="0.2">
      <c r="A506">
        <v>500</v>
      </c>
      <c r="B506">
        <v>0.95279150563625614</v>
      </c>
    </row>
    <row r="507" spans="1:2" x14ac:dyDescent="0.2">
      <c r="A507">
        <v>501</v>
      </c>
      <c r="B507">
        <v>0.70104272356322184</v>
      </c>
    </row>
    <row r="508" spans="1:2" x14ac:dyDescent="0.2">
      <c r="A508">
        <v>502</v>
      </c>
      <c r="B508">
        <v>0.58189128967676962</v>
      </c>
    </row>
    <row r="509" spans="1:2" x14ac:dyDescent="0.2">
      <c r="A509">
        <v>503</v>
      </c>
      <c r="B509">
        <v>0.69969291440083592</v>
      </c>
    </row>
    <row r="510" spans="1:2" x14ac:dyDescent="0.2">
      <c r="A510">
        <v>504</v>
      </c>
      <c r="B510">
        <v>0.62005863183109955</v>
      </c>
    </row>
    <row r="511" spans="1:2" x14ac:dyDescent="0.2">
      <c r="A511">
        <v>505</v>
      </c>
      <c r="B511">
        <v>0.31540243338339713</v>
      </c>
    </row>
    <row r="512" spans="1:2" x14ac:dyDescent="0.2">
      <c r="A512">
        <v>506</v>
      </c>
      <c r="B512">
        <v>0.80011689233016048</v>
      </c>
    </row>
    <row r="513" spans="1:2" x14ac:dyDescent="0.2">
      <c r="A513">
        <v>507</v>
      </c>
      <c r="B513">
        <v>0.79890684097727926</v>
      </c>
    </row>
    <row r="514" spans="1:2" x14ac:dyDescent="0.2">
      <c r="A514">
        <v>508</v>
      </c>
      <c r="B514">
        <v>3.6978343353974541E-2</v>
      </c>
    </row>
    <row r="515" spans="1:2" x14ac:dyDescent="0.2">
      <c r="A515">
        <v>509</v>
      </c>
      <c r="B515">
        <v>0.84154416975293134</v>
      </c>
    </row>
    <row r="516" spans="1:2" x14ac:dyDescent="0.2">
      <c r="A516">
        <v>510</v>
      </c>
      <c r="B516">
        <v>0.2076549644561444</v>
      </c>
    </row>
    <row r="517" spans="1:2" x14ac:dyDescent="0.2">
      <c r="A517">
        <v>511</v>
      </c>
      <c r="B517">
        <v>0.97277261793530578</v>
      </c>
    </row>
    <row r="518" spans="1:2" x14ac:dyDescent="0.2">
      <c r="A518">
        <v>512</v>
      </c>
      <c r="B518">
        <v>0.54450431901262064</v>
      </c>
    </row>
    <row r="519" spans="1:2" x14ac:dyDescent="0.2">
      <c r="A519">
        <v>513</v>
      </c>
      <c r="B519">
        <v>0.30780400015074216</v>
      </c>
    </row>
    <row r="520" spans="1:2" x14ac:dyDescent="0.2">
      <c r="A520">
        <v>514</v>
      </c>
      <c r="B520">
        <v>0.24768737573826805</v>
      </c>
    </row>
    <row r="521" spans="1:2" x14ac:dyDescent="0.2">
      <c r="A521">
        <v>515</v>
      </c>
      <c r="B521">
        <v>0.22133071482318423</v>
      </c>
    </row>
    <row r="522" spans="1:2" x14ac:dyDescent="0.2">
      <c r="A522">
        <v>516</v>
      </c>
      <c r="B522">
        <v>3.9667708840657179E-3</v>
      </c>
    </row>
    <row r="523" spans="1:2" x14ac:dyDescent="0.2">
      <c r="A523">
        <v>517</v>
      </c>
      <c r="B523">
        <v>0.28222543401966571</v>
      </c>
    </row>
    <row r="524" spans="1:2" x14ac:dyDescent="0.2">
      <c r="A524">
        <v>518</v>
      </c>
      <c r="B524">
        <v>0.77671165749626081</v>
      </c>
    </row>
    <row r="525" spans="1:2" x14ac:dyDescent="0.2">
      <c r="A525">
        <v>519</v>
      </c>
      <c r="B525">
        <v>0.93985995361330443</v>
      </c>
    </row>
    <row r="526" spans="1:2" x14ac:dyDescent="0.2">
      <c r="A526">
        <v>520</v>
      </c>
      <c r="B526">
        <v>0.6343384930975795</v>
      </c>
    </row>
    <row r="527" spans="1:2" x14ac:dyDescent="0.2">
      <c r="A527">
        <v>521</v>
      </c>
      <c r="B527">
        <v>0.19306050282121923</v>
      </c>
    </row>
    <row r="528" spans="1:2" x14ac:dyDescent="0.2">
      <c r="A528">
        <v>522</v>
      </c>
      <c r="B528">
        <v>0.74323193466189907</v>
      </c>
    </row>
    <row r="529" spans="1:2" x14ac:dyDescent="0.2">
      <c r="A529">
        <v>523</v>
      </c>
      <c r="B529">
        <v>0.95351749490369264</v>
      </c>
    </row>
    <row r="530" spans="1:2" x14ac:dyDescent="0.2">
      <c r="A530">
        <v>524</v>
      </c>
      <c r="B530">
        <v>5.642346094503714E-2</v>
      </c>
    </row>
    <row r="531" spans="1:2" x14ac:dyDescent="0.2">
      <c r="A531">
        <v>525</v>
      </c>
      <c r="B531">
        <v>0.59776769524411322</v>
      </c>
    </row>
    <row r="532" spans="1:2" x14ac:dyDescent="0.2">
      <c r="A532">
        <v>526</v>
      </c>
      <c r="B532">
        <v>0.64273694336041165</v>
      </c>
    </row>
    <row r="533" spans="1:2" x14ac:dyDescent="0.2">
      <c r="A533">
        <v>527</v>
      </c>
      <c r="B533">
        <v>0.55629617766667439</v>
      </c>
    </row>
    <row r="534" spans="1:2" x14ac:dyDescent="0.2">
      <c r="A534">
        <v>528</v>
      </c>
      <c r="B534">
        <v>0.50219866815468961</v>
      </c>
    </row>
    <row r="535" spans="1:2" x14ac:dyDescent="0.2">
      <c r="A535">
        <v>529</v>
      </c>
      <c r="B535">
        <v>0.66290704668719647</v>
      </c>
    </row>
    <row r="536" spans="1:2" x14ac:dyDescent="0.2">
      <c r="A536">
        <v>530</v>
      </c>
      <c r="B536">
        <v>0.59437995668215093</v>
      </c>
    </row>
    <row r="537" spans="1:2" x14ac:dyDescent="0.2">
      <c r="A537">
        <v>531</v>
      </c>
      <c r="B537">
        <v>0.17576061087435257</v>
      </c>
    </row>
    <row r="538" spans="1:2" x14ac:dyDescent="0.2">
      <c r="A538">
        <v>532</v>
      </c>
      <c r="B538">
        <v>0.61833452970898095</v>
      </c>
    </row>
    <row r="539" spans="1:2" x14ac:dyDescent="0.2">
      <c r="A539">
        <v>533</v>
      </c>
      <c r="B539">
        <v>0.93270310319959437</v>
      </c>
    </row>
    <row r="540" spans="1:2" x14ac:dyDescent="0.2">
      <c r="A540">
        <v>534</v>
      </c>
      <c r="B540">
        <v>0.62417262033934895</v>
      </c>
    </row>
    <row r="541" spans="1:2" x14ac:dyDescent="0.2">
      <c r="A541">
        <v>535</v>
      </c>
      <c r="B541">
        <v>0.82797333420539199</v>
      </c>
    </row>
    <row r="542" spans="1:2" x14ac:dyDescent="0.2">
      <c r="A542">
        <v>536</v>
      </c>
      <c r="B542">
        <v>0.46542605775792345</v>
      </c>
    </row>
    <row r="543" spans="1:2" x14ac:dyDescent="0.2">
      <c r="A543">
        <v>537</v>
      </c>
      <c r="B543">
        <v>0.17026303184296621</v>
      </c>
    </row>
    <row r="544" spans="1:2" x14ac:dyDescent="0.2">
      <c r="A544">
        <v>538</v>
      </c>
      <c r="B544">
        <v>0.47821288230230574</v>
      </c>
    </row>
    <row r="545" spans="1:2" x14ac:dyDescent="0.2">
      <c r="A545">
        <v>539</v>
      </c>
      <c r="B545">
        <v>0.90548503733969132</v>
      </c>
    </row>
    <row r="546" spans="1:2" x14ac:dyDescent="0.2">
      <c r="A546">
        <v>540</v>
      </c>
      <c r="B546">
        <v>0.76473991531490826</v>
      </c>
    </row>
    <row r="547" spans="1:2" x14ac:dyDescent="0.2">
      <c r="A547">
        <v>541</v>
      </c>
      <c r="B547">
        <v>1.0329557845080939E-2</v>
      </c>
    </row>
    <row r="548" spans="1:2" x14ac:dyDescent="0.2">
      <c r="A548">
        <v>542</v>
      </c>
      <c r="B548">
        <v>0.44889703090849287</v>
      </c>
    </row>
    <row r="549" spans="1:2" x14ac:dyDescent="0.2">
      <c r="A549">
        <v>543</v>
      </c>
      <c r="B549">
        <v>0.56215318774995093</v>
      </c>
    </row>
    <row r="550" spans="1:2" x14ac:dyDescent="0.2">
      <c r="A550">
        <v>544</v>
      </c>
      <c r="B550">
        <v>0.93795121133800574</v>
      </c>
    </row>
    <row r="551" spans="1:2" x14ac:dyDescent="0.2">
      <c r="A551">
        <v>545</v>
      </c>
      <c r="B551">
        <v>0.34036161954559341</v>
      </c>
    </row>
    <row r="552" spans="1:2" x14ac:dyDescent="0.2">
      <c r="A552">
        <v>546</v>
      </c>
      <c r="B552">
        <v>0.39044844448168547</v>
      </c>
    </row>
    <row r="553" spans="1:2" x14ac:dyDescent="0.2">
      <c r="A553">
        <v>547</v>
      </c>
      <c r="B553">
        <v>0.63638892963662386</v>
      </c>
    </row>
    <row r="554" spans="1:2" x14ac:dyDescent="0.2">
      <c r="A554">
        <v>548</v>
      </c>
      <c r="B554">
        <v>0.78496094575356945</v>
      </c>
    </row>
    <row r="555" spans="1:2" x14ac:dyDescent="0.2">
      <c r="A555">
        <v>549</v>
      </c>
      <c r="B555">
        <v>0.19262070363175543</v>
      </c>
    </row>
    <row r="556" spans="1:2" x14ac:dyDescent="0.2">
      <c r="A556">
        <v>550</v>
      </c>
      <c r="B556">
        <v>0.33970488047655201</v>
      </c>
    </row>
    <row r="557" spans="1:2" x14ac:dyDescent="0.2">
      <c r="A557">
        <v>551</v>
      </c>
      <c r="B557">
        <v>0.14522090935438647</v>
      </c>
    </row>
    <row r="558" spans="1:2" x14ac:dyDescent="0.2">
      <c r="A558">
        <v>552</v>
      </c>
      <c r="B558">
        <v>0.31133585120864571</v>
      </c>
    </row>
    <row r="559" spans="1:2" x14ac:dyDescent="0.2">
      <c r="A559">
        <v>553</v>
      </c>
      <c r="B559">
        <v>0.35620574643854774</v>
      </c>
    </row>
    <row r="560" spans="1:2" x14ac:dyDescent="0.2">
      <c r="A560">
        <v>554</v>
      </c>
      <c r="B560">
        <v>0.97694994494311449</v>
      </c>
    </row>
    <row r="561" spans="1:2" x14ac:dyDescent="0.2">
      <c r="A561">
        <v>555</v>
      </c>
      <c r="B561">
        <v>0.73619315644135985</v>
      </c>
    </row>
    <row r="562" spans="1:2" x14ac:dyDescent="0.2">
      <c r="A562">
        <v>556</v>
      </c>
      <c r="B562">
        <v>0.52951314017034679</v>
      </c>
    </row>
    <row r="563" spans="1:2" x14ac:dyDescent="0.2">
      <c r="A563">
        <v>557</v>
      </c>
      <c r="B563">
        <v>8.0596970947204971E-2</v>
      </c>
    </row>
    <row r="564" spans="1:2" x14ac:dyDescent="0.2">
      <c r="A564">
        <v>558</v>
      </c>
      <c r="B564">
        <v>0.31752834559589549</v>
      </c>
    </row>
    <row r="565" spans="1:2" x14ac:dyDescent="0.2">
      <c r="A565">
        <v>559</v>
      </c>
      <c r="B565">
        <v>0.36962712877162052</v>
      </c>
    </row>
    <row r="566" spans="1:2" x14ac:dyDescent="0.2">
      <c r="A566">
        <v>560</v>
      </c>
      <c r="B566">
        <v>0.24879807028848777</v>
      </c>
    </row>
    <row r="567" spans="1:2" x14ac:dyDescent="0.2">
      <c r="A567">
        <v>561</v>
      </c>
      <c r="B567">
        <v>0.98024983557416601</v>
      </c>
    </row>
    <row r="568" spans="1:2" x14ac:dyDescent="0.2">
      <c r="A568">
        <v>562</v>
      </c>
      <c r="B568">
        <v>1.7984429404559132E-2</v>
      </c>
    </row>
    <row r="569" spans="1:2" x14ac:dyDescent="0.2">
      <c r="A569">
        <v>563</v>
      </c>
      <c r="B569">
        <v>0.84577884497276634</v>
      </c>
    </row>
    <row r="570" spans="1:2" x14ac:dyDescent="0.2">
      <c r="A570">
        <v>564</v>
      </c>
      <c r="B570">
        <v>0.38847908696686995</v>
      </c>
    </row>
    <row r="571" spans="1:2" x14ac:dyDescent="0.2">
      <c r="A571">
        <v>565</v>
      </c>
      <c r="B571">
        <v>0.79904819102573976</v>
      </c>
    </row>
    <row r="572" spans="1:2" x14ac:dyDescent="0.2">
      <c r="A572">
        <v>566</v>
      </c>
      <c r="B572">
        <v>3.2242671782778176E-2</v>
      </c>
    </row>
    <row r="573" spans="1:2" x14ac:dyDescent="0.2">
      <c r="A573">
        <v>567</v>
      </c>
      <c r="B573">
        <v>0.53324212933608406</v>
      </c>
    </row>
    <row r="574" spans="1:2" x14ac:dyDescent="0.2">
      <c r="A574">
        <v>568</v>
      </c>
      <c r="B574">
        <v>0.56145055033292335</v>
      </c>
    </row>
    <row r="575" spans="1:2" x14ac:dyDescent="0.2">
      <c r="A575">
        <v>569</v>
      </c>
      <c r="B575">
        <v>7.6217274901211551E-2</v>
      </c>
    </row>
    <row r="576" spans="1:2" x14ac:dyDescent="0.2">
      <c r="A576">
        <v>570</v>
      </c>
      <c r="B576">
        <v>8.9500183013364598E-2</v>
      </c>
    </row>
    <row r="577" spans="1:2" x14ac:dyDescent="0.2">
      <c r="A577">
        <v>571</v>
      </c>
      <c r="B577">
        <v>0.32239385969898826</v>
      </c>
    </row>
    <row r="578" spans="1:2" x14ac:dyDescent="0.2">
      <c r="A578">
        <v>572</v>
      </c>
      <c r="B578">
        <v>0.58996272464125499</v>
      </c>
    </row>
    <row r="579" spans="1:2" x14ac:dyDescent="0.2">
      <c r="A579">
        <v>573</v>
      </c>
      <c r="B579">
        <v>0.59086964178662993</v>
      </c>
    </row>
    <row r="580" spans="1:2" x14ac:dyDescent="0.2">
      <c r="A580">
        <v>574</v>
      </c>
      <c r="B580">
        <v>0.57343796569754868</v>
      </c>
    </row>
    <row r="581" spans="1:2" x14ac:dyDescent="0.2">
      <c r="A581">
        <v>575</v>
      </c>
      <c r="B581">
        <v>0.92670019013790894</v>
      </c>
    </row>
    <row r="582" spans="1:2" x14ac:dyDescent="0.2">
      <c r="A582">
        <v>576</v>
      </c>
      <c r="B582">
        <v>0.54053121164295748</v>
      </c>
    </row>
    <row r="583" spans="1:2" x14ac:dyDescent="0.2">
      <c r="A583">
        <v>577</v>
      </c>
      <c r="B583">
        <v>1.4962313793979276E-2</v>
      </c>
    </row>
    <row r="584" spans="1:2" x14ac:dyDescent="0.2">
      <c r="A584">
        <v>578</v>
      </c>
      <c r="B584">
        <v>0.14760511047346681</v>
      </c>
    </row>
    <row r="585" spans="1:2" x14ac:dyDescent="0.2">
      <c r="A585">
        <v>579</v>
      </c>
      <c r="B585">
        <v>0.31460319826955374</v>
      </c>
    </row>
    <row r="586" spans="1:2" x14ac:dyDescent="0.2">
      <c r="A586">
        <v>580</v>
      </c>
      <c r="B586">
        <v>0.51469172396279672</v>
      </c>
    </row>
    <row r="587" spans="1:2" x14ac:dyDescent="0.2">
      <c r="A587">
        <v>581</v>
      </c>
      <c r="B587">
        <v>0.63784576466191467</v>
      </c>
    </row>
    <row r="588" spans="1:2" x14ac:dyDescent="0.2">
      <c r="A588">
        <v>582</v>
      </c>
      <c r="B588">
        <v>0.21825203202219201</v>
      </c>
    </row>
    <row r="589" spans="1:2" x14ac:dyDescent="0.2">
      <c r="A589">
        <v>583</v>
      </c>
      <c r="B589">
        <v>0.39684339934277968</v>
      </c>
    </row>
    <row r="590" spans="1:2" x14ac:dyDescent="0.2">
      <c r="A590">
        <v>584</v>
      </c>
      <c r="B590">
        <v>0.1499745198063176</v>
      </c>
    </row>
    <row r="591" spans="1:2" x14ac:dyDescent="0.2">
      <c r="A591">
        <v>585</v>
      </c>
      <c r="B591">
        <v>9.5991944466385259E-2</v>
      </c>
    </row>
    <row r="592" spans="1:2" x14ac:dyDescent="0.2">
      <c r="A592">
        <v>586</v>
      </c>
      <c r="B592">
        <v>0.28592098705006452</v>
      </c>
    </row>
    <row r="593" spans="1:2" x14ac:dyDescent="0.2">
      <c r="A593">
        <v>587</v>
      </c>
      <c r="B593">
        <v>2.9322746195088789E-2</v>
      </c>
    </row>
    <row r="594" spans="1:2" x14ac:dyDescent="0.2">
      <c r="A594">
        <v>588</v>
      </c>
      <c r="B594">
        <v>0.23849977349426132</v>
      </c>
    </row>
    <row r="595" spans="1:2" x14ac:dyDescent="0.2">
      <c r="A595">
        <v>589</v>
      </c>
      <c r="B595">
        <v>0.87511022587006393</v>
      </c>
    </row>
    <row r="596" spans="1:2" x14ac:dyDescent="0.2">
      <c r="A596">
        <v>590</v>
      </c>
      <c r="B596">
        <v>7.4779987641771184E-2</v>
      </c>
    </row>
    <row r="597" spans="1:2" x14ac:dyDescent="0.2">
      <c r="A597">
        <v>591</v>
      </c>
      <c r="B597">
        <v>0.59355311383567166</v>
      </c>
    </row>
    <row r="598" spans="1:2" x14ac:dyDescent="0.2">
      <c r="A598">
        <v>592</v>
      </c>
      <c r="B598">
        <v>0.37340829410609655</v>
      </c>
    </row>
    <row r="599" spans="1:2" x14ac:dyDescent="0.2">
      <c r="A599">
        <v>593</v>
      </c>
      <c r="B599">
        <v>9.904652444399753E-3</v>
      </c>
    </row>
    <row r="600" spans="1:2" x14ac:dyDescent="0.2">
      <c r="A600">
        <v>594</v>
      </c>
      <c r="B600">
        <v>0.35081175129812758</v>
      </c>
    </row>
    <row r="601" spans="1:2" x14ac:dyDescent="0.2">
      <c r="A601">
        <v>595</v>
      </c>
      <c r="B601">
        <v>0.84327514170042317</v>
      </c>
    </row>
    <row r="602" spans="1:2" x14ac:dyDescent="0.2">
      <c r="A602">
        <v>596</v>
      </c>
      <c r="B602">
        <v>0.57980626187630169</v>
      </c>
    </row>
    <row r="603" spans="1:2" x14ac:dyDescent="0.2">
      <c r="A603">
        <v>597</v>
      </c>
      <c r="B603">
        <v>0.13720379512580316</v>
      </c>
    </row>
    <row r="604" spans="1:2" x14ac:dyDescent="0.2">
      <c r="A604">
        <v>598</v>
      </c>
      <c r="B604">
        <v>0.20447129003450137</v>
      </c>
    </row>
    <row r="605" spans="1:2" x14ac:dyDescent="0.2">
      <c r="A605">
        <v>599</v>
      </c>
      <c r="B605">
        <v>9.9132143948656548E-2</v>
      </c>
    </row>
    <row r="606" spans="1:2" x14ac:dyDescent="0.2">
      <c r="A606">
        <v>600</v>
      </c>
      <c r="B606">
        <v>0.35015569068513352</v>
      </c>
    </row>
    <row r="607" spans="1:2" x14ac:dyDescent="0.2">
      <c r="A607">
        <v>601</v>
      </c>
      <c r="B607">
        <v>0.17264771286721226</v>
      </c>
    </row>
    <row r="608" spans="1:2" x14ac:dyDescent="0.2">
      <c r="A608">
        <v>602</v>
      </c>
      <c r="B608">
        <v>0.66821657383309996</v>
      </c>
    </row>
    <row r="609" spans="1:2" x14ac:dyDescent="0.2">
      <c r="A609">
        <v>603</v>
      </c>
      <c r="B609">
        <v>0.20696558065136827</v>
      </c>
    </row>
    <row r="610" spans="1:2" x14ac:dyDescent="0.2">
      <c r="A610">
        <v>604</v>
      </c>
      <c r="B610">
        <v>0.20909628666941804</v>
      </c>
    </row>
    <row r="611" spans="1:2" x14ac:dyDescent="0.2">
      <c r="A611">
        <v>605</v>
      </c>
      <c r="B611">
        <v>0.75209881718107552</v>
      </c>
    </row>
    <row r="612" spans="1:2" x14ac:dyDescent="0.2">
      <c r="A612">
        <v>606</v>
      </c>
      <c r="B612">
        <v>0.71356641060755344</v>
      </c>
    </row>
    <row r="613" spans="1:2" x14ac:dyDescent="0.2">
      <c r="A613">
        <v>607</v>
      </c>
      <c r="B613">
        <v>0.34133659690966056</v>
      </c>
    </row>
    <row r="614" spans="1:2" x14ac:dyDescent="0.2">
      <c r="A614">
        <v>608</v>
      </c>
      <c r="B614">
        <v>0.79402644980492432</v>
      </c>
    </row>
    <row r="615" spans="1:2" x14ac:dyDescent="0.2">
      <c r="A615">
        <v>609</v>
      </c>
      <c r="B615">
        <v>0.99088649625993441</v>
      </c>
    </row>
    <row r="616" spans="1:2" x14ac:dyDescent="0.2">
      <c r="A616">
        <v>610</v>
      </c>
      <c r="B616">
        <v>0.12684584692978262</v>
      </c>
    </row>
    <row r="617" spans="1:2" x14ac:dyDescent="0.2">
      <c r="A617">
        <v>611</v>
      </c>
      <c r="B617">
        <v>0.17293944107201698</v>
      </c>
    </row>
    <row r="618" spans="1:2" x14ac:dyDescent="0.2">
      <c r="A618">
        <v>612</v>
      </c>
      <c r="B618">
        <v>0.60670057824324952</v>
      </c>
    </row>
    <row r="619" spans="1:2" x14ac:dyDescent="0.2">
      <c r="A619">
        <v>613</v>
      </c>
      <c r="B619">
        <v>0.73303384364245694</v>
      </c>
    </row>
    <row r="620" spans="1:2" x14ac:dyDescent="0.2">
      <c r="A620">
        <v>614</v>
      </c>
      <c r="B620">
        <v>8.5756332040710315E-2</v>
      </c>
    </row>
    <row r="621" spans="1:2" x14ac:dyDescent="0.2">
      <c r="A621">
        <v>615</v>
      </c>
      <c r="B621">
        <v>7.9951650772158156E-2</v>
      </c>
    </row>
    <row r="622" spans="1:2" x14ac:dyDescent="0.2">
      <c r="A622">
        <v>616</v>
      </c>
      <c r="B622">
        <v>0.10840998459346818</v>
      </c>
    </row>
    <row r="623" spans="1:2" x14ac:dyDescent="0.2">
      <c r="A623">
        <v>617</v>
      </c>
      <c r="B623">
        <v>0.7532477393314797</v>
      </c>
    </row>
    <row r="624" spans="1:2" x14ac:dyDescent="0.2">
      <c r="A624">
        <v>618</v>
      </c>
      <c r="B624">
        <v>0.80913900394496985</v>
      </c>
    </row>
    <row r="625" spans="1:2" x14ac:dyDescent="0.2">
      <c r="A625">
        <v>619</v>
      </c>
      <c r="B625">
        <v>0.18986195983949516</v>
      </c>
    </row>
    <row r="626" spans="1:2" x14ac:dyDescent="0.2">
      <c r="A626">
        <v>620</v>
      </c>
      <c r="B626">
        <v>0.62578881559124988</v>
      </c>
    </row>
    <row r="627" spans="1:2" x14ac:dyDescent="0.2">
      <c r="A627">
        <v>621</v>
      </c>
      <c r="B627">
        <v>0.6516255310951472</v>
      </c>
    </row>
    <row r="628" spans="1:2" x14ac:dyDescent="0.2">
      <c r="A628">
        <v>622</v>
      </c>
      <c r="B628">
        <v>0.17749103375761133</v>
      </c>
    </row>
    <row r="629" spans="1:2" x14ac:dyDescent="0.2">
      <c r="A629">
        <v>623</v>
      </c>
      <c r="B629">
        <v>0.29220717321200829</v>
      </c>
    </row>
    <row r="630" spans="1:2" x14ac:dyDescent="0.2">
      <c r="A630">
        <v>624</v>
      </c>
      <c r="B630">
        <v>0.29719282515493917</v>
      </c>
    </row>
    <row r="631" spans="1:2" x14ac:dyDescent="0.2">
      <c r="A631">
        <v>625</v>
      </c>
      <c r="B631">
        <v>0.62128281602194479</v>
      </c>
    </row>
    <row r="632" spans="1:2" x14ac:dyDescent="0.2">
      <c r="A632">
        <v>626</v>
      </c>
      <c r="B632">
        <v>0.71998769395217033</v>
      </c>
    </row>
    <row r="633" spans="1:2" x14ac:dyDescent="0.2">
      <c r="A633">
        <v>627</v>
      </c>
      <c r="B633">
        <v>0.79306395395015972</v>
      </c>
    </row>
    <row r="634" spans="1:2" x14ac:dyDescent="0.2">
      <c r="A634">
        <v>628</v>
      </c>
      <c r="B634">
        <v>9.924767467766149E-2</v>
      </c>
    </row>
    <row r="635" spans="1:2" x14ac:dyDescent="0.2">
      <c r="A635">
        <v>629</v>
      </c>
      <c r="B635">
        <v>4.6963580717364506E-2</v>
      </c>
    </row>
    <row r="636" spans="1:2" x14ac:dyDescent="0.2">
      <c r="A636">
        <v>630</v>
      </c>
      <c r="B636">
        <v>7.4202273143401554E-2</v>
      </c>
    </row>
    <row r="637" spans="1:2" x14ac:dyDescent="0.2">
      <c r="A637">
        <v>631</v>
      </c>
      <c r="B637">
        <v>0.67141849289925648</v>
      </c>
    </row>
    <row r="638" spans="1:2" x14ac:dyDescent="0.2">
      <c r="A638">
        <v>632</v>
      </c>
      <c r="B638">
        <v>0.83340068718761728</v>
      </c>
    </row>
    <row r="639" spans="1:2" x14ac:dyDescent="0.2">
      <c r="A639">
        <v>633</v>
      </c>
      <c r="B639">
        <v>0.48989804817333793</v>
      </c>
    </row>
    <row r="640" spans="1:2" x14ac:dyDescent="0.2">
      <c r="A640">
        <v>634</v>
      </c>
      <c r="B640">
        <v>0.89594195782737251</v>
      </c>
    </row>
    <row r="641" spans="1:2" x14ac:dyDescent="0.2">
      <c r="A641">
        <v>635</v>
      </c>
      <c r="B641">
        <v>0.34878335641494163</v>
      </c>
    </row>
    <row r="642" spans="1:2" x14ac:dyDescent="0.2">
      <c r="A642">
        <v>636</v>
      </c>
      <c r="B642">
        <v>0.26106978648690937</v>
      </c>
    </row>
    <row r="643" spans="1:2" x14ac:dyDescent="0.2">
      <c r="A643">
        <v>637</v>
      </c>
      <c r="B643">
        <v>0.28798541399384359</v>
      </c>
    </row>
    <row r="644" spans="1:2" x14ac:dyDescent="0.2">
      <c r="A644">
        <v>638</v>
      </c>
      <c r="B644">
        <v>0.50371061987984755</v>
      </c>
    </row>
    <row r="645" spans="1:2" x14ac:dyDescent="0.2">
      <c r="A645">
        <v>639</v>
      </c>
      <c r="B645">
        <v>0.73675316705298532</v>
      </c>
    </row>
    <row r="646" spans="1:2" x14ac:dyDescent="0.2">
      <c r="A646">
        <v>640</v>
      </c>
      <c r="B646">
        <v>0.41253064376659143</v>
      </c>
    </row>
    <row r="647" spans="1:2" x14ac:dyDescent="0.2">
      <c r="A647">
        <v>641</v>
      </c>
      <c r="B647">
        <v>0.97478873391489951</v>
      </c>
    </row>
    <row r="648" spans="1:2" x14ac:dyDescent="0.2">
      <c r="A648">
        <v>642</v>
      </c>
      <c r="B648">
        <v>0.92413662907288141</v>
      </c>
    </row>
    <row r="649" spans="1:2" x14ac:dyDescent="0.2">
      <c r="A649">
        <v>643</v>
      </c>
      <c r="B649">
        <v>6.1950591790413956E-3</v>
      </c>
    </row>
    <row r="650" spans="1:2" x14ac:dyDescent="0.2">
      <c r="A650">
        <v>644</v>
      </c>
      <c r="B650">
        <v>0.82575514337231526</v>
      </c>
    </row>
    <row r="651" spans="1:2" x14ac:dyDescent="0.2">
      <c r="A651">
        <v>645</v>
      </c>
      <c r="B651">
        <v>0.57477131031139717</v>
      </c>
    </row>
    <row r="652" spans="1:2" x14ac:dyDescent="0.2">
      <c r="A652">
        <v>646</v>
      </c>
      <c r="B652">
        <v>0.49575071100545198</v>
      </c>
    </row>
    <row r="653" spans="1:2" x14ac:dyDescent="0.2">
      <c r="A653">
        <v>647</v>
      </c>
      <c r="B653">
        <v>0.88427448386576168</v>
      </c>
    </row>
    <row r="654" spans="1:2" x14ac:dyDescent="0.2">
      <c r="A654">
        <v>648</v>
      </c>
      <c r="B654">
        <v>0.26688763375082514</v>
      </c>
    </row>
    <row r="655" spans="1:2" x14ac:dyDescent="0.2">
      <c r="A655">
        <v>649</v>
      </c>
      <c r="B655">
        <v>0.28946871901596416</v>
      </c>
    </row>
    <row r="656" spans="1:2" x14ac:dyDescent="0.2">
      <c r="A656">
        <v>650</v>
      </c>
      <c r="B656">
        <v>0.84653329843775738</v>
      </c>
    </row>
    <row r="657" spans="1:2" x14ac:dyDescent="0.2">
      <c r="A657">
        <v>651</v>
      </c>
      <c r="B657">
        <v>9.417488240119154E-2</v>
      </c>
    </row>
    <row r="658" spans="1:2" x14ac:dyDescent="0.2">
      <c r="A658">
        <v>652</v>
      </c>
      <c r="B658">
        <v>7.1756606899222919E-2</v>
      </c>
    </row>
    <row r="659" spans="1:2" x14ac:dyDescent="0.2">
      <c r="A659">
        <v>653</v>
      </c>
      <c r="B659">
        <v>0.60828527058257653</v>
      </c>
    </row>
    <row r="660" spans="1:2" x14ac:dyDescent="0.2">
      <c r="A660">
        <v>654</v>
      </c>
      <c r="B660">
        <v>0.97077625120225408</v>
      </c>
    </row>
    <row r="661" spans="1:2" x14ac:dyDescent="0.2">
      <c r="A661">
        <v>655</v>
      </c>
      <c r="B661">
        <v>0.66916831114438513</v>
      </c>
    </row>
    <row r="662" spans="1:2" x14ac:dyDescent="0.2">
      <c r="A662">
        <v>656</v>
      </c>
      <c r="B662">
        <v>0.32557487492900916</v>
      </c>
    </row>
    <row r="663" spans="1:2" x14ac:dyDescent="0.2">
      <c r="A663">
        <v>657</v>
      </c>
      <c r="B663">
        <v>3.3905623916420935E-2</v>
      </c>
    </row>
    <row r="664" spans="1:2" x14ac:dyDescent="0.2">
      <c r="A664">
        <v>658</v>
      </c>
      <c r="B664">
        <v>0.36022996265525187</v>
      </c>
    </row>
    <row r="665" spans="1:2" x14ac:dyDescent="0.2">
      <c r="A665">
        <v>659</v>
      </c>
      <c r="B665">
        <v>0.85070863255674412</v>
      </c>
    </row>
    <row r="666" spans="1:2" x14ac:dyDescent="0.2">
      <c r="A666">
        <v>660</v>
      </c>
      <c r="B666">
        <v>0.1584079712402352</v>
      </c>
    </row>
    <row r="667" spans="1:2" x14ac:dyDescent="0.2">
      <c r="A667">
        <v>661</v>
      </c>
      <c r="B667">
        <v>0.55777867183856156</v>
      </c>
    </row>
    <row r="668" spans="1:2" x14ac:dyDescent="0.2">
      <c r="A668">
        <v>662</v>
      </c>
      <c r="B668">
        <v>0.86116146657427683</v>
      </c>
    </row>
    <row r="669" spans="1:2" x14ac:dyDescent="0.2">
      <c r="A669">
        <v>663</v>
      </c>
      <c r="B669">
        <v>0.15839348916388263</v>
      </c>
    </row>
    <row r="670" spans="1:2" x14ac:dyDescent="0.2">
      <c r="A670">
        <v>664</v>
      </c>
      <c r="B670">
        <v>1.3070170056860064E-2</v>
      </c>
    </row>
    <row r="671" spans="1:2" x14ac:dyDescent="0.2">
      <c r="A671">
        <v>665</v>
      </c>
      <c r="B671">
        <v>0.66027792427895726</v>
      </c>
    </row>
    <row r="672" spans="1:2" x14ac:dyDescent="0.2">
      <c r="A672">
        <v>666</v>
      </c>
      <c r="B672">
        <v>0.99126230434682638</v>
      </c>
    </row>
    <row r="673" spans="1:2" x14ac:dyDescent="0.2">
      <c r="A673">
        <v>667</v>
      </c>
      <c r="B673">
        <v>4.914144494831052E-2</v>
      </c>
    </row>
    <row r="674" spans="1:2" x14ac:dyDescent="0.2">
      <c r="A674">
        <v>668</v>
      </c>
      <c r="B674">
        <v>0.43414094714545748</v>
      </c>
    </row>
    <row r="675" spans="1:2" x14ac:dyDescent="0.2">
      <c r="A675">
        <v>669</v>
      </c>
      <c r="B675">
        <v>0.90910023728532618</v>
      </c>
    </row>
    <row r="676" spans="1:2" x14ac:dyDescent="0.2">
      <c r="A676">
        <v>670</v>
      </c>
      <c r="B676">
        <v>0.78333013341486357</v>
      </c>
    </row>
    <row r="677" spans="1:2" x14ac:dyDescent="0.2">
      <c r="A677">
        <v>671</v>
      </c>
      <c r="B677">
        <v>0.66425544720792595</v>
      </c>
    </row>
    <row r="678" spans="1:2" x14ac:dyDescent="0.2">
      <c r="A678">
        <v>672</v>
      </c>
      <c r="B678">
        <v>0.32997840550088375</v>
      </c>
    </row>
    <row r="679" spans="1:2" x14ac:dyDescent="0.2">
      <c r="A679">
        <v>673</v>
      </c>
      <c r="B679">
        <v>0.84139581438975075</v>
      </c>
    </row>
    <row r="680" spans="1:2" x14ac:dyDescent="0.2">
      <c r="A680">
        <v>674</v>
      </c>
      <c r="B680">
        <v>0.73699368239863905</v>
      </c>
    </row>
    <row r="681" spans="1:2" x14ac:dyDescent="0.2">
      <c r="A681">
        <v>675</v>
      </c>
      <c r="B681">
        <v>0.24458304146616094</v>
      </c>
    </row>
    <row r="682" spans="1:2" x14ac:dyDescent="0.2">
      <c r="A682">
        <v>676</v>
      </c>
      <c r="B682">
        <v>0.61977344453441618</v>
      </c>
    </row>
    <row r="683" spans="1:2" x14ac:dyDescent="0.2">
      <c r="A683">
        <v>677</v>
      </c>
      <c r="B683">
        <v>0.67778088630308553</v>
      </c>
    </row>
    <row r="684" spans="1:2" x14ac:dyDescent="0.2">
      <c r="A684">
        <v>678</v>
      </c>
      <c r="B684">
        <v>0.81970563824007059</v>
      </c>
    </row>
    <row r="685" spans="1:2" x14ac:dyDescent="0.2">
      <c r="A685">
        <v>679</v>
      </c>
      <c r="B685">
        <v>0.4053117102233279</v>
      </c>
    </row>
    <row r="686" spans="1:2" x14ac:dyDescent="0.2">
      <c r="A686">
        <v>680</v>
      </c>
      <c r="B686">
        <v>0.14119025226201509</v>
      </c>
    </row>
    <row r="687" spans="1:2" x14ac:dyDescent="0.2">
      <c r="A687">
        <v>681</v>
      </c>
      <c r="B687">
        <v>0.21580129980498197</v>
      </c>
    </row>
    <row r="688" spans="1:2" x14ac:dyDescent="0.2">
      <c r="A688">
        <v>682</v>
      </c>
      <c r="B688">
        <v>0.49771285652149355</v>
      </c>
    </row>
    <row r="689" spans="1:2" x14ac:dyDescent="0.2">
      <c r="A689">
        <v>683</v>
      </c>
      <c r="B689">
        <v>0.68633947100968662</v>
      </c>
    </row>
    <row r="690" spans="1:2" x14ac:dyDescent="0.2">
      <c r="A690">
        <v>684</v>
      </c>
      <c r="B690">
        <v>0.64034644206887192</v>
      </c>
    </row>
    <row r="691" spans="1:2" x14ac:dyDescent="0.2">
      <c r="A691">
        <v>685</v>
      </c>
      <c r="B691">
        <v>0.50584913521857344</v>
      </c>
    </row>
    <row r="692" spans="1:2" x14ac:dyDescent="0.2">
      <c r="A692">
        <v>686</v>
      </c>
      <c r="B692">
        <v>0.71892261144703451</v>
      </c>
    </row>
    <row r="693" spans="1:2" x14ac:dyDescent="0.2">
      <c r="A693">
        <v>687</v>
      </c>
      <c r="B693">
        <v>0.36007757753069525</v>
      </c>
    </row>
    <row r="694" spans="1:2" x14ac:dyDescent="0.2">
      <c r="A694">
        <v>688</v>
      </c>
      <c r="B694">
        <v>0.51083636088532447</v>
      </c>
    </row>
    <row r="695" spans="1:2" x14ac:dyDescent="0.2">
      <c r="A695">
        <v>689</v>
      </c>
      <c r="B695">
        <v>0.48934664010392726</v>
      </c>
    </row>
    <row r="696" spans="1:2" x14ac:dyDescent="0.2">
      <c r="A696">
        <v>690</v>
      </c>
      <c r="B696">
        <v>0.47386483524004508</v>
      </c>
    </row>
    <row r="697" spans="1:2" x14ac:dyDescent="0.2">
      <c r="A697">
        <v>691</v>
      </c>
      <c r="B697">
        <v>0.89780937693498908</v>
      </c>
    </row>
    <row r="698" spans="1:2" x14ac:dyDescent="0.2">
      <c r="A698">
        <v>692</v>
      </c>
      <c r="B698">
        <v>0.87349131229238275</v>
      </c>
    </row>
    <row r="699" spans="1:2" x14ac:dyDescent="0.2">
      <c r="A699">
        <v>693</v>
      </c>
      <c r="B699">
        <v>0.51361328547514096</v>
      </c>
    </row>
    <row r="700" spans="1:2" x14ac:dyDescent="0.2">
      <c r="A700">
        <v>694</v>
      </c>
      <c r="B700">
        <v>0.5818807286328983</v>
      </c>
    </row>
    <row r="701" spans="1:2" x14ac:dyDescent="0.2">
      <c r="A701">
        <v>695</v>
      </c>
      <c r="B701">
        <v>0.80355575984313543</v>
      </c>
    </row>
    <row r="702" spans="1:2" x14ac:dyDescent="0.2">
      <c r="A702">
        <v>696</v>
      </c>
      <c r="B702">
        <v>0.95800160329398831</v>
      </c>
    </row>
    <row r="703" spans="1:2" x14ac:dyDescent="0.2">
      <c r="A703">
        <v>697</v>
      </c>
      <c r="B703">
        <v>0.65715301196061227</v>
      </c>
    </row>
    <row r="704" spans="1:2" x14ac:dyDescent="0.2">
      <c r="A704">
        <v>698</v>
      </c>
      <c r="B704">
        <v>0.20776488191662079</v>
      </c>
    </row>
    <row r="705" spans="1:2" x14ac:dyDescent="0.2">
      <c r="A705">
        <v>699</v>
      </c>
      <c r="B705">
        <v>0.50289778975949373</v>
      </c>
    </row>
    <row r="706" spans="1:2" x14ac:dyDescent="0.2">
      <c r="A706">
        <v>700</v>
      </c>
      <c r="B706">
        <v>0.90542003108270885</v>
      </c>
    </row>
    <row r="707" spans="1:2" x14ac:dyDescent="0.2">
      <c r="A707">
        <v>701</v>
      </c>
      <c r="B707">
        <v>0.91694786403580797</v>
      </c>
    </row>
    <row r="708" spans="1:2" x14ac:dyDescent="0.2">
      <c r="A708">
        <v>702</v>
      </c>
      <c r="B708">
        <v>0.9399849606784999</v>
      </c>
    </row>
    <row r="709" spans="1:2" x14ac:dyDescent="0.2">
      <c r="A709">
        <v>703</v>
      </c>
      <c r="B709">
        <v>0.1893162638811503</v>
      </c>
    </row>
    <row r="710" spans="1:2" x14ac:dyDescent="0.2">
      <c r="A710">
        <v>704</v>
      </c>
      <c r="B710">
        <v>0.8305868421402488</v>
      </c>
    </row>
    <row r="711" spans="1:2" x14ac:dyDescent="0.2">
      <c r="A711">
        <v>705</v>
      </c>
      <c r="B711">
        <v>0.18425145734933435</v>
      </c>
    </row>
    <row r="712" spans="1:2" x14ac:dyDescent="0.2">
      <c r="A712">
        <v>706</v>
      </c>
      <c r="B712">
        <v>0.51707017739876582</v>
      </c>
    </row>
    <row r="713" spans="1:2" x14ac:dyDescent="0.2">
      <c r="A713">
        <v>707</v>
      </c>
      <c r="B713">
        <v>0.60488608335344207</v>
      </c>
    </row>
    <row r="714" spans="1:2" x14ac:dyDescent="0.2">
      <c r="A714">
        <v>708</v>
      </c>
      <c r="B714">
        <v>0.54208638999852232</v>
      </c>
    </row>
    <row r="715" spans="1:2" x14ac:dyDescent="0.2">
      <c r="A715">
        <v>709</v>
      </c>
      <c r="B715">
        <v>0.61834920668806825</v>
      </c>
    </row>
    <row r="716" spans="1:2" x14ac:dyDescent="0.2">
      <c r="A716">
        <v>710</v>
      </c>
      <c r="B716">
        <v>0.63992361419058441</v>
      </c>
    </row>
    <row r="717" spans="1:2" x14ac:dyDescent="0.2">
      <c r="A717">
        <v>711</v>
      </c>
      <c r="B717">
        <v>0.7924214295553027</v>
      </c>
    </row>
    <row r="718" spans="1:2" x14ac:dyDescent="0.2">
      <c r="A718">
        <v>712</v>
      </c>
      <c r="B718">
        <v>0.21414068561790778</v>
      </c>
    </row>
    <row r="719" spans="1:2" x14ac:dyDescent="0.2">
      <c r="A719">
        <v>713</v>
      </c>
      <c r="B719">
        <v>0.80727249110186339</v>
      </c>
    </row>
    <row r="720" spans="1:2" x14ac:dyDescent="0.2">
      <c r="A720">
        <v>714</v>
      </c>
      <c r="B720">
        <v>0.20280912751836477</v>
      </c>
    </row>
    <row r="721" spans="1:2" x14ac:dyDescent="0.2">
      <c r="A721">
        <v>715</v>
      </c>
      <c r="B721">
        <v>0.27802141171000627</v>
      </c>
    </row>
    <row r="722" spans="1:2" x14ac:dyDescent="0.2">
      <c r="A722">
        <v>716</v>
      </c>
      <c r="B722">
        <v>0.49543740471088815</v>
      </c>
    </row>
    <row r="723" spans="1:2" x14ac:dyDescent="0.2">
      <c r="A723">
        <v>717</v>
      </c>
      <c r="B723">
        <v>5.6574923431529589E-2</v>
      </c>
    </row>
    <row r="724" spans="1:2" x14ac:dyDescent="0.2">
      <c r="A724">
        <v>718</v>
      </c>
      <c r="B724">
        <v>0.30245933363733146</v>
      </c>
    </row>
    <row r="725" spans="1:2" x14ac:dyDescent="0.2">
      <c r="A725">
        <v>719</v>
      </c>
      <c r="B725">
        <v>0.33625190086086931</v>
      </c>
    </row>
    <row r="726" spans="1:2" x14ac:dyDescent="0.2">
      <c r="A726">
        <v>720</v>
      </c>
      <c r="B726">
        <v>0.23876920522088174</v>
      </c>
    </row>
    <row r="727" spans="1:2" x14ac:dyDescent="0.2">
      <c r="A727">
        <v>721</v>
      </c>
      <c r="B727">
        <v>0.98768522256237923</v>
      </c>
    </row>
    <row r="728" spans="1:2" x14ac:dyDescent="0.2">
      <c r="A728">
        <v>722</v>
      </c>
      <c r="B728">
        <v>0.99855680063585772</v>
      </c>
    </row>
    <row r="729" spans="1:2" x14ac:dyDescent="0.2">
      <c r="A729">
        <v>723</v>
      </c>
      <c r="B729">
        <v>0.69615636283420712</v>
      </c>
    </row>
    <row r="730" spans="1:2" x14ac:dyDescent="0.2">
      <c r="A730">
        <v>724</v>
      </c>
      <c r="B730">
        <v>0.55874742263085475</v>
      </c>
    </row>
    <row r="731" spans="1:2" x14ac:dyDescent="0.2">
      <c r="A731">
        <v>725</v>
      </c>
      <c r="B731">
        <v>0.63559726748010836</v>
      </c>
    </row>
    <row r="732" spans="1:2" x14ac:dyDescent="0.2">
      <c r="A732">
        <v>726</v>
      </c>
      <c r="B732">
        <v>0.19621187729015199</v>
      </c>
    </row>
    <row r="733" spans="1:2" x14ac:dyDescent="0.2">
      <c r="A733">
        <v>727</v>
      </c>
      <c r="B733">
        <v>0.83553286868298693</v>
      </c>
    </row>
    <row r="734" spans="1:2" x14ac:dyDescent="0.2">
      <c r="A734">
        <v>728</v>
      </c>
      <c r="B734">
        <v>9.0014906641892933E-2</v>
      </c>
    </row>
    <row r="735" spans="1:2" x14ac:dyDescent="0.2">
      <c r="A735">
        <v>729</v>
      </c>
      <c r="B735">
        <v>0.35133659413621254</v>
      </c>
    </row>
    <row r="736" spans="1:2" x14ac:dyDescent="0.2">
      <c r="A736">
        <v>730</v>
      </c>
      <c r="B736">
        <v>3.6160774235124538E-2</v>
      </c>
    </row>
    <row r="737" spans="1:2" x14ac:dyDescent="0.2">
      <c r="A737">
        <v>731</v>
      </c>
      <c r="B737">
        <v>0.54647459994596426</v>
      </c>
    </row>
    <row r="738" spans="1:2" x14ac:dyDescent="0.2">
      <c r="A738">
        <v>732</v>
      </c>
      <c r="B738">
        <v>0.8001517863031874</v>
      </c>
    </row>
    <row r="739" spans="1:2" x14ac:dyDescent="0.2">
      <c r="A739">
        <v>733</v>
      </c>
      <c r="B739">
        <v>0.81818051919740375</v>
      </c>
    </row>
    <row r="740" spans="1:2" x14ac:dyDescent="0.2">
      <c r="A740">
        <v>734</v>
      </c>
      <c r="B740">
        <v>0.81955649402465636</v>
      </c>
    </row>
    <row r="741" spans="1:2" x14ac:dyDescent="0.2">
      <c r="A741">
        <v>735</v>
      </c>
      <c r="B741">
        <v>0.65300606059472466</v>
      </c>
    </row>
    <row r="742" spans="1:2" x14ac:dyDescent="0.2">
      <c r="A742">
        <v>736</v>
      </c>
      <c r="B742">
        <v>4.233443729594244E-2</v>
      </c>
    </row>
    <row r="743" spans="1:2" x14ac:dyDescent="0.2">
      <c r="A743">
        <v>737</v>
      </c>
      <c r="B743">
        <v>0.84667994721963069</v>
      </c>
    </row>
    <row r="744" spans="1:2" x14ac:dyDescent="0.2">
      <c r="A744">
        <v>738</v>
      </c>
      <c r="B744">
        <v>0.99830367712631074</v>
      </c>
    </row>
    <row r="745" spans="1:2" x14ac:dyDescent="0.2">
      <c r="A745">
        <v>739</v>
      </c>
      <c r="B745">
        <v>0.57943673470500867</v>
      </c>
    </row>
    <row r="746" spans="1:2" x14ac:dyDescent="0.2">
      <c r="A746">
        <v>740</v>
      </c>
      <c r="B746">
        <v>0.46398717574467907</v>
      </c>
    </row>
    <row r="747" spans="1:2" x14ac:dyDescent="0.2">
      <c r="A747">
        <v>741</v>
      </c>
      <c r="B747">
        <v>0.33540452305945412</v>
      </c>
    </row>
    <row r="748" spans="1:2" x14ac:dyDescent="0.2">
      <c r="A748">
        <v>742</v>
      </c>
      <c r="B748">
        <v>0.3967752865697457</v>
      </c>
    </row>
    <row r="749" spans="1:2" x14ac:dyDescent="0.2">
      <c r="A749">
        <v>743</v>
      </c>
      <c r="B749">
        <v>0.31421993913118607</v>
      </c>
    </row>
    <row r="750" spans="1:2" x14ac:dyDescent="0.2">
      <c r="A750">
        <v>744</v>
      </c>
      <c r="B750">
        <v>0.98829529486674794</v>
      </c>
    </row>
    <row r="751" spans="1:2" x14ac:dyDescent="0.2">
      <c r="A751">
        <v>745</v>
      </c>
      <c r="B751">
        <v>0.55105608541539663</v>
      </c>
    </row>
    <row r="752" spans="1:2" x14ac:dyDescent="0.2">
      <c r="A752">
        <v>746</v>
      </c>
      <c r="B752">
        <v>0.92165901766815028</v>
      </c>
    </row>
    <row r="753" spans="1:2" x14ac:dyDescent="0.2">
      <c r="A753">
        <v>747</v>
      </c>
      <c r="B753">
        <v>0.20210267149383176</v>
      </c>
    </row>
    <row r="754" spans="1:2" x14ac:dyDescent="0.2">
      <c r="A754">
        <v>748</v>
      </c>
      <c r="B754">
        <v>0.31160162198818808</v>
      </c>
    </row>
    <row r="755" spans="1:2" x14ac:dyDescent="0.2">
      <c r="A755">
        <v>749</v>
      </c>
      <c r="B755">
        <v>0.42468270900226635</v>
      </c>
    </row>
    <row r="756" spans="1:2" x14ac:dyDescent="0.2">
      <c r="A756">
        <v>750</v>
      </c>
      <c r="B756">
        <v>0.75136771008504666</v>
      </c>
    </row>
    <row r="757" spans="1:2" x14ac:dyDescent="0.2">
      <c r="A757">
        <v>751</v>
      </c>
      <c r="B757">
        <v>0.68822543786800838</v>
      </c>
    </row>
    <row r="758" spans="1:2" x14ac:dyDescent="0.2">
      <c r="A758">
        <v>752</v>
      </c>
      <c r="B758">
        <v>0.15616674131743924</v>
      </c>
    </row>
    <row r="759" spans="1:2" x14ac:dyDescent="0.2">
      <c r="A759">
        <v>753</v>
      </c>
      <c r="B759">
        <v>0.85437823074365715</v>
      </c>
    </row>
    <row r="760" spans="1:2" x14ac:dyDescent="0.2">
      <c r="A760">
        <v>754</v>
      </c>
      <c r="B760">
        <v>0.75584815159018703</v>
      </c>
    </row>
    <row r="761" spans="1:2" x14ac:dyDescent="0.2">
      <c r="A761">
        <v>755</v>
      </c>
      <c r="B761">
        <v>0.75693513073826202</v>
      </c>
    </row>
    <row r="762" spans="1:2" x14ac:dyDescent="0.2">
      <c r="A762">
        <v>756</v>
      </c>
      <c r="B762">
        <v>0.12373651733436886</v>
      </c>
    </row>
    <row r="763" spans="1:2" x14ac:dyDescent="0.2">
      <c r="A763">
        <v>757</v>
      </c>
      <c r="B763">
        <v>0.50126604923067475</v>
      </c>
    </row>
    <row r="764" spans="1:2" x14ac:dyDescent="0.2">
      <c r="A764">
        <v>758</v>
      </c>
      <c r="B764">
        <v>0.7055039597947792</v>
      </c>
    </row>
    <row r="765" spans="1:2" x14ac:dyDescent="0.2">
      <c r="A765">
        <v>759</v>
      </c>
      <c r="B765">
        <v>0.73051824273249877</v>
      </c>
    </row>
    <row r="766" spans="1:2" x14ac:dyDescent="0.2">
      <c r="A766">
        <v>760</v>
      </c>
      <c r="B766">
        <v>0.10236122686650995</v>
      </c>
    </row>
    <row r="767" spans="1:2" x14ac:dyDescent="0.2">
      <c r="A767">
        <v>761</v>
      </c>
      <c r="B767">
        <v>0.32403599475208644</v>
      </c>
    </row>
    <row r="768" spans="1:2" x14ac:dyDescent="0.2">
      <c r="A768">
        <v>762</v>
      </c>
      <c r="B768">
        <v>0.66337224022988006</v>
      </c>
    </row>
    <row r="769" spans="1:2" x14ac:dyDescent="0.2">
      <c r="A769">
        <v>763</v>
      </c>
      <c r="B769">
        <v>0.36271336579675595</v>
      </c>
    </row>
    <row r="770" spans="1:2" x14ac:dyDescent="0.2">
      <c r="A770">
        <v>764</v>
      </c>
      <c r="B770">
        <v>0.38614571909622564</v>
      </c>
    </row>
    <row r="771" spans="1:2" x14ac:dyDescent="0.2">
      <c r="A771">
        <v>765</v>
      </c>
      <c r="B771">
        <v>0.32341537494782158</v>
      </c>
    </row>
    <row r="772" spans="1:2" x14ac:dyDescent="0.2">
      <c r="A772">
        <v>766</v>
      </c>
      <c r="B772">
        <v>5.6117081671627767E-2</v>
      </c>
    </row>
    <row r="773" spans="1:2" x14ac:dyDescent="0.2">
      <c r="A773">
        <v>767</v>
      </c>
      <c r="B773">
        <v>0.36161601521201925</v>
      </c>
    </row>
    <row r="774" spans="1:2" x14ac:dyDescent="0.2">
      <c r="A774">
        <v>768</v>
      </c>
      <c r="B774">
        <v>0.63857527616301224</v>
      </c>
    </row>
    <row r="775" spans="1:2" x14ac:dyDescent="0.2">
      <c r="A775">
        <v>769</v>
      </c>
      <c r="B775">
        <v>0.76697782602394426</v>
      </c>
    </row>
    <row r="776" spans="1:2" x14ac:dyDescent="0.2">
      <c r="A776">
        <v>770</v>
      </c>
      <c r="B776">
        <v>0.3846877884148665</v>
      </c>
    </row>
    <row r="777" spans="1:2" x14ac:dyDescent="0.2">
      <c r="A777">
        <v>771</v>
      </c>
      <c r="B777">
        <v>0.49913450085296407</v>
      </c>
    </row>
    <row r="778" spans="1:2" x14ac:dyDescent="0.2">
      <c r="A778">
        <v>772</v>
      </c>
      <c r="B778">
        <v>6.473118727325855E-2</v>
      </c>
    </row>
    <row r="779" spans="1:2" x14ac:dyDescent="0.2">
      <c r="A779">
        <v>773</v>
      </c>
      <c r="B779">
        <v>0.48209692582630581</v>
      </c>
    </row>
    <row r="780" spans="1:2" x14ac:dyDescent="0.2">
      <c r="A780">
        <v>774</v>
      </c>
      <c r="B780">
        <v>8.9663001731812297E-3</v>
      </c>
    </row>
    <row r="781" spans="1:2" x14ac:dyDescent="0.2">
      <c r="A781">
        <v>775</v>
      </c>
      <c r="B781">
        <v>0.44450098204283994</v>
      </c>
    </row>
    <row r="782" spans="1:2" x14ac:dyDescent="0.2">
      <c r="A782">
        <v>776</v>
      </c>
      <c r="B782">
        <v>0.73108078280320166</v>
      </c>
    </row>
    <row r="783" spans="1:2" x14ac:dyDescent="0.2">
      <c r="A783">
        <v>777</v>
      </c>
      <c r="B783">
        <v>0.98189931427023225</v>
      </c>
    </row>
    <row r="784" spans="1:2" x14ac:dyDescent="0.2">
      <c r="A784">
        <v>778</v>
      </c>
      <c r="B784">
        <v>0.43834175778622153</v>
      </c>
    </row>
    <row r="785" spans="1:2" x14ac:dyDescent="0.2">
      <c r="A785">
        <v>779</v>
      </c>
      <c r="B785">
        <v>0.92663665242536353</v>
      </c>
    </row>
    <row r="786" spans="1:2" x14ac:dyDescent="0.2">
      <c r="A786">
        <v>780</v>
      </c>
      <c r="B786">
        <v>0.47685581878796268</v>
      </c>
    </row>
    <row r="787" spans="1:2" x14ac:dyDescent="0.2">
      <c r="A787">
        <v>781</v>
      </c>
      <c r="B787">
        <v>0.49847620179856478</v>
      </c>
    </row>
    <row r="788" spans="1:2" x14ac:dyDescent="0.2">
      <c r="A788">
        <v>782</v>
      </c>
      <c r="B788">
        <v>0.81485857915113369</v>
      </c>
    </row>
    <row r="789" spans="1:2" x14ac:dyDescent="0.2">
      <c r="A789">
        <v>783</v>
      </c>
      <c r="B789">
        <v>0.30142244140680852</v>
      </c>
    </row>
    <row r="790" spans="1:2" x14ac:dyDescent="0.2">
      <c r="A790">
        <v>784</v>
      </c>
      <c r="B790">
        <v>0.266962627578883</v>
      </c>
    </row>
    <row r="791" spans="1:2" x14ac:dyDescent="0.2">
      <c r="A791">
        <v>785</v>
      </c>
      <c r="B791">
        <v>0.62278832508965043</v>
      </c>
    </row>
    <row r="792" spans="1:2" x14ac:dyDescent="0.2">
      <c r="A792">
        <v>786</v>
      </c>
      <c r="B792">
        <v>0.55355705340945949</v>
      </c>
    </row>
    <row r="793" spans="1:2" x14ac:dyDescent="0.2">
      <c r="A793">
        <v>787</v>
      </c>
      <c r="B793">
        <v>0.21978426304489596</v>
      </c>
    </row>
    <row r="794" spans="1:2" x14ac:dyDescent="0.2">
      <c r="A794">
        <v>788</v>
      </c>
      <c r="B794">
        <v>0.90472992630104798</v>
      </c>
    </row>
    <row r="795" spans="1:2" x14ac:dyDescent="0.2">
      <c r="A795">
        <v>789</v>
      </c>
      <c r="B795">
        <v>0.31326303402718914</v>
      </c>
    </row>
    <row r="796" spans="1:2" x14ac:dyDescent="0.2">
      <c r="A796">
        <v>790</v>
      </c>
      <c r="B796">
        <v>0.21375264040043396</v>
      </c>
    </row>
    <row r="797" spans="1:2" x14ac:dyDescent="0.2">
      <c r="A797">
        <v>791</v>
      </c>
      <c r="B797">
        <v>0.77804961981070753</v>
      </c>
    </row>
    <row r="798" spans="1:2" x14ac:dyDescent="0.2">
      <c r="A798">
        <v>792</v>
      </c>
      <c r="B798">
        <v>0.51546334690565587</v>
      </c>
    </row>
    <row r="799" spans="1:2" x14ac:dyDescent="0.2">
      <c r="A799">
        <v>793</v>
      </c>
      <c r="B799">
        <v>0.24172259550554853</v>
      </c>
    </row>
    <row r="800" spans="1:2" x14ac:dyDescent="0.2">
      <c r="A800">
        <v>794</v>
      </c>
      <c r="B800">
        <v>0.27046288435222443</v>
      </c>
    </row>
    <row r="801" spans="1:2" x14ac:dyDescent="0.2">
      <c r="A801">
        <v>795</v>
      </c>
      <c r="B801">
        <v>0.489391646855456</v>
      </c>
    </row>
    <row r="802" spans="1:2" x14ac:dyDescent="0.2">
      <c r="A802">
        <v>796</v>
      </c>
      <c r="B802">
        <v>0.22166765343458517</v>
      </c>
    </row>
    <row r="803" spans="1:2" x14ac:dyDescent="0.2">
      <c r="A803">
        <v>797</v>
      </c>
      <c r="B803">
        <v>0.45810972385558157</v>
      </c>
    </row>
    <row r="804" spans="1:2" x14ac:dyDescent="0.2">
      <c r="A804">
        <v>798</v>
      </c>
      <c r="B804">
        <v>0.23428514752291396</v>
      </c>
    </row>
    <row r="805" spans="1:2" x14ac:dyDescent="0.2">
      <c r="A805">
        <v>799</v>
      </c>
      <c r="B805">
        <v>0.40806630943605926</v>
      </c>
    </row>
    <row r="806" spans="1:2" x14ac:dyDescent="0.2">
      <c r="A806">
        <v>800</v>
      </c>
      <c r="B806">
        <v>0.75376595404571567</v>
      </c>
    </row>
    <row r="807" spans="1:2" x14ac:dyDescent="0.2">
      <c r="A807">
        <v>801</v>
      </c>
      <c r="B807">
        <v>0.55241689326293564</v>
      </c>
    </row>
    <row r="808" spans="1:2" x14ac:dyDescent="0.2">
      <c r="A808">
        <v>802</v>
      </c>
      <c r="B808">
        <v>0.71579771141712223</v>
      </c>
    </row>
    <row r="809" spans="1:2" x14ac:dyDescent="0.2">
      <c r="A809">
        <v>803</v>
      </c>
      <c r="B809">
        <v>0.79443928780716155</v>
      </c>
    </row>
    <row r="810" spans="1:2" x14ac:dyDescent="0.2">
      <c r="A810">
        <v>804</v>
      </c>
      <c r="B810">
        <v>0.53472645483969794</v>
      </c>
    </row>
    <row r="811" spans="1:2" x14ac:dyDescent="0.2">
      <c r="A811">
        <v>805</v>
      </c>
      <c r="B811">
        <v>0.54991829874452713</v>
      </c>
    </row>
    <row r="812" spans="1:2" x14ac:dyDescent="0.2">
      <c r="A812">
        <v>806</v>
      </c>
      <c r="B812">
        <v>0.32319506223622141</v>
      </c>
    </row>
    <row r="813" spans="1:2" x14ac:dyDescent="0.2">
      <c r="A813">
        <v>807</v>
      </c>
      <c r="B813">
        <v>4.0960097516346994E-2</v>
      </c>
    </row>
    <row r="814" spans="1:2" x14ac:dyDescent="0.2">
      <c r="A814">
        <v>808</v>
      </c>
      <c r="B814">
        <v>0.55989362012666222</v>
      </c>
    </row>
    <row r="815" spans="1:2" x14ac:dyDescent="0.2">
      <c r="A815">
        <v>809</v>
      </c>
      <c r="B815">
        <v>0.20276996028289074</v>
      </c>
    </row>
    <row r="816" spans="1:2" x14ac:dyDescent="0.2">
      <c r="A816">
        <v>810</v>
      </c>
      <c r="B816">
        <v>0.36170438246342218</v>
      </c>
    </row>
    <row r="817" spans="1:2" x14ac:dyDescent="0.2">
      <c r="A817">
        <v>811</v>
      </c>
      <c r="B817">
        <v>0.36275532858418169</v>
      </c>
    </row>
    <row r="818" spans="1:2" x14ac:dyDescent="0.2">
      <c r="A818">
        <v>812</v>
      </c>
      <c r="B818">
        <v>0.44256691923671587</v>
      </c>
    </row>
    <row r="819" spans="1:2" x14ac:dyDescent="0.2">
      <c r="A819">
        <v>813</v>
      </c>
      <c r="B819">
        <v>0.78218024015767107</v>
      </c>
    </row>
    <row r="820" spans="1:2" x14ac:dyDescent="0.2">
      <c r="A820">
        <v>814</v>
      </c>
      <c r="B820">
        <v>0.83509086669443711</v>
      </c>
    </row>
    <row r="821" spans="1:2" x14ac:dyDescent="0.2">
      <c r="A821">
        <v>815</v>
      </c>
      <c r="B821">
        <v>0.31566357795303346</v>
      </c>
    </row>
    <row r="822" spans="1:2" x14ac:dyDescent="0.2">
      <c r="A822">
        <v>816</v>
      </c>
      <c r="B822">
        <v>0.1261360502089407</v>
      </c>
    </row>
    <row r="823" spans="1:2" x14ac:dyDescent="0.2">
      <c r="A823">
        <v>817</v>
      </c>
      <c r="B823">
        <v>0.23853340433859604</v>
      </c>
    </row>
    <row r="824" spans="1:2" x14ac:dyDescent="0.2">
      <c r="A824">
        <v>818</v>
      </c>
      <c r="B824">
        <v>0.84775959304434512</v>
      </c>
    </row>
    <row r="825" spans="1:2" x14ac:dyDescent="0.2">
      <c r="A825">
        <v>819</v>
      </c>
      <c r="B825">
        <v>0.98299904056827236</v>
      </c>
    </row>
    <row r="826" spans="1:2" x14ac:dyDescent="0.2">
      <c r="A826">
        <v>820</v>
      </c>
      <c r="B826">
        <v>0.1607447141570536</v>
      </c>
    </row>
    <row r="827" spans="1:2" x14ac:dyDescent="0.2">
      <c r="A827">
        <v>821</v>
      </c>
      <c r="B827">
        <v>0.4550352792659571</v>
      </c>
    </row>
    <row r="828" spans="1:2" x14ac:dyDescent="0.2">
      <c r="A828">
        <v>822</v>
      </c>
      <c r="B828">
        <v>0.7976608409907473</v>
      </c>
    </row>
    <row r="829" spans="1:2" x14ac:dyDescent="0.2">
      <c r="A829">
        <v>823</v>
      </c>
      <c r="B829">
        <v>0.28259609565271726</v>
      </c>
    </row>
    <row r="830" spans="1:2" x14ac:dyDescent="0.2">
      <c r="A830">
        <v>824</v>
      </c>
      <c r="B830">
        <v>0.26496625327757228</v>
      </c>
    </row>
    <row r="831" spans="1:2" x14ac:dyDescent="0.2">
      <c r="A831">
        <v>825</v>
      </c>
      <c r="B831">
        <v>0.4041010608897494</v>
      </c>
    </row>
    <row r="832" spans="1:2" x14ac:dyDescent="0.2">
      <c r="A832">
        <v>826</v>
      </c>
      <c r="B832">
        <v>6.9164937770466728E-2</v>
      </c>
    </row>
    <row r="833" spans="1:2" x14ac:dyDescent="0.2">
      <c r="A833">
        <v>827</v>
      </c>
      <c r="B833">
        <v>0.66616542383920563</v>
      </c>
    </row>
    <row r="834" spans="1:2" x14ac:dyDescent="0.2">
      <c r="A834">
        <v>828</v>
      </c>
      <c r="B834">
        <v>0.40460402354665859</v>
      </c>
    </row>
    <row r="835" spans="1:2" x14ac:dyDescent="0.2">
      <c r="A835">
        <v>829</v>
      </c>
      <c r="B835">
        <v>0.29389292602883632</v>
      </c>
    </row>
    <row r="836" spans="1:2" x14ac:dyDescent="0.2">
      <c r="A836">
        <v>830</v>
      </c>
      <c r="B836">
        <v>0.59284903790418653</v>
      </c>
    </row>
    <row r="837" spans="1:2" x14ac:dyDescent="0.2">
      <c r="A837">
        <v>831</v>
      </c>
      <c r="B837">
        <v>0.93445505958731634</v>
      </c>
    </row>
    <row r="838" spans="1:2" x14ac:dyDescent="0.2">
      <c r="A838">
        <v>832</v>
      </c>
      <c r="B838">
        <v>0.98975019548653698</v>
      </c>
    </row>
    <row r="839" spans="1:2" x14ac:dyDescent="0.2">
      <c r="A839">
        <v>833</v>
      </c>
      <c r="B839">
        <v>0.63943324314472605</v>
      </c>
    </row>
    <row r="840" spans="1:2" x14ac:dyDescent="0.2">
      <c r="A840">
        <v>834</v>
      </c>
      <c r="B840">
        <v>0.22300875413698973</v>
      </c>
    </row>
    <row r="841" spans="1:2" x14ac:dyDescent="0.2">
      <c r="A841">
        <v>835</v>
      </c>
      <c r="B841">
        <v>0.97262481254512001</v>
      </c>
    </row>
    <row r="842" spans="1:2" x14ac:dyDescent="0.2">
      <c r="A842">
        <v>836</v>
      </c>
      <c r="B842">
        <v>0.50703146241474306</v>
      </c>
    </row>
    <row r="843" spans="1:2" x14ac:dyDescent="0.2">
      <c r="A843">
        <v>837</v>
      </c>
      <c r="B843">
        <v>0.50738330791986663</v>
      </c>
    </row>
    <row r="844" spans="1:2" x14ac:dyDescent="0.2">
      <c r="A844">
        <v>838</v>
      </c>
      <c r="B844">
        <v>0.11107156973087395</v>
      </c>
    </row>
    <row r="845" spans="1:2" x14ac:dyDescent="0.2">
      <c r="A845">
        <v>839</v>
      </c>
      <c r="B845">
        <v>0.19454537545380202</v>
      </c>
    </row>
    <row r="846" spans="1:2" x14ac:dyDescent="0.2">
      <c r="A846">
        <v>840</v>
      </c>
      <c r="B846">
        <v>8.2354348067359973E-2</v>
      </c>
    </row>
    <row r="847" spans="1:2" x14ac:dyDescent="0.2">
      <c r="A847">
        <v>841</v>
      </c>
      <c r="B847">
        <v>0.69512244322802763</v>
      </c>
    </row>
    <row r="848" spans="1:2" x14ac:dyDescent="0.2">
      <c r="A848">
        <v>842</v>
      </c>
      <c r="B848">
        <v>0.22648878385595173</v>
      </c>
    </row>
    <row r="849" spans="1:2" x14ac:dyDescent="0.2">
      <c r="A849">
        <v>843</v>
      </c>
      <c r="B849">
        <v>0.39506350560952064</v>
      </c>
    </row>
    <row r="850" spans="1:2" x14ac:dyDescent="0.2">
      <c r="A850">
        <v>844</v>
      </c>
      <c r="B850">
        <v>0.55650460933493584</v>
      </c>
    </row>
    <row r="851" spans="1:2" x14ac:dyDescent="0.2">
      <c r="A851">
        <v>845</v>
      </c>
      <c r="B851">
        <v>0.69396554577038283</v>
      </c>
    </row>
    <row r="852" spans="1:2" x14ac:dyDescent="0.2">
      <c r="A852">
        <v>846</v>
      </c>
      <c r="B852">
        <v>9.0736477200820564E-2</v>
      </c>
    </row>
    <row r="853" spans="1:2" x14ac:dyDescent="0.2">
      <c r="A853">
        <v>847</v>
      </c>
      <c r="B853">
        <v>0.37920421822206873</v>
      </c>
    </row>
    <row r="854" spans="1:2" x14ac:dyDescent="0.2">
      <c r="A854">
        <v>848</v>
      </c>
      <c r="B854">
        <v>0.37809200849028446</v>
      </c>
    </row>
    <row r="855" spans="1:2" x14ac:dyDescent="0.2">
      <c r="A855">
        <v>849</v>
      </c>
      <c r="B855">
        <v>3.0418896928433692E-2</v>
      </c>
    </row>
    <row r="856" spans="1:2" x14ac:dyDescent="0.2">
      <c r="A856">
        <v>850</v>
      </c>
      <c r="B856">
        <v>0.732975472130868</v>
      </c>
    </row>
    <row r="857" spans="1:2" x14ac:dyDescent="0.2">
      <c r="A857">
        <v>851</v>
      </c>
      <c r="B857">
        <v>0.35599592432918326</v>
      </c>
    </row>
    <row r="858" spans="1:2" x14ac:dyDescent="0.2">
      <c r="A858">
        <v>852</v>
      </c>
      <c r="B858">
        <v>0.43333555922749278</v>
      </c>
    </row>
    <row r="859" spans="1:2" x14ac:dyDescent="0.2">
      <c r="A859">
        <v>853</v>
      </c>
      <c r="B859">
        <v>0.6817840260457293</v>
      </c>
    </row>
    <row r="860" spans="1:2" x14ac:dyDescent="0.2">
      <c r="A860">
        <v>854</v>
      </c>
      <c r="B860">
        <v>0.13336419462569726</v>
      </c>
    </row>
    <row r="861" spans="1:2" x14ac:dyDescent="0.2">
      <c r="A861">
        <v>855</v>
      </c>
      <c r="B861">
        <v>0.31763372937768164</v>
      </c>
    </row>
    <row r="862" spans="1:2" x14ac:dyDescent="0.2">
      <c r="A862">
        <v>856</v>
      </c>
      <c r="B862">
        <v>0.2817456185062901</v>
      </c>
    </row>
    <row r="863" spans="1:2" x14ac:dyDescent="0.2">
      <c r="A863">
        <v>857</v>
      </c>
      <c r="B863">
        <v>0.59567823587021718</v>
      </c>
    </row>
    <row r="864" spans="1:2" x14ac:dyDescent="0.2">
      <c r="A864">
        <v>858</v>
      </c>
      <c r="B864">
        <v>0.58586794929944053</v>
      </c>
    </row>
    <row r="865" spans="1:2" x14ac:dyDescent="0.2">
      <c r="A865">
        <v>859</v>
      </c>
      <c r="B865">
        <v>0.53829966408535745</v>
      </c>
    </row>
    <row r="866" spans="1:2" x14ac:dyDescent="0.2">
      <c r="A866">
        <v>860</v>
      </c>
      <c r="B866">
        <v>0.86974301729738757</v>
      </c>
    </row>
    <row r="867" spans="1:2" x14ac:dyDescent="0.2">
      <c r="A867">
        <v>861</v>
      </c>
      <c r="B867">
        <v>0.46158778480576235</v>
      </c>
    </row>
    <row r="868" spans="1:2" x14ac:dyDescent="0.2">
      <c r="A868">
        <v>862</v>
      </c>
      <c r="B868">
        <v>0.96531491941664249</v>
      </c>
    </row>
    <row r="869" spans="1:2" x14ac:dyDescent="0.2">
      <c r="A869">
        <v>863</v>
      </c>
      <c r="B869">
        <v>0.31680463160703898</v>
      </c>
    </row>
    <row r="870" spans="1:2" x14ac:dyDescent="0.2">
      <c r="A870">
        <v>864</v>
      </c>
      <c r="B870">
        <v>0.83532804152913764</v>
      </c>
    </row>
    <row r="871" spans="1:2" x14ac:dyDescent="0.2">
      <c r="A871">
        <v>865</v>
      </c>
      <c r="B871">
        <v>0.30549331998900864</v>
      </c>
    </row>
    <row r="872" spans="1:2" x14ac:dyDescent="0.2">
      <c r="A872">
        <v>866</v>
      </c>
      <c r="B872">
        <v>0.637060983210746</v>
      </c>
    </row>
    <row r="873" spans="1:2" x14ac:dyDescent="0.2">
      <c r="A873">
        <v>867</v>
      </c>
      <c r="B873">
        <v>0.57458919650169338</v>
      </c>
    </row>
    <row r="874" spans="1:2" x14ac:dyDescent="0.2">
      <c r="A874">
        <v>868</v>
      </c>
      <c r="B874">
        <v>0.73866184691301429</v>
      </c>
    </row>
    <row r="875" spans="1:2" x14ac:dyDescent="0.2">
      <c r="A875">
        <v>869</v>
      </c>
      <c r="B875">
        <v>3.0569660839451229E-3</v>
      </c>
    </row>
    <row r="876" spans="1:2" x14ac:dyDescent="0.2">
      <c r="A876">
        <v>870</v>
      </c>
      <c r="B876">
        <v>9.0986050903637206E-2</v>
      </c>
    </row>
    <row r="877" spans="1:2" x14ac:dyDescent="0.2">
      <c r="A877">
        <v>871</v>
      </c>
      <c r="B877">
        <v>0.30761869420179822</v>
      </c>
    </row>
    <row r="878" spans="1:2" x14ac:dyDescent="0.2">
      <c r="A878">
        <v>872</v>
      </c>
      <c r="B878">
        <v>0.25889086419888374</v>
      </c>
    </row>
    <row r="879" spans="1:2" x14ac:dyDescent="0.2">
      <c r="A879">
        <v>873</v>
      </c>
      <c r="B879">
        <v>0.23131267499062391</v>
      </c>
    </row>
    <row r="880" spans="1:2" x14ac:dyDescent="0.2">
      <c r="A880">
        <v>874</v>
      </c>
      <c r="B880">
        <v>4.8783733276828722E-2</v>
      </c>
    </row>
    <row r="881" spans="1:2" x14ac:dyDescent="0.2">
      <c r="A881">
        <v>875</v>
      </c>
      <c r="B881">
        <v>0.74153578252456032</v>
      </c>
    </row>
    <row r="882" spans="1:2" x14ac:dyDescent="0.2">
      <c r="A882">
        <v>876</v>
      </c>
      <c r="B882">
        <v>0.28354806822229273</v>
      </c>
    </row>
    <row r="883" spans="1:2" x14ac:dyDescent="0.2">
      <c r="A883">
        <v>877</v>
      </c>
      <c r="B883">
        <v>0.92508914896605399</v>
      </c>
    </row>
    <row r="884" spans="1:2" x14ac:dyDescent="0.2">
      <c r="A884">
        <v>878</v>
      </c>
      <c r="B884">
        <v>0.37480843535305597</v>
      </c>
    </row>
    <row r="885" spans="1:2" x14ac:dyDescent="0.2">
      <c r="A885">
        <v>879</v>
      </c>
      <c r="B885">
        <v>0.46834556068272626</v>
      </c>
    </row>
    <row r="886" spans="1:2" x14ac:dyDescent="0.2">
      <c r="A886">
        <v>880</v>
      </c>
      <c r="B886">
        <v>0.12841956053029291</v>
      </c>
    </row>
    <row r="887" spans="1:2" x14ac:dyDescent="0.2">
      <c r="A887">
        <v>881</v>
      </c>
      <c r="B887">
        <v>0.59445386219352125</v>
      </c>
    </row>
    <row r="888" spans="1:2" x14ac:dyDescent="0.2">
      <c r="A888">
        <v>882</v>
      </c>
      <c r="B888">
        <v>0.21268028163882513</v>
      </c>
    </row>
    <row r="889" spans="1:2" x14ac:dyDescent="0.2">
      <c r="A889">
        <v>883</v>
      </c>
      <c r="B889">
        <v>0.61441890622022965</v>
      </c>
    </row>
    <row r="890" spans="1:2" x14ac:dyDescent="0.2">
      <c r="A890">
        <v>884</v>
      </c>
      <c r="B890">
        <v>0.79551398696079845</v>
      </c>
    </row>
    <row r="891" spans="1:2" x14ac:dyDescent="0.2">
      <c r="A891">
        <v>885</v>
      </c>
      <c r="B891">
        <v>0.34782546349462051</v>
      </c>
    </row>
    <row r="892" spans="1:2" x14ac:dyDescent="0.2">
      <c r="A892">
        <v>886</v>
      </c>
      <c r="B892">
        <v>0.93335256040942249</v>
      </c>
    </row>
    <row r="893" spans="1:2" x14ac:dyDescent="0.2">
      <c r="A893">
        <v>887</v>
      </c>
      <c r="B893">
        <v>0.44055186048016282</v>
      </c>
    </row>
    <row r="894" spans="1:2" x14ac:dyDescent="0.2">
      <c r="A894">
        <v>888</v>
      </c>
      <c r="B894">
        <v>0.80134445023423662</v>
      </c>
    </row>
    <row r="895" spans="1:2" x14ac:dyDescent="0.2">
      <c r="A895">
        <v>889</v>
      </c>
      <c r="B895">
        <v>0.70078378117413154</v>
      </c>
    </row>
    <row r="896" spans="1:2" x14ac:dyDescent="0.2">
      <c r="A896">
        <v>890</v>
      </c>
      <c r="B896">
        <v>0.43465845169762218</v>
      </c>
    </row>
    <row r="897" spans="1:2" x14ac:dyDescent="0.2">
      <c r="A897">
        <v>891</v>
      </c>
      <c r="B897">
        <v>0.8884666547331066</v>
      </c>
    </row>
    <row r="898" spans="1:2" x14ac:dyDescent="0.2">
      <c r="A898">
        <v>892</v>
      </c>
      <c r="B898">
        <v>0.1124194184670837</v>
      </c>
    </row>
    <row r="899" spans="1:2" x14ac:dyDescent="0.2">
      <c r="A899">
        <v>893</v>
      </c>
      <c r="B899">
        <v>0.89883922524325821</v>
      </c>
    </row>
    <row r="900" spans="1:2" x14ac:dyDescent="0.2">
      <c r="A900">
        <v>894</v>
      </c>
      <c r="B900">
        <v>0.91199179643473216</v>
      </c>
    </row>
    <row r="901" spans="1:2" x14ac:dyDescent="0.2">
      <c r="A901">
        <v>895</v>
      </c>
      <c r="B901">
        <v>0.93787280796970085</v>
      </c>
    </row>
    <row r="902" spans="1:2" x14ac:dyDescent="0.2">
      <c r="A902">
        <v>896</v>
      </c>
      <c r="B902">
        <v>0.88886510450554068</v>
      </c>
    </row>
    <row r="903" spans="1:2" x14ac:dyDescent="0.2">
      <c r="A903">
        <v>897</v>
      </c>
      <c r="B903">
        <v>0.80081921360734831</v>
      </c>
    </row>
    <row r="904" spans="1:2" x14ac:dyDescent="0.2">
      <c r="A904">
        <v>898</v>
      </c>
      <c r="B904">
        <v>0.61715417535883943</v>
      </c>
    </row>
    <row r="905" spans="1:2" x14ac:dyDescent="0.2">
      <c r="A905">
        <v>899</v>
      </c>
      <c r="B905">
        <v>6.2715605930002583E-2</v>
      </c>
    </row>
    <row r="906" spans="1:2" x14ac:dyDescent="0.2">
      <c r="A906">
        <v>900</v>
      </c>
      <c r="B906">
        <v>0.21864060780943351</v>
      </c>
    </row>
    <row r="907" spans="1:2" x14ac:dyDescent="0.2">
      <c r="A907">
        <v>901</v>
      </c>
      <c r="B907">
        <v>0.96381865787628418</v>
      </c>
    </row>
    <row r="908" spans="1:2" x14ac:dyDescent="0.2">
      <c r="A908">
        <v>902</v>
      </c>
      <c r="B908">
        <v>0.40793279059686482</v>
      </c>
    </row>
    <row r="909" spans="1:2" x14ac:dyDescent="0.2">
      <c r="A909">
        <v>903</v>
      </c>
      <c r="B909">
        <v>0.77850625338640944</v>
      </c>
    </row>
    <row r="910" spans="1:2" x14ac:dyDescent="0.2">
      <c r="A910">
        <v>904</v>
      </c>
      <c r="B910">
        <v>7.5836228332851197E-2</v>
      </c>
    </row>
    <row r="911" spans="1:2" x14ac:dyDescent="0.2">
      <c r="A911">
        <v>905</v>
      </c>
      <c r="B911">
        <v>0.75009223263891278</v>
      </c>
    </row>
    <row r="912" spans="1:2" x14ac:dyDescent="0.2">
      <c r="A912">
        <v>906</v>
      </c>
      <c r="B912">
        <v>0.66797332281870281</v>
      </c>
    </row>
    <row r="913" spans="1:2" x14ac:dyDescent="0.2">
      <c r="A913">
        <v>907</v>
      </c>
      <c r="B913">
        <v>0.12767260417198534</v>
      </c>
    </row>
    <row r="914" spans="1:2" x14ac:dyDescent="0.2">
      <c r="A914">
        <v>908</v>
      </c>
      <c r="B914">
        <v>0.88886162515974232</v>
      </c>
    </row>
    <row r="915" spans="1:2" x14ac:dyDescent="0.2">
      <c r="A915">
        <v>909</v>
      </c>
      <c r="B915">
        <v>0.39626390420143931</v>
      </c>
    </row>
    <row r="916" spans="1:2" x14ac:dyDescent="0.2">
      <c r="A916">
        <v>910</v>
      </c>
      <c r="B916">
        <v>0.18986530238333865</v>
      </c>
    </row>
    <row r="917" spans="1:2" x14ac:dyDescent="0.2">
      <c r="A917">
        <v>911</v>
      </c>
      <c r="B917">
        <v>0.74503674459854408</v>
      </c>
    </row>
    <row r="918" spans="1:2" x14ac:dyDescent="0.2">
      <c r="A918">
        <v>912</v>
      </c>
      <c r="B918">
        <v>0.84054731866995147</v>
      </c>
    </row>
    <row r="919" spans="1:2" x14ac:dyDescent="0.2">
      <c r="A919">
        <v>913</v>
      </c>
      <c r="B919">
        <v>0.84525748574138948</v>
      </c>
    </row>
    <row r="920" spans="1:2" x14ac:dyDescent="0.2">
      <c r="A920">
        <v>914</v>
      </c>
      <c r="B920">
        <v>0.20412587058968512</v>
      </c>
    </row>
    <row r="921" spans="1:2" x14ac:dyDescent="0.2">
      <c r="A921">
        <v>915</v>
      </c>
      <c r="B921">
        <v>0.9146040741391025</v>
      </c>
    </row>
    <row r="922" spans="1:2" x14ac:dyDescent="0.2">
      <c r="A922">
        <v>916</v>
      </c>
      <c r="B922">
        <v>0.86104274013005933</v>
      </c>
    </row>
    <row r="923" spans="1:2" x14ac:dyDescent="0.2">
      <c r="A923">
        <v>917</v>
      </c>
      <c r="B923">
        <v>8.3384776200991495E-2</v>
      </c>
    </row>
    <row r="924" spans="1:2" x14ac:dyDescent="0.2">
      <c r="A924">
        <v>918</v>
      </c>
      <c r="B924">
        <v>5.5508950924153533E-2</v>
      </c>
    </row>
    <row r="925" spans="1:2" x14ac:dyDescent="0.2">
      <c r="A925">
        <v>919</v>
      </c>
      <c r="B925">
        <v>0.27469944164390603</v>
      </c>
    </row>
    <row r="926" spans="1:2" x14ac:dyDescent="0.2">
      <c r="A926">
        <v>920</v>
      </c>
      <c r="B926">
        <v>0.73889733428724735</v>
      </c>
    </row>
    <row r="927" spans="1:2" x14ac:dyDescent="0.2">
      <c r="A927">
        <v>921</v>
      </c>
      <c r="B927">
        <v>0.23428985339248709</v>
      </c>
    </row>
    <row r="928" spans="1:2" x14ac:dyDescent="0.2">
      <c r="A928">
        <v>922</v>
      </c>
      <c r="B928">
        <v>0.75983213889243451</v>
      </c>
    </row>
    <row r="929" spans="1:2" x14ac:dyDescent="0.2">
      <c r="A929">
        <v>923</v>
      </c>
      <c r="B929">
        <v>0.5909030342506264</v>
      </c>
    </row>
    <row r="930" spans="1:2" x14ac:dyDescent="0.2">
      <c r="A930">
        <v>924</v>
      </c>
      <c r="B930">
        <v>0.17724853291935971</v>
      </c>
    </row>
    <row r="931" spans="1:2" x14ac:dyDescent="0.2">
      <c r="A931">
        <v>925</v>
      </c>
      <c r="B931">
        <v>0.99915119095405902</v>
      </c>
    </row>
    <row r="932" spans="1:2" x14ac:dyDescent="0.2">
      <c r="A932">
        <v>926</v>
      </c>
      <c r="B932">
        <v>0.9264900892191309</v>
      </c>
    </row>
    <row r="933" spans="1:2" x14ac:dyDescent="0.2">
      <c r="A933">
        <v>927</v>
      </c>
      <c r="B933">
        <v>0.86671005416296409</v>
      </c>
    </row>
    <row r="934" spans="1:2" x14ac:dyDescent="0.2">
      <c r="A934">
        <v>928</v>
      </c>
      <c r="B934">
        <v>0.72593157493512361</v>
      </c>
    </row>
    <row r="935" spans="1:2" x14ac:dyDescent="0.2">
      <c r="A935">
        <v>929</v>
      </c>
      <c r="B935">
        <v>0.82854310807524512</v>
      </c>
    </row>
    <row r="936" spans="1:2" x14ac:dyDescent="0.2">
      <c r="A936">
        <v>930</v>
      </c>
      <c r="B936">
        <v>0.20459183025473271</v>
      </c>
    </row>
    <row r="937" spans="1:2" x14ac:dyDescent="0.2">
      <c r="A937">
        <v>931</v>
      </c>
      <c r="B937">
        <v>0.37559163622194558</v>
      </c>
    </row>
    <row r="938" spans="1:2" x14ac:dyDescent="0.2">
      <c r="A938">
        <v>932</v>
      </c>
      <c r="B938">
        <v>0.76754760988967441</v>
      </c>
    </row>
    <row r="939" spans="1:2" x14ac:dyDescent="0.2">
      <c r="A939">
        <v>933</v>
      </c>
      <c r="B939">
        <v>0.27851020291593431</v>
      </c>
    </row>
    <row r="940" spans="1:2" x14ac:dyDescent="0.2">
      <c r="A940">
        <v>934</v>
      </c>
      <c r="B940">
        <v>0.50066159214282868</v>
      </c>
    </row>
    <row r="941" spans="1:2" x14ac:dyDescent="0.2">
      <c r="A941">
        <v>935</v>
      </c>
      <c r="B941">
        <v>0.23127667716185785</v>
      </c>
    </row>
    <row r="942" spans="1:2" x14ac:dyDescent="0.2">
      <c r="A942">
        <v>936</v>
      </c>
      <c r="B942">
        <v>0.68324274439607291</v>
      </c>
    </row>
    <row r="943" spans="1:2" x14ac:dyDescent="0.2">
      <c r="A943">
        <v>937</v>
      </c>
      <c r="B943">
        <v>0.12607256099626762</v>
      </c>
    </row>
    <row r="944" spans="1:2" x14ac:dyDescent="0.2">
      <c r="A944">
        <v>938</v>
      </c>
      <c r="B944">
        <v>0.63034588851586337</v>
      </c>
    </row>
    <row r="945" spans="1:2" x14ac:dyDescent="0.2">
      <c r="A945">
        <v>939</v>
      </c>
      <c r="B945">
        <v>0.98457064562193086</v>
      </c>
    </row>
    <row r="946" spans="1:2" x14ac:dyDescent="0.2">
      <c r="A946">
        <v>940</v>
      </c>
      <c r="B946">
        <v>7.315848923271373E-2</v>
      </c>
    </row>
    <row r="947" spans="1:2" x14ac:dyDescent="0.2">
      <c r="A947">
        <v>941</v>
      </c>
      <c r="B947">
        <v>0.87791877392130002</v>
      </c>
    </row>
    <row r="948" spans="1:2" x14ac:dyDescent="0.2">
      <c r="A948">
        <v>942</v>
      </c>
      <c r="B948">
        <v>0.60295679409467995</v>
      </c>
    </row>
    <row r="949" spans="1:2" x14ac:dyDescent="0.2">
      <c r="A949">
        <v>943</v>
      </c>
      <c r="B949">
        <v>0.12258121306357972</v>
      </c>
    </row>
    <row r="950" spans="1:2" x14ac:dyDescent="0.2">
      <c r="A950">
        <v>944</v>
      </c>
      <c r="B950">
        <v>0.95265525366969361</v>
      </c>
    </row>
    <row r="951" spans="1:2" x14ac:dyDescent="0.2">
      <c r="A951">
        <v>945</v>
      </c>
      <c r="B951">
        <v>0.54849039536768129</v>
      </c>
    </row>
    <row r="952" spans="1:2" x14ac:dyDescent="0.2">
      <c r="A952">
        <v>946</v>
      </c>
      <c r="B952">
        <v>0.78855978909157654</v>
      </c>
    </row>
    <row r="953" spans="1:2" x14ac:dyDescent="0.2">
      <c r="A953">
        <v>947</v>
      </c>
      <c r="B953">
        <v>0.81459618295803959</v>
      </c>
    </row>
    <row r="954" spans="1:2" x14ac:dyDescent="0.2">
      <c r="A954">
        <v>948</v>
      </c>
      <c r="B954">
        <v>0.75126136227566165</v>
      </c>
    </row>
    <row r="955" spans="1:2" x14ac:dyDescent="0.2">
      <c r="A955">
        <v>949</v>
      </c>
      <c r="B955">
        <v>0.36202123400644981</v>
      </c>
    </row>
    <row r="956" spans="1:2" x14ac:dyDescent="0.2">
      <c r="A956">
        <v>950</v>
      </c>
      <c r="B956">
        <v>0.62145380305469322</v>
      </c>
    </row>
    <row r="957" spans="1:2" x14ac:dyDescent="0.2">
      <c r="A957">
        <v>951</v>
      </c>
      <c r="B957">
        <v>0.30546734110520923</v>
      </c>
    </row>
    <row r="958" spans="1:2" x14ac:dyDescent="0.2">
      <c r="A958">
        <v>952</v>
      </c>
      <c r="B958">
        <v>0.22584418602166423</v>
      </c>
    </row>
    <row r="959" spans="1:2" x14ac:dyDescent="0.2">
      <c r="A959">
        <v>953</v>
      </c>
      <c r="B959">
        <v>0.65099023126155797</v>
      </c>
    </row>
    <row r="960" spans="1:2" x14ac:dyDescent="0.2">
      <c r="A960">
        <v>954</v>
      </c>
      <c r="B960">
        <v>0.31834061667688096</v>
      </c>
    </row>
    <row r="961" spans="1:2" x14ac:dyDescent="0.2">
      <c r="A961">
        <v>955</v>
      </c>
      <c r="B961">
        <v>0.49470936525863518</v>
      </c>
    </row>
    <row r="962" spans="1:2" x14ac:dyDescent="0.2">
      <c r="A962">
        <v>956</v>
      </c>
      <c r="B962">
        <v>5.3910997466489308E-2</v>
      </c>
    </row>
    <row r="963" spans="1:2" x14ac:dyDescent="0.2">
      <c r="A963">
        <v>957</v>
      </c>
      <c r="B963">
        <v>0.86914612050021134</v>
      </c>
    </row>
    <row r="964" spans="1:2" x14ac:dyDescent="0.2">
      <c r="A964">
        <v>958</v>
      </c>
      <c r="B964">
        <v>0.15036215643702955</v>
      </c>
    </row>
    <row r="965" spans="1:2" x14ac:dyDescent="0.2">
      <c r="A965">
        <v>959</v>
      </c>
      <c r="B965">
        <v>0.40897164997204094</v>
      </c>
    </row>
    <row r="966" spans="1:2" x14ac:dyDescent="0.2">
      <c r="A966">
        <v>960</v>
      </c>
      <c r="B966">
        <v>0.33404208599720564</v>
      </c>
    </row>
    <row r="967" spans="1:2" x14ac:dyDescent="0.2">
      <c r="A967">
        <v>961</v>
      </c>
      <c r="B967">
        <v>0.88740648315844162</v>
      </c>
    </row>
    <row r="968" spans="1:2" x14ac:dyDescent="0.2">
      <c r="A968">
        <v>962</v>
      </c>
      <c r="B968">
        <v>0.44767102863588915</v>
      </c>
    </row>
    <row r="969" spans="1:2" x14ac:dyDescent="0.2">
      <c r="A969">
        <v>963</v>
      </c>
      <c r="B969">
        <v>8.5802821141600538E-2</v>
      </c>
    </row>
    <row r="970" spans="1:2" x14ac:dyDescent="0.2">
      <c r="A970">
        <v>964</v>
      </c>
      <c r="B970">
        <v>0.78457087099567369</v>
      </c>
    </row>
    <row r="971" spans="1:2" x14ac:dyDescent="0.2">
      <c r="A971">
        <v>965</v>
      </c>
      <c r="B971">
        <v>0.63528069404343057</v>
      </c>
    </row>
    <row r="972" spans="1:2" x14ac:dyDescent="0.2">
      <c r="A972">
        <v>966</v>
      </c>
      <c r="B972">
        <v>0.25935784579590382</v>
      </c>
    </row>
    <row r="973" spans="1:2" x14ac:dyDescent="0.2">
      <c r="A973">
        <v>967</v>
      </c>
      <c r="B973">
        <v>9.732557460039426E-3</v>
      </c>
    </row>
    <row r="974" spans="1:2" x14ac:dyDescent="0.2">
      <c r="A974">
        <v>968</v>
      </c>
      <c r="B974">
        <v>0.56417163203882059</v>
      </c>
    </row>
    <row r="975" spans="1:2" x14ac:dyDescent="0.2">
      <c r="A975">
        <v>969</v>
      </c>
      <c r="B975">
        <v>0.36648333302941671</v>
      </c>
    </row>
    <row r="976" spans="1:2" x14ac:dyDescent="0.2">
      <c r="A976">
        <v>970</v>
      </c>
      <c r="B976">
        <v>0.10149772648712507</v>
      </c>
    </row>
    <row r="977" spans="1:2" x14ac:dyDescent="0.2">
      <c r="A977">
        <v>971</v>
      </c>
      <c r="B977">
        <v>0.38421230584487631</v>
      </c>
    </row>
    <row r="978" spans="1:2" x14ac:dyDescent="0.2">
      <c r="A978">
        <v>972</v>
      </c>
      <c r="B978">
        <v>0.73144838464688111</v>
      </c>
    </row>
    <row r="979" spans="1:2" x14ac:dyDescent="0.2">
      <c r="A979">
        <v>973</v>
      </c>
      <c r="B979">
        <v>0.23048391652662314</v>
      </c>
    </row>
    <row r="980" spans="1:2" x14ac:dyDescent="0.2">
      <c r="A980">
        <v>974</v>
      </c>
      <c r="B980">
        <v>0.36470013582350802</v>
      </c>
    </row>
    <row r="981" spans="1:2" x14ac:dyDescent="0.2">
      <c r="A981">
        <v>975</v>
      </c>
      <c r="B981">
        <v>0.72726159350464981</v>
      </c>
    </row>
    <row r="982" spans="1:2" x14ac:dyDescent="0.2">
      <c r="A982">
        <v>976</v>
      </c>
      <c r="B982">
        <v>0.92630739329287204</v>
      </c>
    </row>
    <row r="983" spans="1:2" x14ac:dyDescent="0.2">
      <c r="A983">
        <v>977</v>
      </c>
      <c r="B983">
        <v>0.12765703327137634</v>
      </c>
    </row>
    <row r="984" spans="1:2" x14ac:dyDescent="0.2">
      <c r="A984">
        <v>978</v>
      </c>
      <c r="B984">
        <v>1.1800749229409435E-2</v>
      </c>
    </row>
    <row r="985" spans="1:2" x14ac:dyDescent="0.2">
      <c r="A985">
        <v>979</v>
      </c>
      <c r="B985">
        <v>0.97142927339625784</v>
      </c>
    </row>
    <row r="986" spans="1:2" x14ac:dyDescent="0.2">
      <c r="A986">
        <v>980</v>
      </c>
      <c r="B986">
        <v>0.50626472546871881</v>
      </c>
    </row>
    <row r="987" spans="1:2" x14ac:dyDescent="0.2">
      <c r="A987">
        <v>981</v>
      </c>
      <c r="B987">
        <v>0.49410951306628859</v>
      </c>
    </row>
    <row r="988" spans="1:2" x14ac:dyDescent="0.2">
      <c r="A988">
        <v>982</v>
      </c>
      <c r="B988">
        <v>0.92746518824079982</v>
      </c>
    </row>
    <row r="989" spans="1:2" x14ac:dyDescent="0.2">
      <c r="A989">
        <v>983</v>
      </c>
      <c r="B989">
        <v>0.29072304784467906</v>
      </c>
    </row>
    <row r="990" spans="1:2" x14ac:dyDescent="0.2">
      <c r="A990">
        <v>984</v>
      </c>
      <c r="B990">
        <v>0.21405126284969267</v>
      </c>
    </row>
    <row r="991" spans="1:2" x14ac:dyDescent="0.2">
      <c r="A991">
        <v>985</v>
      </c>
      <c r="B991">
        <v>2.4278169897329338E-3</v>
      </c>
    </row>
    <row r="992" spans="1:2" x14ac:dyDescent="0.2">
      <c r="A992">
        <v>986</v>
      </c>
      <c r="B992">
        <v>0.9925028804855428</v>
      </c>
    </row>
    <row r="993" spans="1:2" x14ac:dyDescent="0.2">
      <c r="A993">
        <v>987</v>
      </c>
      <c r="B993">
        <v>0.39024107723422108</v>
      </c>
    </row>
    <row r="994" spans="1:2" x14ac:dyDescent="0.2">
      <c r="A994">
        <v>988</v>
      </c>
      <c r="B994">
        <v>7.1381965529291769E-2</v>
      </c>
    </row>
    <row r="995" spans="1:2" x14ac:dyDescent="0.2">
      <c r="A995">
        <v>989</v>
      </c>
      <c r="B995">
        <v>0.77484358822285249</v>
      </c>
    </row>
    <row r="996" spans="1:2" x14ac:dyDescent="0.2">
      <c r="A996">
        <v>990</v>
      </c>
      <c r="B996">
        <v>0.22053728418130292</v>
      </c>
    </row>
    <row r="997" spans="1:2" x14ac:dyDescent="0.2">
      <c r="A997">
        <v>991</v>
      </c>
      <c r="B997">
        <v>0.6259995120105436</v>
      </c>
    </row>
    <row r="998" spans="1:2" x14ac:dyDescent="0.2">
      <c r="A998">
        <v>992</v>
      </c>
      <c r="B998">
        <v>0.37042655311065398</v>
      </c>
    </row>
    <row r="999" spans="1:2" x14ac:dyDescent="0.2">
      <c r="A999">
        <v>993</v>
      </c>
      <c r="B999">
        <v>0.49237728119982571</v>
      </c>
    </row>
    <row r="1000" spans="1:2" x14ac:dyDescent="0.2">
      <c r="A1000">
        <v>994</v>
      </c>
      <c r="B1000">
        <v>7.9376614016679503E-2</v>
      </c>
    </row>
    <row r="1001" spans="1:2" x14ac:dyDescent="0.2">
      <c r="A1001">
        <v>995</v>
      </c>
      <c r="B1001">
        <v>0.5451846147548165</v>
      </c>
    </row>
    <row r="1002" spans="1:2" x14ac:dyDescent="0.2">
      <c r="A1002">
        <v>996</v>
      </c>
      <c r="B1002">
        <v>0.18868175701087075</v>
      </c>
    </row>
    <row r="1003" spans="1:2" x14ac:dyDescent="0.2">
      <c r="A1003">
        <v>997</v>
      </c>
      <c r="B1003">
        <v>0.28946845448547964</v>
      </c>
    </row>
    <row r="1004" spans="1:2" x14ac:dyDescent="0.2">
      <c r="A1004">
        <v>998</v>
      </c>
      <c r="B1004">
        <v>0.3830530825144578</v>
      </c>
    </row>
    <row r="1005" spans="1:2" x14ac:dyDescent="0.2">
      <c r="A1005">
        <v>999</v>
      </c>
      <c r="B1005">
        <v>0.4717752912203329</v>
      </c>
    </row>
    <row r="1006" spans="1:2" x14ac:dyDescent="0.2">
      <c r="A1006">
        <v>1000</v>
      </c>
      <c r="B1006">
        <v>0.2676716968750541</v>
      </c>
    </row>
    <row r="1007" spans="1:2" x14ac:dyDescent="0.2">
      <c r="A1007">
        <v>1001</v>
      </c>
      <c r="B1007">
        <v>0.21944800075393656</v>
      </c>
    </row>
    <row r="1008" spans="1:2" x14ac:dyDescent="0.2">
      <c r="A1008">
        <v>1002</v>
      </c>
      <c r="B1008">
        <v>0.56408419519064357</v>
      </c>
    </row>
    <row r="1009" spans="1:2" x14ac:dyDescent="0.2">
      <c r="A1009">
        <v>1003</v>
      </c>
      <c r="B1009">
        <v>0.18724745350681804</v>
      </c>
    </row>
    <row r="1010" spans="1:2" x14ac:dyDescent="0.2">
      <c r="A1010">
        <v>1004</v>
      </c>
      <c r="B1010">
        <v>0.39232911339324228</v>
      </c>
    </row>
    <row r="1011" spans="1:2" x14ac:dyDescent="0.2">
      <c r="A1011">
        <v>1005</v>
      </c>
      <c r="B1011">
        <v>0.16300189391890785</v>
      </c>
    </row>
    <row r="1012" spans="1:2" x14ac:dyDescent="0.2">
      <c r="A1012">
        <v>1006</v>
      </c>
      <c r="B1012">
        <v>0.58888068652380887</v>
      </c>
    </row>
    <row r="1013" spans="1:2" x14ac:dyDescent="0.2">
      <c r="A1013">
        <v>1007</v>
      </c>
      <c r="B1013">
        <v>0.13397891019980224</v>
      </c>
    </row>
    <row r="1014" spans="1:2" x14ac:dyDescent="0.2">
      <c r="A1014">
        <v>1008</v>
      </c>
      <c r="B1014">
        <v>0.57469062174346364</v>
      </c>
    </row>
    <row r="1015" spans="1:2" x14ac:dyDescent="0.2">
      <c r="A1015">
        <v>1009</v>
      </c>
      <c r="B1015">
        <v>0.42537665782618295</v>
      </c>
    </row>
    <row r="1016" spans="1:2" x14ac:dyDescent="0.2">
      <c r="A1016">
        <v>1010</v>
      </c>
      <c r="B1016">
        <v>0.47893168820367371</v>
      </c>
    </row>
    <row r="1017" spans="1:2" x14ac:dyDescent="0.2">
      <c r="A1017">
        <v>1011</v>
      </c>
      <c r="B1017">
        <v>0.14603187471724477</v>
      </c>
    </row>
    <row r="1018" spans="1:2" x14ac:dyDescent="0.2">
      <c r="A1018">
        <v>1012</v>
      </c>
      <c r="B1018">
        <v>0.98030589290921533</v>
      </c>
    </row>
    <row r="1019" spans="1:2" x14ac:dyDescent="0.2">
      <c r="A1019">
        <v>1013</v>
      </c>
      <c r="B1019">
        <v>0.64351631022612754</v>
      </c>
    </row>
    <row r="1020" spans="1:2" x14ac:dyDescent="0.2">
      <c r="A1020">
        <v>1014</v>
      </c>
      <c r="B1020">
        <v>0.71800088030951847</v>
      </c>
    </row>
    <row r="1021" spans="1:2" x14ac:dyDescent="0.2">
      <c r="A1021">
        <v>1015</v>
      </c>
      <c r="B1021">
        <v>0.56649535474853197</v>
      </c>
    </row>
    <row r="1022" spans="1:2" x14ac:dyDescent="0.2">
      <c r="A1022">
        <v>1016</v>
      </c>
      <c r="B1022">
        <v>5.4900550503164891E-2</v>
      </c>
    </row>
    <row r="1023" spans="1:2" x14ac:dyDescent="0.2">
      <c r="A1023">
        <v>1017</v>
      </c>
      <c r="B1023">
        <v>0.61589570010219952</v>
      </c>
    </row>
    <row r="1024" spans="1:2" x14ac:dyDescent="0.2">
      <c r="A1024">
        <v>1018</v>
      </c>
      <c r="B1024">
        <v>2.7551645290257998E-4</v>
      </c>
    </row>
    <row r="1025" spans="1:2" x14ac:dyDescent="0.2">
      <c r="A1025">
        <v>1019</v>
      </c>
      <c r="B1025">
        <v>0.59569813574364383</v>
      </c>
    </row>
    <row r="1026" spans="1:2" x14ac:dyDescent="0.2">
      <c r="A1026">
        <v>1020</v>
      </c>
      <c r="B1026">
        <v>0.97597596012512156</v>
      </c>
    </row>
    <row r="1027" spans="1:2" x14ac:dyDescent="0.2">
      <c r="A1027">
        <v>1021</v>
      </c>
      <c r="B1027">
        <v>0.53558131479985815</v>
      </c>
    </row>
    <row r="1028" spans="1:2" x14ac:dyDescent="0.2">
      <c r="A1028">
        <v>1022</v>
      </c>
      <c r="B1028">
        <v>0.23063744128760355</v>
      </c>
    </row>
    <row r="1029" spans="1:2" x14ac:dyDescent="0.2">
      <c r="A1029">
        <v>1023</v>
      </c>
      <c r="B1029">
        <v>0.4075562443027414</v>
      </c>
    </row>
    <row r="1030" spans="1:2" x14ac:dyDescent="0.2">
      <c r="A1030">
        <v>1024</v>
      </c>
      <c r="B1030">
        <v>0.84894535008143113</v>
      </c>
    </row>
    <row r="1031" spans="1:2" x14ac:dyDescent="0.2">
      <c r="A1031">
        <v>1025</v>
      </c>
      <c r="B1031">
        <v>0.98445976190326911</v>
      </c>
    </row>
    <row r="1032" spans="1:2" x14ac:dyDescent="0.2">
      <c r="A1032">
        <v>1026</v>
      </c>
      <c r="B1032">
        <v>0.29933686220107947</v>
      </c>
    </row>
    <row r="1033" spans="1:2" x14ac:dyDescent="0.2">
      <c r="A1033">
        <v>1027</v>
      </c>
      <c r="B1033">
        <v>0.9453368279129859</v>
      </c>
    </row>
    <row r="1034" spans="1:2" x14ac:dyDescent="0.2">
      <c r="A1034">
        <v>1028</v>
      </c>
      <c r="B1034">
        <v>0.38931514462403993</v>
      </c>
    </row>
    <row r="1035" spans="1:2" x14ac:dyDescent="0.2">
      <c r="A1035">
        <v>1029</v>
      </c>
      <c r="B1035">
        <v>0.78428997294805369</v>
      </c>
    </row>
    <row r="1036" spans="1:2" x14ac:dyDescent="0.2">
      <c r="A1036">
        <v>1030</v>
      </c>
      <c r="B1036">
        <v>0.51570494674223188</v>
      </c>
    </row>
    <row r="1037" spans="1:2" x14ac:dyDescent="0.2">
      <c r="A1037">
        <v>1031</v>
      </c>
      <c r="B1037">
        <v>0.88390730530232386</v>
      </c>
    </row>
    <row r="1038" spans="1:2" x14ac:dyDescent="0.2">
      <c r="A1038">
        <v>1032</v>
      </c>
      <c r="B1038">
        <v>0.10026123470996828</v>
      </c>
    </row>
    <row r="1039" spans="1:2" x14ac:dyDescent="0.2">
      <c r="A1039">
        <v>1033</v>
      </c>
      <c r="B1039">
        <v>0.15606136266962256</v>
      </c>
    </row>
    <row r="1040" spans="1:2" x14ac:dyDescent="0.2">
      <c r="A1040">
        <v>1034</v>
      </c>
      <c r="B1040">
        <v>0.83391701621914283</v>
      </c>
    </row>
    <row r="1041" spans="1:2" x14ac:dyDescent="0.2">
      <c r="A1041">
        <v>1035</v>
      </c>
      <c r="B1041">
        <v>0.67273972137019433</v>
      </c>
    </row>
    <row r="1042" spans="1:2" x14ac:dyDescent="0.2">
      <c r="A1042">
        <v>1036</v>
      </c>
      <c r="B1042">
        <v>2.3702990566052518E-2</v>
      </c>
    </row>
    <row r="1043" spans="1:2" x14ac:dyDescent="0.2">
      <c r="A1043">
        <v>1037</v>
      </c>
      <c r="B1043">
        <v>0.75254176726693489</v>
      </c>
    </row>
    <row r="1044" spans="1:2" x14ac:dyDescent="0.2">
      <c r="A1044">
        <v>1038</v>
      </c>
      <c r="B1044">
        <v>0.30447455125920819</v>
      </c>
    </row>
    <row r="1045" spans="1:2" x14ac:dyDescent="0.2">
      <c r="A1045">
        <v>1039</v>
      </c>
      <c r="B1045">
        <v>0.17253890018975515</v>
      </c>
    </row>
    <row r="1046" spans="1:2" x14ac:dyDescent="0.2">
      <c r="A1046">
        <v>1040</v>
      </c>
      <c r="B1046">
        <v>0.83957537430035933</v>
      </c>
    </row>
    <row r="1047" spans="1:2" x14ac:dyDescent="0.2">
      <c r="A1047">
        <v>1041</v>
      </c>
      <c r="B1047">
        <v>0.75515503268354889</v>
      </c>
    </row>
    <row r="1048" spans="1:2" x14ac:dyDescent="0.2">
      <c r="A1048">
        <v>1042</v>
      </c>
      <c r="B1048">
        <v>0.57314477536267472</v>
      </c>
    </row>
    <row r="1049" spans="1:2" x14ac:dyDescent="0.2">
      <c r="A1049">
        <v>1043</v>
      </c>
      <c r="B1049">
        <v>4.6985981051857029E-2</v>
      </c>
    </row>
    <row r="1050" spans="1:2" x14ac:dyDescent="0.2">
      <c r="A1050">
        <v>1044</v>
      </c>
      <c r="B1050">
        <v>0.53776596913381469</v>
      </c>
    </row>
    <row r="1051" spans="1:2" x14ac:dyDescent="0.2">
      <c r="A1051">
        <v>1045</v>
      </c>
      <c r="B1051">
        <v>0.65782944239817953</v>
      </c>
    </row>
    <row r="1052" spans="1:2" x14ac:dyDescent="0.2">
      <c r="A1052">
        <v>1046</v>
      </c>
      <c r="B1052">
        <v>0.34825398574446742</v>
      </c>
    </row>
    <row r="1053" spans="1:2" x14ac:dyDescent="0.2">
      <c r="A1053">
        <v>1047</v>
      </c>
      <c r="B1053">
        <v>0.24046842429269866</v>
      </c>
    </row>
    <row r="1054" spans="1:2" x14ac:dyDescent="0.2">
      <c r="A1054">
        <v>1048</v>
      </c>
      <c r="B1054">
        <v>0.23335994143489003</v>
      </c>
    </row>
    <row r="1055" spans="1:2" x14ac:dyDescent="0.2">
      <c r="A1055">
        <v>1049</v>
      </c>
      <c r="B1055">
        <v>6.3878908056144268E-2</v>
      </c>
    </row>
    <row r="1056" spans="1:2" x14ac:dyDescent="0.2">
      <c r="A1056">
        <v>1050</v>
      </c>
      <c r="B1056">
        <v>0.94353102939011346</v>
      </c>
    </row>
    <row r="1057" spans="1:2" x14ac:dyDescent="0.2">
      <c r="A1057">
        <v>1051</v>
      </c>
      <c r="B1057">
        <v>0.3097775044659381</v>
      </c>
    </row>
    <row r="1058" spans="1:2" x14ac:dyDescent="0.2">
      <c r="A1058">
        <v>1052</v>
      </c>
      <c r="B1058">
        <v>4.3968919088414937E-2</v>
      </c>
    </row>
    <row r="1059" spans="1:2" x14ac:dyDescent="0.2">
      <c r="A1059">
        <v>1053</v>
      </c>
      <c r="B1059">
        <v>6.8071648532451734E-3</v>
      </c>
    </row>
    <row r="1060" spans="1:2" x14ac:dyDescent="0.2">
      <c r="A1060">
        <v>1054</v>
      </c>
      <c r="B1060">
        <v>0.61322087069570097</v>
      </c>
    </row>
    <row r="1061" spans="1:2" x14ac:dyDescent="0.2">
      <c r="A1061">
        <v>1055</v>
      </c>
      <c r="B1061">
        <v>0.1069133039052137</v>
      </c>
    </row>
    <row r="1062" spans="1:2" x14ac:dyDescent="0.2">
      <c r="A1062">
        <v>1056</v>
      </c>
      <c r="B1062">
        <v>0.40995186711624909</v>
      </c>
    </row>
    <row r="1063" spans="1:2" x14ac:dyDescent="0.2">
      <c r="A1063">
        <v>1057</v>
      </c>
      <c r="B1063">
        <v>0.49437186229206043</v>
      </c>
    </row>
    <row r="1064" spans="1:2" x14ac:dyDescent="0.2">
      <c r="A1064">
        <v>1058</v>
      </c>
      <c r="B1064">
        <v>0.60687502588952846</v>
      </c>
    </row>
    <row r="1065" spans="1:2" x14ac:dyDescent="0.2">
      <c r="A1065">
        <v>1059</v>
      </c>
      <c r="B1065">
        <v>0.89751822538165738</v>
      </c>
    </row>
    <row r="1066" spans="1:2" x14ac:dyDescent="0.2">
      <c r="A1066">
        <v>1060</v>
      </c>
      <c r="B1066">
        <v>0.30570796598840921</v>
      </c>
    </row>
    <row r="1067" spans="1:2" x14ac:dyDescent="0.2">
      <c r="A1067">
        <v>1061</v>
      </c>
      <c r="B1067">
        <v>0.63376196809922913</v>
      </c>
    </row>
    <row r="1068" spans="1:2" x14ac:dyDescent="0.2">
      <c r="A1068">
        <v>1062</v>
      </c>
      <c r="B1068">
        <v>0.79879683971557014</v>
      </c>
    </row>
    <row r="1069" spans="1:2" x14ac:dyDescent="0.2">
      <c r="A1069">
        <v>1063</v>
      </c>
      <c r="B1069">
        <v>0.17907375641769041</v>
      </c>
    </row>
    <row r="1070" spans="1:2" x14ac:dyDescent="0.2">
      <c r="A1070">
        <v>1064</v>
      </c>
      <c r="B1070">
        <v>0.56743442197982341</v>
      </c>
    </row>
    <row r="1071" spans="1:2" x14ac:dyDescent="0.2">
      <c r="A1071">
        <v>1065</v>
      </c>
      <c r="B1071">
        <v>0.47029981164555223</v>
      </c>
    </row>
    <row r="1072" spans="1:2" x14ac:dyDescent="0.2">
      <c r="A1072">
        <v>1066</v>
      </c>
      <c r="B1072">
        <v>0.81036024370620141</v>
      </c>
    </row>
    <row r="1073" spans="1:2" x14ac:dyDescent="0.2">
      <c r="A1073">
        <v>1067</v>
      </c>
      <c r="B1073">
        <v>0.92499082322959314</v>
      </c>
    </row>
    <row r="1074" spans="1:2" x14ac:dyDescent="0.2">
      <c r="A1074">
        <v>1068</v>
      </c>
      <c r="B1074">
        <v>0.48223005303949584</v>
      </c>
    </row>
    <row r="1075" spans="1:2" x14ac:dyDescent="0.2">
      <c r="A1075">
        <v>1069</v>
      </c>
      <c r="B1075">
        <v>0.86708736483999338</v>
      </c>
    </row>
    <row r="1076" spans="1:2" x14ac:dyDescent="0.2">
      <c r="A1076">
        <v>1070</v>
      </c>
      <c r="B1076">
        <v>0.73858171866871558</v>
      </c>
    </row>
    <row r="1077" spans="1:2" x14ac:dyDescent="0.2">
      <c r="A1077">
        <v>1071</v>
      </c>
      <c r="B1077">
        <v>0.10676247702537189</v>
      </c>
    </row>
    <row r="1078" spans="1:2" x14ac:dyDescent="0.2">
      <c r="A1078">
        <v>1072</v>
      </c>
      <c r="B1078">
        <v>0.7625776878776499</v>
      </c>
    </row>
    <row r="1079" spans="1:2" x14ac:dyDescent="0.2">
      <c r="A1079">
        <v>1073</v>
      </c>
      <c r="B1079">
        <v>0.73396271461653562</v>
      </c>
    </row>
    <row r="1080" spans="1:2" x14ac:dyDescent="0.2">
      <c r="A1080">
        <v>1074</v>
      </c>
      <c r="B1080">
        <v>0.41264066863153603</v>
      </c>
    </row>
    <row r="1081" spans="1:2" x14ac:dyDescent="0.2">
      <c r="A1081">
        <v>1075</v>
      </c>
      <c r="B1081">
        <v>0.88194479015833704</v>
      </c>
    </row>
    <row r="1082" spans="1:2" x14ac:dyDescent="0.2">
      <c r="A1082">
        <v>1076</v>
      </c>
      <c r="B1082">
        <v>0.59130681589656542</v>
      </c>
    </row>
    <row r="1083" spans="1:2" x14ac:dyDescent="0.2">
      <c r="A1083">
        <v>1077</v>
      </c>
      <c r="B1083">
        <v>0.4839881452240884</v>
      </c>
    </row>
    <row r="1084" spans="1:2" x14ac:dyDescent="0.2">
      <c r="A1084">
        <v>1078</v>
      </c>
      <c r="B1084">
        <v>0.73135775495157196</v>
      </c>
    </row>
    <row r="1085" spans="1:2" x14ac:dyDescent="0.2">
      <c r="A1085">
        <v>1079</v>
      </c>
      <c r="B1085">
        <v>0.66815730965444153</v>
      </c>
    </row>
    <row r="1086" spans="1:2" x14ac:dyDescent="0.2">
      <c r="A1086">
        <v>1080</v>
      </c>
      <c r="B1086">
        <v>0.2964737029607889</v>
      </c>
    </row>
    <row r="1087" spans="1:2" x14ac:dyDescent="0.2">
      <c r="A1087">
        <v>1081</v>
      </c>
      <c r="B1087">
        <v>0.53912825401747788</v>
      </c>
    </row>
    <row r="1088" spans="1:2" x14ac:dyDescent="0.2">
      <c r="A1088">
        <v>1082</v>
      </c>
      <c r="B1088">
        <v>0.21365309233566487</v>
      </c>
    </row>
    <row r="1089" spans="1:2" x14ac:dyDescent="0.2">
      <c r="A1089">
        <v>1083</v>
      </c>
      <c r="B1089">
        <v>0.42489419674099349</v>
      </c>
    </row>
    <row r="1090" spans="1:2" x14ac:dyDescent="0.2">
      <c r="A1090">
        <v>1084</v>
      </c>
      <c r="B1090">
        <v>0.89613406393567341</v>
      </c>
    </row>
    <row r="1091" spans="1:2" x14ac:dyDescent="0.2">
      <c r="A1091">
        <v>1085</v>
      </c>
      <c r="B1091">
        <v>0.79196923242943174</v>
      </c>
    </row>
    <row r="1092" spans="1:2" x14ac:dyDescent="0.2">
      <c r="A1092">
        <v>1086</v>
      </c>
      <c r="B1092">
        <v>0.93752400065034447</v>
      </c>
    </row>
    <row r="1093" spans="1:2" x14ac:dyDescent="0.2">
      <c r="A1093">
        <v>1087</v>
      </c>
      <c r="B1093">
        <v>0.12259749409621512</v>
      </c>
    </row>
    <row r="1094" spans="1:2" x14ac:dyDescent="0.2">
      <c r="A1094">
        <v>1088</v>
      </c>
      <c r="B1094">
        <v>0.93966133078331471</v>
      </c>
    </row>
    <row r="1095" spans="1:2" x14ac:dyDescent="0.2">
      <c r="A1095">
        <v>1089</v>
      </c>
      <c r="B1095">
        <v>9.7472752134659557E-2</v>
      </c>
    </row>
    <row r="1096" spans="1:2" x14ac:dyDescent="0.2">
      <c r="A1096">
        <v>1090</v>
      </c>
      <c r="B1096">
        <v>0.2558738748559124</v>
      </c>
    </row>
    <row r="1097" spans="1:2" x14ac:dyDescent="0.2">
      <c r="A1097">
        <v>1091</v>
      </c>
      <c r="B1097">
        <v>0.59187409165755034</v>
      </c>
    </row>
    <row r="1098" spans="1:2" x14ac:dyDescent="0.2">
      <c r="A1098">
        <v>1092</v>
      </c>
      <c r="B1098">
        <v>0.44292575303374626</v>
      </c>
    </row>
    <row r="1099" spans="1:2" x14ac:dyDescent="0.2">
      <c r="A1099">
        <v>1093</v>
      </c>
      <c r="B1099">
        <v>0.81414359857402774</v>
      </c>
    </row>
    <row r="1100" spans="1:2" x14ac:dyDescent="0.2">
      <c r="A1100">
        <v>1094</v>
      </c>
      <c r="B1100">
        <v>0.91002994308171448</v>
      </c>
    </row>
    <row r="1101" spans="1:2" x14ac:dyDescent="0.2">
      <c r="A1101">
        <v>1095</v>
      </c>
      <c r="B1101">
        <v>0.20009414813660076</v>
      </c>
    </row>
    <row r="1102" spans="1:2" x14ac:dyDescent="0.2">
      <c r="A1102">
        <v>1096</v>
      </c>
      <c r="B1102">
        <v>0.72861882510897569</v>
      </c>
    </row>
    <row r="1103" spans="1:2" x14ac:dyDescent="0.2">
      <c r="A1103">
        <v>1097</v>
      </c>
      <c r="B1103">
        <v>0.20886062739041256</v>
      </c>
    </row>
    <row r="1104" spans="1:2" x14ac:dyDescent="0.2">
      <c r="A1104">
        <v>1098</v>
      </c>
      <c r="B1104">
        <v>0.8551138461500033</v>
      </c>
    </row>
    <row r="1105" spans="1:2" x14ac:dyDescent="0.2">
      <c r="A1105">
        <v>1099</v>
      </c>
      <c r="B1105">
        <v>0.99316159132642856</v>
      </c>
    </row>
    <row r="1106" spans="1:2" x14ac:dyDescent="0.2">
      <c r="A1106">
        <v>1100</v>
      </c>
      <c r="B1106">
        <v>0.23880367796840818</v>
      </c>
    </row>
    <row r="1107" spans="1:2" x14ac:dyDescent="0.2">
      <c r="A1107">
        <v>1101</v>
      </c>
      <c r="B1107">
        <v>0.12166562186853136</v>
      </c>
    </row>
    <row r="1108" spans="1:2" x14ac:dyDescent="0.2">
      <c r="A1108">
        <v>1102</v>
      </c>
      <c r="B1108">
        <v>0.3258453257856041</v>
      </c>
    </row>
    <row r="1109" spans="1:2" x14ac:dyDescent="0.2">
      <c r="A1109">
        <v>1103</v>
      </c>
      <c r="B1109">
        <v>0.5290003057400926</v>
      </c>
    </row>
    <row r="1110" spans="1:2" x14ac:dyDescent="0.2">
      <c r="A1110">
        <v>1104</v>
      </c>
      <c r="B1110">
        <v>9.3321806870432789E-2</v>
      </c>
    </row>
    <row r="1111" spans="1:2" x14ac:dyDescent="0.2">
      <c r="A1111">
        <v>1105</v>
      </c>
      <c r="B1111">
        <v>0.65961769881917898</v>
      </c>
    </row>
    <row r="1112" spans="1:2" x14ac:dyDescent="0.2">
      <c r="A1112">
        <v>1106</v>
      </c>
      <c r="B1112">
        <v>0.86365109273706464</v>
      </c>
    </row>
    <row r="1113" spans="1:2" x14ac:dyDescent="0.2">
      <c r="A1113">
        <v>1107</v>
      </c>
      <c r="B1113">
        <v>0.73558071820848836</v>
      </c>
    </row>
    <row r="1114" spans="1:2" x14ac:dyDescent="0.2">
      <c r="A1114">
        <v>1108</v>
      </c>
      <c r="B1114">
        <v>0.63915933023928784</v>
      </c>
    </row>
    <row r="1115" spans="1:2" x14ac:dyDescent="0.2">
      <c r="A1115">
        <v>1109</v>
      </c>
      <c r="B1115">
        <v>0.54740309024037181</v>
      </c>
    </row>
    <row r="1116" spans="1:2" x14ac:dyDescent="0.2">
      <c r="A1116">
        <v>1110</v>
      </c>
      <c r="B1116">
        <v>0.38957775116374438</v>
      </c>
    </row>
    <row r="1117" spans="1:2" x14ac:dyDescent="0.2">
      <c r="A1117">
        <v>1111</v>
      </c>
      <c r="B1117">
        <v>0.14458688745316539</v>
      </c>
    </row>
    <row r="1118" spans="1:2" x14ac:dyDescent="0.2">
      <c r="A1118">
        <v>1112</v>
      </c>
      <c r="B1118">
        <v>0.95433143843109214</v>
      </c>
    </row>
    <row r="1119" spans="1:2" x14ac:dyDescent="0.2">
      <c r="A1119">
        <v>1113</v>
      </c>
      <c r="B1119">
        <v>0.17558477420315055</v>
      </c>
    </row>
    <row r="1120" spans="1:2" x14ac:dyDescent="0.2">
      <c r="A1120">
        <v>1114</v>
      </c>
      <c r="B1120">
        <v>2.6620759524172311E-2</v>
      </c>
    </row>
    <row r="1121" spans="1:2" x14ac:dyDescent="0.2">
      <c r="A1121">
        <v>1115</v>
      </c>
      <c r="B1121">
        <v>0.50156986019739036</v>
      </c>
    </row>
    <row r="1122" spans="1:2" x14ac:dyDescent="0.2">
      <c r="A1122">
        <v>1116</v>
      </c>
      <c r="B1122">
        <v>0.23505149277182646</v>
      </c>
    </row>
    <row r="1123" spans="1:2" x14ac:dyDescent="0.2">
      <c r="A1123">
        <v>1117</v>
      </c>
      <c r="B1123">
        <v>0.36334919570489888</v>
      </c>
    </row>
    <row r="1124" spans="1:2" x14ac:dyDescent="0.2">
      <c r="A1124">
        <v>1118</v>
      </c>
      <c r="B1124">
        <v>0.55458990402045605</v>
      </c>
    </row>
    <row r="1125" spans="1:2" x14ac:dyDescent="0.2">
      <c r="A1125">
        <v>1119</v>
      </c>
      <c r="B1125">
        <v>2.1124658034647137E-2</v>
      </c>
    </row>
    <row r="1126" spans="1:2" x14ac:dyDescent="0.2">
      <c r="A1126">
        <v>1120</v>
      </c>
      <c r="B1126">
        <v>0.85865435676147439</v>
      </c>
    </row>
    <row r="1127" spans="1:2" x14ac:dyDescent="0.2">
      <c r="A1127">
        <v>1121</v>
      </c>
      <c r="B1127">
        <v>2.923546646483377E-2</v>
      </c>
    </row>
    <row r="1128" spans="1:2" x14ac:dyDescent="0.2">
      <c r="A1128">
        <v>1122</v>
      </c>
      <c r="B1128">
        <v>0.21101449691130969</v>
      </c>
    </row>
    <row r="1129" spans="1:2" x14ac:dyDescent="0.2">
      <c r="A1129">
        <v>1123</v>
      </c>
      <c r="B1129">
        <v>0.46059809994827294</v>
      </c>
    </row>
    <row r="1130" spans="1:2" x14ac:dyDescent="0.2">
      <c r="A1130">
        <v>1124</v>
      </c>
      <c r="B1130">
        <v>0.94221763552055859</v>
      </c>
    </row>
    <row r="1131" spans="1:2" x14ac:dyDescent="0.2">
      <c r="A1131">
        <v>1125</v>
      </c>
      <c r="B1131">
        <v>0.32536716829182</v>
      </c>
    </row>
    <row r="1132" spans="1:2" x14ac:dyDescent="0.2">
      <c r="A1132">
        <v>1126</v>
      </c>
      <c r="B1132">
        <v>0.25188064039105951</v>
      </c>
    </row>
    <row r="1133" spans="1:2" x14ac:dyDescent="0.2">
      <c r="A1133">
        <v>1127</v>
      </c>
      <c r="B1133">
        <v>0.65860078302943992</v>
      </c>
    </row>
    <row r="1134" spans="1:2" x14ac:dyDescent="0.2">
      <c r="A1134">
        <v>1128</v>
      </c>
      <c r="B1134">
        <v>1.7691923674966414E-2</v>
      </c>
    </row>
    <row r="1135" spans="1:2" x14ac:dyDescent="0.2">
      <c r="A1135">
        <v>1129</v>
      </c>
      <c r="B1135">
        <v>0.19813222406174691</v>
      </c>
    </row>
    <row r="1136" spans="1:2" x14ac:dyDescent="0.2">
      <c r="A1136">
        <v>1130</v>
      </c>
      <c r="B1136">
        <v>0.75155528867926891</v>
      </c>
    </row>
    <row r="1137" spans="1:2" x14ac:dyDescent="0.2">
      <c r="A1137">
        <v>1131</v>
      </c>
      <c r="B1137">
        <v>0.1271354197608634</v>
      </c>
    </row>
    <row r="1138" spans="1:2" x14ac:dyDescent="0.2">
      <c r="A1138">
        <v>1132</v>
      </c>
      <c r="B1138">
        <v>0.55841851779468443</v>
      </c>
    </row>
    <row r="1139" spans="1:2" x14ac:dyDescent="0.2">
      <c r="A1139">
        <v>1133</v>
      </c>
      <c r="B1139">
        <v>0.6883977273187567</v>
      </c>
    </row>
    <row r="1140" spans="1:2" x14ac:dyDescent="0.2">
      <c r="A1140">
        <v>1134</v>
      </c>
      <c r="B1140">
        <v>0.67072718671440246</v>
      </c>
    </row>
    <row r="1141" spans="1:2" x14ac:dyDescent="0.2">
      <c r="A1141">
        <v>1135</v>
      </c>
      <c r="B1141">
        <v>0.23833981868898002</v>
      </c>
    </row>
    <row r="1142" spans="1:2" x14ac:dyDescent="0.2">
      <c r="A1142">
        <v>1136</v>
      </c>
      <c r="B1142">
        <v>0.60970305389595658</v>
      </c>
    </row>
    <row r="1143" spans="1:2" x14ac:dyDescent="0.2">
      <c r="A1143">
        <v>1137</v>
      </c>
      <c r="B1143">
        <v>9.5977848798187604E-2</v>
      </c>
    </row>
    <row r="1144" spans="1:2" x14ac:dyDescent="0.2">
      <c r="A1144">
        <v>1138</v>
      </c>
      <c r="B1144">
        <v>4.9418815300865115E-2</v>
      </c>
    </row>
    <row r="1145" spans="1:2" x14ac:dyDescent="0.2">
      <c r="A1145">
        <v>1139</v>
      </c>
      <c r="B1145">
        <v>0.74304193632052373</v>
      </c>
    </row>
    <row r="1146" spans="1:2" x14ac:dyDescent="0.2">
      <c r="A1146">
        <v>1140</v>
      </c>
      <c r="B1146">
        <v>0.83729828674074225</v>
      </c>
    </row>
    <row r="1147" spans="1:2" x14ac:dyDescent="0.2">
      <c r="A1147">
        <v>1141</v>
      </c>
      <c r="B1147">
        <v>0.44636431929297871</v>
      </c>
    </row>
    <row r="1148" spans="1:2" x14ac:dyDescent="0.2">
      <c r="A1148">
        <v>1142</v>
      </c>
      <c r="B1148">
        <v>0.89742644396072924</v>
      </c>
    </row>
    <row r="1149" spans="1:2" x14ac:dyDescent="0.2">
      <c r="A1149">
        <v>1143</v>
      </c>
      <c r="B1149">
        <v>0.86132396762908614</v>
      </c>
    </row>
    <row r="1150" spans="1:2" x14ac:dyDescent="0.2">
      <c r="A1150">
        <v>1144</v>
      </c>
      <c r="B1150">
        <v>0.11082746771091478</v>
      </c>
    </row>
    <row r="1151" spans="1:2" x14ac:dyDescent="0.2">
      <c r="A1151">
        <v>1145</v>
      </c>
      <c r="B1151">
        <v>0.34071470297288919</v>
      </c>
    </row>
    <row r="1152" spans="1:2" x14ac:dyDescent="0.2">
      <c r="A1152">
        <v>1146</v>
      </c>
      <c r="B1152">
        <v>0.65623724706263098</v>
      </c>
    </row>
    <row r="1153" spans="1:2" x14ac:dyDescent="0.2">
      <c r="A1153">
        <v>1147</v>
      </c>
      <c r="B1153">
        <v>0.70752981155742567</v>
      </c>
    </row>
    <row r="1154" spans="1:2" x14ac:dyDescent="0.2">
      <c r="A1154">
        <v>1148</v>
      </c>
      <c r="B1154">
        <v>0.98549952759700499</v>
      </c>
    </row>
    <row r="1155" spans="1:2" x14ac:dyDescent="0.2">
      <c r="A1155">
        <v>1149</v>
      </c>
      <c r="B1155">
        <v>0.79522875663874648</v>
      </c>
    </row>
    <row r="1156" spans="1:2" x14ac:dyDescent="0.2">
      <c r="A1156">
        <v>1150</v>
      </c>
      <c r="B1156">
        <v>0.37581834655971647</v>
      </c>
    </row>
    <row r="1157" spans="1:2" x14ac:dyDescent="0.2">
      <c r="A1157">
        <v>1151</v>
      </c>
      <c r="B1157">
        <v>0.23274324760863052</v>
      </c>
    </row>
    <row r="1158" spans="1:2" x14ac:dyDescent="0.2">
      <c r="A1158">
        <v>1152</v>
      </c>
      <c r="B1158">
        <v>5.1557857313816235E-2</v>
      </c>
    </row>
    <row r="1159" spans="1:2" x14ac:dyDescent="0.2">
      <c r="A1159">
        <v>1153</v>
      </c>
      <c r="B1159">
        <v>0.44836243728710301</v>
      </c>
    </row>
    <row r="1160" spans="1:2" x14ac:dyDescent="0.2">
      <c r="A1160">
        <v>1154</v>
      </c>
      <c r="B1160">
        <v>0.33032440254156648</v>
      </c>
    </row>
    <row r="1161" spans="1:2" x14ac:dyDescent="0.2">
      <c r="A1161">
        <v>1155</v>
      </c>
      <c r="B1161">
        <v>0.58421136436781773</v>
      </c>
    </row>
    <row r="1162" spans="1:2" x14ac:dyDescent="0.2">
      <c r="A1162">
        <v>1156</v>
      </c>
      <c r="B1162">
        <v>0.21810706315669071</v>
      </c>
    </row>
    <row r="1163" spans="1:2" x14ac:dyDescent="0.2">
      <c r="A1163">
        <v>1157</v>
      </c>
      <c r="B1163">
        <v>0.30558917953968201</v>
      </c>
    </row>
    <row r="1164" spans="1:2" x14ac:dyDescent="0.2">
      <c r="A1164">
        <v>1158</v>
      </c>
      <c r="B1164">
        <v>0.71248628110562617</v>
      </c>
    </row>
    <row r="1165" spans="1:2" x14ac:dyDescent="0.2">
      <c r="A1165">
        <v>1159</v>
      </c>
      <c r="B1165">
        <v>0.86318504428835141</v>
      </c>
    </row>
    <row r="1166" spans="1:2" x14ac:dyDescent="0.2">
      <c r="A1166">
        <v>1160</v>
      </c>
      <c r="B1166">
        <v>0.78449074572107413</v>
      </c>
    </row>
    <row r="1167" spans="1:2" x14ac:dyDescent="0.2">
      <c r="A1167">
        <v>1161</v>
      </c>
      <c r="B1167">
        <v>0.11764329404866736</v>
      </c>
    </row>
    <row r="1168" spans="1:2" x14ac:dyDescent="0.2">
      <c r="A1168">
        <v>1162</v>
      </c>
      <c r="B1168">
        <v>0.22987895971286709</v>
      </c>
    </row>
    <row r="1169" spans="1:2" x14ac:dyDescent="0.2">
      <c r="A1169">
        <v>1163</v>
      </c>
      <c r="B1169">
        <v>0.78320436710177121</v>
      </c>
    </row>
    <row r="1170" spans="1:2" x14ac:dyDescent="0.2">
      <c r="A1170">
        <v>1164</v>
      </c>
      <c r="B1170">
        <v>0.45725113132485273</v>
      </c>
    </row>
    <row r="1171" spans="1:2" x14ac:dyDescent="0.2">
      <c r="A1171">
        <v>1165</v>
      </c>
      <c r="B1171">
        <v>0.47489036294449194</v>
      </c>
    </row>
    <row r="1172" spans="1:2" x14ac:dyDescent="0.2">
      <c r="A1172">
        <v>1166</v>
      </c>
      <c r="B1172">
        <v>0.77911435070279367</v>
      </c>
    </row>
    <row r="1173" spans="1:2" x14ac:dyDescent="0.2">
      <c r="A1173">
        <v>1167</v>
      </c>
      <c r="B1173">
        <v>0.4459909366391307</v>
      </c>
    </row>
    <row r="1174" spans="1:2" x14ac:dyDescent="0.2">
      <c r="A1174">
        <v>1168</v>
      </c>
      <c r="B1174">
        <v>0.11265492658169007</v>
      </c>
    </row>
    <row r="1175" spans="1:2" x14ac:dyDescent="0.2">
      <c r="A1175">
        <v>1169</v>
      </c>
      <c r="B1175">
        <v>0.36594094373324648</v>
      </c>
    </row>
    <row r="1176" spans="1:2" x14ac:dyDescent="0.2">
      <c r="A1176">
        <v>1170</v>
      </c>
      <c r="B1176">
        <v>0.35777721884157632</v>
      </c>
    </row>
    <row r="1177" spans="1:2" x14ac:dyDescent="0.2">
      <c r="A1177">
        <v>1171</v>
      </c>
      <c r="B1177">
        <v>0.72828174037519966</v>
      </c>
    </row>
    <row r="1178" spans="1:2" x14ac:dyDescent="0.2">
      <c r="A1178">
        <v>1172</v>
      </c>
      <c r="B1178">
        <v>0.84540103530996813</v>
      </c>
    </row>
    <row r="1179" spans="1:2" x14ac:dyDescent="0.2">
      <c r="A1179">
        <v>1173</v>
      </c>
      <c r="B1179">
        <v>0.4024224776435209</v>
      </c>
    </row>
    <row r="1180" spans="1:2" x14ac:dyDescent="0.2">
      <c r="A1180">
        <v>1174</v>
      </c>
      <c r="B1180">
        <v>0.68774681729307086</v>
      </c>
    </row>
    <row r="1181" spans="1:2" x14ac:dyDescent="0.2">
      <c r="A1181">
        <v>1175</v>
      </c>
      <c r="B1181">
        <v>0.71951276879121573</v>
      </c>
    </row>
    <row r="1182" spans="1:2" x14ac:dyDescent="0.2">
      <c r="A1182">
        <v>1176</v>
      </c>
      <c r="B1182">
        <v>0.22211102158679441</v>
      </c>
    </row>
    <row r="1183" spans="1:2" x14ac:dyDescent="0.2">
      <c r="A1183">
        <v>1177</v>
      </c>
      <c r="B1183">
        <v>0.29251417849715422</v>
      </c>
    </row>
    <row r="1184" spans="1:2" x14ac:dyDescent="0.2">
      <c r="A1184">
        <v>1178</v>
      </c>
      <c r="B1184">
        <v>0.6334212549881324</v>
      </c>
    </row>
    <row r="1185" spans="1:2" x14ac:dyDescent="0.2">
      <c r="A1185">
        <v>1179</v>
      </c>
      <c r="B1185">
        <v>0.93850205650605789</v>
      </c>
    </row>
    <row r="1186" spans="1:2" x14ac:dyDescent="0.2">
      <c r="A1186">
        <v>1180</v>
      </c>
      <c r="B1186">
        <v>0.77686513179726835</v>
      </c>
    </row>
    <row r="1187" spans="1:2" x14ac:dyDescent="0.2">
      <c r="A1187">
        <v>1181</v>
      </c>
      <c r="B1187">
        <v>0.47056850314071241</v>
      </c>
    </row>
    <row r="1188" spans="1:2" x14ac:dyDescent="0.2">
      <c r="A1188">
        <v>1182</v>
      </c>
      <c r="B1188">
        <v>0.6050811704063962</v>
      </c>
    </row>
    <row r="1189" spans="1:2" x14ac:dyDescent="0.2">
      <c r="A1189">
        <v>1183</v>
      </c>
      <c r="B1189">
        <v>0.67916321553252101</v>
      </c>
    </row>
    <row r="1190" spans="1:2" x14ac:dyDescent="0.2">
      <c r="A1190">
        <v>1184</v>
      </c>
      <c r="B1190">
        <v>7.6027843319929622E-2</v>
      </c>
    </row>
    <row r="1191" spans="1:2" x14ac:dyDescent="0.2">
      <c r="A1191">
        <v>1185</v>
      </c>
      <c r="B1191">
        <v>0.62521745455526523</v>
      </c>
    </row>
    <row r="1192" spans="1:2" x14ac:dyDescent="0.2">
      <c r="A1192">
        <v>1186</v>
      </c>
      <c r="B1192">
        <v>0.19803590642563107</v>
      </c>
    </row>
    <row r="1193" spans="1:2" x14ac:dyDescent="0.2">
      <c r="A1193">
        <v>1187</v>
      </c>
      <c r="B1193">
        <v>9.4623707368110099E-2</v>
      </c>
    </row>
    <row r="1194" spans="1:2" x14ac:dyDescent="0.2">
      <c r="A1194">
        <v>1188</v>
      </c>
      <c r="B1194">
        <v>0.92461755837672077</v>
      </c>
    </row>
    <row r="1195" spans="1:2" x14ac:dyDescent="0.2">
      <c r="A1195">
        <v>1189</v>
      </c>
      <c r="B1195">
        <v>0.41077979519975372</v>
      </c>
    </row>
    <row r="1196" spans="1:2" x14ac:dyDescent="0.2">
      <c r="A1196">
        <v>1190</v>
      </c>
      <c r="B1196">
        <v>0.61248150957382563</v>
      </c>
    </row>
    <row r="1197" spans="1:2" x14ac:dyDescent="0.2">
      <c r="A1197">
        <v>1191</v>
      </c>
      <c r="B1197">
        <v>0.75381449334857131</v>
      </c>
    </row>
    <row r="1198" spans="1:2" x14ac:dyDescent="0.2">
      <c r="A1198">
        <v>1192</v>
      </c>
      <c r="B1198">
        <v>0.1761674385506129</v>
      </c>
    </row>
    <row r="1199" spans="1:2" x14ac:dyDescent="0.2">
      <c r="A1199">
        <v>1193</v>
      </c>
      <c r="B1199">
        <v>0.25802165539891853</v>
      </c>
    </row>
    <row r="1200" spans="1:2" x14ac:dyDescent="0.2">
      <c r="A1200">
        <v>1194</v>
      </c>
      <c r="B1200">
        <v>0.77555524417032118</v>
      </c>
    </row>
    <row r="1201" spans="1:2" x14ac:dyDescent="0.2">
      <c r="A1201">
        <v>1195</v>
      </c>
      <c r="B1201">
        <v>0.20634617384282206</v>
      </c>
    </row>
    <row r="1202" spans="1:2" x14ac:dyDescent="0.2">
      <c r="A1202">
        <v>1196</v>
      </c>
      <c r="B1202">
        <v>0.12931932343711272</v>
      </c>
    </row>
    <row r="1203" spans="1:2" x14ac:dyDescent="0.2">
      <c r="A1203">
        <v>1197</v>
      </c>
      <c r="B1203">
        <v>0.84341319958161098</v>
      </c>
    </row>
    <row r="1204" spans="1:2" x14ac:dyDescent="0.2">
      <c r="A1204">
        <v>1198</v>
      </c>
      <c r="B1204">
        <v>0.32405888158691754</v>
      </c>
    </row>
    <row r="1205" spans="1:2" x14ac:dyDescent="0.2">
      <c r="A1205">
        <v>1199</v>
      </c>
      <c r="B1205">
        <v>0.13063363512758919</v>
      </c>
    </row>
    <row r="1206" spans="1:2" x14ac:dyDescent="0.2">
      <c r="A1206">
        <v>1200</v>
      </c>
      <c r="B1206">
        <v>0.82864222185435077</v>
      </c>
    </row>
    <row r="1207" spans="1:2" x14ac:dyDescent="0.2">
      <c r="A1207">
        <v>1201</v>
      </c>
      <c r="B1207">
        <v>0.50605247983537716</v>
      </c>
    </row>
    <row r="1208" spans="1:2" x14ac:dyDescent="0.2">
      <c r="A1208">
        <v>1202</v>
      </c>
      <c r="B1208">
        <v>0.17342569031480071</v>
      </c>
    </row>
    <row r="1209" spans="1:2" x14ac:dyDescent="0.2">
      <c r="A1209">
        <v>1203</v>
      </c>
      <c r="B1209">
        <v>0.23643154880438078</v>
      </c>
    </row>
    <row r="1210" spans="1:2" x14ac:dyDescent="0.2">
      <c r="A1210">
        <v>1204</v>
      </c>
      <c r="B1210">
        <v>0.35462382747959276</v>
      </c>
    </row>
    <row r="1211" spans="1:2" x14ac:dyDescent="0.2">
      <c r="A1211">
        <v>1205</v>
      </c>
      <c r="B1211">
        <v>9.9639075703978897E-3</v>
      </c>
    </row>
    <row r="1212" spans="1:2" x14ac:dyDescent="0.2">
      <c r="A1212">
        <v>1206</v>
      </c>
      <c r="B1212">
        <v>0.74047175049641534</v>
      </c>
    </row>
    <row r="1213" spans="1:2" x14ac:dyDescent="0.2">
      <c r="A1213">
        <v>1207</v>
      </c>
      <c r="B1213">
        <v>0.50604574646573164</v>
      </c>
    </row>
    <row r="1214" spans="1:2" x14ac:dyDescent="0.2">
      <c r="A1214">
        <v>1208</v>
      </c>
      <c r="B1214">
        <v>0.38588694036037685</v>
      </c>
    </row>
    <row r="1215" spans="1:2" x14ac:dyDescent="0.2">
      <c r="A1215">
        <v>1209</v>
      </c>
      <c r="B1215">
        <v>0.78851891533454754</v>
      </c>
    </row>
    <row r="1216" spans="1:2" x14ac:dyDescent="0.2">
      <c r="A1216">
        <v>1210</v>
      </c>
      <c r="B1216">
        <v>0.27097310345284586</v>
      </c>
    </row>
    <row r="1217" spans="1:2" x14ac:dyDescent="0.2">
      <c r="A1217">
        <v>1211</v>
      </c>
      <c r="B1217">
        <v>0.78336948973822085</v>
      </c>
    </row>
    <row r="1218" spans="1:2" x14ac:dyDescent="0.2">
      <c r="A1218">
        <v>1212</v>
      </c>
      <c r="B1218">
        <v>0.12672379441548376</v>
      </c>
    </row>
    <row r="1219" spans="1:2" x14ac:dyDescent="0.2">
      <c r="A1219">
        <v>1213</v>
      </c>
      <c r="B1219">
        <v>0.43091633512014493</v>
      </c>
    </row>
    <row r="1220" spans="1:2" x14ac:dyDescent="0.2">
      <c r="A1220">
        <v>1214</v>
      </c>
      <c r="B1220">
        <v>0.81672095924959431</v>
      </c>
    </row>
    <row r="1221" spans="1:2" x14ac:dyDescent="0.2">
      <c r="A1221">
        <v>1215</v>
      </c>
      <c r="B1221">
        <v>3.6071111761509234E-2</v>
      </c>
    </row>
    <row r="1222" spans="1:2" x14ac:dyDescent="0.2">
      <c r="A1222">
        <v>1216</v>
      </c>
      <c r="B1222">
        <v>3.0160612910731355E-2</v>
      </c>
    </row>
    <row r="1223" spans="1:2" x14ac:dyDescent="0.2">
      <c r="A1223">
        <v>1217</v>
      </c>
      <c r="B1223">
        <v>0.44216812582209108</v>
      </c>
    </row>
    <row r="1224" spans="1:2" x14ac:dyDescent="0.2">
      <c r="A1224">
        <v>1218</v>
      </c>
      <c r="B1224">
        <v>0.89315290835437333</v>
      </c>
    </row>
    <row r="1225" spans="1:2" x14ac:dyDescent="0.2">
      <c r="A1225">
        <v>1219</v>
      </c>
      <c r="B1225">
        <v>0.53403626515038238</v>
      </c>
    </row>
    <row r="1226" spans="1:2" x14ac:dyDescent="0.2">
      <c r="A1226">
        <v>1220</v>
      </c>
      <c r="B1226">
        <v>0.4913057155684043</v>
      </c>
    </row>
    <row r="1227" spans="1:2" x14ac:dyDescent="0.2">
      <c r="A1227">
        <v>1221</v>
      </c>
      <c r="B1227">
        <v>0.3530361071607282</v>
      </c>
    </row>
    <row r="1228" spans="1:2" x14ac:dyDescent="0.2">
      <c r="A1228">
        <v>1222</v>
      </c>
      <c r="B1228">
        <v>0.88388848943437803</v>
      </c>
    </row>
    <row r="1229" spans="1:2" x14ac:dyDescent="0.2">
      <c r="A1229">
        <v>1223</v>
      </c>
      <c r="B1229">
        <v>0.1881152677999347</v>
      </c>
    </row>
    <row r="1230" spans="1:2" x14ac:dyDescent="0.2">
      <c r="A1230">
        <v>1224</v>
      </c>
      <c r="B1230">
        <v>0.48869074192202577</v>
      </c>
    </row>
    <row r="1231" spans="1:2" x14ac:dyDescent="0.2">
      <c r="A1231">
        <v>1225</v>
      </c>
      <c r="B1231">
        <v>0.21480827729783081</v>
      </c>
    </row>
    <row r="1232" spans="1:2" x14ac:dyDescent="0.2">
      <c r="A1232">
        <v>1226</v>
      </c>
      <c r="B1232">
        <v>0.80077838823792236</v>
      </c>
    </row>
    <row r="1233" spans="1:2" x14ac:dyDescent="0.2">
      <c r="A1233">
        <v>1227</v>
      </c>
      <c r="B1233">
        <v>0.33890845339325182</v>
      </c>
    </row>
    <row r="1234" spans="1:2" x14ac:dyDescent="0.2">
      <c r="A1234">
        <v>1228</v>
      </c>
      <c r="B1234">
        <v>0.58728432994098834</v>
      </c>
    </row>
    <row r="1235" spans="1:2" x14ac:dyDescent="0.2">
      <c r="A1235">
        <v>1229</v>
      </c>
      <c r="B1235">
        <v>0.68712423974253545</v>
      </c>
    </row>
    <row r="1236" spans="1:2" x14ac:dyDescent="0.2">
      <c r="A1236">
        <v>1230</v>
      </c>
      <c r="B1236">
        <v>0.53675734371824335</v>
      </c>
    </row>
    <row r="1237" spans="1:2" x14ac:dyDescent="0.2">
      <c r="A1237">
        <v>1231</v>
      </c>
      <c r="B1237">
        <v>0.48117219193778693</v>
      </c>
    </row>
    <row r="1238" spans="1:2" x14ac:dyDescent="0.2">
      <c r="A1238">
        <v>1232</v>
      </c>
      <c r="B1238">
        <v>0.38223690518208164</v>
      </c>
    </row>
    <row r="1239" spans="1:2" x14ac:dyDescent="0.2">
      <c r="A1239">
        <v>1233</v>
      </c>
      <c r="B1239">
        <v>0.52092490946013104</v>
      </c>
    </row>
    <row r="1240" spans="1:2" x14ac:dyDescent="0.2">
      <c r="A1240">
        <v>1234</v>
      </c>
      <c r="B1240">
        <v>0.6881507802954081</v>
      </c>
    </row>
    <row r="1241" spans="1:2" x14ac:dyDescent="0.2">
      <c r="A1241">
        <v>1235</v>
      </c>
      <c r="B1241">
        <v>0.86177650548932394</v>
      </c>
    </row>
    <row r="1242" spans="1:2" x14ac:dyDescent="0.2">
      <c r="A1242">
        <v>1236</v>
      </c>
      <c r="B1242">
        <v>0.43376574188361483</v>
      </c>
    </row>
    <row r="1243" spans="1:2" x14ac:dyDescent="0.2">
      <c r="A1243">
        <v>1237</v>
      </c>
      <c r="B1243">
        <v>0.53137035930287835</v>
      </c>
    </row>
    <row r="1244" spans="1:2" x14ac:dyDescent="0.2">
      <c r="A1244">
        <v>1238</v>
      </c>
      <c r="B1244">
        <v>0.26968076951447639</v>
      </c>
    </row>
    <row r="1245" spans="1:2" x14ac:dyDescent="0.2">
      <c r="A1245">
        <v>1239</v>
      </c>
      <c r="B1245">
        <v>0.47338419591924019</v>
      </c>
    </row>
    <row r="1246" spans="1:2" x14ac:dyDescent="0.2">
      <c r="A1246">
        <v>1240</v>
      </c>
      <c r="B1246">
        <v>9.9170484542309367E-2</v>
      </c>
    </row>
    <row r="1247" spans="1:2" x14ac:dyDescent="0.2">
      <c r="A1247">
        <v>1241</v>
      </c>
      <c r="B1247">
        <v>0.28387085662909606</v>
      </c>
    </row>
    <row r="1248" spans="1:2" x14ac:dyDescent="0.2">
      <c r="A1248">
        <v>1242</v>
      </c>
      <c r="B1248">
        <v>0.21474973636214756</v>
      </c>
    </row>
    <row r="1249" spans="1:2" x14ac:dyDescent="0.2">
      <c r="A1249">
        <v>1243</v>
      </c>
      <c r="B1249">
        <v>0.25773644449060107</v>
      </c>
    </row>
    <row r="1250" spans="1:2" x14ac:dyDescent="0.2">
      <c r="A1250">
        <v>1244</v>
      </c>
      <c r="B1250">
        <v>0.94310065184653802</v>
      </c>
    </row>
    <row r="1251" spans="1:2" x14ac:dyDescent="0.2">
      <c r="A1251">
        <v>1245</v>
      </c>
      <c r="B1251">
        <v>0.18208538107344518</v>
      </c>
    </row>
    <row r="1252" spans="1:2" x14ac:dyDescent="0.2">
      <c r="A1252">
        <v>1246</v>
      </c>
      <c r="B1252">
        <v>0.49080679789219861</v>
      </c>
    </row>
    <row r="1253" spans="1:2" x14ac:dyDescent="0.2">
      <c r="A1253">
        <v>1247</v>
      </c>
      <c r="B1253">
        <v>0.97739503913713888</v>
      </c>
    </row>
    <row r="1254" spans="1:2" x14ac:dyDescent="0.2">
      <c r="A1254">
        <v>1248</v>
      </c>
      <c r="B1254">
        <v>0.30027879039342265</v>
      </c>
    </row>
    <row r="1255" spans="1:2" x14ac:dyDescent="0.2">
      <c r="A1255">
        <v>1249</v>
      </c>
      <c r="B1255">
        <v>0.51692308274835941</v>
      </c>
    </row>
    <row r="1256" spans="1:2" x14ac:dyDescent="0.2">
      <c r="A1256">
        <v>1250</v>
      </c>
      <c r="B1256">
        <v>0.68921774461707475</v>
      </c>
    </row>
    <row r="1257" spans="1:2" x14ac:dyDescent="0.2">
      <c r="A1257">
        <v>1251</v>
      </c>
      <c r="B1257">
        <v>0.43078776106322592</v>
      </c>
    </row>
    <row r="1258" spans="1:2" x14ac:dyDescent="0.2">
      <c r="A1258">
        <v>1252</v>
      </c>
      <c r="B1258">
        <v>2.0412981309057665E-2</v>
      </c>
    </row>
    <row r="1259" spans="1:2" x14ac:dyDescent="0.2">
      <c r="A1259">
        <v>1253</v>
      </c>
      <c r="B1259">
        <v>0.11105620849100517</v>
      </c>
    </row>
    <row r="1260" spans="1:2" x14ac:dyDescent="0.2">
      <c r="A1260">
        <v>1254</v>
      </c>
      <c r="B1260">
        <v>0.65449396265372806</v>
      </c>
    </row>
    <row r="1261" spans="1:2" x14ac:dyDescent="0.2">
      <c r="A1261">
        <v>1255</v>
      </c>
      <c r="B1261">
        <v>0.97281569054361128</v>
      </c>
    </row>
    <row r="1262" spans="1:2" x14ac:dyDescent="0.2">
      <c r="A1262">
        <v>1256</v>
      </c>
      <c r="B1262">
        <v>0.8735098821229822</v>
      </c>
    </row>
    <row r="1263" spans="1:2" x14ac:dyDescent="0.2">
      <c r="A1263">
        <v>1257</v>
      </c>
      <c r="B1263">
        <v>0.10011705043639618</v>
      </c>
    </row>
    <row r="1264" spans="1:2" x14ac:dyDescent="0.2">
      <c r="A1264">
        <v>1258</v>
      </c>
      <c r="B1264">
        <v>0.7728075214485195</v>
      </c>
    </row>
    <row r="1265" spans="1:2" x14ac:dyDescent="0.2">
      <c r="A1265">
        <v>1259</v>
      </c>
      <c r="B1265">
        <v>0.58212363167071979</v>
      </c>
    </row>
    <row r="1266" spans="1:2" x14ac:dyDescent="0.2">
      <c r="A1266">
        <v>1260</v>
      </c>
      <c r="B1266">
        <v>0.84421834718692723</v>
      </c>
    </row>
    <row r="1267" spans="1:2" x14ac:dyDescent="0.2">
      <c r="A1267">
        <v>1261</v>
      </c>
      <c r="B1267">
        <v>0.76788730250890336</v>
      </c>
    </row>
    <row r="1268" spans="1:2" x14ac:dyDescent="0.2">
      <c r="A1268">
        <v>1262</v>
      </c>
      <c r="B1268">
        <v>0.60038000490396881</v>
      </c>
    </row>
    <row r="1269" spans="1:2" x14ac:dyDescent="0.2">
      <c r="A1269">
        <v>1263</v>
      </c>
      <c r="B1269">
        <v>0.95645553635001179</v>
      </c>
    </row>
    <row r="1270" spans="1:2" x14ac:dyDescent="0.2">
      <c r="A1270">
        <v>1264</v>
      </c>
      <c r="B1270">
        <v>0.47092029905189259</v>
      </c>
    </row>
    <row r="1271" spans="1:2" x14ac:dyDescent="0.2">
      <c r="A1271">
        <v>1265</v>
      </c>
      <c r="B1271">
        <v>0.83176650131195862</v>
      </c>
    </row>
    <row r="1272" spans="1:2" x14ac:dyDescent="0.2">
      <c r="A1272">
        <v>1266</v>
      </c>
      <c r="B1272">
        <v>0.13016510567754958</v>
      </c>
    </row>
    <row r="1273" spans="1:2" x14ac:dyDescent="0.2">
      <c r="A1273">
        <v>1267</v>
      </c>
      <c r="B1273">
        <v>0.99514517625829013</v>
      </c>
    </row>
    <row r="1274" spans="1:2" x14ac:dyDescent="0.2">
      <c r="A1274">
        <v>1268</v>
      </c>
      <c r="B1274">
        <v>0.76756292915079061</v>
      </c>
    </row>
    <row r="1275" spans="1:2" x14ac:dyDescent="0.2">
      <c r="A1275">
        <v>1269</v>
      </c>
      <c r="B1275">
        <v>0.46944533222697205</v>
      </c>
    </row>
    <row r="1276" spans="1:2" x14ac:dyDescent="0.2">
      <c r="A1276">
        <v>1270</v>
      </c>
      <c r="B1276">
        <v>0.55666313016726077</v>
      </c>
    </row>
    <row r="1277" spans="1:2" x14ac:dyDescent="0.2">
      <c r="A1277">
        <v>1271</v>
      </c>
      <c r="B1277">
        <v>0.82867480936006399</v>
      </c>
    </row>
    <row r="1278" spans="1:2" x14ac:dyDescent="0.2">
      <c r="A1278">
        <v>1272</v>
      </c>
      <c r="B1278">
        <v>0.1894766415773772</v>
      </c>
    </row>
    <row r="1279" spans="1:2" x14ac:dyDescent="0.2">
      <c r="A1279">
        <v>1273</v>
      </c>
      <c r="B1279">
        <v>0.18989780480730534</v>
      </c>
    </row>
    <row r="1280" spans="1:2" x14ac:dyDescent="0.2">
      <c r="A1280">
        <v>1274</v>
      </c>
      <c r="B1280">
        <v>0.19992840906276832</v>
      </c>
    </row>
    <row r="1281" spans="1:2" x14ac:dyDescent="0.2">
      <c r="A1281">
        <v>1275</v>
      </c>
      <c r="B1281">
        <v>0.69597393533216023</v>
      </c>
    </row>
    <row r="1282" spans="1:2" x14ac:dyDescent="0.2">
      <c r="A1282">
        <v>1276</v>
      </c>
      <c r="B1282">
        <v>0.44214939151966426</v>
      </c>
    </row>
    <row r="1283" spans="1:2" x14ac:dyDescent="0.2">
      <c r="A1283">
        <v>1277</v>
      </c>
      <c r="B1283">
        <v>0.86851469059959485</v>
      </c>
    </row>
    <row r="1284" spans="1:2" x14ac:dyDescent="0.2">
      <c r="A1284">
        <v>1278</v>
      </c>
      <c r="B1284">
        <v>0.47539696234662343</v>
      </c>
    </row>
    <row r="1285" spans="1:2" x14ac:dyDescent="0.2">
      <c r="A1285">
        <v>1279</v>
      </c>
      <c r="B1285">
        <v>0.38234813660072697</v>
      </c>
    </row>
    <row r="1286" spans="1:2" x14ac:dyDescent="0.2">
      <c r="A1286">
        <v>1280</v>
      </c>
      <c r="B1286">
        <v>0.23523011784031478</v>
      </c>
    </row>
    <row r="1287" spans="1:2" x14ac:dyDescent="0.2">
      <c r="A1287">
        <v>1281</v>
      </c>
      <c r="B1287">
        <v>0.56517386060320896</v>
      </c>
    </row>
    <row r="1288" spans="1:2" x14ac:dyDescent="0.2">
      <c r="A1288">
        <v>1282</v>
      </c>
      <c r="B1288">
        <v>0.53531001502249342</v>
      </c>
    </row>
    <row r="1289" spans="1:2" x14ac:dyDescent="0.2">
      <c r="A1289">
        <v>1283</v>
      </c>
      <c r="B1289">
        <v>0.86430075083348801</v>
      </c>
    </row>
    <row r="1290" spans="1:2" x14ac:dyDescent="0.2">
      <c r="A1290">
        <v>1284</v>
      </c>
      <c r="B1290">
        <v>0.56003022210399855</v>
      </c>
    </row>
    <row r="1291" spans="1:2" x14ac:dyDescent="0.2">
      <c r="A1291">
        <v>1285</v>
      </c>
      <c r="B1291">
        <v>0.23112315870923439</v>
      </c>
    </row>
    <row r="1292" spans="1:2" x14ac:dyDescent="0.2">
      <c r="A1292">
        <v>1286</v>
      </c>
      <c r="B1292">
        <v>0.1505083488542458</v>
      </c>
    </row>
    <row r="1293" spans="1:2" x14ac:dyDescent="0.2">
      <c r="A1293">
        <v>1287</v>
      </c>
      <c r="B1293">
        <v>0.45308060257983485</v>
      </c>
    </row>
    <row r="1294" spans="1:2" x14ac:dyDescent="0.2">
      <c r="A1294">
        <v>1288</v>
      </c>
      <c r="B1294">
        <v>0.93594297693042516</v>
      </c>
    </row>
    <row r="1295" spans="1:2" x14ac:dyDescent="0.2">
      <c r="A1295">
        <v>1289</v>
      </c>
      <c r="B1295">
        <v>1.1503518478627184E-3</v>
      </c>
    </row>
    <row r="1296" spans="1:2" x14ac:dyDescent="0.2">
      <c r="A1296">
        <v>1290</v>
      </c>
      <c r="B1296">
        <v>0.6109398460564649</v>
      </c>
    </row>
    <row r="1297" spans="1:2" x14ac:dyDescent="0.2">
      <c r="A1297">
        <v>1291</v>
      </c>
      <c r="B1297">
        <v>0.7369053223799551</v>
      </c>
    </row>
    <row r="1298" spans="1:2" x14ac:dyDescent="0.2">
      <c r="A1298">
        <v>1292</v>
      </c>
      <c r="B1298">
        <v>0.99237471675135391</v>
      </c>
    </row>
    <row r="1299" spans="1:2" x14ac:dyDescent="0.2">
      <c r="A1299">
        <v>1293</v>
      </c>
      <c r="B1299">
        <v>0.59045275176127687</v>
      </c>
    </row>
    <row r="1300" spans="1:2" x14ac:dyDescent="0.2">
      <c r="A1300">
        <v>1294</v>
      </c>
      <c r="B1300">
        <v>0.79255894415397998</v>
      </c>
    </row>
    <row r="1301" spans="1:2" x14ac:dyDescent="0.2">
      <c r="A1301">
        <v>1295</v>
      </c>
      <c r="B1301">
        <v>0.37916533712597855</v>
      </c>
    </row>
    <row r="1302" spans="1:2" x14ac:dyDescent="0.2">
      <c r="A1302">
        <v>1296</v>
      </c>
      <c r="B1302">
        <v>0.93224855987469091</v>
      </c>
    </row>
    <row r="1303" spans="1:2" x14ac:dyDescent="0.2">
      <c r="A1303">
        <v>1297</v>
      </c>
      <c r="B1303">
        <v>0.71540865122747754</v>
      </c>
    </row>
    <row r="1304" spans="1:2" x14ac:dyDescent="0.2">
      <c r="A1304">
        <v>1298</v>
      </c>
      <c r="B1304">
        <v>0.73741457473116745</v>
      </c>
    </row>
    <row r="1305" spans="1:2" x14ac:dyDescent="0.2">
      <c r="A1305">
        <v>1299</v>
      </c>
      <c r="B1305">
        <v>1.9230293392598075E-3</v>
      </c>
    </row>
    <row r="1306" spans="1:2" x14ac:dyDescent="0.2">
      <c r="A1306">
        <v>1300</v>
      </c>
      <c r="B1306">
        <v>0.67566165705035597</v>
      </c>
    </row>
    <row r="1307" spans="1:2" x14ac:dyDescent="0.2">
      <c r="A1307">
        <v>1301</v>
      </c>
      <c r="B1307">
        <v>0.57252727255036651</v>
      </c>
    </row>
    <row r="1308" spans="1:2" x14ac:dyDescent="0.2">
      <c r="A1308">
        <v>1302</v>
      </c>
      <c r="B1308">
        <v>0.4700677811642221</v>
      </c>
    </row>
    <row r="1309" spans="1:2" x14ac:dyDescent="0.2">
      <c r="A1309">
        <v>1303</v>
      </c>
      <c r="B1309">
        <v>0.38366480679839099</v>
      </c>
    </row>
    <row r="1310" spans="1:2" x14ac:dyDescent="0.2">
      <c r="A1310">
        <v>1304</v>
      </c>
      <c r="B1310">
        <v>0.77379646244022027</v>
      </c>
    </row>
    <row r="1311" spans="1:2" x14ac:dyDescent="0.2">
      <c r="A1311">
        <v>1305</v>
      </c>
      <c r="B1311">
        <v>0.87250470305287975</v>
      </c>
    </row>
    <row r="1312" spans="1:2" x14ac:dyDescent="0.2">
      <c r="A1312">
        <v>1306</v>
      </c>
      <c r="B1312">
        <v>0.64460177568671106</v>
      </c>
    </row>
    <row r="1313" spans="1:2" x14ac:dyDescent="0.2">
      <c r="A1313">
        <v>1307</v>
      </c>
      <c r="B1313">
        <v>0.90168632865724407</v>
      </c>
    </row>
    <row r="1314" spans="1:2" x14ac:dyDescent="0.2">
      <c r="A1314">
        <v>1308</v>
      </c>
      <c r="B1314">
        <v>0.98464679665956267</v>
      </c>
    </row>
    <row r="1315" spans="1:2" x14ac:dyDescent="0.2">
      <c r="A1315">
        <v>1309</v>
      </c>
      <c r="B1315">
        <v>3.0567365390840817E-2</v>
      </c>
    </row>
    <row r="1316" spans="1:2" x14ac:dyDescent="0.2">
      <c r="A1316">
        <v>1310</v>
      </c>
      <c r="B1316">
        <v>0.65612855484587318</v>
      </c>
    </row>
    <row r="1317" spans="1:2" x14ac:dyDescent="0.2">
      <c r="A1317">
        <v>1311</v>
      </c>
      <c r="B1317">
        <v>6.3491309077879254E-2</v>
      </c>
    </row>
    <row r="1318" spans="1:2" x14ac:dyDescent="0.2">
      <c r="A1318">
        <v>1312</v>
      </c>
      <c r="B1318">
        <v>0.98527743894499531</v>
      </c>
    </row>
    <row r="1319" spans="1:2" x14ac:dyDescent="0.2">
      <c r="A1319">
        <v>1313</v>
      </c>
      <c r="B1319">
        <v>5.5079394701542217E-2</v>
      </c>
    </row>
    <row r="1320" spans="1:2" x14ac:dyDescent="0.2">
      <c r="A1320">
        <v>1314</v>
      </c>
      <c r="B1320">
        <v>5.8963735374556014E-2</v>
      </c>
    </row>
    <row r="1321" spans="1:2" x14ac:dyDescent="0.2">
      <c r="A1321">
        <v>1315</v>
      </c>
      <c r="B1321">
        <v>0.9812037716560752</v>
      </c>
    </row>
    <row r="1322" spans="1:2" x14ac:dyDescent="0.2">
      <c r="A1322">
        <v>1316</v>
      </c>
      <c r="B1322">
        <v>0.73901150190038678</v>
      </c>
    </row>
    <row r="1323" spans="1:2" x14ac:dyDescent="0.2">
      <c r="A1323">
        <v>1317</v>
      </c>
      <c r="B1323">
        <v>0.3950736944091412</v>
      </c>
    </row>
    <row r="1324" spans="1:2" x14ac:dyDescent="0.2">
      <c r="A1324">
        <v>1318</v>
      </c>
      <c r="B1324">
        <v>0.43612344888509191</v>
      </c>
    </row>
    <row r="1325" spans="1:2" x14ac:dyDescent="0.2">
      <c r="A1325">
        <v>1319</v>
      </c>
      <c r="B1325">
        <v>7.6401872997299169E-2</v>
      </c>
    </row>
    <row r="1326" spans="1:2" x14ac:dyDescent="0.2">
      <c r="A1326">
        <v>1320</v>
      </c>
      <c r="B1326">
        <v>0.5481825823450891</v>
      </c>
    </row>
    <row r="1327" spans="1:2" x14ac:dyDescent="0.2">
      <c r="A1327">
        <v>1321</v>
      </c>
      <c r="B1327">
        <v>0.54140260195832202</v>
      </c>
    </row>
    <row r="1328" spans="1:2" x14ac:dyDescent="0.2">
      <c r="A1328">
        <v>1322</v>
      </c>
      <c r="B1328">
        <v>0.67380872567893135</v>
      </c>
    </row>
    <row r="1329" spans="1:2" x14ac:dyDescent="0.2">
      <c r="A1329">
        <v>1323</v>
      </c>
      <c r="B1329">
        <v>0.15395464268469861</v>
      </c>
    </row>
    <row r="1330" spans="1:2" x14ac:dyDescent="0.2">
      <c r="A1330">
        <v>1324</v>
      </c>
      <c r="B1330">
        <v>0.77048646422486433</v>
      </c>
    </row>
    <row r="1331" spans="1:2" x14ac:dyDescent="0.2">
      <c r="A1331">
        <v>1325</v>
      </c>
      <c r="B1331">
        <v>0.76588554932481445</v>
      </c>
    </row>
    <row r="1332" spans="1:2" x14ac:dyDescent="0.2">
      <c r="A1332">
        <v>1326</v>
      </c>
      <c r="B1332">
        <v>0.21574445687086041</v>
      </c>
    </row>
    <row r="1333" spans="1:2" x14ac:dyDescent="0.2">
      <c r="A1333">
        <v>1327</v>
      </c>
      <c r="B1333">
        <v>0.93453358698478217</v>
      </c>
    </row>
    <row r="1334" spans="1:2" x14ac:dyDescent="0.2">
      <c r="A1334">
        <v>1328</v>
      </c>
      <c r="B1334">
        <v>0.69043124216524177</v>
      </c>
    </row>
    <row r="1335" spans="1:2" x14ac:dyDescent="0.2">
      <c r="A1335">
        <v>1329</v>
      </c>
      <c r="B1335">
        <v>0.8573201389339693</v>
      </c>
    </row>
    <row r="1336" spans="1:2" x14ac:dyDescent="0.2">
      <c r="A1336">
        <v>1330</v>
      </c>
      <c r="B1336">
        <v>0.15542915995216955</v>
      </c>
    </row>
    <row r="1337" spans="1:2" x14ac:dyDescent="0.2">
      <c r="A1337">
        <v>1331</v>
      </c>
      <c r="B1337">
        <v>0.4710710391911922</v>
      </c>
    </row>
    <row r="1338" spans="1:2" x14ac:dyDescent="0.2">
      <c r="A1338">
        <v>1332</v>
      </c>
      <c r="B1338">
        <v>0.54455546661280818</v>
      </c>
    </row>
    <row r="1339" spans="1:2" x14ac:dyDescent="0.2">
      <c r="A1339">
        <v>1333</v>
      </c>
      <c r="B1339">
        <v>0.95947867066870007</v>
      </c>
    </row>
    <row r="1340" spans="1:2" x14ac:dyDescent="0.2">
      <c r="A1340">
        <v>1334</v>
      </c>
      <c r="B1340">
        <v>0.66737468863098415</v>
      </c>
    </row>
    <row r="1341" spans="1:2" x14ac:dyDescent="0.2">
      <c r="A1341">
        <v>1335</v>
      </c>
      <c r="B1341">
        <v>0.75008392221726006</v>
      </c>
    </row>
    <row r="1342" spans="1:2" x14ac:dyDescent="0.2">
      <c r="A1342">
        <v>1336</v>
      </c>
      <c r="B1342">
        <v>0.37279971063064554</v>
      </c>
    </row>
    <row r="1343" spans="1:2" x14ac:dyDescent="0.2">
      <c r="A1343">
        <v>1337</v>
      </c>
      <c r="B1343">
        <v>0.51925907566995444</v>
      </c>
    </row>
    <row r="1344" spans="1:2" x14ac:dyDescent="0.2">
      <c r="A1344">
        <v>1338</v>
      </c>
      <c r="B1344">
        <v>0.59138623139874513</v>
      </c>
    </row>
    <row r="1345" spans="1:2" x14ac:dyDescent="0.2">
      <c r="A1345">
        <v>1339</v>
      </c>
      <c r="B1345">
        <v>0.28789099478482061</v>
      </c>
    </row>
    <row r="1346" spans="1:2" x14ac:dyDescent="0.2">
      <c r="A1346">
        <v>1340</v>
      </c>
      <c r="B1346">
        <v>0.96263111072707674</v>
      </c>
    </row>
    <row r="1347" spans="1:2" x14ac:dyDescent="0.2">
      <c r="A1347">
        <v>1341</v>
      </c>
      <c r="B1347">
        <v>0.11344969012176653</v>
      </c>
    </row>
    <row r="1348" spans="1:2" x14ac:dyDescent="0.2">
      <c r="A1348">
        <v>1342</v>
      </c>
      <c r="B1348">
        <v>4.8151177799804712E-2</v>
      </c>
    </row>
    <row r="1349" spans="1:2" x14ac:dyDescent="0.2">
      <c r="A1349">
        <v>1343</v>
      </c>
      <c r="B1349">
        <v>0.46501529980088796</v>
      </c>
    </row>
    <row r="1350" spans="1:2" x14ac:dyDescent="0.2">
      <c r="A1350">
        <v>1344</v>
      </c>
      <c r="B1350">
        <v>0.17943036415547131</v>
      </c>
    </row>
    <row r="1351" spans="1:2" x14ac:dyDescent="0.2">
      <c r="A1351">
        <v>1345</v>
      </c>
      <c r="B1351">
        <v>0.432057659065334</v>
      </c>
    </row>
    <row r="1352" spans="1:2" x14ac:dyDescent="0.2">
      <c r="A1352">
        <v>1346</v>
      </c>
      <c r="B1352">
        <v>0.54905008974736136</v>
      </c>
    </row>
    <row r="1353" spans="1:2" x14ac:dyDescent="0.2">
      <c r="A1353">
        <v>1347</v>
      </c>
      <c r="B1353">
        <v>0.77726406950374893</v>
      </c>
    </row>
    <row r="1354" spans="1:2" x14ac:dyDescent="0.2">
      <c r="A1354">
        <v>1348</v>
      </c>
      <c r="B1354">
        <v>0.34225588921409078</v>
      </c>
    </row>
    <row r="1355" spans="1:2" x14ac:dyDescent="0.2">
      <c r="A1355">
        <v>1349</v>
      </c>
      <c r="B1355">
        <v>9.2582661281088385E-2</v>
      </c>
    </row>
    <row r="1356" spans="1:2" x14ac:dyDescent="0.2">
      <c r="A1356">
        <v>1350</v>
      </c>
      <c r="B1356">
        <v>0.48370856547179186</v>
      </c>
    </row>
    <row r="1357" spans="1:2" x14ac:dyDescent="0.2">
      <c r="A1357">
        <v>1351</v>
      </c>
      <c r="B1357">
        <v>0.49892489252843775</v>
      </c>
    </row>
    <row r="1358" spans="1:2" x14ac:dyDescent="0.2">
      <c r="A1358">
        <v>1352</v>
      </c>
      <c r="B1358">
        <v>0.14855265642414095</v>
      </c>
    </row>
    <row r="1359" spans="1:2" x14ac:dyDescent="0.2">
      <c r="A1359">
        <v>1353</v>
      </c>
      <c r="B1359">
        <v>0.98106873410941475</v>
      </c>
    </row>
    <row r="1360" spans="1:2" x14ac:dyDescent="0.2">
      <c r="A1360">
        <v>1354</v>
      </c>
      <c r="B1360">
        <v>0.7719514014630553</v>
      </c>
    </row>
    <row r="1361" spans="1:2" x14ac:dyDescent="0.2">
      <c r="A1361">
        <v>1355</v>
      </c>
      <c r="B1361">
        <v>0.1751942026272264</v>
      </c>
    </row>
    <row r="1362" spans="1:2" x14ac:dyDescent="0.2">
      <c r="A1362">
        <v>1356</v>
      </c>
      <c r="B1362">
        <v>0.75310645908220353</v>
      </c>
    </row>
    <row r="1363" spans="1:2" x14ac:dyDescent="0.2">
      <c r="A1363">
        <v>1357</v>
      </c>
      <c r="B1363">
        <v>0.92426948594437264</v>
      </c>
    </row>
    <row r="1364" spans="1:2" x14ac:dyDescent="0.2">
      <c r="A1364">
        <v>1358</v>
      </c>
      <c r="B1364">
        <v>0.44042526956854933</v>
      </c>
    </row>
    <row r="1365" spans="1:2" x14ac:dyDescent="0.2">
      <c r="A1365">
        <v>1359</v>
      </c>
      <c r="B1365">
        <v>0.93494361228090972</v>
      </c>
    </row>
    <row r="1366" spans="1:2" x14ac:dyDescent="0.2">
      <c r="A1366">
        <v>1360</v>
      </c>
      <c r="B1366">
        <v>0.40683698189158368</v>
      </c>
    </row>
    <row r="1367" spans="1:2" x14ac:dyDescent="0.2">
      <c r="A1367">
        <v>1361</v>
      </c>
      <c r="B1367">
        <v>0.73265915802911641</v>
      </c>
    </row>
    <row r="1368" spans="1:2" x14ac:dyDescent="0.2">
      <c r="A1368">
        <v>1362</v>
      </c>
      <c r="B1368">
        <v>0.26543125692750813</v>
      </c>
    </row>
    <row r="1369" spans="1:2" x14ac:dyDescent="0.2">
      <c r="A1369">
        <v>1363</v>
      </c>
      <c r="B1369">
        <v>0.31437334435378839</v>
      </c>
    </row>
    <row r="1370" spans="1:2" x14ac:dyDescent="0.2">
      <c r="A1370">
        <v>1364</v>
      </c>
      <c r="B1370">
        <v>5.9700845309437978E-2</v>
      </c>
    </row>
    <row r="1371" spans="1:2" x14ac:dyDescent="0.2">
      <c r="A1371">
        <v>1365</v>
      </c>
      <c r="B1371">
        <v>0.71941434181506247</v>
      </c>
    </row>
    <row r="1372" spans="1:2" x14ac:dyDescent="0.2">
      <c r="A1372">
        <v>1366</v>
      </c>
      <c r="B1372">
        <v>0.74208539663057427</v>
      </c>
    </row>
    <row r="1373" spans="1:2" x14ac:dyDescent="0.2">
      <c r="A1373">
        <v>1367</v>
      </c>
      <c r="B1373">
        <v>0.39310226365281686</v>
      </c>
    </row>
    <row r="1374" spans="1:2" x14ac:dyDescent="0.2">
      <c r="A1374">
        <v>1368</v>
      </c>
      <c r="B1374">
        <v>0.93150146588872829</v>
      </c>
    </row>
    <row r="1375" spans="1:2" x14ac:dyDescent="0.2">
      <c r="A1375">
        <v>1369</v>
      </c>
      <c r="B1375">
        <v>0.6659381102879679</v>
      </c>
    </row>
    <row r="1376" spans="1:2" x14ac:dyDescent="0.2">
      <c r="A1376">
        <v>1370</v>
      </c>
      <c r="B1376">
        <v>0.91225982996732868</v>
      </c>
    </row>
    <row r="1377" spans="1:2" x14ac:dyDescent="0.2">
      <c r="A1377">
        <v>1371</v>
      </c>
      <c r="B1377">
        <v>0.66023718752228322</v>
      </c>
    </row>
    <row r="1378" spans="1:2" x14ac:dyDescent="0.2">
      <c r="A1378">
        <v>1372</v>
      </c>
      <c r="B1378">
        <v>1.0540304076378515E-2</v>
      </c>
    </row>
    <row r="1379" spans="1:2" x14ac:dyDescent="0.2">
      <c r="A1379">
        <v>1373</v>
      </c>
      <c r="B1379">
        <v>0.22678960839127993</v>
      </c>
    </row>
    <row r="1380" spans="1:2" x14ac:dyDescent="0.2">
      <c r="A1380">
        <v>1374</v>
      </c>
      <c r="B1380">
        <v>0.77661237215573309</v>
      </c>
    </row>
    <row r="1381" spans="1:2" x14ac:dyDescent="0.2">
      <c r="A1381">
        <v>1375</v>
      </c>
      <c r="B1381">
        <v>0.38872468017945594</v>
      </c>
    </row>
    <row r="1382" spans="1:2" x14ac:dyDescent="0.2">
      <c r="A1382">
        <v>1376</v>
      </c>
      <c r="B1382">
        <v>5.3417436171024235E-2</v>
      </c>
    </row>
    <row r="1383" spans="1:2" x14ac:dyDescent="0.2">
      <c r="A1383">
        <v>1377</v>
      </c>
      <c r="B1383">
        <v>0.29896593150250639</v>
      </c>
    </row>
    <row r="1384" spans="1:2" x14ac:dyDescent="0.2">
      <c r="A1384">
        <v>1378</v>
      </c>
      <c r="B1384">
        <v>0.87543509971636368</v>
      </c>
    </row>
    <row r="1385" spans="1:2" x14ac:dyDescent="0.2">
      <c r="A1385">
        <v>1379</v>
      </c>
      <c r="B1385">
        <v>0.76895409766771439</v>
      </c>
    </row>
    <row r="1386" spans="1:2" x14ac:dyDescent="0.2">
      <c r="A1386">
        <v>1380</v>
      </c>
      <c r="B1386">
        <v>0.34447648024237221</v>
      </c>
    </row>
    <row r="1387" spans="1:2" x14ac:dyDescent="0.2">
      <c r="A1387">
        <v>1381</v>
      </c>
      <c r="B1387">
        <v>0.7978452855369953</v>
      </c>
    </row>
    <row r="1388" spans="1:2" x14ac:dyDescent="0.2">
      <c r="A1388">
        <v>1382</v>
      </c>
      <c r="B1388">
        <v>0.83060926313775896</v>
      </c>
    </row>
    <row r="1389" spans="1:2" x14ac:dyDescent="0.2">
      <c r="A1389">
        <v>1383</v>
      </c>
      <c r="B1389">
        <v>0.90606474383645985</v>
      </c>
    </row>
    <row r="1390" spans="1:2" x14ac:dyDescent="0.2">
      <c r="A1390">
        <v>1384</v>
      </c>
      <c r="B1390">
        <v>0.59819559526092425</v>
      </c>
    </row>
    <row r="1391" spans="1:2" x14ac:dyDescent="0.2">
      <c r="A1391">
        <v>1385</v>
      </c>
      <c r="B1391">
        <v>0.86180143808313681</v>
      </c>
    </row>
    <row r="1392" spans="1:2" x14ac:dyDescent="0.2">
      <c r="A1392">
        <v>1386</v>
      </c>
      <c r="B1392">
        <v>0.30318925068757241</v>
      </c>
    </row>
    <row r="1393" spans="1:2" x14ac:dyDescent="0.2">
      <c r="A1393">
        <v>1387</v>
      </c>
      <c r="B1393">
        <v>0.13400597618161159</v>
      </c>
    </row>
    <row r="1394" spans="1:2" x14ac:dyDescent="0.2">
      <c r="A1394">
        <v>1388</v>
      </c>
      <c r="B1394">
        <v>0.19205221057799304</v>
      </c>
    </row>
    <row r="1395" spans="1:2" x14ac:dyDescent="0.2">
      <c r="A1395">
        <v>1389</v>
      </c>
      <c r="B1395">
        <v>0.31976404645459011</v>
      </c>
    </row>
    <row r="1396" spans="1:2" x14ac:dyDescent="0.2">
      <c r="A1396">
        <v>1390</v>
      </c>
      <c r="B1396">
        <v>0.78557285144757605</v>
      </c>
    </row>
    <row r="1397" spans="1:2" x14ac:dyDescent="0.2">
      <c r="A1397">
        <v>1391</v>
      </c>
      <c r="B1397">
        <v>0.97624331375008344</v>
      </c>
    </row>
    <row r="1398" spans="1:2" x14ac:dyDescent="0.2">
      <c r="A1398">
        <v>1392</v>
      </c>
      <c r="B1398">
        <v>0.76933204810947764</v>
      </c>
    </row>
    <row r="1399" spans="1:2" x14ac:dyDescent="0.2">
      <c r="A1399">
        <v>1393</v>
      </c>
      <c r="B1399">
        <v>0.88777002415041595</v>
      </c>
    </row>
    <row r="1400" spans="1:2" x14ac:dyDescent="0.2">
      <c r="A1400">
        <v>1394</v>
      </c>
      <c r="B1400">
        <v>0.17167079241134753</v>
      </c>
    </row>
    <row r="1401" spans="1:2" x14ac:dyDescent="0.2">
      <c r="A1401">
        <v>1395</v>
      </c>
      <c r="B1401">
        <v>3.6760959643634683E-2</v>
      </c>
    </row>
    <row r="1402" spans="1:2" x14ac:dyDescent="0.2">
      <c r="A1402">
        <v>1396</v>
      </c>
      <c r="B1402">
        <v>0.15867219605102589</v>
      </c>
    </row>
    <row r="1403" spans="1:2" x14ac:dyDescent="0.2">
      <c r="A1403">
        <v>1397</v>
      </c>
      <c r="B1403">
        <v>0.30399054991778185</v>
      </c>
    </row>
    <row r="1404" spans="1:2" x14ac:dyDescent="0.2">
      <c r="A1404">
        <v>1398</v>
      </c>
      <c r="B1404">
        <v>0.58654382486526135</v>
      </c>
    </row>
    <row r="1405" spans="1:2" x14ac:dyDescent="0.2">
      <c r="A1405">
        <v>1399</v>
      </c>
      <c r="B1405">
        <v>0.86206964011304965</v>
      </c>
    </row>
    <row r="1406" spans="1:2" x14ac:dyDescent="0.2">
      <c r="A1406">
        <v>1400</v>
      </c>
      <c r="B1406">
        <v>0.60311730574431732</v>
      </c>
    </row>
    <row r="1407" spans="1:2" x14ac:dyDescent="0.2">
      <c r="A1407">
        <v>1401</v>
      </c>
      <c r="B1407">
        <v>0.10511862065851452</v>
      </c>
    </row>
    <row r="1408" spans="1:2" x14ac:dyDescent="0.2">
      <c r="A1408">
        <v>1402</v>
      </c>
      <c r="B1408">
        <v>0.57926254730022786</v>
      </c>
    </row>
    <row r="1409" spans="1:2" x14ac:dyDescent="0.2">
      <c r="A1409">
        <v>1403</v>
      </c>
      <c r="B1409">
        <v>1.7108827173131669E-2</v>
      </c>
    </row>
    <row r="1410" spans="1:2" x14ac:dyDescent="0.2">
      <c r="A1410">
        <v>1404</v>
      </c>
      <c r="B1410">
        <v>0.33495178623360777</v>
      </c>
    </row>
    <row r="1411" spans="1:2" x14ac:dyDescent="0.2">
      <c r="A1411">
        <v>1405</v>
      </c>
      <c r="B1411">
        <v>0.60195733791663741</v>
      </c>
    </row>
    <row r="1412" spans="1:2" x14ac:dyDescent="0.2">
      <c r="A1412">
        <v>1406</v>
      </c>
      <c r="B1412">
        <v>4.1710882757379331E-2</v>
      </c>
    </row>
    <row r="1413" spans="1:2" x14ac:dyDescent="0.2">
      <c r="A1413">
        <v>1407</v>
      </c>
      <c r="B1413">
        <v>0.14554706314750543</v>
      </c>
    </row>
    <row r="1414" spans="1:2" x14ac:dyDescent="0.2">
      <c r="A1414">
        <v>1408</v>
      </c>
      <c r="B1414">
        <v>7.9526258539383332E-2</v>
      </c>
    </row>
    <row r="1415" spans="1:2" x14ac:dyDescent="0.2">
      <c r="A1415">
        <v>1409</v>
      </c>
      <c r="B1415">
        <v>0.53209512709213014</v>
      </c>
    </row>
    <row r="1416" spans="1:2" x14ac:dyDescent="0.2">
      <c r="A1416">
        <v>1410</v>
      </c>
      <c r="B1416">
        <v>0.98023360934431081</v>
      </c>
    </row>
    <row r="1417" spans="1:2" x14ac:dyDescent="0.2">
      <c r="A1417">
        <v>1411</v>
      </c>
      <c r="B1417">
        <v>0.53430994335979487</v>
      </c>
    </row>
    <row r="1418" spans="1:2" x14ac:dyDescent="0.2">
      <c r="A1418">
        <v>1412</v>
      </c>
      <c r="B1418">
        <v>0.1081789595866961</v>
      </c>
    </row>
    <row r="1419" spans="1:2" x14ac:dyDescent="0.2">
      <c r="A1419">
        <v>1413</v>
      </c>
      <c r="B1419">
        <v>0.31280435826695963</v>
      </c>
    </row>
    <row r="1420" spans="1:2" x14ac:dyDescent="0.2">
      <c r="A1420">
        <v>1414</v>
      </c>
      <c r="B1420">
        <v>8.1389903677776099E-2</v>
      </c>
    </row>
    <row r="1421" spans="1:2" x14ac:dyDescent="0.2">
      <c r="A1421">
        <v>1415</v>
      </c>
      <c r="B1421">
        <v>8.0938762734395375E-2</v>
      </c>
    </row>
    <row r="1422" spans="1:2" x14ac:dyDescent="0.2">
      <c r="A1422">
        <v>1416</v>
      </c>
      <c r="B1422">
        <v>0.59079820510054937</v>
      </c>
    </row>
    <row r="1423" spans="1:2" x14ac:dyDescent="0.2">
      <c r="A1423">
        <v>1417</v>
      </c>
      <c r="B1423">
        <v>0.56288860758157855</v>
      </c>
    </row>
    <row r="1424" spans="1:2" x14ac:dyDescent="0.2">
      <c r="A1424">
        <v>1418</v>
      </c>
      <c r="B1424">
        <v>0.65165393126781068</v>
      </c>
    </row>
    <row r="1425" spans="1:2" x14ac:dyDescent="0.2">
      <c r="A1425">
        <v>1419</v>
      </c>
      <c r="B1425">
        <v>0.6476783381616692</v>
      </c>
    </row>
    <row r="1426" spans="1:2" x14ac:dyDescent="0.2">
      <c r="A1426">
        <v>1420</v>
      </c>
      <c r="B1426">
        <v>2.255752909700115E-2</v>
      </c>
    </row>
    <row r="1427" spans="1:2" x14ac:dyDescent="0.2">
      <c r="A1427">
        <v>1421</v>
      </c>
      <c r="B1427">
        <v>6.1079080202914304E-2</v>
      </c>
    </row>
    <row r="1428" spans="1:2" x14ac:dyDescent="0.2">
      <c r="A1428">
        <v>1422</v>
      </c>
      <c r="B1428">
        <v>0.51412325224341227</v>
      </c>
    </row>
    <row r="1429" spans="1:2" x14ac:dyDescent="0.2">
      <c r="A1429">
        <v>1423</v>
      </c>
      <c r="B1429">
        <v>4.0585755622202346E-2</v>
      </c>
    </row>
    <row r="1430" spans="1:2" x14ac:dyDescent="0.2">
      <c r="A1430">
        <v>1424</v>
      </c>
      <c r="B1430">
        <v>0.96213352278685793</v>
      </c>
    </row>
    <row r="1431" spans="1:2" x14ac:dyDescent="0.2">
      <c r="A1431">
        <v>1425</v>
      </c>
      <c r="B1431">
        <v>0.76942644505878266</v>
      </c>
    </row>
    <row r="1432" spans="1:2" x14ac:dyDescent="0.2">
      <c r="A1432">
        <v>1426</v>
      </c>
      <c r="B1432">
        <v>0.39295464665403002</v>
      </c>
    </row>
    <row r="1433" spans="1:2" x14ac:dyDescent="0.2">
      <c r="A1433">
        <v>1427</v>
      </c>
      <c r="B1433">
        <v>0.45563429315906823</v>
      </c>
    </row>
    <row r="1434" spans="1:2" x14ac:dyDescent="0.2">
      <c r="A1434">
        <v>1428</v>
      </c>
      <c r="B1434">
        <v>0.67328478829298266</v>
      </c>
    </row>
    <row r="1435" spans="1:2" x14ac:dyDescent="0.2">
      <c r="A1435">
        <v>1429</v>
      </c>
      <c r="B1435">
        <v>0.83733473819624016</v>
      </c>
    </row>
    <row r="1436" spans="1:2" x14ac:dyDescent="0.2">
      <c r="A1436">
        <v>1430</v>
      </c>
      <c r="B1436">
        <v>0.99589986871979108</v>
      </c>
    </row>
    <row r="1437" spans="1:2" x14ac:dyDescent="0.2">
      <c r="A1437">
        <v>1431</v>
      </c>
      <c r="B1437">
        <v>0.49138148881406563</v>
      </c>
    </row>
    <row r="1438" spans="1:2" x14ac:dyDescent="0.2">
      <c r="A1438">
        <v>1432</v>
      </c>
      <c r="B1438">
        <v>0.99013035410381112</v>
      </c>
    </row>
    <row r="1439" spans="1:2" x14ac:dyDescent="0.2">
      <c r="A1439">
        <v>1433</v>
      </c>
      <c r="B1439">
        <v>0.63311496627504271</v>
      </c>
    </row>
    <row r="1440" spans="1:2" x14ac:dyDescent="0.2">
      <c r="A1440">
        <v>1434</v>
      </c>
      <c r="B1440">
        <v>0.81621136422327178</v>
      </c>
    </row>
    <row r="1441" spans="1:2" x14ac:dyDescent="0.2">
      <c r="A1441">
        <v>1435</v>
      </c>
      <c r="B1441">
        <v>0.35473416096218768</v>
      </c>
    </row>
    <row r="1442" spans="1:2" x14ac:dyDescent="0.2">
      <c r="A1442">
        <v>1436</v>
      </c>
      <c r="B1442">
        <v>0.45086128038261475</v>
      </c>
    </row>
    <row r="1443" spans="1:2" x14ac:dyDescent="0.2">
      <c r="A1443">
        <v>1437</v>
      </c>
      <c r="B1443">
        <v>7.5821680102756472E-2</v>
      </c>
    </row>
    <row r="1444" spans="1:2" x14ac:dyDescent="0.2">
      <c r="A1444">
        <v>1438</v>
      </c>
      <c r="B1444">
        <v>0.56784578746907932</v>
      </c>
    </row>
    <row r="1445" spans="1:2" x14ac:dyDescent="0.2">
      <c r="A1445">
        <v>1439</v>
      </c>
      <c r="B1445">
        <v>0.34481619813151709</v>
      </c>
    </row>
    <row r="1446" spans="1:2" x14ac:dyDescent="0.2">
      <c r="A1446">
        <v>1440</v>
      </c>
      <c r="B1446">
        <v>0.40397541367376166</v>
      </c>
    </row>
    <row r="1447" spans="1:2" x14ac:dyDescent="0.2">
      <c r="A1447">
        <v>1441</v>
      </c>
      <c r="B1447">
        <v>0.99661757111425675</v>
      </c>
    </row>
    <row r="1448" spans="1:2" x14ac:dyDescent="0.2">
      <c r="A1448">
        <v>1442</v>
      </c>
      <c r="B1448">
        <v>0.32819327143265298</v>
      </c>
    </row>
    <row r="1449" spans="1:2" x14ac:dyDescent="0.2">
      <c r="A1449">
        <v>1443</v>
      </c>
      <c r="B1449">
        <v>0.12058998872374538</v>
      </c>
    </row>
    <row r="1450" spans="1:2" x14ac:dyDescent="0.2">
      <c r="A1450">
        <v>1444</v>
      </c>
      <c r="B1450">
        <v>0.51100970142916946</v>
      </c>
    </row>
    <row r="1451" spans="1:2" x14ac:dyDescent="0.2">
      <c r="A1451">
        <v>1445</v>
      </c>
      <c r="B1451">
        <v>0.18575676219437709</v>
      </c>
    </row>
    <row r="1452" spans="1:2" x14ac:dyDescent="0.2">
      <c r="A1452">
        <v>1446</v>
      </c>
      <c r="B1452">
        <v>0.46411146714001139</v>
      </c>
    </row>
    <row r="1453" spans="1:2" x14ac:dyDescent="0.2">
      <c r="A1453">
        <v>1447</v>
      </c>
      <c r="B1453">
        <v>0.66907887808966082</v>
      </c>
    </row>
    <row r="1454" spans="1:2" x14ac:dyDescent="0.2">
      <c r="A1454">
        <v>1448</v>
      </c>
      <c r="B1454">
        <v>0.29401268708061334</v>
      </c>
    </row>
    <row r="1455" spans="1:2" x14ac:dyDescent="0.2">
      <c r="A1455">
        <v>1449</v>
      </c>
      <c r="B1455">
        <v>0.11185217306487383</v>
      </c>
    </row>
    <row r="1456" spans="1:2" x14ac:dyDescent="0.2">
      <c r="A1456">
        <v>1450</v>
      </c>
      <c r="B1456">
        <v>0.1042296416634555</v>
      </c>
    </row>
    <row r="1457" spans="1:2" x14ac:dyDescent="0.2">
      <c r="A1457">
        <v>1451</v>
      </c>
      <c r="B1457">
        <v>0.47769502008928533</v>
      </c>
    </row>
    <row r="1458" spans="1:2" x14ac:dyDescent="0.2">
      <c r="A1458">
        <v>1452</v>
      </c>
      <c r="B1458">
        <v>0.37660038291314235</v>
      </c>
    </row>
    <row r="1459" spans="1:2" x14ac:dyDescent="0.2">
      <c r="A1459">
        <v>1453</v>
      </c>
      <c r="B1459">
        <v>0.37622245769771623</v>
      </c>
    </row>
    <row r="1460" spans="1:2" x14ac:dyDescent="0.2">
      <c r="A1460">
        <v>1454</v>
      </c>
      <c r="B1460">
        <v>0.40037916680630004</v>
      </c>
    </row>
    <row r="1461" spans="1:2" x14ac:dyDescent="0.2">
      <c r="A1461">
        <v>1455</v>
      </c>
      <c r="B1461">
        <v>0.71994611592838376</v>
      </c>
    </row>
    <row r="1462" spans="1:2" x14ac:dyDescent="0.2">
      <c r="A1462">
        <v>1456</v>
      </c>
      <c r="B1462">
        <v>0.41718064157089452</v>
      </c>
    </row>
    <row r="1463" spans="1:2" x14ac:dyDescent="0.2">
      <c r="A1463">
        <v>1457</v>
      </c>
      <c r="B1463">
        <v>0.25139196607514347</v>
      </c>
    </row>
    <row r="1464" spans="1:2" x14ac:dyDescent="0.2">
      <c r="A1464">
        <v>1458</v>
      </c>
      <c r="B1464">
        <v>0.13134636656458454</v>
      </c>
    </row>
    <row r="1465" spans="1:2" x14ac:dyDescent="0.2">
      <c r="A1465">
        <v>1459</v>
      </c>
      <c r="B1465">
        <v>0.76167918410041913</v>
      </c>
    </row>
    <row r="1466" spans="1:2" x14ac:dyDescent="0.2">
      <c r="A1466">
        <v>1460</v>
      </c>
      <c r="B1466">
        <v>0.30527079998607898</v>
      </c>
    </row>
    <row r="1467" spans="1:2" x14ac:dyDescent="0.2">
      <c r="A1467">
        <v>1461</v>
      </c>
      <c r="B1467">
        <v>0.91548671258805026</v>
      </c>
    </row>
    <row r="1468" spans="1:2" x14ac:dyDescent="0.2">
      <c r="A1468">
        <v>1462</v>
      </c>
      <c r="B1468">
        <v>0.60304815132332135</v>
      </c>
    </row>
    <row r="1469" spans="1:2" x14ac:dyDescent="0.2">
      <c r="A1469">
        <v>1463</v>
      </c>
      <c r="B1469">
        <v>0.78744154821027224</v>
      </c>
    </row>
    <row r="1470" spans="1:2" x14ac:dyDescent="0.2">
      <c r="A1470">
        <v>1464</v>
      </c>
      <c r="B1470">
        <v>5.1394374424758804E-2</v>
      </c>
    </row>
    <row r="1471" spans="1:2" x14ac:dyDescent="0.2">
      <c r="A1471">
        <v>1465</v>
      </c>
      <c r="B1471">
        <v>0.74740112526378133</v>
      </c>
    </row>
    <row r="1472" spans="1:2" x14ac:dyDescent="0.2">
      <c r="A1472">
        <v>1466</v>
      </c>
      <c r="B1472">
        <v>0.39342487579435992</v>
      </c>
    </row>
    <row r="1473" spans="1:2" x14ac:dyDescent="0.2">
      <c r="A1473">
        <v>1467</v>
      </c>
      <c r="B1473">
        <v>0.98177088756024267</v>
      </c>
    </row>
    <row r="1474" spans="1:2" x14ac:dyDescent="0.2">
      <c r="A1474">
        <v>1468</v>
      </c>
      <c r="B1474">
        <v>0.43340660103000039</v>
      </c>
    </row>
    <row r="1475" spans="1:2" x14ac:dyDescent="0.2">
      <c r="A1475">
        <v>1469</v>
      </c>
      <c r="B1475">
        <v>0.86205642057994025</v>
      </c>
    </row>
    <row r="1476" spans="1:2" x14ac:dyDescent="0.2">
      <c r="A1476">
        <v>1470</v>
      </c>
      <c r="B1476">
        <v>0.66924473687611907</v>
      </c>
    </row>
    <row r="1477" spans="1:2" x14ac:dyDescent="0.2">
      <c r="A1477">
        <v>1471</v>
      </c>
      <c r="B1477">
        <v>0.10342369191602019</v>
      </c>
    </row>
    <row r="1478" spans="1:2" x14ac:dyDescent="0.2">
      <c r="A1478">
        <v>1472</v>
      </c>
      <c r="B1478">
        <v>0.45244745696464561</v>
      </c>
    </row>
    <row r="1479" spans="1:2" x14ac:dyDescent="0.2">
      <c r="A1479">
        <v>1473</v>
      </c>
      <c r="B1479">
        <v>0.71785132613716418</v>
      </c>
    </row>
    <row r="1480" spans="1:2" x14ac:dyDescent="0.2">
      <c r="A1480">
        <v>1474</v>
      </c>
      <c r="B1480">
        <v>0.67538463211349564</v>
      </c>
    </row>
    <row r="1481" spans="1:2" x14ac:dyDescent="0.2">
      <c r="A1481">
        <v>1475</v>
      </c>
      <c r="B1481">
        <v>0.64022156122722496</v>
      </c>
    </row>
    <row r="1482" spans="1:2" x14ac:dyDescent="0.2">
      <c r="A1482">
        <v>1476</v>
      </c>
      <c r="B1482">
        <v>0.10423287187301866</v>
      </c>
    </row>
    <row r="1483" spans="1:2" x14ac:dyDescent="0.2">
      <c r="A1483">
        <v>1477</v>
      </c>
      <c r="B1483">
        <v>0.50530759615076559</v>
      </c>
    </row>
    <row r="1484" spans="1:2" x14ac:dyDescent="0.2">
      <c r="A1484">
        <v>1478</v>
      </c>
      <c r="B1484">
        <v>0.18359163231419795</v>
      </c>
    </row>
    <row r="1485" spans="1:2" x14ac:dyDescent="0.2">
      <c r="A1485">
        <v>1479</v>
      </c>
      <c r="B1485">
        <v>0.19301924425913008</v>
      </c>
    </row>
    <row r="1486" spans="1:2" x14ac:dyDescent="0.2">
      <c r="A1486">
        <v>1480</v>
      </c>
      <c r="B1486">
        <v>0.29581011173088201</v>
      </c>
    </row>
    <row r="1487" spans="1:2" x14ac:dyDescent="0.2">
      <c r="A1487">
        <v>1481</v>
      </c>
      <c r="B1487">
        <v>0.2308957190506371</v>
      </c>
    </row>
    <row r="1488" spans="1:2" x14ac:dyDescent="0.2">
      <c r="A1488">
        <v>1482</v>
      </c>
      <c r="B1488">
        <v>0.40652227814754771</v>
      </c>
    </row>
    <row r="1489" spans="1:2" x14ac:dyDescent="0.2">
      <c r="A1489">
        <v>1483</v>
      </c>
      <c r="B1489">
        <v>0.15341458348517112</v>
      </c>
    </row>
    <row r="1490" spans="1:2" x14ac:dyDescent="0.2">
      <c r="A1490">
        <v>1484</v>
      </c>
      <c r="B1490">
        <v>0.48945488090802114</v>
      </c>
    </row>
    <row r="1491" spans="1:2" x14ac:dyDescent="0.2">
      <c r="A1491">
        <v>1485</v>
      </c>
      <c r="B1491">
        <v>0.6864092977275541</v>
      </c>
    </row>
    <row r="1492" spans="1:2" x14ac:dyDescent="0.2">
      <c r="A1492">
        <v>1486</v>
      </c>
      <c r="B1492">
        <v>0.93902826131504247</v>
      </c>
    </row>
    <row r="1493" spans="1:2" x14ac:dyDescent="0.2">
      <c r="A1493">
        <v>1487</v>
      </c>
      <c r="B1493">
        <v>0.67590281156179488</v>
      </c>
    </row>
    <row r="1494" spans="1:2" x14ac:dyDescent="0.2">
      <c r="A1494">
        <v>1488</v>
      </c>
      <c r="B1494">
        <v>0.32672550436346304</v>
      </c>
    </row>
    <row r="1495" spans="1:2" x14ac:dyDescent="0.2">
      <c r="A1495">
        <v>1489</v>
      </c>
      <c r="B1495">
        <v>0.78259703072837117</v>
      </c>
    </row>
    <row r="1496" spans="1:2" x14ac:dyDescent="0.2">
      <c r="A1496">
        <v>1490</v>
      </c>
      <c r="B1496">
        <v>0.90285685176073283</v>
      </c>
    </row>
    <row r="1497" spans="1:2" x14ac:dyDescent="0.2">
      <c r="A1497">
        <v>1491</v>
      </c>
      <c r="B1497">
        <v>0.18089653966970498</v>
      </c>
    </row>
    <row r="1498" spans="1:2" x14ac:dyDescent="0.2">
      <c r="A1498">
        <v>1492</v>
      </c>
      <c r="B1498">
        <v>0.98661516044104458</v>
      </c>
    </row>
    <row r="1499" spans="1:2" x14ac:dyDescent="0.2">
      <c r="A1499">
        <v>1493</v>
      </c>
      <c r="B1499">
        <v>0.52522707737397234</v>
      </c>
    </row>
    <row r="1500" spans="1:2" x14ac:dyDescent="0.2">
      <c r="A1500">
        <v>1494</v>
      </c>
      <c r="B1500">
        <v>0.75942568083670625</v>
      </c>
    </row>
    <row r="1501" spans="1:2" x14ac:dyDescent="0.2">
      <c r="A1501">
        <v>1495</v>
      </c>
      <c r="B1501">
        <v>0.79432563446824045</v>
      </c>
    </row>
    <row r="1502" spans="1:2" x14ac:dyDescent="0.2">
      <c r="A1502">
        <v>1496</v>
      </c>
      <c r="B1502">
        <v>0.24361730171156271</v>
      </c>
    </row>
    <row r="1503" spans="1:2" x14ac:dyDescent="0.2">
      <c r="A1503">
        <v>1497</v>
      </c>
      <c r="B1503">
        <v>0.12138351052011742</v>
      </c>
    </row>
    <row r="1504" spans="1:2" x14ac:dyDescent="0.2">
      <c r="A1504">
        <v>1498</v>
      </c>
      <c r="B1504">
        <v>0.77396499486777448</v>
      </c>
    </row>
    <row r="1505" spans="1:2" x14ac:dyDescent="0.2">
      <c r="A1505">
        <v>1499</v>
      </c>
      <c r="B1505">
        <v>0.57776528266099658</v>
      </c>
    </row>
    <row r="1506" spans="1:2" x14ac:dyDescent="0.2">
      <c r="A1506">
        <v>1500</v>
      </c>
      <c r="B1506">
        <v>0.16490021381027997</v>
      </c>
    </row>
    <row r="1507" spans="1:2" x14ac:dyDescent="0.2">
      <c r="A1507">
        <v>1501</v>
      </c>
      <c r="B1507">
        <v>0.75327627684462573</v>
      </c>
    </row>
    <row r="1508" spans="1:2" x14ac:dyDescent="0.2">
      <c r="A1508">
        <v>1502</v>
      </c>
      <c r="B1508">
        <v>0.79170918931164769</v>
      </c>
    </row>
    <row r="1509" spans="1:2" x14ac:dyDescent="0.2">
      <c r="A1509">
        <v>1503</v>
      </c>
      <c r="B1509">
        <v>0.13832336031198622</v>
      </c>
    </row>
    <row r="1510" spans="1:2" x14ac:dyDescent="0.2">
      <c r="A1510">
        <v>1504</v>
      </c>
      <c r="B1510">
        <v>7.0735812488642136E-2</v>
      </c>
    </row>
    <row r="1511" spans="1:2" x14ac:dyDescent="0.2">
      <c r="A1511">
        <v>1505</v>
      </c>
      <c r="B1511">
        <v>0.65730274934130661</v>
      </c>
    </row>
    <row r="1512" spans="1:2" x14ac:dyDescent="0.2">
      <c r="A1512">
        <v>1506</v>
      </c>
      <c r="B1512">
        <v>0.13490833576318684</v>
      </c>
    </row>
    <row r="1513" spans="1:2" x14ac:dyDescent="0.2">
      <c r="A1513">
        <v>1507</v>
      </c>
      <c r="B1513">
        <v>0.58973026038648513</v>
      </c>
    </row>
    <row r="1514" spans="1:2" x14ac:dyDescent="0.2">
      <c r="A1514">
        <v>1508</v>
      </c>
      <c r="B1514">
        <v>0.7756296636543546</v>
      </c>
    </row>
    <row r="1515" spans="1:2" x14ac:dyDescent="0.2">
      <c r="A1515">
        <v>1509</v>
      </c>
      <c r="B1515">
        <v>0.43774371206379004</v>
      </c>
    </row>
    <row r="1516" spans="1:2" x14ac:dyDescent="0.2">
      <c r="A1516">
        <v>1510</v>
      </c>
      <c r="B1516">
        <v>0.10153641701895899</v>
      </c>
    </row>
    <row r="1517" spans="1:2" x14ac:dyDescent="0.2">
      <c r="A1517">
        <v>1511</v>
      </c>
      <c r="B1517">
        <v>2.1696425471361969E-2</v>
      </c>
    </row>
    <row r="1518" spans="1:2" x14ac:dyDescent="0.2">
      <c r="A1518">
        <v>1512</v>
      </c>
      <c r="B1518">
        <v>0.54665767023261302</v>
      </c>
    </row>
    <row r="1519" spans="1:2" x14ac:dyDescent="0.2">
      <c r="A1519">
        <v>1513</v>
      </c>
      <c r="B1519">
        <v>0.58290286296169913</v>
      </c>
    </row>
    <row r="1520" spans="1:2" x14ac:dyDescent="0.2">
      <c r="A1520">
        <v>1514</v>
      </c>
      <c r="B1520">
        <v>0.69515389739899036</v>
      </c>
    </row>
    <row r="1521" spans="1:2" x14ac:dyDescent="0.2">
      <c r="A1521">
        <v>1515</v>
      </c>
      <c r="B1521">
        <v>0.20636891724185003</v>
      </c>
    </row>
    <row r="1522" spans="1:2" x14ac:dyDescent="0.2">
      <c r="A1522">
        <v>1516</v>
      </c>
      <c r="B1522">
        <v>0.68991771619627329</v>
      </c>
    </row>
    <row r="1523" spans="1:2" x14ac:dyDescent="0.2">
      <c r="A1523">
        <v>1517</v>
      </c>
      <c r="B1523">
        <v>0.22408697268520128</v>
      </c>
    </row>
    <row r="1524" spans="1:2" x14ac:dyDescent="0.2">
      <c r="A1524">
        <v>1518</v>
      </c>
      <c r="B1524">
        <v>0.69666357767893372</v>
      </c>
    </row>
    <row r="1525" spans="1:2" x14ac:dyDescent="0.2">
      <c r="A1525">
        <v>1519</v>
      </c>
      <c r="B1525">
        <v>0.44657223717338324</v>
      </c>
    </row>
    <row r="1526" spans="1:2" x14ac:dyDescent="0.2">
      <c r="A1526">
        <v>1520</v>
      </c>
      <c r="B1526">
        <v>0.62521127323929515</v>
      </c>
    </row>
    <row r="1527" spans="1:2" x14ac:dyDescent="0.2">
      <c r="A1527">
        <v>1521</v>
      </c>
      <c r="B1527">
        <v>0.28486472907809124</v>
      </c>
    </row>
    <row r="1528" spans="1:2" x14ac:dyDescent="0.2">
      <c r="A1528">
        <v>1522</v>
      </c>
      <c r="B1528">
        <v>0.35022713396028038</v>
      </c>
    </row>
    <row r="1529" spans="1:2" x14ac:dyDescent="0.2">
      <c r="A1529">
        <v>1523</v>
      </c>
      <c r="B1529">
        <v>0.60662094725829008</v>
      </c>
    </row>
    <row r="1530" spans="1:2" x14ac:dyDescent="0.2">
      <c r="A1530">
        <v>1524</v>
      </c>
      <c r="B1530">
        <v>0.34815345211567328</v>
      </c>
    </row>
    <row r="1531" spans="1:2" x14ac:dyDescent="0.2">
      <c r="A1531">
        <v>1525</v>
      </c>
      <c r="B1531">
        <v>0.11962881127559677</v>
      </c>
    </row>
    <row r="1532" spans="1:2" x14ac:dyDescent="0.2">
      <c r="A1532">
        <v>1526</v>
      </c>
      <c r="B1532">
        <v>0.12537492957288854</v>
      </c>
    </row>
    <row r="1533" spans="1:2" x14ac:dyDescent="0.2">
      <c r="A1533">
        <v>1527</v>
      </c>
      <c r="B1533">
        <v>6.481858637212734E-3</v>
      </c>
    </row>
    <row r="1534" spans="1:2" x14ac:dyDescent="0.2">
      <c r="A1534">
        <v>1528</v>
      </c>
      <c r="B1534">
        <v>0.80556585021877347</v>
      </c>
    </row>
    <row r="1535" spans="1:2" x14ac:dyDescent="0.2">
      <c r="A1535">
        <v>1529</v>
      </c>
      <c r="B1535">
        <v>0.96424430376202552</v>
      </c>
    </row>
    <row r="1536" spans="1:2" x14ac:dyDescent="0.2">
      <c r="A1536">
        <v>1530</v>
      </c>
      <c r="B1536">
        <v>0.90690020151113304</v>
      </c>
    </row>
    <row r="1537" spans="1:2" x14ac:dyDescent="0.2">
      <c r="A1537">
        <v>1531</v>
      </c>
      <c r="B1537">
        <v>0.75287851746535184</v>
      </c>
    </row>
    <row r="1538" spans="1:2" x14ac:dyDescent="0.2">
      <c r="A1538">
        <v>1532</v>
      </c>
      <c r="B1538">
        <v>0.5042345706480541</v>
      </c>
    </row>
    <row r="1539" spans="1:2" x14ac:dyDescent="0.2">
      <c r="A1539">
        <v>1533</v>
      </c>
      <c r="B1539">
        <v>0.44235961957609637</v>
      </c>
    </row>
    <row r="1540" spans="1:2" x14ac:dyDescent="0.2">
      <c r="A1540">
        <v>1534</v>
      </c>
      <c r="B1540">
        <v>0.14084290720841308</v>
      </c>
    </row>
    <row r="1541" spans="1:2" x14ac:dyDescent="0.2">
      <c r="A1541">
        <v>1535</v>
      </c>
      <c r="B1541">
        <v>0.90355784804946149</v>
      </c>
    </row>
    <row r="1542" spans="1:2" x14ac:dyDescent="0.2">
      <c r="A1542">
        <v>1536</v>
      </c>
      <c r="B1542">
        <v>0.7767678433009646</v>
      </c>
    </row>
    <row r="1543" spans="1:2" x14ac:dyDescent="0.2">
      <c r="A1543">
        <v>1537</v>
      </c>
      <c r="B1543">
        <v>0.67360237094221775</v>
      </c>
    </row>
    <row r="1544" spans="1:2" x14ac:dyDescent="0.2">
      <c r="A1544">
        <v>1538</v>
      </c>
      <c r="B1544">
        <v>0.37573991477579061</v>
      </c>
    </row>
    <row r="1545" spans="1:2" x14ac:dyDescent="0.2">
      <c r="A1545">
        <v>1539</v>
      </c>
      <c r="B1545">
        <v>0.23894470014842473</v>
      </c>
    </row>
    <row r="1546" spans="1:2" x14ac:dyDescent="0.2">
      <c r="A1546">
        <v>1540</v>
      </c>
      <c r="B1546">
        <v>0.42645277465141218</v>
      </c>
    </row>
    <row r="1547" spans="1:2" x14ac:dyDescent="0.2">
      <c r="A1547">
        <v>1541</v>
      </c>
      <c r="B1547">
        <v>0.12385422982490091</v>
      </c>
    </row>
    <row r="1548" spans="1:2" x14ac:dyDescent="0.2">
      <c r="A1548">
        <v>1542</v>
      </c>
      <c r="B1548">
        <v>0.74447564914481523</v>
      </c>
    </row>
    <row r="1549" spans="1:2" x14ac:dyDescent="0.2">
      <c r="A1549">
        <v>1543</v>
      </c>
      <c r="B1549">
        <v>0.50374380573078159</v>
      </c>
    </row>
    <row r="1550" spans="1:2" x14ac:dyDescent="0.2">
      <c r="A1550">
        <v>1544</v>
      </c>
      <c r="B1550">
        <v>0.35190471276504187</v>
      </c>
    </row>
    <row r="1551" spans="1:2" x14ac:dyDescent="0.2">
      <c r="A1551">
        <v>1545</v>
      </c>
      <c r="B1551">
        <v>0.99927231867726063</v>
      </c>
    </row>
    <row r="1552" spans="1:2" x14ac:dyDescent="0.2">
      <c r="A1552">
        <v>1546</v>
      </c>
      <c r="B1552">
        <v>0.37623801397734091</v>
      </c>
    </row>
    <row r="1553" spans="1:2" x14ac:dyDescent="0.2">
      <c r="A1553">
        <v>1547</v>
      </c>
      <c r="B1553">
        <v>0.16225101920962426</v>
      </c>
    </row>
    <row r="1554" spans="1:2" x14ac:dyDescent="0.2">
      <c r="A1554">
        <v>1548</v>
      </c>
      <c r="B1554">
        <v>0.5090628387305115</v>
      </c>
    </row>
    <row r="1555" spans="1:2" x14ac:dyDescent="0.2">
      <c r="A1555">
        <v>1549</v>
      </c>
      <c r="B1555">
        <v>0.18115589077761141</v>
      </c>
    </row>
    <row r="1556" spans="1:2" x14ac:dyDescent="0.2">
      <c r="A1556">
        <v>1550</v>
      </c>
      <c r="B1556">
        <v>0.36452745191784397</v>
      </c>
    </row>
    <row r="1557" spans="1:2" x14ac:dyDescent="0.2">
      <c r="A1557">
        <v>1551</v>
      </c>
      <c r="B1557">
        <v>0.82864299880759873</v>
      </c>
    </row>
    <row r="1558" spans="1:2" x14ac:dyDescent="0.2">
      <c r="A1558">
        <v>1552</v>
      </c>
      <c r="B1558">
        <v>0.96922064099476679</v>
      </c>
    </row>
    <row r="1559" spans="1:2" x14ac:dyDescent="0.2">
      <c r="A1559">
        <v>1553</v>
      </c>
      <c r="B1559">
        <v>4.5309413237410001E-2</v>
      </c>
    </row>
    <row r="1560" spans="1:2" x14ac:dyDescent="0.2">
      <c r="A1560">
        <v>1554</v>
      </c>
      <c r="B1560">
        <v>0.85239398262951782</v>
      </c>
    </row>
    <row r="1561" spans="1:2" x14ac:dyDescent="0.2">
      <c r="A1561">
        <v>1555</v>
      </c>
      <c r="B1561">
        <v>1.9707149449251893E-2</v>
      </c>
    </row>
    <row r="1562" spans="1:2" x14ac:dyDescent="0.2">
      <c r="A1562">
        <v>1556</v>
      </c>
      <c r="B1562">
        <v>8.6571660835951469E-2</v>
      </c>
    </row>
    <row r="1563" spans="1:2" x14ac:dyDescent="0.2">
      <c r="A1563">
        <v>1557</v>
      </c>
      <c r="B1563">
        <v>0.58598269225335298</v>
      </c>
    </row>
    <row r="1564" spans="1:2" x14ac:dyDescent="0.2">
      <c r="A1564">
        <v>1558</v>
      </c>
      <c r="B1564">
        <v>0.96927277779730192</v>
      </c>
    </row>
    <row r="1565" spans="1:2" x14ac:dyDescent="0.2">
      <c r="A1565">
        <v>1559</v>
      </c>
      <c r="B1565">
        <v>0.14114160332829595</v>
      </c>
    </row>
    <row r="1566" spans="1:2" x14ac:dyDescent="0.2">
      <c r="A1566">
        <v>1560</v>
      </c>
      <c r="B1566">
        <v>0.58223740512143385</v>
      </c>
    </row>
    <row r="1567" spans="1:2" x14ac:dyDescent="0.2">
      <c r="A1567">
        <v>1561</v>
      </c>
      <c r="B1567">
        <v>0.65306701697549097</v>
      </c>
    </row>
    <row r="1568" spans="1:2" x14ac:dyDescent="0.2">
      <c r="A1568">
        <v>1562</v>
      </c>
      <c r="B1568">
        <v>0.56252647109706022</v>
      </c>
    </row>
    <row r="1569" spans="1:2" x14ac:dyDescent="0.2">
      <c r="A1569">
        <v>1563</v>
      </c>
      <c r="B1569">
        <v>0.8434835666265732</v>
      </c>
    </row>
    <row r="1570" spans="1:2" x14ac:dyDescent="0.2">
      <c r="A1570">
        <v>1564</v>
      </c>
      <c r="B1570">
        <v>4.6998951345563311E-2</v>
      </c>
    </row>
    <row r="1571" spans="1:2" x14ac:dyDescent="0.2">
      <c r="A1571">
        <v>1565</v>
      </c>
      <c r="B1571">
        <v>0.34225122179965517</v>
      </c>
    </row>
    <row r="1572" spans="1:2" x14ac:dyDescent="0.2">
      <c r="A1572">
        <v>1566</v>
      </c>
      <c r="B1572">
        <v>0.36616666808451237</v>
      </c>
    </row>
    <row r="1573" spans="1:2" x14ac:dyDescent="0.2">
      <c r="A1573">
        <v>1567</v>
      </c>
      <c r="B1573">
        <v>0.7477283722781396</v>
      </c>
    </row>
    <row r="1574" spans="1:2" x14ac:dyDescent="0.2">
      <c r="A1574">
        <v>1568</v>
      </c>
      <c r="B1574">
        <v>1.7003158753111203E-2</v>
      </c>
    </row>
    <row r="1575" spans="1:2" x14ac:dyDescent="0.2">
      <c r="A1575">
        <v>1569</v>
      </c>
      <c r="B1575">
        <v>0.69334529237543174</v>
      </c>
    </row>
    <row r="1576" spans="1:2" x14ac:dyDescent="0.2">
      <c r="A1576">
        <v>1570</v>
      </c>
      <c r="B1576">
        <v>0.16298066354285123</v>
      </c>
    </row>
    <row r="1577" spans="1:2" x14ac:dyDescent="0.2">
      <c r="A1577">
        <v>1571</v>
      </c>
      <c r="B1577">
        <v>0.81445290895418898</v>
      </c>
    </row>
    <row r="1578" spans="1:2" x14ac:dyDescent="0.2">
      <c r="A1578">
        <v>1572</v>
      </c>
      <c r="B1578">
        <v>0.39197534916785604</v>
      </c>
    </row>
    <row r="1579" spans="1:2" x14ac:dyDescent="0.2">
      <c r="A1579">
        <v>1573</v>
      </c>
      <c r="B1579">
        <v>3.0594013824616906E-2</v>
      </c>
    </row>
    <row r="1580" spans="1:2" x14ac:dyDescent="0.2">
      <c r="A1580">
        <v>1574</v>
      </c>
      <c r="B1580">
        <v>0.45625180687305111</v>
      </c>
    </row>
    <row r="1581" spans="1:2" x14ac:dyDescent="0.2">
      <c r="A1581">
        <v>1575</v>
      </c>
      <c r="B1581">
        <v>0.80872706235199687</v>
      </c>
    </row>
    <row r="1582" spans="1:2" x14ac:dyDescent="0.2">
      <c r="A1582">
        <v>1576</v>
      </c>
      <c r="B1582">
        <v>0.82125160023478194</v>
      </c>
    </row>
    <row r="1583" spans="1:2" x14ac:dyDescent="0.2">
      <c r="A1583">
        <v>1577</v>
      </c>
      <c r="B1583">
        <v>0.5282636624020377</v>
      </c>
    </row>
    <row r="1584" spans="1:2" x14ac:dyDescent="0.2">
      <c r="A1584">
        <v>1578</v>
      </c>
      <c r="B1584">
        <v>0.75690278098768971</v>
      </c>
    </row>
    <row r="1585" spans="1:2" x14ac:dyDescent="0.2">
      <c r="A1585">
        <v>1579</v>
      </c>
      <c r="B1585">
        <v>0.94760949731295441</v>
      </c>
    </row>
    <row r="1586" spans="1:2" x14ac:dyDescent="0.2">
      <c r="A1586">
        <v>1580</v>
      </c>
      <c r="B1586">
        <v>0.33065121169745415</v>
      </c>
    </row>
    <row r="1587" spans="1:2" x14ac:dyDescent="0.2">
      <c r="A1587">
        <v>1581</v>
      </c>
      <c r="B1587">
        <v>8.1968576290158413E-2</v>
      </c>
    </row>
    <row r="1588" spans="1:2" x14ac:dyDescent="0.2">
      <c r="A1588">
        <v>1582</v>
      </c>
      <c r="B1588">
        <v>0.94632739281480671</v>
      </c>
    </row>
    <row r="1589" spans="1:2" x14ac:dyDescent="0.2">
      <c r="A1589">
        <v>1583</v>
      </c>
      <c r="B1589">
        <v>0.98728759137537803</v>
      </c>
    </row>
    <row r="1590" spans="1:2" x14ac:dyDescent="0.2">
      <c r="A1590">
        <v>1584</v>
      </c>
      <c r="B1590">
        <v>0.56091722667936317</v>
      </c>
    </row>
    <row r="1591" spans="1:2" x14ac:dyDescent="0.2">
      <c r="A1591">
        <v>1585</v>
      </c>
      <c r="B1591">
        <v>0.57465091282026415</v>
      </c>
    </row>
    <row r="1592" spans="1:2" x14ac:dyDescent="0.2">
      <c r="A1592">
        <v>1586</v>
      </c>
      <c r="B1592">
        <v>0.60847960672743184</v>
      </c>
    </row>
    <row r="1593" spans="1:2" x14ac:dyDescent="0.2">
      <c r="A1593">
        <v>1587</v>
      </c>
      <c r="B1593">
        <v>0.37843226318571876</v>
      </c>
    </row>
    <row r="1594" spans="1:2" x14ac:dyDescent="0.2">
      <c r="A1594">
        <v>1588</v>
      </c>
      <c r="B1594">
        <v>0.74290050200438196</v>
      </c>
    </row>
    <row r="1595" spans="1:2" x14ac:dyDescent="0.2">
      <c r="A1595">
        <v>1589</v>
      </c>
      <c r="B1595">
        <v>0.56437430976077019</v>
      </c>
    </row>
    <row r="1596" spans="1:2" x14ac:dyDescent="0.2">
      <c r="A1596">
        <v>1590</v>
      </c>
      <c r="B1596">
        <v>5.082498742263819E-2</v>
      </c>
    </row>
    <row r="1597" spans="1:2" x14ac:dyDescent="0.2">
      <c r="A1597">
        <v>1591</v>
      </c>
      <c r="B1597">
        <v>0.54531840059750525</v>
      </c>
    </row>
    <row r="1598" spans="1:2" x14ac:dyDescent="0.2">
      <c r="A1598">
        <v>1592</v>
      </c>
      <c r="B1598">
        <v>0.81028241294686976</v>
      </c>
    </row>
    <row r="1599" spans="1:2" x14ac:dyDescent="0.2">
      <c r="A1599">
        <v>1593</v>
      </c>
      <c r="B1599">
        <v>0.41364446756171847</v>
      </c>
    </row>
    <row r="1600" spans="1:2" x14ac:dyDescent="0.2">
      <c r="A1600">
        <v>1594</v>
      </c>
      <c r="B1600">
        <v>7.6162771146752406E-2</v>
      </c>
    </row>
    <row r="1601" spans="1:2" x14ac:dyDescent="0.2">
      <c r="A1601">
        <v>1595</v>
      </c>
      <c r="B1601">
        <v>0.76091478165381154</v>
      </c>
    </row>
    <row r="1602" spans="1:2" x14ac:dyDescent="0.2">
      <c r="A1602">
        <v>1596</v>
      </c>
      <c r="B1602">
        <v>0.46546796830445747</v>
      </c>
    </row>
    <row r="1603" spans="1:2" x14ac:dyDescent="0.2">
      <c r="A1603">
        <v>1597</v>
      </c>
      <c r="B1603">
        <v>0.92621050124054938</v>
      </c>
    </row>
    <row r="1604" spans="1:2" x14ac:dyDescent="0.2">
      <c r="A1604">
        <v>1598</v>
      </c>
      <c r="B1604">
        <v>0.72120600541200452</v>
      </c>
    </row>
    <row r="1605" spans="1:2" x14ac:dyDescent="0.2">
      <c r="A1605">
        <v>1599</v>
      </c>
      <c r="B1605">
        <v>0.49184163722662011</v>
      </c>
    </row>
    <row r="1606" spans="1:2" x14ac:dyDescent="0.2">
      <c r="A1606">
        <v>1600</v>
      </c>
      <c r="B1606">
        <v>0.36687852947670274</v>
      </c>
    </row>
    <row r="1607" spans="1:2" x14ac:dyDescent="0.2">
      <c r="A1607">
        <v>1601</v>
      </c>
      <c r="B1607">
        <v>0.53216681703774749</v>
      </c>
    </row>
    <row r="1608" spans="1:2" x14ac:dyDescent="0.2">
      <c r="A1608">
        <v>1602</v>
      </c>
      <c r="B1608">
        <v>0.75932382927772424</v>
      </c>
    </row>
    <row r="1609" spans="1:2" x14ac:dyDescent="0.2">
      <c r="A1609">
        <v>1603</v>
      </c>
      <c r="B1609">
        <v>0.64223119905205928</v>
      </c>
    </row>
    <row r="1610" spans="1:2" x14ac:dyDescent="0.2">
      <c r="A1610">
        <v>1604</v>
      </c>
      <c r="B1610">
        <v>0.52478907164554389</v>
      </c>
    </row>
    <row r="1611" spans="1:2" x14ac:dyDescent="0.2">
      <c r="A1611">
        <v>1605</v>
      </c>
      <c r="B1611">
        <v>0.28761757545640831</v>
      </c>
    </row>
    <row r="1612" spans="1:2" x14ac:dyDescent="0.2">
      <c r="A1612">
        <v>1606</v>
      </c>
      <c r="B1612">
        <v>8.3771061005768588E-2</v>
      </c>
    </row>
    <row r="1613" spans="1:2" x14ac:dyDescent="0.2">
      <c r="A1613">
        <v>1607</v>
      </c>
      <c r="B1613">
        <v>0.57781236640216316</v>
      </c>
    </row>
    <row r="1614" spans="1:2" x14ac:dyDescent="0.2">
      <c r="A1614">
        <v>1608</v>
      </c>
      <c r="B1614">
        <v>0.7639110135280065</v>
      </c>
    </row>
    <row r="1615" spans="1:2" x14ac:dyDescent="0.2">
      <c r="A1615">
        <v>1609</v>
      </c>
      <c r="B1615">
        <v>0.3429179915728765</v>
      </c>
    </row>
    <row r="1616" spans="1:2" x14ac:dyDescent="0.2">
      <c r="A1616">
        <v>1610</v>
      </c>
      <c r="B1616">
        <v>0.19118342310084102</v>
      </c>
    </row>
    <row r="1617" spans="1:2" x14ac:dyDescent="0.2">
      <c r="A1617">
        <v>1611</v>
      </c>
      <c r="B1617">
        <v>0.28248671101600131</v>
      </c>
    </row>
    <row r="1618" spans="1:2" x14ac:dyDescent="0.2">
      <c r="A1618">
        <v>1612</v>
      </c>
      <c r="B1618">
        <v>4.547898164148223E-2</v>
      </c>
    </row>
    <row r="1619" spans="1:2" x14ac:dyDescent="0.2">
      <c r="A1619">
        <v>1613</v>
      </c>
      <c r="B1619">
        <v>0.52694834528347412</v>
      </c>
    </row>
    <row r="1620" spans="1:2" x14ac:dyDescent="0.2">
      <c r="A1620">
        <v>1614</v>
      </c>
      <c r="B1620">
        <v>0.68189016392472146</v>
      </c>
    </row>
    <row r="1621" spans="1:2" x14ac:dyDescent="0.2">
      <c r="A1621">
        <v>1615</v>
      </c>
      <c r="B1621">
        <v>7.8032817820500755E-2</v>
      </c>
    </row>
    <row r="1622" spans="1:2" x14ac:dyDescent="0.2">
      <c r="A1622">
        <v>1616</v>
      </c>
      <c r="B1622">
        <v>0.58557891300437992</v>
      </c>
    </row>
    <row r="1623" spans="1:2" x14ac:dyDescent="0.2">
      <c r="A1623">
        <v>1617</v>
      </c>
      <c r="B1623">
        <v>0.77864985797513664</v>
      </c>
    </row>
    <row r="1624" spans="1:2" x14ac:dyDescent="0.2">
      <c r="A1624">
        <v>1618</v>
      </c>
      <c r="B1624">
        <v>0.83487623416428991</v>
      </c>
    </row>
    <row r="1625" spans="1:2" x14ac:dyDescent="0.2">
      <c r="A1625">
        <v>1619</v>
      </c>
      <c r="B1625">
        <v>0.14669752273437153</v>
      </c>
    </row>
    <row r="1626" spans="1:2" x14ac:dyDescent="0.2">
      <c r="A1626">
        <v>1620</v>
      </c>
      <c r="B1626">
        <v>0.20884915862361431</v>
      </c>
    </row>
    <row r="1627" spans="1:2" x14ac:dyDescent="0.2">
      <c r="A1627">
        <v>1621</v>
      </c>
      <c r="B1627">
        <v>0.17175198403122094</v>
      </c>
    </row>
    <row r="1628" spans="1:2" x14ac:dyDescent="0.2">
      <c r="A1628">
        <v>1622</v>
      </c>
      <c r="B1628">
        <v>2.5353116228942985E-2</v>
      </c>
    </row>
    <row r="1629" spans="1:2" x14ac:dyDescent="0.2">
      <c r="A1629">
        <v>1623</v>
      </c>
      <c r="B1629">
        <v>0.73580593606261591</v>
      </c>
    </row>
    <row r="1630" spans="1:2" x14ac:dyDescent="0.2">
      <c r="A1630">
        <v>1624</v>
      </c>
      <c r="B1630">
        <v>0.85277396633084823</v>
      </c>
    </row>
    <row r="1631" spans="1:2" x14ac:dyDescent="0.2">
      <c r="A1631">
        <v>1625</v>
      </c>
      <c r="B1631">
        <v>8.8455924020310994E-2</v>
      </c>
    </row>
    <row r="1632" spans="1:2" x14ac:dyDescent="0.2">
      <c r="A1632">
        <v>1626</v>
      </c>
      <c r="B1632">
        <v>0.24381929703567973</v>
      </c>
    </row>
    <row r="1633" spans="1:2" x14ac:dyDescent="0.2">
      <c r="A1633">
        <v>1627</v>
      </c>
      <c r="B1633">
        <v>0.81123075491156138</v>
      </c>
    </row>
    <row r="1634" spans="1:2" x14ac:dyDescent="0.2">
      <c r="A1634">
        <v>1628</v>
      </c>
      <c r="B1634">
        <v>0.62369610549456866</v>
      </c>
    </row>
    <row r="1635" spans="1:2" x14ac:dyDescent="0.2">
      <c r="A1635">
        <v>1629</v>
      </c>
      <c r="B1635">
        <v>0.93113470851172819</v>
      </c>
    </row>
    <row r="1636" spans="1:2" x14ac:dyDescent="0.2">
      <c r="A1636">
        <v>1630</v>
      </c>
      <c r="B1636">
        <v>0.10211772951315579</v>
      </c>
    </row>
    <row r="1637" spans="1:2" x14ac:dyDescent="0.2">
      <c r="A1637">
        <v>1631</v>
      </c>
      <c r="B1637">
        <v>1.5670302673202796E-2</v>
      </c>
    </row>
    <row r="1638" spans="1:2" x14ac:dyDescent="0.2">
      <c r="A1638">
        <v>1632</v>
      </c>
      <c r="B1638">
        <v>0.67733579266274668</v>
      </c>
    </row>
    <row r="1639" spans="1:2" x14ac:dyDescent="0.2">
      <c r="A1639">
        <v>1633</v>
      </c>
      <c r="B1639">
        <v>0.47689783906475625</v>
      </c>
    </row>
    <row r="1640" spans="1:2" x14ac:dyDescent="0.2">
      <c r="A1640">
        <v>1634</v>
      </c>
      <c r="B1640">
        <v>0.20655480994147024</v>
      </c>
    </row>
    <row r="1641" spans="1:2" x14ac:dyDescent="0.2">
      <c r="A1641">
        <v>1635</v>
      </c>
      <c r="B1641">
        <v>0.51696059564892771</v>
      </c>
    </row>
    <row r="1642" spans="1:2" x14ac:dyDescent="0.2">
      <c r="A1642">
        <v>1636</v>
      </c>
      <c r="B1642">
        <v>0.1512833472584092</v>
      </c>
    </row>
    <row r="1643" spans="1:2" x14ac:dyDescent="0.2">
      <c r="A1643">
        <v>1637</v>
      </c>
      <c r="B1643">
        <v>0.59512125238585134</v>
      </c>
    </row>
    <row r="1644" spans="1:2" x14ac:dyDescent="0.2">
      <c r="A1644">
        <v>1638</v>
      </c>
      <c r="B1644">
        <v>0.4826490522916671</v>
      </c>
    </row>
    <row r="1645" spans="1:2" x14ac:dyDescent="0.2">
      <c r="A1645">
        <v>1639</v>
      </c>
      <c r="B1645">
        <v>0.64932981766498044</v>
      </c>
    </row>
    <row r="1646" spans="1:2" x14ac:dyDescent="0.2">
      <c r="A1646">
        <v>1640</v>
      </c>
      <c r="B1646">
        <v>0.61240236800403591</v>
      </c>
    </row>
    <row r="1647" spans="1:2" x14ac:dyDescent="0.2">
      <c r="A1647">
        <v>1641</v>
      </c>
      <c r="B1647">
        <v>0.50647113994432225</v>
      </c>
    </row>
    <row r="1648" spans="1:2" x14ac:dyDescent="0.2">
      <c r="A1648">
        <v>1642</v>
      </c>
      <c r="B1648">
        <v>0.76682814791050535</v>
      </c>
    </row>
    <row r="1649" spans="1:2" x14ac:dyDescent="0.2">
      <c r="A1649">
        <v>1643</v>
      </c>
      <c r="B1649">
        <v>0.52133387360175942</v>
      </c>
    </row>
    <row r="1650" spans="1:2" x14ac:dyDescent="0.2">
      <c r="A1650">
        <v>1644</v>
      </c>
      <c r="B1650">
        <v>0.39216387726721369</v>
      </c>
    </row>
    <row r="1651" spans="1:2" x14ac:dyDescent="0.2">
      <c r="A1651">
        <v>1645</v>
      </c>
      <c r="B1651">
        <v>0.88787268101981842</v>
      </c>
    </row>
    <row r="1652" spans="1:2" x14ac:dyDescent="0.2">
      <c r="A1652">
        <v>1646</v>
      </c>
      <c r="B1652">
        <v>0.4226471108788501</v>
      </c>
    </row>
    <row r="1653" spans="1:2" x14ac:dyDescent="0.2">
      <c r="A1653">
        <v>1647</v>
      </c>
      <c r="B1653">
        <v>0.92394681587042826</v>
      </c>
    </row>
    <row r="1654" spans="1:2" x14ac:dyDescent="0.2">
      <c r="A1654">
        <v>1648</v>
      </c>
      <c r="B1654">
        <v>0.23140131873677461</v>
      </c>
    </row>
    <row r="1655" spans="1:2" x14ac:dyDescent="0.2">
      <c r="A1655">
        <v>1649</v>
      </c>
      <c r="B1655">
        <v>0.53444791220490362</v>
      </c>
    </row>
    <row r="1656" spans="1:2" x14ac:dyDescent="0.2">
      <c r="A1656">
        <v>1650</v>
      </c>
      <c r="B1656">
        <v>0.82926312975141458</v>
      </c>
    </row>
    <row r="1657" spans="1:2" x14ac:dyDescent="0.2">
      <c r="A1657">
        <v>1651</v>
      </c>
      <c r="B1657">
        <v>0.81243452475653133</v>
      </c>
    </row>
    <row r="1658" spans="1:2" x14ac:dyDescent="0.2">
      <c r="A1658">
        <v>1652</v>
      </c>
      <c r="B1658">
        <v>1.8594603350246319E-2</v>
      </c>
    </row>
    <row r="1659" spans="1:2" x14ac:dyDescent="0.2">
      <c r="A1659">
        <v>1653</v>
      </c>
      <c r="B1659">
        <v>0.91697505653009659</v>
      </c>
    </row>
    <row r="1660" spans="1:2" x14ac:dyDescent="0.2">
      <c r="A1660">
        <v>1654</v>
      </c>
      <c r="B1660">
        <v>0.96253618743609004</v>
      </c>
    </row>
    <row r="1661" spans="1:2" x14ac:dyDescent="0.2">
      <c r="A1661">
        <v>1655</v>
      </c>
      <c r="B1661">
        <v>0.61385197899037047</v>
      </c>
    </row>
    <row r="1662" spans="1:2" x14ac:dyDescent="0.2">
      <c r="A1662">
        <v>1656</v>
      </c>
      <c r="B1662">
        <v>5.000655563351708E-2</v>
      </c>
    </row>
    <row r="1663" spans="1:2" x14ac:dyDescent="0.2">
      <c r="A1663">
        <v>1657</v>
      </c>
      <c r="B1663">
        <v>0.14880811234673852</v>
      </c>
    </row>
    <row r="1664" spans="1:2" x14ac:dyDescent="0.2">
      <c r="A1664">
        <v>1658</v>
      </c>
      <c r="B1664">
        <v>0.47127112522440651</v>
      </c>
    </row>
    <row r="1665" spans="1:2" x14ac:dyDescent="0.2">
      <c r="A1665">
        <v>1659</v>
      </c>
      <c r="B1665">
        <v>0.93369502557780193</v>
      </c>
    </row>
    <row r="1666" spans="1:2" x14ac:dyDescent="0.2">
      <c r="A1666">
        <v>1660</v>
      </c>
      <c r="B1666">
        <v>0.99216381353827954</v>
      </c>
    </row>
    <row r="1667" spans="1:2" x14ac:dyDescent="0.2">
      <c r="A1667">
        <v>1661</v>
      </c>
      <c r="B1667">
        <v>0.50358254144822945</v>
      </c>
    </row>
    <row r="1668" spans="1:2" x14ac:dyDescent="0.2">
      <c r="A1668">
        <v>1662</v>
      </c>
      <c r="B1668">
        <v>0.26215340708720181</v>
      </c>
    </row>
    <row r="1669" spans="1:2" x14ac:dyDescent="0.2">
      <c r="A1669">
        <v>1663</v>
      </c>
      <c r="B1669">
        <v>0.6666761357052019</v>
      </c>
    </row>
    <row r="1670" spans="1:2" x14ac:dyDescent="0.2">
      <c r="A1670">
        <v>1664</v>
      </c>
      <c r="B1670">
        <v>3.0913871288473227E-2</v>
      </c>
    </row>
    <row r="1671" spans="1:2" x14ac:dyDescent="0.2">
      <c r="A1671">
        <v>1665</v>
      </c>
      <c r="B1671">
        <v>0.81005895681024431</v>
      </c>
    </row>
    <row r="1672" spans="1:2" x14ac:dyDescent="0.2">
      <c r="A1672">
        <v>1666</v>
      </c>
      <c r="B1672">
        <v>0.74940271395985969</v>
      </c>
    </row>
    <row r="1673" spans="1:2" x14ac:dyDescent="0.2">
      <c r="A1673">
        <v>1667</v>
      </c>
      <c r="B1673">
        <v>0.31460660688087705</v>
      </c>
    </row>
    <row r="1674" spans="1:2" x14ac:dyDescent="0.2">
      <c r="A1674">
        <v>1668</v>
      </c>
      <c r="B1674">
        <v>3.3479159486316523E-2</v>
      </c>
    </row>
    <row r="1675" spans="1:2" x14ac:dyDescent="0.2">
      <c r="A1675">
        <v>1669</v>
      </c>
      <c r="B1675">
        <v>5.7240563824116797E-2</v>
      </c>
    </row>
    <row r="1676" spans="1:2" x14ac:dyDescent="0.2">
      <c r="A1676">
        <v>1670</v>
      </c>
      <c r="B1676">
        <v>0.49494717245274489</v>
      </c>
    </row>
    <row r="1677" spans="1:2" x14ac:dyDescent="0.2">
      <c r="A1677">
        <v>1671</v>
      </c>
      <c r="B1677">
        <v>0.22359629426339456</v>
      </c>
    </row>
    <row r="1678" spans="1:2" x14ac:dyDescent="0.2">
      <c r="A1678">
        <v>1672</v>
      </c>
      <c r="B1678">
        <v>0.14735026376432847</v>
      </c>
    </row>
    <row r="1679" spans="1:2" x14ac:dyDescent="0.2">
      <c r="A1679">
        <v>1673</v>
      </c>
      <c r="B1679">
        <v>0.3977876120487811</v>
      </c>
    </row>
    <row r="1680" spans="1:2" x14ac:dyDescent="0.2">
      <c r="A1680">
        <v>1674</v>
      </c>
      <c r="B1680">
        <v>0.14511230570972811</v>
      </c>
    </row>
    <row r="1681" spans="1:2" x14ac:dyDescent="0.2">
      <c r="A1681">
        <v>1675</v>
      </c>
      <c r="B1681">
        <v>0.98415509445293914</v>
      </c>
    </row>
    <row r="1682" spans="1:2" x14ac:dyDescent="0.2">
      <c r="A1682">
        <v>1676</v>
      </c>
      <c r="B1682">
        <v>0.43239282554316916</v>
      </c>
    </row>
    <row r="1683" spans="1:2" x14ac:dyDescent="0.2">
      <c r="A1683">
        <v>1677</v>
      </c>
      <c r="B1683">
        <v>2.8900599110890046E-2</v>
      </c>
    </row>
    <row r="1684" spans="1:2" x14ac:dyDescent="0.2">
      <c r="A1684">
        <v>1678</v>
      </c>
      <c r="B1684">
        <v>0.61002092023138443</v>
      </c>
    </row>
    <row r="1685" spans="1:2" x14ac:dyDescent="0.2">
      <c r="A1685">
        <v>1679</v>
      </c>
      <c r="B1685">
        <v>0.80822605363424582</v>
      </c>
    </row>
    <row r="1686" spans="1:2" x14ac:dyDescent="0.2">
      <c r="A1686">
        <v>1680</v>
      </c>
      <c r="B1686">
        <v>0.30120620109457741</v>
      </c>
    </row>
    <row r="1687" spans="1:2" x14ac:dyDescent="0.2">
      <c r="A1687">
        <v>1681</v>
      </c>
      <c r="B1687">
        <v>0.52653197016737985</v>
      </c>
    </row>
    <row r="1688" spans="1:2" x14ac:dyDescent="0.2">
      <c r="A1688">
        <v>1682</v>
      </c>
      <c r="B1688">
        <v>0.21812445967135807</v>
      </c>
    </row>
    <row r="1689" spans="1:2" x14ac:dyDescent="0.2">
      <c r="A1689">
        <v>1683</v>
      </c>
      <c r="B1689">
        <v>0.88973208796532899</v>
      </c>
    </row>
    <row r="1690" spans="1:2" x14ac:dyDescent="0.2">
      <c r="A1690">
        <v>1684</v>
      </c>
      <c r="B1690">
        <v>0.9616750344972429</v>
      </c>
    </row>
    <row r="1691" spans="1:2" x14ac:dyDescent="0.2">
      <c r="A1691">
        <v>1685</v>
      </c>
      <c r="B1691">
        <v>0.16947639272043258</v>
      </c>
    </row>
    <row r="1692" spans="1:2" x14ac:dyDescent="0.2">
      <c r="A1692">
        <v>1686</v>
      </c>
      <c r="B1692">
        <v>0.98376295593904317</v>
      </c>
    </row>
    <row r="1693" spans="1:2" x14ac:dyDescent="0.2">
      <c r="A1693">
        <v>1687</v>
      </c>
      <c r="B1693">
        <v>0.92186277533128691</v>
      </c>
    </row>
    <row r="1694" spans="1:2" x14ac:dyDescent="0.2">
      <c r="A1694">
        <v>1688</v>
      </c>
      <c r="B1694">
        <v>0.42574221035147886</v>
      </c>
    </row>
    <row r="1695" spans="1:2" x14ac:dyDescent="0.2">
      <c r="A1695">
        <v>1689</v>
      </c>
      <c r="B1695">
        <v>8.9508657392994073E-2</v>
      </c>
    </row>
    <row r="1696" spans="1:2" x14ac:dyDescent="0.2">
      <c r="A1696">
        <v>1690</v>
      </c>
      <c r="B1696">
        <v>0.73623239260682327</v>
      </c>
    </row>
    <row r="1697" spans="1:2" x14ac:dyDescent="0.2">
      <c r="A1697">
        <v>1691</v>
      </c>
      <c r="B1697">
        <v>0.67877860978380034</v>
      </c>
    </row>
    <row r="1698" spans="1:2" x14ac:dyDescent="0.2">
      <c r="A1698">
        <v>1692</v>
      </c>
      <c r="B1698">
        <v>0.85121674765282929</v>
      </c>
    </row>
    <row r="1699" spans="1:2" x14ac:dyDescent="0.2">
      <c r="A1699">
        <v>1693</v>
      </c>
      <c r="B1699">
        <v>0.64759883855666545</v>
      </c>
    </row>
    <row r="1700" spans="1:2" x14ac:dyDescent="0.2">
      <c r="A1700">
        <v>1694</v>
      </c>
      <c r="B1700">
        <v>0.48375681121195091</v>
      </c>
    </row>
    <row r="1701" spans="1:2" x14ac:dyDescent="0.2">
      <c r="A1701">
        <v>1695</v>
      </c>
      <c r="B1701">
        <v>0.33895903111607284</v>
      </c>
    </row>
    <row r="1702" spans="1:2" x14ac:dyDescent="0.2">
      <c r="A1702">
        <v>1696</v>
      </c>
      <c r="B1702">
        <v>0.89615662672669083</v>
      </c>
    </row>
    <row r="1703" spans="1:2" x14ac:dyDescent="0.2">
      <c r="A1703">
        <v>1697</v>
      </c>
      <c r="B1703">
        <v>0.7579978715336293</v>
      </c>
    </row>
    <row r="1704" spans="1:2" x14ac:dyDescent="0.2">
      <c r="A1704">
        <v>1698</v>
      </c>
      <c r="B1704">
        <v>0.32151698352173652</v>
      </c>
    </row>
    <row r="1705" spans="1:2" x14ac:dyDescent="0.2">
      <c r="A1705">
        <v>1699</v>
      </c>
      <c r="B1705">
        <v>0.54404494323605168</v>
      </c>
    </row>
    <row r="1706" spans="1:2" x14ac:dyDescent="0.2">
      <c r="A1706">
        <v>1700</v>
      </c>
      <c r="B1706">
        <v>0.31400804153128403</v>
      </c>
    </row>
    <row r="1707" spans="1:2" x14ac:dyDescent="0.2">
      <c r="A1707">
        <v>1701</v>
      </c>
      <c r="B1707">
        <v>0.59269076186580572</v>
      </c>
    </row>
    <row r="1708" spans="1:2" x14ac:dyDescent="0.2">
      <c r="A1708">
        <v>1702</v>
      </c>
      <c r="B1708">
        <v>0.98202256422409706</v>
      </c>
    </row>
    <row r="1709" spans="1:2" x14ac:dyDescent="0.2">
      <c r="A1709">
        <v>1703</v>
      </c>
      <c r="B1709">
        <v>0.44683496577122106</v>
      </c>
    </row>
    <row r="1710" spans="1:2" x14ac:dyDescent="0.2">
      <c r="A1710">
        <v>1704</v>
      </c>
      <c r="B1710">
        <v>0.4927682067693947</v>
      </c>
    </row>
    <row r="1711" spans="1:2" x14ac:dyDescent="0.2">
      <c r="A1711">
        <v>1705</v>
      </c>
      <c r="B1711">
        <v>9.0417706757268679E-3</v>
      </c>
    </row>
    <row r="1712" spans="1:2" x14ac:dyDescent="0.2">
      <c r="A1712">
        <v>1706</v>
      </c>
      <c r="B1712">
        <v>0.74811213451386682</v>
      </c>
    </row>
    <row r="1713" spans="1:2" x14ac:dyDescent="0.2">
      <c r="A1713">
        <v>1707</v>
      </c>
      <c r="B1713">
        <v>0.2953703431463619</v>
      </c>
    </row>
    <row r="1714" spans="1:2" x14ac:dyDescent="0.2">
      <c r="A1714">
        <v>1708</v>
      </c>
      <c r="B1714">
        <v>0.86902497709484994</v>
      </c>
    </row>
    <row r="1715" spans="1:2" x14ac:dyDescent="0.2">
      <c r="A1715">
        <v>1709</v>
      </c>
      <c r="B1715">
        <v>0.53220429755445198</v>
      </c>
    </row>
    <row r="1716" spans="1:2" x14ac:dyDescent="0.2">
      <c r="A1716">
        <v>1710</v>
      </c>
      <c r="B1716">
        <v>0.98655491497739933</v>
      </c>
    </row>
    <row r="1717" spans="1:2" x14ac:dyDescent="0.2">
      <c r="A1717">
        <v>1711</v>
      </c>
      <c r="B1717">
        <v>0.77809248590671332</v>
      </c>
    </row>
    <row r="1718" spans="1:2" x14ac:dyDescent="0.2">
      <c r="A1718">
        <v>1712</v>
      </c>
      <c r="B1718">
        <v>0.31403111822522611</v>
      </c>
    </row>
    <row r="1719" spans="1:2" x14ac:dyDescent="0.2">
      <c r="A1719">
        <v>1713</v>
      </c>
      <c r="B1719">
        <v>1.1434748445057319E-2</v>
      </c>
    </row>
    <row r="1720" spans="1:2" x14ac:dyDescent="0.2">
      <c r="A1720">
        <v>1714</v>
      </c>
      <c r="B1720">
        <v>3.139296420514559E-2</v>
      </c>
    </row>
    <row r="1721" spans="1:2" x14ac:dyDescent="0.2">
      <c r="A1721">
        <v>1715</v>
      </c>
      <c r="B1721">
        <v>2.8468340625673494E-2</v>
      </c>
    </row>
    <row r="1722" spans="1:2" x14ac:dyDescent="0.2">
      <c r="A1722">
        <v>1716</v>
      </c>
      <c r="B1722">
        <v>0.7389138418066229</v>
      </c>
    </row>
    <row r="1723" spans="1:2" x14ac:dyDescent="0.2">
      <c r="A1723">
        <v>1717</v>
      </c>
      <c r="B1723">
        <v>0.83357096769105365</v>
      </c>
    </row>
    <row r="1724" spans="1:2" x14ac:dyDescent="0.2">
      <c r="A1724">
        <v>1718</v>
      </c>
      <c r="B1724">
        <v>0.85134373177908129</v>
      </c>
    </row>
    <row r="1725" spans="1:2" x14ac:dyDescent="0.2">
      <c r="A1725">
        <v>1719</v>
      </c>
      <c r="B1725">
        <v>0.15259863132109297</v>
      </c>
    </row>
    <row r="1726" spans="1:2" x14ac:dyDescent="0.2">
      <c r="A1726">
        <v>1720</v>
      </c>
      <c r="B1726">
        <v>0.7418225161383305</v>
      </c>
    </row>
    <row r="1727" spans="1:2" x14ac:dyDescent="0.2">
      <c r="A1727">
        <v>1721</v>
      </c>
      <c r="B1727">
        <v>0.51863579202067545</v>
      </c>
    </row>
    <row r="1728" spans="1:2" x14ac:dyDescent="0.2">
      <c r="A1728">
        <v>1722</v>
      </c>
      <c r="B1728">
        <v>0.66693296904538757</v>
      </c>
    </row>
    <row r="1729" spans="1:2" x14ac:dyDescent="0.2">
      <c r="A1729">
        <v>1723</v>
      </c>
      <c r="B1729">
        <v>0.426328728645334</v>
      </c>
    </row>
    <row r="1730" spans="1:2" x14ac:dyDescent="0.2">
      <c r="A1730">
        <v>1724</v>
      </c>
      <c r="B1730">
        <v>0.58407106729858294</v>
      </c>
    </row>
    <row r="1731" spans="1:2" x14ac:dyDescent="0.2">
      <c r="A1731">
        <v>1725</v>
      </c>
      <c r="B1731">
        <v>0.49260890649928024</v>
      </c>
    </row>
    <row r="1732" spans="1:2" x14ac:dyDescent="0.2">
      <c r="A1732">
        <v>1726</v>
      </c>
      <c r="B1732">
        <v>0.86003288699088765</v>
      </c>
    </row>
    <row r="1733" spans="1:2" x14ac:dyDescent="0.2">
      <c r="A1733">
        <v>1727</v>
      </c>
      <c r="B1733">
        <v>0.4288294220204647</v>
      </c>
    </row>
    <row r="1734" spans="1:2" x14ac:dyDescent="0.2">
      <c r="A1734">
        <v>1728</v>
      </c>
      <c r="B1734">
        <v>2.8457443142672956E-2</v>
      </c>
    </row>
    <row r="1735" spans="1:2" x14ac:dyDescent="0.2">
      <c r="A1735">
        <v>1729</v>
      </c>
      <c r="B1735">
        <v>0.91696714034188875</v>
      </c>
    </row>
    <row r="1736" spans="1:2" x14ac:dyDescent="0.2">
      <c r="A1736">
        <v>1730</v>
      </c>
      <c r="B1736">
        <v>0.8936639107856551</v>
      </c>
    </row>
    <row r="1737" spans="1:2" x14ac:dyDescent="0.2">
      <c r="A1737">
        <v>1731</v>
      </c>
      <c r="B1737">
        <v>5.2328130070872669E-2</v>
      </c>
    </row>
    <row r="1738" spans="1:2" x14ac:dyDescent="0.2">
      <c r="A1738">
        <v>1732</v>
      </c>
      <c r="B1738">
        <v>0.83049302253960566</v>
      </c>
    </row>
    <row r="1739" spans="1:2" x14ac:dyDescent="0.2">
      <c r="A1739">
        <v>1733</v>
      </c>
      <c r="B1739">
        <v>0.47822610899021012</v>
      </c>
    </row>
    <row r="1740" spans="1:2" x14ac:dyDescent="0.2">
      <c r="A1740">
        <v>1734</v>
      </c>
      <c r="B1740">
        <v>0.14712686172046929</v>
      </c>
    </row>
    <row r="1741" spans="1:2" x14ac:dyDescent="0.2">
      <c r="A1741">
        <v>1735</v>
      </c>
      <c r="B1741">
        <v>0.29772454130006409</v>
      </c>
    </row>
    <row r="1742" spans="1:2" x14ac:dyDescent="0.2">
      <c r="A1742">
        <v>1736</v>
      </c>
      <c r="B1742">
        <v>0.22988114102720525</v>
      </c>
    </row>
    <row r="1743" spans="1:2" x14ac:dyDescent="0.2">
      <c r="A1743">
        <v>1737</v>
      </c>
      <c r="B1743">
        <v>0.67874092244635365</v>
      </c>
    </row>
    <row r="1744" spans="1:2" x14ac:dyDescent="0.2">
      <c r="A1744">
        <v>1738</v>
      </c>
      <c r="B1744">
        <v>0.37336061565981582</v>
      </c>
    </row>
    <row r="1745" spans="1:2" x14ac:dyDescent="0.2">
      <c r="A1745">
        <v>1739</v>
      </c>
      <c r="B1745">
        <v>0.11221408081033424</v>
      </c>
    </row>
    <row r="1746" spans="1:2" x14ac:dyDescent="0.2">
      <c r="A1746">
        <v>1740</v>
      </c>
      <c r="B1746">
        <v>0.48872039084743735</v>
      </c>
    </row>
    <row r="1747" spans="1:2" x14ac:dyDescent="0.2">
      <c r="A1747">
        <v>1741</v>
      </c>
      <c r="B1747">
        <v>0.78910401839414257</v>
      </c>
    </row>
    <row r="1748" spans="1:2" x14ac:dyDescent="0.2">
      <c r="A1748">
        <v>1742</v>
      </c>
      <c r="B1748">
        <v>0.61213133727038271</v>
      </c>
    </row>
    <row r="1749" spans="1:2" x14ac:dyDescent="0.2">
      <c r="A1749">
        <v>1743</v>
      </c>
      <c r="B1749">
        <v>5.6630564809684203E-2</v>
      </c>
    </row>
    <row r="1750" spans="1:2" x14ac:dyDescent="0.2">
      <c r="A1750">
        <v>1744</v>
      </c>
      <c r="B1750">
        <v>0.76800977892579536</v>
      </c>
    </row>
    <row r="1751" spans="1:2" x14ac:dyDescent="0.2">
      <c r="A1751">
        <v>1745</v>
      </c>
      <c r="B1751">
        <v>0.38881373965930843</v>
      </c>
    </row>
    <row r="1752" spans="1:2" x14ac:dyDescent="0.2">
      <c r="A1752">
        <v>1746</v>
      </c>
      <c r="B1752">
        <v>5.396177201443153E-2</v>
      </c>
    </row>
    <row r="1753" spans="1:2" x14ac:dyDescent="0.2">
      <c r="A1753">
        <v>1747</v>
      </c>
      <c r="B1753">
        <v>0.18827094864154315</v>
      </c>
    </row>
    <row r="1754" spans="1:2" x14ac:dyDescent="0.2">
      <c r="A1754">
        <v>1748</v>
      </c>
      <c r="B1754">
        <v>2.6061960090081771E-2</v>
      </c>
    </row>
    <row r="1755" spans="1:2" x14ac:dyDescent="0.2">
      <c r="A1755">
        <v>1749</v>
      </c>
      <c r="B1755">
        <v>0.2472778409713593</v>
      </c>
    </row>
    <row r="1756" spans="1:2" x14ac:dyDescent="0.2">
      <c r="A1756">
        <v>1750</v>
      </c>
      <c r="B1756">
        <v>0.20561433674645013</v>
      </c>
    </row>
    <row r="1757" spans="1:2" x14ac:dyDescent="0.2">
      <c r="A1757">
        <v>1751</v>
      </c>
      <c r="B1757">
        <v>7.0709979666360723E-2</v>
      </c>
    </row>
    <row r="1758" spans="1:2" x14ac:dyDescent="0.2">
      <c r="A1758">
        <v>1752</v>
      </c>
      <c r="B1758">
        <v>2.2845836849841428E-2</v>
      </c>
    </row>
    <row r="1759" spans="1:2" x14ac:dyDescent="0.2">
      <c r="A1759">
        <v>1753</v>
      </c>
      <c r="B1759">
        <v>0.73338197128192673</v>
      </c>
    </row>
    <row r="1760" spans="1:2" x14ac:dyDescent="0.2">
      <c r="A1760">
        <v>1754</v>
      </c>
      <c r="B1760">
        <v>0.31042676533560476</v>
      </c>
    </row>
    <row r="1761" spans="1:2" x14ac:dyDescent="0.2">
      <c r="A1761">
        <v>1755</v>
      </c>
      <c r="B1761">
        <v>0.26883213764345104</v>
      </c>
    </row>
    <row r="1762" spans="1:2" x14ac:dyDescent="0.2">
      <c r="A1762">
        <v>1756</v>
      </c>
      <c r="B1762">
        <v>0.1662548386010928</v>
      </c>
    </row>
    <row r="1763" spans="1:2" x14ac:dyDescent="0.2">
      <c r="A1763">
        <v>1757</v>
      </c>
      <c r="B1763">
        <v>0.55651522046633206</v>
      </c>
    </row>
    <row r="1764" spans="1:2" x14ac:dyDescent="0.2">
      <c r="A1764">
        <v>1758</v>
      </c>
      <c r="B1764">
        <v>0.75273633033420795</v>
      </c>
    </row>
    <row r="1765" spans="1:2" x14ac:dyDescent="0.2">
      <c r="A1765">
        <v>1759</v>
      </c>
      <c r="B1765">
        <v>0.18215600287124367</v>
      </c>
    </row>
    <row r="1766" spans="1:2" x14ac:dyDescent="0.2">
      <c r="A1766">
        <v>1760</v>
      </c>
      <c r="B1766">
        <v>0.74261058696751148</v>
      </c>
    </row>
    <row r="1767" spans="1:2" x14ac:dyDescent="0.2">
      <c r="A1767">
        <v>1761</v>
      </c>
      <c r="B1767">
        <v>0.25251626799111793</v>
      </c>
    </row>
    <row r="1768" spans="1:2" x14ac:dyDescent="0.2">
      <c r="A1768">
        <v>1762</v>
      </c>
      <c r="B1768">
        <v>0.29547579765741638</v>
      </c>
    </row>
    <row r="1769" spans="1:2" x14ac:dyDescent="0.2">
      <c r="A1769">
        <v>1763</v>
      </c>
      <c r="B1769">
        <v>0.16147500612149268</v>
      </c>
    </row>
    <row r="1770" spans="1:2" x14ac:dyDescent="0.2">
      <c r="A1770">
        <v>1764</v>
      </c>
      <c r="B1770">
        <v>0.57904191314158859</v>
      </c>
    </row>
    <row r="1771" spans="1:2" x14ac:dyDescent="0.2">
      <c r="A1771">
        <v>1765</v>
      </c>
      <c r="B1771">
        <v>0.33192159643305574</v>
      </c>
    </row>
    <row r="1772" spans="1:2" x14ac:dyDescent="0.2">
      <c r="A1772">
        <v>1766</v>
      </c>
      <c r="B1772">
        <v>0.34353764728328973</v>
      </c>
    </row>
    <row r="1773" spans="1:2" x14ac:dyDescent="0.2">
      <c r="A1773">
        <v>1767</v>
      </c>
      <c r="B1773">
        <v>0.81122885276300616</v>
      </c>
    </row>
    <row r="1774" spans="1:2" x14ac:dyDescent="0.2">
      <c r="A1774">
        <v>1768</v>
      </c>
      <c r="B1774">
        <v>0.5981213095865644</v>
      </c>
    </row>
    <row r="1775" spans="1:2" x14ac:dyDescent="0.2">
      <c r="A1775">
        <v>1769</v>
      </c>
      <c r="B1775">
        <v>0.94153654793342789</v>
      </c>
    </row>
    <row r="1776" spans="1:2" x14ac:dyDescent="0.2">
      <c r="A1776">
        <v>1770</v>
      </c>
      <c r="B1776">
        <v>0.53483368093896932</v>
      </c>
    </row>
    <row r="1777" spans="1:2" x14ac:dyDescent="0.2">
      <c r="A1777">
        <v>1771</v>
      </c>
      <c r="B1777">
        <v>0.75221107308346502</v>
      </c>
    </row>
    <row r="1778" spans="1:2" x14ac:dyDescent="0.2">
      <c r="A1778">
        <v>1772</v>
      </c>
      <c r="B1778">
        <v>0.81315261824999563</v>
      </c>
    </row>
    <row r="1779" spans="1:2" x14ac:dyDescent="0.2">
      <c r="A1779">
        <v>1773</v>
      </c>
      <c r="B1779">
        <v>0.42676187396193299</v>
      </c>
    </row>
    <row r="1780" spans="1:2" x14ac:dyDescent="0.2">
      <c r="A1780">
        <v>1774</v>
      </c>
      <c r="B1780">
        <v>0.28961136848093783</v>
      </c>
    </row>
    <row r="1781" spans="1:2" x14ac:dyDescent="0.2">
      <c r="A1781">
        <v>1775</v>
      </c>
      <c r="B1781">
        <v>0.14683114966319566</v>
      </c>
    </row>
    <row r="1782" spans="1:2" x14ac:dyDescent="0.2">
      <c r="A1782">
        <v>1776</v>
      </c>
      <c r="B1782">
        <v>0.85724967628203153</v>
      </c>
    </row>
    <row r="1783" spans="1:2" x14ac:dyDescent="0.2">
      <c r="A1783">
        <v>1777</v>
      </c>
      <c r="B1783">
        <v>0.2365963058407089</v>
      </c>
    </row>
    <row r="1784" spans="1:2" x14ac:dyDescent="0.2">
      <c r="A1784">
        <v>1778</v>
      </c>
      <c r="B1784">
        <v>0.11612678321298853</v>
      </c>
    </row>
    <row r="1785" spans="1:2" x14ac:dyDescent="0.2">
      <c r="A1785">
        <v>1779</v>
      </c>
      <c r="B1785">
        <v>0.2748069846677792</v>
      </c>
    </row>
    <row r="1786" spans="1:2" x14ac:dyDescent="0.2">
      <c r="A1786">
        <v>1780</v>
      </c>
      <c r="B1786">
        <v>4.0910723866141474E-2</v>
      </c>
    </row>
    <row r="1787" spans="1:2" x14ac:dyDescent="0.2">
      <c r="A1787">
        <v>1781</v>
      </c>
      <c r="B1787">
        <v>0.13636917121075842</v>
      </c>
    </row>
    <row r="1788" spans="1:2" x14ac:dyDescent="0.2">
      <c r="A1788">
        <v>1782</v>
      </c>
      <c r="B1788">
        <v>0.84614896200230738</v>
      </c>
    </row>
    <row r="1789" spans="1:2" x14ac:dyDescent="0.2">
      <c r="A1789">
        <v>1783</v>
      </c>
      <c r="B1789">
        <v>5.9182629258598518E-2</v>
      </c>
    </row>
    <row r="1790" spans="1:2" x14ac:dyDescent="0.2">
      <c r="A1790">
        <v>1784</v>
      </c>
      <c r="B1790">
        <v>0.61428333641975041</v>
      </c>
    </row>
    <row r="1791" spans="1:2" x14ac:dyDescent="0.2">
      <c r="A1791">
        <v>1785</v>
      </c>
      <c r="B1791">
        <v>0.43580825750746</v>
      </c>
    </row>
    <row r="1792" spans="1:2" x14ac:dyDescent="0.2">
      <c r="A1792">
        <v>1786</v>
      </c>
      <c r="B1792">
        <v>0.28656226298032594</v>
      </c>
    </row>
    <row r="1793" spans="1:2" x14ac:dyDescent="0.2">
      <c r="A1793">
        <v>1787</v>
      </c>
      <c r="B1793">
        <v>0.19336696736751935</v>
      </c>
    </row>
    <row r="1794" spans="1:2" x14ac:dyDescent="0.2">
      <c r="A1794">
        <v>1788</v>
      </c>
      <c r="B1794">
        <v>5.304309075035718E-2</v>
      </c>
    </row>
    <row r="1795" spans="1:2" x14ac:dyDescent="0.2">
      <c r="A1795">
        <v>1789</v>
      </c>
      <c r="B1795">
        <v>0.27098155162167148</v>
      </c>
    </row>
    <row r="1796" spans="1:2" x14ac:dyDescent="0.2">
      <c r="A1796">
        <v>1790</v>
      </c>
      <c r="B1796">
        <v>0.33244505606310293</v>
      </c>
    </row>
    <row r="1797" spans="1:2" x14ac:dyDescent="0.2">
      <c r="A1797">
        <v>1791</v>
      </c>
      <c r="B1797">
        <v>0.19874645189952456</v>
      </c>
    </row>
    <row r="1798" spans="1:2" x14ac:dyDescent="0.2">
      <c r="A1798">
        <v>1792</v>
      </c>
      <c r="B1798">
        <v>0.54948884406790943</v>
      </c>
    </row>
    <row r="1799" spans="1:2" x14ac:dyDescent="0.2">
      <c r="A1799">
        <v>1793</v>
      </c>
      <c r="B1799">
        <v>0.40565110738306787</v>
      </c>
    </row>
    <row r="1800" spans="1:2" x14ac:dyDescent="0.2">
      <c r="A1800">
        <v>1794</v>
      </c>
      <c r="B1800">
        <v>0.5937521879935771</v>
      </c>
    </row>
    <row r="1801" spans="1:2" x14ac:dyDescent="0.2">
      <c r="A1801">
        <v>1795</v>
      </c>
      <c r="B1801">
        <v>0.37820511676385604</v>
      </c>
    </row>
    <row r="1802" spans="1:2" x14ac:dyDescent="0.2">
      <c r="A1802">
        <v>1796</v>
      </c>
      <c r="B1802">
        <v>4.6804787942028914E-2</v>
      </c>
    </row>
    <row r="1803" spans="1:2" x14ac:dyDescent="0.2">
      <c r="A1803">
        <v>1797</v>
      </c>
      <c r="B1803">
        <v>0.80643481176909504</v>
      </c>
    </row>
    <row r="1804" spans="1:2" x14ac:dyDescent="0.2">
      <c r="A1804">
        <v>1798</v>
      </c>
      <c r="B1804">
        <v>6.312881546794602E-2</v>
      </c>
    </row>
    <row r="1805" spans="1:2" x14ac:dyDescent="0.2">
      <c r="A1805">
        <v>1799</v>
      </c>
      <c r="B1805">
        <v>0.33274838561273767</v>
      </c>
    </row>
    <row r="1806" spans="1:2" x14ac:dyDescent="0.2">
      <c r="A1806">
        <v>1800</v>
      </c>
      <c r="B1806">
        <v>0.39319015286840597</v>
      </c>
    </row>
    <row r="1807" spans="1:2" x14ac:dyDescent="0.2">
      <c r="A1807">
        <v>1801</v>
      </c>
      <c r="B1807">
        <v>0.40049283835102678</v>
      </c>
    </row>
    <row r="1808" spans="1:2" x14ac:dyDescent="0.2">
      <c r="A1808">
        <v>1802</v>
      </c>
      <c r="B1808">
        <v>0.34888605275169204</v>
      </c>
    </row>
    <row r="1809" spans="1:2" x14ac:dyDescent="0.2">
      <c r="A1809">
        <v>1803</v>
      </c>
      <c r="B1809">
        <v>0.36434628281368242</v>
      </c>
    </row>
    <row r="1810" spans="1:2" x14ac:dyDescent="0.2">
      <c r="A1810">
        <v>1804</v>
      </c>
      <c r="B1810">
        <v>0.61124003750948364</v>
      </c>
    </row>
    <row r="1811" spans="1:2" x14ac:dyDescent="0.2">
      <c r="A1811">
        <v>1805</v>
      </c>
      <c r="B1811">
        <v>0.90978826140229185</v>
      </c>
    </row>
    <row r="1812" spans="1:2" x14ac:dyDescent="0.2">
      <c r="A1812">
        <v>1806</v>
      </c>
      <c r="B1812">
        <v>0.68980065455492368</v>
      </c>
    </row>
    <row r="1813" spans="1:2" x14ac:dyDescent="0.2">
      <c r="A1813">
        <v>1807</v>
      </c>
      <c r="B1813">
        <v>0.9803541062142167</v>
      </c>
    </row>
    <row r="1814" spans="1:2" x14ac:dyDescent="0.2">
      <c r="A1814">
        <v>1808</v>
      </c>
      <c r="B1814">
        <v>0.74641485307394972</v>
      </c>
    </row>
    <row r="1815" spans="1:2" x14ac:dyDescent="0.2">
      <c r="A1815">
        <v>1809</v>
      </c>
      <c r="B1815">
        <v>0.82632628464272273</v>
      </c>
    </row>
    <row r="1816" spans="1:2" x14ac:dyDescent="0.2">
      <c r="A1816">
        <v>1810</v>
      </c>
      <c r="B1816">
        <v>0.22166546713415303</v>
      </c>
    </row>
    <row r="1817" spans="1:2" x14ac:dyDescent="0.2">
      <c r="A1817">
        <v>1811</v>
      </c>
      <c r="B1817">
        <v>0.27586099533195918</v>
      </c>
    </row>
    <row r="1818" spans="1:2" x14ac:dyDescent="0.2">
      <c r="A1818">
        <v>1812</v>
      </c>
      <c r="B1818">
        <v>0.13112618097077233</v>
      </c>
    </row>
    <row r="1819" spans="1:2" x14ac:dyDescent="0.2">
      <c r="A1819">
        <v>1813</v>
      </c>
      <c r="B1819">
        <v>0.5010375979696835</v>
      </c>
    </row>
    <row r="1820" spans="1:2" x14ac:dyDescent="0.2">
      <c r="A1820">
        <v>1814</v>
      </c>
      <c r="B1820">
        <v>3.2982319236642632E-2</v>
      </c>
    </row>
    <row r="1821" spans="1:2" x14ac:dyDescent="0.2">
      <c r="A1821">
        <v>1815</v>
      </c>
      <c r="B1821">
        <v>0.50996168103551209</v>
      </c>
    </row>
    <row r="1822" spans="1:2" x14ac:dyDescent="0.2">
      <c r="A1822">
        <v>1816</v>
      </c>
      <c r="B1822">
        <v>0.50116194345291487</v>
      </c>
    </row>
    <row r="1823" spans="1:2" x14ac:dyDescent="0.2">
      <c r="A1823">
        <v>1817</v>
      </c>
      <c r="B1823">
        <v>4.9501300598254083E-2</v>
      </c>
    </row>
    <row r="1824" spans="1:2" x14ac:dyDescent="0.2">
      <c r="A1824">
        <v>1818</v>
      </c>
      <c r="B1824">
        <v>0.83829947098764024</v>
      </c>
    </row>
    <row r="1825" spans="1:2" x14ac:dyDescent="0.2">
      <c r="A1825">
        <v>1819</v>
      </c>
      <c r="B1825">
        <v>0.2171155565926115</v>
      </c>
    </row>
    <row r="1826" spans="1:2" x14ac:dyDescent="0.2">
      <c r="A1826">
        <v>1820</v>
      </c>
      <c r="B1826">
        <v>0.21413712697280451</v>
      </c>
    </row>
    <row r="1827" spans="1:2" x14ac:dyDescent="0.2">
      <c r="A1827">
        <v>1821</v>
      </c>
      <c r="B1827">
        <v>0.54484591526415449</v>
      </c>
    </row>
    <row r="1828" spans="1:2" x14ac:dyDescent="0.2">
      <c r="A1828">
        <v>1822</v>
      </c>
      <c r="B1828">
        <v>7.501342106151887E-2</v>
      </c>
    </row>
    <row r="1829" spans="1:2" x14ac:dyDescent="0.2">
      <c r="A1829">
        <v>1823</v>
      </c>
      <c r="B1829">
        <v>0.47451932990747281</v>
      </c>
    </row>
    <row r="1830" spans="1:2" x14ac:dyDescent="0.2">
      <c r="A1830">
        <v>1824</v>
      </c>
      <c r="B1830">
        <v>0.20787727319326166</v>
      </c>
    </row>
    <row r="1831" spans="1:2" x14ac:dyDescent="0.2">
      <c r="A1831">
        <v>1825</v>
      </c>
      <c r="B1831">
        <v>0.9610463150643469</v>
      </c>
    </row>
    <row r="1832" spans="1:2" x14ac:dyDescent="0.2">
      <c r="A1832">
        <v>1826</v>
      </c>
      <c r="B1832">
        <v>0.94156380087663838</v>
      </c>
    </row>
    <row r="1833" spans="1:2" x14ac:dyDescent="0.2">
      <c r="A1833">
        <v>1827</v>
      </c>
      <c r="B1833">
        <v>0.36262211803055622</v>
      </c>
    </row>
    <row r="1834" spans="1:2" x14ac:dyDescent="0.2">
      <c r="A1834">
        <v>1828</v>
      </c>
      <c r="B1834">
        <v>0.28032123187646985</v>
      </c>
    </row>
    <row r="1835" spans="1:2" x14ac:dyDescent="0.2">
      <c r="A1835">
        <v>1829</v>
      </c>
      <c r="B1835">
        <v>0.78708675429036479</v>
      </c>
    </row>
    <row r="1836" spans="1:2" x14ac:dyDescent="0.2">
      <c r="A1836">
        <v>1830</v>
      </c>
      <c r="B1836">
        <v>0.13898721583082008</v>
      </c>
    </row>
    <row r="1837" spans="1:2" x14ac:dyDescent="0.2">
      <c r="A1837">
        <v>1831</v>
      </c>
      <c r="B1837">
        <v>0.81526746215896029</v>
      </c>
    </row>
    <row r="1838" spans="1:2" x14ac:dyDescent="0.2">
      <c r="A1838">
        <v>1832</v>
      </c>
      <c r="B1838">
        <v>0.99871833004399613</v>
      </c>
    </row>
    <row r="1839" spans="1:2" x14ac:dyDescent="0.2">
      <c r="A1839">
        <v>1833</v>
      </c>
      <c r="B1839">
        <v>0.66899640519924175</v>
      </c>
    </row>
    <row r="1840" spans="1:2" x14ac:dyDescent="0.2">
      <c r="A1840">
        <v>1834</v>
      </c>
      <c r="B1840">
        <v>0.71519826660219599</v>
      </c>
    </row>
    <row r="1841" spans="1:2" x14ac:dyDescent="0.2">
      <c r="A1841">
        <v>1835</v>
      </c>
      <c r="B1841">
        <v>0.92332585682078872</v>
      </c>
    </row>
    <row r="1842" spans="1:2" x14ac:dyDescent="0.2">
      <c r="A1842">
        <v>1836</v>
      </c>
      <c r="B1842">
        <v>0.75155721856184576</v>
      </c>
    </row>
    <row r="1843" spans="1:2" x14ac:dyDescent="0.2">
      <c r="A1843">
        <v>1837</v>
      </c>
      <c r="B1843">
        <v>0.23253324585720681</v>
      </c>
    </row>
    <row r="1844" spans="1:2" x14ac:dyDescent="0.2">
      <c r="A1844">
        <v>1838</v>
      </c>
      <c r="B1844">
        <v>0.20412296152377774</v>
      </c>
    </row>
    <row r="1845" spans="1:2" x14ac:dyDescent="0.2">
      <c r="A1845">
        <v>1839</v>
      </c>
      <c r="B1845">
        <v>0.22563359026918306</v>
      </c>
    </row>
    <row r="1846" spans="1:2" x14ac:dyDescent="0.2">
      <c r="A1846">
        <v>1840</v>
      </c>
      <c r="B1846">
        <v>0.59077444582554017</v>
      </c>
    </row>
    <row r="1847" spans="1:2" x14ac:dyDescent="0.2">
      <c r="A1847">
        <v>1841</v>
      </c>
      <c r="B1847">
        <v>0.14555449658213315</v>
      </c>
    </row>
    <row r="1848" spans="1:2" x14ac:dyDescent="0.2">
      <c r="A1848">
        <v>1842</v>
      </c>
      <c r="B1848">
        <v>0.1555249460085758</v>
      </c>
    </row>
    <row r="1849" spans="1:2" x14ac:dyDescent="0.2">
      <c r="A1849">
        <v>1843</v>
      </c>
      <c r="B1849">
        <v>2.2039419157983131E-2</v>
      </c>
    </row>
    <row r="1850" spans="1:2" x14ac:dyDescent="0.2">
      <c r="A1850">
        <v>1844</v>
      </c>
      <c r="B1850">
        <v>0.60705119087556259</v>
      </c>
    </row>
    <row r="1851" spans="1:2" x14ac:dyDescent="0.2">
      <c r="A1851">
        <v>1845</v>
      </c>
      <c r="B1851">
        <v>0.1776977047922238</v>
      </c>
    </row>
    <row r="1852" spans="1:2" x14ac:dyDescent="0.2">
      <c r="A1852">
        <v>1846</v>
      </c>
      <c r="B1852">
        <v>3.2154255332517701E-2</v>
      </c>
    </row>
    <row r="1853" spans="1:2" x14ac:dyDescent="0.2">
      <c r="A1853">
        <v>1847</v>
      </c>
      <c r="B1853">
        <v>0.20590967193798992</v>
      </c>
    </row>
    <row r="1854" spans="1:2" x14ac:dyDescent="0.2">
      <c r="A1854">
        <v>1848</v>
      </c>
      <c r="B1854">
        <v>0.71110914412713788</v>
      </c>
    </row>
    <row r="1855" spans="1:2" x14ac:dyDescent="0.2">
      <c r="A1855">
        <v>1849</v>
      </c>
      <c r="B1855">
        <v>0.83228860513295999</v>
      </c>
    </row>
    <row r="1856" spans="1:2" x14ac:dyDescent="0.2">
      <c r="A1856">
        <v>1850</v>
      </c>
      <c r="B1856">
        <v>0.91325363580485475</v>
      </c>
    </row>
    <row r="1857" spans="1:2" x14ac:dyDescent="0.2">
      <c r="A1857">
        <v>1851</v>
      </c>
      <c r="B1857">
        <v>0.72478112399248162</v>
      </c>
    </row>
    <row r="1858" spans="1:2" x14ac:dyDescent="0.2">
      <c r="A1858">
        <v>1852</v>
      </c>
      <c r="B1858">
        <v>0.29164324494448468</v>
      </c>
    </row>
    <row r="1859" spans="1:2" x14ac:dyDescent="0.2">
      <c r="A1859">
        <v>1853</v>
      </c>
      <c r="B1859">
        <v>0.24745391820928042</v>
      </c>
    </row>
    <row r="1860" spans="1:2" x14ac:dyDescent="0.2">
      <c r="A1860">
        <v>1854</v>
      </c>
      <c r="B1860">
        <v>0.13156854406351215</v>
      </c>
    </row>
    <row r="1861" spans="1:2" x14ac:dyDescent="0.2">
      <c r="A1861">
        <v>1855</v>
      </c>
      <c r="B1861">
        <v>0.38915458806532621</v>
      </c>
    </row>
    <row r="1862" spans="1:2" x14ac:dyDescent="0.2">
      <c r="A1862">
        <v>1856</v>
      </c>
      <c r="B1862">
        <v>0.21115564476959348</v>
      </c>
    </row>
    <row r="1863" spans="1:2" x14ac:dyDescent="0.2">
      <c r="A1863">
        <v>1857</v>
      </c>
      <c r="B1863">
        <v>0.78952048586674062</v>
      </c>
    </row>
    <row r="1864" spans="1:2" x14ac:dyDescent="0.2">
      <c r="A1864">
        <v>1858</v>
      </c>
      <c r="B1864">
        <v>0.91802777919447487</v>
      </c>
    </row>
    <row r="1865" spans="1:2" x14ac:dyDescent="0.2">
      <c r="A1865">
        <v>1859</v>
      </c>
      <c r="B1865">
        <v>0.6700173514714971</v>
      </c>
    </row>
    <row r="1866" spans="1:2" x14ac:dyDescent="0.2">
      <c r="A1866">
        <v>1860</v>
      </c>
      <c r="B1866">
        <v>0.61271171407231839</v>
      </c>
    </row>
    <row r="1867" spans="1:2" x14ac:dyDescent="0.2">
      <c r="A1867">
        <v>1861</v>
      </c>
      <c r="B1867">
        <v>0.76009379652875175</v>
      </c>
    </row>
    <row r="1868" spans="1:2" x14ac:dyDescent="0.2">
      <c r="A1868">
        <v>1862</v>
      </c>
      <c r="B1868">
        <v>4.1067309900716165E-2</v>
      </c>
    </row>
    <row r="1869" spans="1:2" x14ac:dyDescent="0.2">
      <c r="A1869">
        <v>1863</v>
      </c>
      <c r="B1869">
        <v>0.60718709187064268</v>
      </c>
    </row>
    <row r="1870" spans="1:2" x14ac:dyDescent="0.2">
      <c r="A1870">
        <v>1864</v>
      </c>
      <c r="B1870">
        <v>0.24750687503634428</v>
      </c>
    </row>
    <row r="1871" spans="1:2" x14ac:dyDescent="0.2">
      <c r="A1871">
        <v>1865</v>
      </c>
      <c r="B1871">
        <v>0.15526019148907932</v>
      </c>
    </row>
    <row r="1872" spans="1:2" x14ac:dyDescent="0.2">
      <c r="A1872">
        <v>1866</v>
      </c>
      <c r="B1872">
        <v>0.92462495969744984</v>
      </c>
    </row>
    <row r="1873" spans="1:2" x14ac:dyDescent="0.2">
      <c r="A1873">
        <v>1867</v>
      </c>
      <c r="B1873">
        <v>0.58334691039913522</v>
      </c>
    </row>
    <row r="1874" spans="1:2" x14ac:dyDescent="0.2">
      <c r="A1874">
        <v>1868</v>
      </c>
      <c r="B1874">
        <v>0.88180155346589295</v>
      </c>
    </row>
    <row r="1875" spans="1:2" x14ac:dyDescent="0.2">
      <c r="A1875">
        <v>1869</v>
      </c>
      <c r="B1875">
        <v>0.6597393731419432</v>
      </c>
    </row>
    <row r="1876" spans="1:2" x14ac:dyDescent="0.2">
      <c r="A1876">
        <v>1870</v>
      </c>
      <c r="B1876">
        <v>0.93071503088130936</v>
      </c>
    </row>
    <row r="1877" spans="1:2" x14ac:dyDescent="0.2">
      <c r="A1877">
        <v>1871</v>
      </c>
      <c r="B1877">
        <v>0.65472088388224436</v>
      </c>
    </row>
    <row r="1878" spans="1:2" x14ac:dyDescent="0.2">
      <c r="A1878">
        <v>1872</v>
      </c>
      <c r="B1878">
        <v>0.30019409207222969</v>
      </c>
    </row>
    <row r="1879" spans="1:2" x14ac:dyDescent="0.2">
      <c r="A1879">
        <v>1873</v>
      </c>
      <c r="B1879">
        <v>0.80676878442191524</v>
      </c>
    </row>
    <row r="1880" spans="1:2" x14ac:dyDescent="0.2">
      <c r="A1880">
        <v>1874</v>
      </c>
      <c r="B1880">
        <v>0.16352737219074964</v>
      </c>
    </row>
    <row r="1881" spans="1:2" x14ac:dyDescent="0.2">
      <c r="A1881">
        <v>1875</v>
      </c>
      <c r="B1881">
        <v>0.88999813928253346</v>
      </c>
    </row>
    <row r="1882" spans="1:2" x14ac:dyDescent="0.2">
      <c r="A1882">
        <v>1876</v>
      </c>
      <c r="B1882">
        <v>0.89972041281111592</v>
      </c>
    </row>
    <row r="1883" spans="1:2" x14ac:dyDescent="0.2">
      <c r="A1883">
        <v>1877</v>
      </c>
      <c r="B1883">
        <v>6.437706516207431E-2</v>
      </c>
    </row>
    <row r="1884" spans="1:2" x14ac:dyDescent="0.2">
      <c r="A1884">
        <v>1878</v>
      </c>
      <c r="B1884">
        <v>0.94811122930598213</v>
      </c>
    </row>
    <row r="1885" spans="1:2" x14ac:dyDescent="0.2">
      <c r="A1885">
        <v>1879</v>
      </c>
      <c r="B1885">
        <v>0.15178178049035562</v>
      </c>
    </row>
    <row r="1886" spans="1:2" x14ac:dyDescent="0.2">
      <c r="A1886">
        <v>1880</v>
      </c>
      <c r="B1886">
        <v>0.48635356369876825</v>
      </c>
    </row>
    <row r="1887" spans="1:2" x14ac:dyDescent="0.2">
      <c r="A1887">
        <v>1881</v>
      </c>
      <c r="B1887">
        <v>0.4804684880647756</v>
      </c>
    </row>
    <row r="1888" spans="1:2" x14ac:dyDescent="0.2">
      <c r="A1888">
        <v>1882</v>
      </c>
      <c r="B1888">
        <v>0.14206059683610384</v>
      </c>
    </row>
    <row r="1889" spans="1:2" x14ac:dyDescent="0.2">
      <c r="A1889">
        <v>1883</v>
      </c>
      <c r="B1889">
        <v>0.80309384776650428</v>
      </c>
    </row>
    <row r="1890" spans="1:2" x14ac:dyDescent="0.2">
      <c r="A1890">
        <v>1884</v>
      </c>
      <c r="B1890">
        <v>0.70861855655922068</v>
      </c>
    </row>
    <row r="1891" spans="1:2" x14ac:dyDescent="0.2">
      <c r="A1891">
        <v>1885</v>
      </c>
      <c r="B1891">
        <v>0.83990238440750153</v>
      </c>
    </row>
    <row r="1892" spans="1:2" x14ac:dyDescent="0.2">
      <c r="A1892">
        <v>1886</v>
      </c>
      <c r="B1892">
        <v>0.45886541902958877</v>
      </c>
    </row>
    <row r="1893" spans="1:2" x14ac:dyDescent="0.2">
      <c r="A1893">
        <v>1887</v>
      </c>
      <c r="B1893">
        <v>0.39545958804803982</v>
      </c>
    </row>
    <row r="1894" spans="1:2" x14ac:dyDescent="0.2">
      <c r="A1894">
        <v>1888</v>
      </c>
      <c r="B1894">
        <v>4.3142811733996922E-2</v>
      </c>
    </row>
    <row r="1895" spans="1:2" x14ac:dyDescent="0.2">
      <c r="A1895">
        <v>1889</v>
      </c>
      <c r="B1895">
        <v>0.48665925930967147</v>
      </c>
    </row>
    <row r="1896" spans="1:2" x14ac:dyDescent="0.2">
      <c r="A1896">
        <v>1890</v>
      </c>
      <c r="B1896">
        <v>0.27725660209493308</v>
      </c>
    </row>
    <row r="1897" spans="1:2" x14ac:dyDescent="0.2">
      <c r="A1897">
        <v>1891</v>
      </c>
      <c r="B1897">
        <v>0.63774284639219803</v>
      </c>
    </row>
    <row r="1898" spans="1:2" x14ac:dyDescent="0.2">
      <c r="A1898">
        <v>1892</v>
      </c>
      <c r="B1898">
        <v>0.57412413013817631</v>
      </c>
    </row>
    <row r="1899" spans="1:2" x14ac:dyDescent="0.2">
      <c r="A1899">
        <v>1893</v>
      </c>
      <c r="B1899">
        <v>0.42503312605052046</v>
      </c>
    </row>
    <row r="1900" spans="1:2" x14ac:dyDescent="0.2">
      <c r="A1900">
        <v>1894</v>
      </c>
      <c r="B1900">
        <v>0.33243264860931265</v>
      </c>
    </row>
    <row r="1901" spans="1:2" x14ac:dyDescent="0.2">
      <c r="A1901">
        <v>1895</v>
      </c>
      <c r="B1901">
        <v>0.40662987767429504</v>
      </c>
    </row>
    <row r="1902" spans="1:2" x14ac:dyDescent="0.2">
      <c r="A1902">
        <v>1896</v>
      </c>
      <c r="B1902">
        <v>0.19394554306669887</v>
      </c>
    </row>
    <row r="1903" spans="1:2" x14ac:dyDescent="0.2">
      <c r="A1903">
        <v>1897</v>
      </c>
      <c r="B1903">
        <v>0.34694280754401863</v>
      </c>
    </row>
    <row r="1904" spans="1:2" x14ac:dyDescent="0.2">
      <c r="A1904">
        <v>1898</v>
      </c>
      <c r="B1904">
        <v>0.34111179727608409</v>
      </c>
    </row>
    <row r="1905" spans="1:2" x14ac:dyDescent="0.2">
      <c r="A1905">
        <v>1899</v>
      </c>
      <c r="B1905">
        <v>7.1008766475835428E-2</v>
      </c>
    </row>
    <row r="1906" spans="1:2" x14ac:dyDescent="0.2">
      <c r="A1906">
        <v>1900</v>
      </c>
      <c r="B1906">
        <v>0.68631216426555475</v>
      </c>
    </row>
    <row r="1907" spans="1:2" x14ac:dyDescent="0.2">
      <c r="A1907">
        <v>1901</v>
      </c>
      <c r="B1907">
        <v>0.86856444294695911</v>
      </c>
    </row>
    <row r="1908" spans="1:2" x14ac:dyDescent="0.2">
      <c r="A1908">
        <v>1902</v>
      </c>
      <c r="B1908">
        <v>0.95475774644917122</v>
      </c>
    </row>
    <row r="1909" spans="1:2" x14ac:dyDescent="0.2">
      <c r="A1909">
        <v>1903</v>
      </c>
      <c r="B1909">
        <v>0.91477965447632958</v>
      </c>
    </row>
    <row r="1910" spans="1:2" x14ac:dyDescent="0.2">
      <c r="A1910">
        <v>1904</v>
      </c>
      <c r="B1910">
        <v>0.54944179321876596</v>
      </c>
    </row>
    <row r="1911" spans="1:2" x14ac:dyDescent="0.2">
      <c r="A1911">
        <v>1905</v>
      </c>
      <c r="B1911">
        <v>0.41804092579571805</v>
      </c>
    </row>
    <row r="1912" spans="1:2" x14ac:dyDescent="0.2">
      <c r="A1912">
        <v>1906</v>
      </c>
      <c r="B1912">
        <v>0.52475150538288329</v>
      </c>
    </row>
    <row r="1913" spans="1:2" x14ac:dyDescent="0.2">
      <c r="A1913">
        <v>1907</v>
      </c>
      <c r="B1913">
        <v>0.23468573839696616</v>
      </c>
    </row>
    <row r="1914" spans="1:2" x14ac:dyDescent="0.2">
      <c r="A1914">
        <v>1908</v>
      </c>
      <c r="B1914">
        <v>0.78317120386833572</v>
      </c>
    </row>
    <row r="1915" spans="1:2" x14ac:dyDescent="0.2">
      <c r="A1915">
        <v>1909</v>
      </c>
      <c r="B1915">
        <v>6.8774823770830329E-2</v>
      </c>
    </row>
    <row r="1916" spans="1:2" x14ac:dyDescent="0.2">
      <c r="A1916">
        <v>1910</v>
      </c>
      <c r="B1916">
        <v>0.37012225765082085</v>
      </c>
    </row>
    <row r="1917" spans="1:2" x14ac:dyDescent="0.2">
      <c r="A1917">
        <v>1911</v>
      </c>
      <c r="B1917">
        <v>0.45557289313876492</v>
      </c>
    </row>
    <row r="1918" spans="1:2" x14ac:dyDescent="0.2">
      <c r="A1918">
        <v>1912</v>
      </c>
      <c r="B1918">
        <v>0.54893089634422898</v>
      </c>
    </row>
    <row r="1919" spans="1:2" x14ac:dyDescent="0.2">
      <c r="A1919">
        <v>1913</v>
      </c>
      <c r="B1919">
        <v>0.80293133131469352</v>
      </c>
    </row>
    <row r="1920" spans="1:2" x14ac:dyDescent="0.2">
      <c r="A1920">
        <v>1914</v>
      </c>
      <c r="B1920">
        <v>0.977986126640632</v>
      </c>
    </row>
    <row r="1921" spans="1:2" x14ac:dyDescent="0.2">
      <c r="A1921">
        <v>1915</v>
      </c>
      <c r="B1921">
        <v>0.6638493874313528</v>
      </c>
    </row>
    <row r="1922" spans="1:2" x14ac:dyDescent="0.2">
      <c r="A1922">
        <v>1916</v>
      </c>
      <c r="B1922">
        <v>0.76309616718962681</v>
      </c>
    </row>
    <row r="1923" spans="1:2" x14ac:dyDescent="0.2">
      <c r="A1923">
        <v>1917</v>
      </c>
      <c r="B1923">
        <v>0.18705877310732255</v>
      </c>
    </row>
    <row r="1924" spans="1:2" x14ac:dyDescent="0.2">
      <c r="A1924">
        <v>1918</v>
      </c>
      <c r="B1924">
        <v>0.90516162030668601</v>
      </c>
    </row>
    <row r="1925" spans="1:2" x14ac:dyDescent="0.2">
      <c r="A1925">
        <v>1919</v>
      </c>
      <c r="B1925">
        <v>0.92124644168814251</v>
      </c>
    </row>
    <row r="1926" spans="1:2" x14ac:dyDescent="0.2">
      <c r="A1926">
        <v>1920</v>
      </c>
      <c r="B1926">
        <v>0.21974846085864475</v>
      </c>
    </row>
    <row r="1927" spans="1:2" x14ac:dyDescent="0.2">
      <c r="A1927">
        <v>1921</v>
      </c>
      <c r="B1927">
        <v>0.64923556285734241</v>
      </c>
    </row>
    <row r="1928" spans="1:2" x14ac:dyDescent="0.2">
      <c r="A1928">
        <v>1922</v>
      </c>
      <c r="B1928">
        <v>0.62695467983025743</v>
      </c>
    </row>
    <row r="1929" spans="1:2" x14ac:dyDescent="0.2">
      <c r="A1929">
        <v>1923</v>
      </c>
      <c r="B1929">
        <v>0.78636626581988955</v>
      </c>
    </row>
    <row r="1930" spans="1:2" x14ac:dyDescent="0.2">
      <c r="A1930">
        <v>1924</v>
      </c>
      <c r="B1930">
        <v>0.77363454540832977</v>
      </c>
    </row>
    <row r="1931" spans="1:2" x14ac:dyDescent="0.2">
      <c r="A1931">
        <v>1925</v>
      </c>
      <c r="B1931">
        <v>0.9489509692596817</v>
      </c>
    </row>
    <row r="1932" spans="1:2" x14ac:dyDescent="0.2">
      <c r="A1932">
        <v>1926</v>
      </c>
      <c r="B1932">
        <v>0.75984775819254058</v>
      </c>
    </row>
    <row r="1933" spans="1:2" x14ac:dyDescent="0.2">
      <c r="A1933">
        <v>1927</v>
      </c>
      <c r="B1933">
        <v>0.59454069177260971</v>
      </c>
    </row>
    <row r="1934" spans="1:2" x14ac:dyDescent="0.2">
      <c r="A1934">
        <v>1928</v>
      </c>
      <c r="B1934">
        <v>0.44465830052096889</v>
      </c>
    </row>
    <row r="1935" spans="1:2" x14ac:dyDescent="0.2">
      <c r="A1935">
        <v>1929</v>
      </c>
      <c r="B1935">
        <v>0.7534775918159714</v>
      </c>
    </row>
    <row r="1936" spans="1:2" x14ac:dyDescent="0.2">
      <c r="A1936">
        <v>1930</v>
      </c>
      <c r="B1936">
        <v>0.98570560187344292</v>
      </c>
    </row>
    <row r="1937" spans="1:2" x14ac:dyDescent="0.2">
      <c r="A1937">
        <v>1931</v>
      </c>
      <c r="B1937">
        <v>0.63259415259199958</v>
      </c>
    </row>
    <row r="1938" spans="1:2" x14ac:dyDescent="0.2">
      <c r="A1938">
        <v>1932</v>
      </c>
      <c r="B1938">
        <v>0.17273671222708709</v>
      </c>
    </row>
    <row r="1939" spans="1:2" x14ac:dyDescent="0.2">
      <c r="A1939">
        <v>1933</v>
      </c>
      <c r="B1939">
        <v>0.98905144970409753</v>
      </c>
    </row>
    <row r="1940" spans="1:2" x14ac:dyDescent="0.2">
      <c r="A1940">
        <v>1934</v>
      </c>
      <c r="B1940">
        <v>0.41007440154140007</v>
      </c>
    </row>
    <row r="1941" spans="1:2" x14ac:dyDescent="0.2">
      <c r="A1941">
        <v>1935</v>
      </c>
      <c r="B1941">
        <v>0.23134415843914613</v>
      </c>
    </row>
    <row r="1942" spans="1:2" x14ac:dyDescent="0.2">
      <c r="A1942">
        <v>1936</v>
      </c>
      <c r="B1942">
        <v>0.79643312270576716</v>
      </c>
    </row>
    <row r="1943" spans="1:2" x14ac:dyDescent="0.2">
      <c r="A1943">
        <v>1937</v>
      </c>
      <c r="B1943">
        <v>0.27632914460810132</v>
      </c>
    </row>
    <row r="1944" spans="1:2" x14ac:dyDescent="0.2">
      <c r="A1944">
        <v>1938</v>
      </c>
      <c r="B1944">
        <v>0.40969047087118504</v>
      </c>
    </row>
    <row r="1945" spans="1:2" x14ac:dyDescent="0.2">
      <c r="A1945">
        <v>1939</v>
      </c>
      <c r="B1945">
        <v>0.52734668842404409</v>
      </c>
    </row>
    <row r="1946" spans="1:2" x14ac:dyDescent="0.2">
      <c r="A1946">
        <v>1940</v>
      </c>
      <c r="B1946">
        <v>0.17569012791230754</v>
      </c>
    </row>
    <row r="1947" spans="1:2" x14ac:dyDescent="0.2">
      <c r="A1947">
        <v>1941</v>
      </c>
      <c r="B1947">
        <v>0.95410857364673807</v>
      </c>
    </row>
    <row r="1948" spans="1:2" x14ac:dyDescent="0.2">
      <c r="A1948">
        <v>1942</v>
      </c>
      <c r="B1948">
        <v>1.7951568981600108E-4</v>
      </c>
    </row>
    <row r="1949" spans="1:2" x14ac:dyDescent="0.2">
      <c r="A1949">
        <v>1943</v>
      </c>
      <c r="B1949">
        <v>0.69599103071985624</v>
      </c>
    </row>
    <row r="1950" spans="1:2" x14ac:dyDescent="0.2">
      <c r="A1950">
        <v>1944</v>
      </c>
      <c r="B1950">
        <v>0.83474844234914913</v>
      </c>
    </row>
    <row r="1951" spans="1:2" x14ac:dyDescent="0.2">
      <c r="A1951">
        <v>1945</v>
      </c>
      <c r="B1951">
        <v>0.96779144028919739</v>
      </c>
    </row>
    <row r="1952" spans="1:2" x14ac:dyDescent="0.2">
      <c r="A1952">
        <v>1946</v>
      </c>
      <c r="B1952">
        <v>0.71081845632951923</v>
      </c>
    </row>
    <row r="1953" spans="1:2" x14ac:dyDescent="0.2">
      <c r="A1953">
        <v>1947</v>
      </c>
      <c r="B1953">
        <v>0.90686679236488643</v>
      </c>
    </row>
    <row r="1954" spans="1:2" x14ac:dyDescent="0.2">
      <c r="A1954">
        <v>1948</v>
      </c>
      <c r="B1954">
        <v>0.81376790372917029</v>
      </c>
    </row>
    <row r="1955" spans="1:2" x14ac:dyDescent="0.2">
      <c r="A1955">
        <v>1949</v>
      </c>
      <c r="B1955">
        <v>0.54826237966063796</v>
      </c>
    </row>
    <row r="1956" spans="1:2" x14ac:dyDescent="0.2">
      <c r="A1956">
        <v>1950</v>
      </c>
      <c r="B1956">
        <v>0.9759598059763136</v>
      </c>
    </row>
    <row r="1957" spans="1:2" x14ac:dyDescent="0.2">
      <c r="A1957">
        <v>1951</v>
      </c>
      <c r="B1957">
        <v>0.88760138372446407</v>
      </c>
    </row>
    <row r="1958" spans="1:2" x14ac:dyDescent="0.2">
      <c r="A1958">
        <v>1952</v>
      </c>
      <c r="B1958">
        <v>0.24778937839378956</v>
      </c>
    </row>
    <row r="1959" spans="1:2" x14ac:dyDescent="0.2">
      <c r="A1959">
        <v>1953</v>
      </c>
      <c r="B1959">
        <v>0.34604418280110927</v>
      </c>
    </row>
    <row r="1960" spans="1:2" x14ac:dyDescent="0.2">
      <c r="A1960">
        <v>1954</v>
      </c>
      <c r="B1960">
        <v>0.37626153230088355</v>
      </c>
    </row>
    <row r="1961" spans="1:2" x14ac:dyDescent="0.2">
      <c r="A1961">
        <v>1955</v>
      </c>
      <c r="B1961">
        <v>0.52021547817414671</v>
      </c>
    </row>
    <row r="1962" spans="1:2" x14ac:dyDescent="0.2">
      <c r="A1962">
        <v>1956</v>
      </c>
      <c r="B1962">
        <v>0.5722564677375962</v>
      </c>
    </row>
    <row r="1963" spans="1:2" x14ac:dyDescent="0.2">
      <c r="A1963">
        <v>1957</v>
      </c>
      <c r="B1963">
        <v>0.7242356007688151</v>
      </c>
    </row>
    <row r="1964" spans="1:2" x14ac:dyDescent="0.2">
      <c r="A1964">
        <v>1958</v>
      </c>
      <c r="B1964">
        <v>0.68475922492988639</v>
      </c>
    </row>
    <row r="1965" spans="1:2" x14ac:dyDescent="0.2">
      <c r="A1965">
        <v>1959</v>
      </c>
      <c r="B1965">
        <v>0.90787854622650421</v>
      </c>
    </row>
    <row r="1966" spans="1:2" x14ac:dyDescent="0.2">
      <c r="A1966">
        <v>1960</v>
      </c>
      <c r="B1966">
        <v>0.20257173416685348</v>
      </c>
    </row>
    <row r="1967" spans="1:2" x14ac:dyDescent="0.2">
      <c r="A1967">
        <v>1961</v>
      </c>
      <c r="B1967">
        <v>0.21065676990109206</v>
      </c>
    </row>
    <row r="1968" spans="1:2" x14ac:dyDescent="0.2">
      <c r="A1968">
        <v>1962</v>
      </c>
      <c r="B1968">
        <v>0.97386163515941571</v>
      </c>
    </row>
    <row r="1969" spans="1:2" x14ac:dyDescent="0.2">
      <c r="A1969">
        <v>1963</v>
      </c>
      <c r="B1969">
        <v>9.833578879084881E-2</v>
      </c>
    </row>
    <row r="1970" spans="1:2" x14ac:dyDescent="0.2">
      <c r="A1970">
        <v>1964</v>
      </c>
      <c r="B1970">
        <v>0.4444064331345009</v>
      </c>
    </row>
    <row r="1971" spans="1:2" x14ac:dyDescent="0.2">
      <c r="A1971">
        <v>1965</v>
      </c>
      <c r="B1971">
        <v>0.56764278447974981</v>
      </c>
    </row>
    <row r="1972" spans="1:2" x14ac:dyDescent="0.2">
      <c r="A1972">
        <v>1966</v>
      </c>
      <c r="B1972">
        <v>0.13903402008221666</v>
      </c>
    </row>
    <row r="1973" spans="1:2" x14ac:dyDescent="0.2">
      <c r="A1973">
        <v>1967</v>
      </c>
      <c r="B1973">
        <v>0.43065740124851548</v>
      </c>
    </row>
    <row r="1974" spans="1:2" x14ac:dyDescent="0.2">
      <c r="A1974">
        <v>1968</v>
      </c>
      <c r="B1974">
        <v>0.52808213186841912</v>
      </c>
    </row>
    <row r="1975" spans="1:2" x14ac:dyDescent="0.2">
      <c r="A1975">
        <v>1969</v>
      </c>
      <c r="B1975">
        <v>0.15331821729847228</v>
      </c>
    </row>
    <row r="1976" spans="1:2" x14ac:dyDescent="0.2">
      <c r="A1976">
        <v>1970</v>
      </c>
      <c r="B1976">
        <v>0.76033822121523464</v>
      </c>
    </row>
    <row r="1977" spans="1:2" x14ac:dyDescent="0.2">
      <c r="A1977">
        <v>1971</v>
      </c>
      <c r="B1977">
        <v>9.4770977002247681E-2</v>
      </c>
    </row>
    <row r="1978" spans="1:2" x14ac:dyDescent="0.2">
      <c r="A1978">
        <v>1972</v>
      </c>
      <c r="B1978">
        <v>0.90712898755762261</v>
      </c>
    </row>
    <row r="1979" spans="1:2" x14ac:dyDescent="0.2">
      <c r="A1979">
        <v>1973</v>
      </c>
      <c r="B1979">
        <v>0.67433568857302761</v>
      </c>
    </row>
    <row r="1980" spans="1:2" x14ac:dyDescent="0.2">
      <c r="A1980">
        <v>1974</v>
      </c>
      <c r="B1980">
        <v>0.78908548243059196</v>
      </c>
    </row>
    <row r="1981" spans="1:2" x14ac:dyDescent="0.2">
      <c r="A1981">
        <v>1975</v>
      </c>
      <c r="B1981">
        <v>0.88744409609755959</v>
      </c>
    </row>
    <row r="1982" spans="1:2" x14ac:dyDescent="0.2">
      <c r="A1982">
        <v>1976</v>
      </c>
      <c r="B1982">
        <v>0.66566287258820078</v>
      </c>
    </row>
    <row r="1983" spans="1:2" x14ac:dyDescent="0.2">
      <c r="A1983">
        <v>1977</v>
      </c>
      <c r="B1983">
        <v>0.17572853251232712</v>
      </c>
    </row>
    <row r="1984" spans="1:2" x14ac:dyDescent="0.2">
      <c r="A1984">
        <v>1978</v>
      </c>
      <c r="B1984">
        <v>0.53475593060957438</v>
      </c>
    </row>
    <row r="1985" spans="1:2" x14ac:dyDescent="0.2">
      <c r="A1985">
        <v>1979</v>
      </c>
      <c r="B1985">
        <v>1.1383920027085659E-2</v>
      </c>
    </row>
    <row r="1986" spans="1:2" x14ac:dyDescent="0.2">
      <c r="A1986">
        <v>1980</v>
      </c>
      <c r="B1986">
        <v>0.76542373117100715</v>
      </c>
    </row>
    <row r="1987" spans="1:2" x14ac:dyDescent="0.2">
      <c r="A1987">
        <v>1981</v>
      </c>
      <c r="B1987">
        <v>0.24299642427708346</v>
      </c>
    </row>
    <row r="1988" spans="1:2" x14ac:dyDescent="0.2">
      <c r="A1988">
        <v>1982</v>
      </c>
      <c r="B1988">
        <v>0.78925394966656826</v>
      </c>
    </row>
    <row r="1989" spans="1:2" x14ac:dyDescent="0.2">
      <c r="A1989">
        <v>1983</v>
      </c>
      <c r="B1989">
        <v>0.80271023798891616</v>
      </c>
    </row>
    <row r="1990" spans="1:2" x14ac:dyDescent="0.2">
      <c r="A1990">
        <v>1984</v>
      </c>
      <c r="B1990">
        <v>0.60395862043751869</v>
      </c>
    </row>
    <row r="1991" spans="1:2" x14ac:dyDescent="0.2">
      <c r="A1991">
        <v>1985</v>
      </c>
      <c r="B1991">
        <v>0.89905282261469388</v>
      </c>
    </row>
    <row r="1992" spans="1:2" x14ac:dyDescent="0.2">
      <c r="A1992">
        <v>1986</v>
      </c>
      <c r="B1992">
        <v>0.78410330139585616</v>
      </c>
    </row>
    <row r="1993" spans="1:2" x14ac:dyDescent="0.2">
      <c r="A1993">
        <v>1987</v>
      </c>
      <c r="B1993">
        <v>0.40561379871519476</v>
      </c>
    </row>
    <row r="1994" spans="1:2" x14ac:dyDescent="0.2">
      <c r="A1994">
        <v>1988</v>
      </c>
      <c r="B1994">
        <v>0.33073929964612425</v>
      </c>
    </row>
    <row r="1995" spans="1:2" x14ac:dyDescent="0.2">
      <c r="A1995">
        <v>1989</v>
      </c>
      <c r="B1995">
        <v>0.97348093320576146</v>
      </c>
    </row>
    <row r="1996" spans="1:2" x14ac:dyDescent="0.2">
      <c r="A1996">
        <v>1990</v>
      </c>
      <c r="B1996">
        <v>0.27448629463338126</v>
      </c>
    </row>
    <row r="1997" spans="1:2" x14ac:dyDescent="0.2">
      <c r="A1997">
        <v>1991</v>
      </c>
      <c r="B1997">
        <v>0.17379840208042785</v>
      </c>
    </row>
    <row r="1998" spans="1:2" x14ac:dyDescent="0.2">
      <c r="A1998">
        <v>1992</v>
      </c>
      <c r="B1998">
        <v>0.15179290315397953</v>
      </c>
    </row>
    <row r="1999" spans="1:2" x14ac:dyDescent="0.2">
      <c r="A1999">
        <v>1993</v>
      </c>
      <c r="B1999">
        <v>0.76056202488497671</v>
      </c>
    </row>
    <row r="2000" spans="1:2" x14ac:dyDescent="0.2">
      <c r="A2000">
        <v>1994</v>
      </c>
      <c r="B2000">
        <v>0.84786536139053958</v>
      </c>
    </row>
    <row r="2001" spans="1:2" x14ac:dyDescent="0.2">
      <c r="A2001">
        <v>1995</v>
      </c>
      <c r="B2001">
        <v>0.40350424437429244</v>
      </c>
    </row>
    <row r="2002" spans="1:2" x14ac:dyDescent="0.2">
      <c r="A2002">
        <v>1996</v>
      </c>
      <c r="B2002">
        <v>0.14028094449609718</v>
      </c>
    </row>
    <row r="2003" spans="1:2" x14ac:dyDescent="0.2">
      <c r="A2003">
        <v>1997</v>
      </c>
      <c r="B2003">
        <v>0.87220597513653453</v>
      </c>
    </row>
    <row r="2004" spans="1:2" x14ac:dyDescent="0.2">
      <c r="A2004">
        <v>1998</v>
      </c>
      <c r="B2004">
        <v>0.15161969461461211</v>
      </c>
    </row>
    <row r="2005" spans="1:2" x14ac:dyDescent="0.2">
      <c r="A2005">
        <v>1999</v>
      </c>
      <c r="B2005">
        <v>0.93011684688575225</v>
      </c>
    </row>
    <row r="2006" spans="1:2" x14ac:dyDescent="0.2">
      <c r="A2006">
        <v>2000</v>
      </c>
      <c r="B2006">
        <v>7.926026675377662E-2</v>
      </c>
    </row>
    <row r="2007" spans="1:2" x14ac:dyDescent="0.2">
      <c r="A2007">
        <v>2001</v>
      </c>
      <c r="B2007">
        <v>0.87955673467340456</v>
      </c>
    </row>
    <row r="2008" spans="1:2" x14ac:dyDescent="0.2">
      <c r="A2008">
        <v>2002</v>
      </c>
      <c r="B2008">
        <v>0.32912875574148193</v>
      </c>
    </row>
    <row r="2009" spans="1:2" x14ac:dyDescent="0.2">
      <c r="A2009">
        <v>2003</v>
      </c>
      <c r="B2009">
        <v>0.84431803777036862</v>
      </c>
    </row>
    <row r="2010" spans="1:2" x14ac:dyDescent="0.2">
      <c r="A2010">
        <v>2004</v>
      </c>
      <c r="B2010">
        <v>0.20191177309596797</v>
      </c>
    </row>
    <row r="2011" spans="1:2" x14ac:dyDescent="0.2">
      <c r="A2011">
        <v>2005</v>
      </c>
      <c r="B2011">
        <v>0.16603080549790372</v>
      </c>
    </row>
    <row r="2012" spans="1:2" x14ac:dyDescent="0.2">
      <c r="A2012">
        <v>2006</v>
      </c>
      <c r="B2012">
        <v>0.96816914436319979</v>
      </c>
    </row>
    <row r="2013" spans="1:2" x14ac:dyDescent="0.2">
      <c r="A2013">
        <v>2007</v>
      </c>
      <c r="B2013">
        <v>4.7236060296313553E-2</v>
      </c>
    </row>
    <row r="2014" spans="1:2" x14ac:dyDescent="0.2">
      <c r="A2014">
        <v>2008</v>
      </c>
      <c r="B2014">
        <v>0.76885349076001142</v>
      </c>
    </row>
    <row r="2015" spans="1:2" x14ac:dyDescent="0.2">
      <c r="A2015">
        <v>2009</v>
      </c>
      <c r="B2015">
        <v>4.300285608588339E-2</v>
      </c>
    </row>
    <row r="2016" spans="1:2" x14ac:dyDescent="0.2">
      <c r="A2016">
        <v>2010</v>
      </c>
      <c r="B2016">
        <v>0.31468110886589351</v>
      </c>
    </row>
    <row r="2017" spans="1:2" x14ac:dyDescent="0.2">
      <c r="A2017">
        <v>2011</v>
      </c>
      <c r="B2017">
        <v>0.22459390455207739</v>
      </c>
    </row>
    <row r="2018" spans="1:2" x14ac:dyDescent="0.2">
      <c r="A2018">
        <v>2012</v>
      </c>
      <c r="B2018">
        <v>0.48171727435208811</v>
      </c>
    </row>
    <row r="2019" spans="1:2" x14ac:dyDescent="0.2">
      <c r="A2019">
        <v>2013</v>
      </c>
      <c r="B2019">
        <v>0.23787142740386436</v>
      </c>
    </row>
    <row r="2020" spans="1:2" x14ac:dyDescent="0.2">
      <c r="A2020">
        <v>2014</v>
      </c>
      <c r="B2020">
        <v>0.64127281284235094</v>
      </c>
    </row>
    <row r="2021" spans="1:2" x14ac:dyDescent="0.2">
      <c r="A2021">
        <v>2015</v>
      </c>
      <c r="B2021">
        <v>0.69199876716592412</v>
      </c>
    </row>
    <row r="2022" spans="1:2" x14ac:dyDescent="0.2">
      <c r="A2022">
        <v>2016</v>
      </c>
      <c r="B2022">
        <v>0.66619581052513588</v>
      </c>
    </row>
    <row r="2023" spans="1:2" x14ac:dyDescent="0.2">
      <c r="A2023">
        <v>2017</v>
      </c>
      <c r="B2023">
        <v>0.45510997936707176</v>
      </c>
    </row>
    <row r="2024" spans="1:2" x14ac:dyDescent="0.2">
      <c r="A2024">
        <v>2018</v>
      </c>
      <c r="B2024">
        <v>0.28113569347123224</v>
      </c>
    </row>
    <row r="2025" spans="1:2" x14ac:dyDescent="0.2">
      <c r="A2025">
        <v>2019</v>
      </c>
      <c r="B2025">
        <v>0.65492355633507682</v>
      </c>
    </row>
    <row r="2026" spans="1:2" x14ac:dyDescent="0.2">
      <c r="A2026">
        <v>2020</v>
      </c>
      <c r="B2026">
        <v>0.98925339748738916</v>
      </c>
    </row>
    <row r="2027" spans="1:2" x14ac:dyDescent="0.2">
      <c r="A2027">
        <v>2021</v>
      </c>
      <c r="B2027">
        <v>0.89376615474477261</v>
      </c>
    </row>
    <row r="2028" spans="1:2" x14ac:dyDescent="0.2">
      <c r="A2028">
        <v>2022</v>
      </c>
      <c r="B2028">
        <v>0.46707555900726239</v>
      </c>
    </row>
    <row r="2029" spans="1:2" x14ac:dyDescent="0.2">
      <c r="A2029">
        <v>2023</v>
      </c>
      <c r="B2029">
        <v>8.1764185016144797E-2</v>
      </c>
    </row>
    <row r="2030" spans="1:2" x14ac:dyDescent="0.2">
      <c r="A2030">
        <v>2024</v>
      </c>
      <c r="B2030">
        <v>0.94868261478761828</v>
      </c>
    </row>
    <row r="2031" spans="1:2" x14ac:dyDescent="0.2">
      <c r="A2031">
        <v>2025</v>
      </c>
      <c r="B2031">
        <v>0.52765383773502328</v>
      </c>
    </row>
    <row r="2032" spans="1:2" x14ac:dyDescent="0.2">
      <c r="A2032">
        <v>2026</v>
      </c>
      <c r="B2032">
        <v>0.37584727037135335</v>
      </c>
    </row>
    <row r="2033" spans="1:2" x14ac:dyDescent="0.2">
      <c r="A2033">
        <v>2027</v>
      </c>
      <c r="B2033">
        <v>0.27660707251826921</v>
      </c>
    </row>
    <row r="2034" spans="1:2" x14ac:dyDescent="0.2">
      <c r="A2034">
        <v>2028</v>
      </c>
      <c r="B2034">
        <v>0.23306810655063093</v>
      </c>
    </row>
    <row r="2035" spans="1:2" x14ac:dyDescent="0.2">
      <c r="A2035">
        <v>2029</v>
      </c>
      <c r="B2035">
        <v>0.20905580499643417</v>
      </c>
    </row>
    <row r="2036" spans="1:2" x14ac:dyDescent="0.2">
      <c r="A2036">
        <v>2030</v>
      </c>
      <c r="B2036">
        <v>0.43944562651009944</v>
      </c>
    </row>
    <row r="2037" spans="1:2" x14ac:dyDescent="0.2">
      <c r="A2037">
        <v>2031</v>
      </c>
      <c r="B2037">
        <v>8.6816329988579022E-2</v>
      </c>
    </row>
    <row r="2038" spans="1:2" x14ac:dyDescent="0.2">
      <c r="A2038">
        <v>2032</v>
      </c>
      <c r="B2038">
        <v>0.39667371891477299</v>
      </c>
    </row>
    <row r="2039" spans="1:2" x14ac:dyDescent="0.2">
      <c r="A2039">
        <v>2033</v>
      </c>
      <c r="B2039">
        <v>0.98788589180043174</v>
      </c>
    </row>
    <row r="2040" spans="1:2" x14ac:dyDescent="0.2">
      <c r="A2040">
        <v>2034</v>
      </c>
      <c r="B2040">
        <v>0.45377332493436606</v>
      </c>
    </row>
    <row r="2041" spans="1:2" x14ac:dyDescent="0.2">
      <c r="A2041">
        <v>2035</v>
      </c>
      <c r="B2041">
        <v>0.79468899670049886</v>
      </c>
    </row>
    <row r="2042" spans="1:2" x14ac:dyDescent="0.2">
      <c r="A2042">
        <v>2036</v>
      </c>
      <c r="B2042">
        <v>0.18419056439411441</v>
      </c>
    </row>
    <row r="2043" spans="1:2" x14ac:dyDescent="0.2">
      <c r="A2043">
        <v>2037</v>
      </c>
      <c r="B2043">
        <v>0.1941748113735482</v>
      </c>
    </row>
    <row r="2044" spans="1:2" x14ac:dyDescent="0.2">
      <c r="A2044">
        <v>2038</v>
      </c>
      <c r="B2044">
        <v>0.93682881535121776</v>
      </c>
    </row>
    <row r="2045" spans="1:2" x14ac:dyDescent="0.2">
      <c r="A2045">
        <v>2039</v>
      </c>
      <c r="B2045">
        <v>8.3489390275144348E-3</v>
      </c>
    </row>
    <row r="2046" spans="1:2" x14ac:dyDescent="0.2">
      <c r="A2046">
        <v>2040</v>
      </c>
      <c r="B2046">
        <v>0.30413361719336951</v>
      </c>
    </row>
    <row r="2047" spans="1:2" x14ac:dyDescent="0.2">
      <c r="A2047">
        <v>2041</v>
      </c>
      <c r="B2047">
        <v>6.2787759652565112E-2</v>
      </c>
    </row>
    <row r="2048" spans="1:2" x14ac:dyDescent="0.2">
      <c r="A2048">
        <v>2042</v>
      </c>
      <c r="B2048">
        <v>0.38191119144403585</v>
      </c>
    </row>
    <row r="2049" spans="1:2" x14ac:dyDescent="0.2">
      <c r="A2049">
        <v>2043</v>
      </c>
      <c r="B2049">
        <v>2.7829623345885013E-2</v>
      </c>
    </row>
    <row r="2050" spans="1:2" x14ac:dyDescent="0.2">
      <c r="A2050">
        <v>2044</v>
      </c>
      <c r="B2050">
        <v>7.5972787742804693E-2</v>
      </c>
    </row>
    <row r="2051" spans="1:2" x14ac:dyDescent="0.2">
      <c r="A2051">
        <v>2045</v>
      </c>
      <c r="B2051">
        <v>0.95527694545396435</v>
      </c>
    </row>
    <row r="2052" spans="1:2" x14ac:dyDescent="0.2">
      <c r="A2052">
        <v>2046</v>
      </c>
      <c r="B2052">
        <v>0.12134331754753469</v>
      </c>
    </row>
    <row r="2053" spans="1:2" x14ac:dyDescent="0.2">
      <c r="A2053">
        <v>2047</v>
      </c>
      <c r="B2053">
        <v>7.9467072576666631E-3</v>
      </c>
    </row>
    <row r="2054" spans="1:2" x14ac:dyDescent="0.2">
      <c r="A2054">
        <v>2048</v>
      </c>
      <c r="B2054">
        <v>0.40733030433860407</v>
      </c>
    </row>
    <row r="2055" spans="1:2" x14ac:dyDescent="0.2">
      <c r="A2055">
        <v>2049</v>
      </c>
      <c r="B2055">
        <v>0.89169756918952625</v>
      </c>
    </row>
    <row r="2056" spans="1:2" x14ac:dyDescent="0.2">
      <c r="A2056">
        <v>2050</v>
      </c>
      <c r="B2056">
        <v>0.88858214911444922</v>
      </c>
    </row>
    <row r="2057" spans="1:2" x14ac:dyDescent="0.2">
      <c r="A2057">
        <v>2051</v>
      </c>
      <c r="B2057">
        <v>0.55860339324936648</v>
      </c>
    </row>
    <row r="2058" spans="1:2" x14ac:dyDescent="0.2">
      <c r="A2058">
        <v>2052</v>
      </c>
      <c r="B2058">
        <v>0.76556955120998826</v>
      </c>
    </row>
    <row r="2059" spans="1:2" x14ac:dyDescent="0.2">
      <c r="A2059">
        <v>2053</v>
      </c>
      <c r="B2059">
        <v>0.61353124845528295</v>
      </c>
    </row>
    <row r="2060" spans="1:2" x14ac:dyDescent="0.2">
      <c r="A2060">
        <v>2054</v>
      </c>
      <c r="B2060">
        <v>0.55286562956579732</v>
      </c>
    </row>
    <row r="2061" spans="1:2" x14ac:dyDescent="0.2">
      <c r="A2061">
        <v>2055</v>
      </c>
      <c r="B2061">
        <v>0.91057782901243911</v>
      </c>
    </row>
    <row r="2062" spans="1:2" x14ac:dyDescent="0.2">
      <c r="A2062">
        <v>2056</v>
      </c>
      <c r="B2062">
        <v>0.65920279371348556</v>
      </c>
    </row>
    <row r="2063" spans="1:2" x14ac:dyDescent="0.2">
      <c r="A2063">
        <v>2057</v>
      </c>
      <c r="B2063">
        <v>0.85404975786471637</v>
      </c>
    </row>
    <row r="2064" spans="1:2" x14ac:dyDescent="0.2">
      <c r="A2064">
        <v>2058</v>
      </c>
      <c r="B2064">
        <v>0.97191902486468051</v>
      </c>
    </row>
    <row r="2065" spans="1:2" x14ac:dyDescent="0.2">
      <c r="A2065">
        <v>2059</v>
      </c>
      <c r="B2065">
        <v>0.14917785999726307</v>
      </c>
    </row>
    <row r="2066" spans="1:2" x14ac:dyDescent="0.2">
      <c r="A2066">
        <v>2060</v>
      </c>
      <c r="B2066">
        <v>0.96264897795491677</v>
      </c>
    </row>
    <row r="2067" spans="1:2" x14ac:dyDescent="0.2">
      <c r="A2067">
        <v>2061</v>
      </c>
      <c r="B2067">
        <v>0.69905401870998796</v>
      </c>
    </row>
    <row r="2068" spans="1:2" x14ac:dyDescent="0.2">
      <c r="A2068">
        <v>2062</v>
      </c>
      <c r="B2068">
        <v>0.58426468777831997</v>
      </c>
    </row>
    <row r="2069" spans="1:2" x14ac:dyDescent="0.2">
      <c r="A2069">
        <v>2063</v>
      </c>
      <c r="B2069">
        <v>0.20298907973571922</v>
      </c>
    </row>
    <row r="2070" spans="1:2" x14ac:dyDescent="0.2">
      <c r="A2070">
        <v>2064</v>
      </c>
      <c r="B2070">
        <v>0.60358395038136592</v>
      </c>
    </row>
    <row r="2071" spans="1:2" x14ac:dyDescent="0.2">
      <c r="A2071">
        <v>2065</v>
      </c>
      <c r="B2071">
        <v>0.44457952282356927</v>
      </c>
    </row>
    <row r="2072" spans="1:2" x14ac:dyDescent="0.2">
      <c r="A2072">
        <v>2066</v>
      </c>
      <c r="B2072">
        <v>0.84348070156194621</v>
      </c>
    </row>
    <row r="2073" spans="1:2" x14ac:dyDescent="0.2">
      <c r="A2073">
        <v>2067</v>
      </c>
      <c r="B2073">
        <v>0.89131658872433306</v>
      </c>
    </row>
    <row r="2074" spans="1:2" x14ac:dyDescent="0.2">
      <c r="A2074">
        <v>2068</v>
      </c>
      <c r="B2074">
        <v>0.59464623539524786</v>
      </c>
    </row>
    <row r="2075" spans="1:2" x14ac:dyDescent="0.2">
      <c r="A2075">
        <v>2069</v>
      </c>
      <c r="B2075">
        <v>0.4466028026329395</v>
      </c>
    </row>
    <row r="2076" spans="1:2" x14ac:dyDescent="0.2">
      <c r="A2076">
        <v>2070</v>
      </c>
      <c r="B2076">
        <v>0.65018424200861247</v>
      </c>
    </row>
    <row r="2077" spans="1:2" x14ac:dyDescent="0.2">
      <c r="A2077">
        <v>2071</v>
      </c>
      <c r="B2077">
        <v>0.16607474534270728</v>
      </c>
    </row>
    <row r="2078" spans="1:2" x14ac:dyDescent="0.2">
      <c r="A2078">
        <v>2072</v>
      </c>
      <c r="B2078">
        <v>0.77388893362674682</v>
      </c>
    </row>
    <row r="2079" spans="1:2" x14ac:dyDescent="0.2">
      <c r="A2079">
        <v>2073</v>
      </c>
      <c r="B2079">
        <v>3.2068732471911887E-2</v>
      </c>
    </row>
    <row r="2080" spans="1:2" x14ac:dyDescent="0.2">
      <c r="A2080">
        <v>2074</v>
      </c>
      <c r="B2080">
        <v>0.88470505631038254</v>
      </c>
    </row>
    <row r="2081" spans="1:2" x14ac:dyDescent="0.2">
      <c r="A2081">
        <v>2075</v>
      </c>
      <c r="B2081">
        <v>0.72140987729676931</v>
      </c>
    </row>
    <row r="2082" spans="1:2" x14ac:dyDescent="0.2">
      <c r="A2082">
        <v>2076</v>
      </c>
      <c r="B2082">
        <v>0.21896070111349863</v>
      </c>
    </row>
    <row r="2083" spans="1:2" x14ac:dyDescent="0.2">
      <c r="A2083">
        <v>2077</v>
      </c>
      <c r="B2083">
        <v>0.35881801057694107</v>
      </c>
    </row>
    <row r="2084" spans="1:2" x14ac:dyDescent="0.2">
      <c r="A2084">
        <v>2078</v>
      </c>
      <c r="B2084">
        <v>0.58466803286840219</v>
      </c>
    </row>
    <row r="2085" spans="1:2" x14ac:dyDescent="0.2">
      <c r="A2085">
        <v>2079</v>
      </c>
      <c r="B2085">
        <v>0.53430922904786415</v>
      </c>
    </row>
    <row r="2086" spans="1:2" x14ac:dyDescent="0.2">
      <c r="A2086">
        <v>2080</v>
      </c>
      <c r="B2086">
        <v>0.71639968332299497</v>
      </c>
    </row>
    <row r="2087" spans="1:2" x14ac:dyDescent="0.2">
      <c r="A2087">
        <v>2081</v>
      </c>
      <c r="B2087">
        <v>0.87124493666912328</v>
      </c>
    </row>
    <row r="2088" spans="1:2" x14ac:dyDescent="0.2">
      <c r="A2088">
        <v>2082</v>
      </c>
      <c r="B2088">
        <v>9.6789192730855289E-2</v>
      </c>
    </row>
    <row r="2089" spans="1:2" x14ac:dyDescent="0.2">
      <c r="A2089">
        <v>2083</v>
      </c>
      <c r="B2089">
        <v>0.31265103201534772</v>
      </c>
    </row>
    <row r="2090" spans="1:2" x14ac:dyDescent="0.2">
      <c r="A2090">
        <v>2084</v>
      </c>
      <c r="B2090">
        <v>0.62846819523458397</v>
      </c>
    </row>
    <row r="2091" spans="1:2" x14ac:dyDescent="0.2">
      <c r="A2091">
        <v>2085</v>
      </c>
      <c r="B2091">
        <v>0.41065431431653754</v>
      </c>
    </row>
    <row r="2092" spans="1:2" x14ac:dyDescent="0.2">
      <c r="A2092">
        <v>2086</v>
      </c>
      <c r="B2092">
        <v>0.70320340767157841</v>
      </c>
    </row>
    <row r="2093" spans="1:2" x14ac:dyDescent="0.2">
      <c r="A2093">
        <v>2087</v>
      </c>
      <c r="B2093">
        <v>0.52633447865789162</v>
      </c>
    </row>
    <row r="2094" spans="1:2" x14ac:dyDescent="0.2">
      <c r="A2094">
        <v>2088</v>
      </c>
      <c r="B2094">
        <v>0.24188986902480969</v>
      </c>
    </row>
    <row r="2095" spans="1:2" x14ac:dyDescent="0.2">
      <c r="A2095">
        <v>2089</v>
      </c>
      <c r="B2095">
        <v>0.90088622633575621</v>
      </c>
    </row>
    <row r="2096" spans="1:2" x14ac:dyDescent="0.2">
      <c r="A2096">
        <v>2090</v>
      </c>
      <c r="B2096">
        <v>0.99783059441197153</v>
      </c>
    </row>
    <row r="2097" spans="1:2" x14ac:dyDescent="0.2">
      <c r="A2097">
        <v>2091</v>
      </c>
      <c r="B2097">
        <v>0.85196516089160446</v>
      </c>
    </row>
    <row r="2098" spans="1:2" x14ac:dyDescent="0.2">
      <c r="A2098">
        <v>2092</v>
      </c>
      <c r="B2098">
        <v>0.54049907125480501</v>
      </c>
    </row>
    <row r="2099" spans="1:2" x14ac:dyDescent="0.2">
      <c r="A2099">
        <v>2093</v>
      </c>
      <c r="B2099">
        <v>5.7023704181358603E-2</v>
      </c>
    </row>
    <row r="2100" spans="1:2" x14ac:dyDescent="0.2">
      <c r="A2100">
        <v>2094</v>
      </c>
      <c r="B2100">
        <v>0.79980946128653263</v>
      </c>
    </row>
    <row r="2101" spans="1:2" x14ac:dyDescent="0.2">
      <c r="A2101">
        <v>2095</v>
      </c>
      <c r="B2101">
        <v>0.85330644383793708</v>
      </c>
    </row>
    <row r="2102" spans="1:2" x14ac:dyDescent="0.2">
      <c r="A2102">
        <v>2096</v>
      </c>
      <c r="B2102">
        <v>0.88332463486469404</v>
      </c>
    </row>
    <row r="2103" spans="1:2" x14ac:dyDescent="0.2">
      <c r="A2103">
        <v>2097</v>
      </c>
      <c r="B2103">
        <v>0.96602564180714856</v>
      </c>
    </row>
    <row r="2104" spans="1:2" x14ac:dyDescent="0.2">
      <c r="A2104">
        <v>2098</v>
      </c>
      <c r="B2104">
        <v>0.61224177216068931</v>
      </c>
    </row>
    <row r="2105" spans="1:2" x14ac:dyDescent="0.2">
      <c r="A2105">
        <v>2099</v>
      </c>
      <c r="B2105">
        <v>3.6858386780462049E-2</v>
      </c>
    </row>
    <row r="2106" spans="1:2" x14ac:dyDescent="0.2">
      <c r="A2106">
        <v>2100</v>
      </c>
      <c r="B2106">
        <v>0.42352645068965966</v>
      </c>
    </row>
    <row r="2107" spans="1:2" x14ac:dyDescent="0.2">
      <c r="A2107">
        <v>2101</v>
      </c>
      <c r="B2107">
        <v>0.59653480820957339</v>
      </c>
    </row>
    <row r="2108" spans="1:2" x14ac:dyDescent="0.2">
      <c r="A2108">
        <v>2102</v>
      </c>
      <c r="B2108">
        <v>0.78629737382395271</v>
      </c>
    </row>
    <row r="2109" spans="1:2" x14ac:dyDescent="0.2">
      <c r="A2109">
        <v>2103</v>
      </c>
      <c r="B2109">
        <v>0.25385613880944635</v>
      </c>
    </row>
    <row r="2110" spans="1:2" x14ac:dyDescent="0.2">
      <c r="A2110">
        <v>2104</v>
      </c>
      <c r="B2110">
        <v>0.70695981576134082</v>
      </c>
    </row>
    <row r="2111" spans="1:2" x14ac:dyDescent="0.2">
      <c r="A2111">
        <v>2105</v>
      </c>
      <c r="B2111">
        <v>0.63093699630996092</v>
      </c>
    </row>
    <row r="2112" spans="1:2" x14ac:dyDescent="0.2">
      <c r="A2112">
        <v>2106</v>
      </c>
      <c r="B2112">
        <v>0.92045821141424555</v>
      </c>
    </row>
    <row r="2113" spans="1:2" x14ac:dyDescent="0.2">
      <c r="A2113">
        <v>2107</v>
      </c>
      <c r="B2113">
        <v>0.98863348339915402</v>
      </c>
    </row>
    <row r="2114" spans="1:2" x14ac:dyDescent="0.2">
      <c r="A2114">
        <v>2108</v>
      </c>
      <c r="B2114">
        <v>2.7316455414635121E-2</v>
      </c>
    </row>
    <row r="2115" spans="1:2" x14ac:dyDescent="0.2">
      <c r="A2115">
        <v>2109</v>
      </c>
      <c r="B2115">
        <v>1.538547901600118E-2</v>
      </c>
    </row>
    <row r="2116" spans="1:2" x14ac:dyDescent="0.2">
      <c r="A2116">
        <v>2110</v>
      </c>
      <c r="B2116">
        <v>0.73409357761209537</v>
      </c>
    </row>
    <row r="2117" spans="1:2" x14ac:dyDescent="0.2">
      <c r="A2117">
        <v>2111</v>
      </c>
      <c r="B2117">
        <v>0.90315121415494881</v>
      </c>
    </row>
    <row r="2118" spans="1:2" x14ac:dyDescent="0.2">
      <c r="A2118">
        <v>2112</v>
      </c>
      <c r="B2118">
        <v>0.2723575603204107</v>
      </c>
    </row>
    <row r="2119" spans="1:2" x14ac:dyDescent="0.2">
      <c r="A2119">
        <v>2113</v>
      </c>
      <c r="B2119">
        <v>0.58875361264253678</v>
      </c>
    </row>
    <row r="2120" spans="1:2" x14ac:dyDescent="0.2">
      <c r="A2120">
        <v>2114</v>
      </c>
      <c r="B2120">
        <v>0.99583860793940993</v>
      </c>
    </row>
    <row r="2121" spans="1:2" x14ac:dyDescent="0.2">
      <c r="A2121">
        <v>2115</v>
      </c>
      <c r="B2121">
        <v>0.71210561682846629</v>
      </c>
    </row>
    <row r="2122" spans="1:2" x14ac:dyDescent="0.2">
      <c r="A2122">
        <v>2116</v>
      </c>
      <c r="B2122">
        <v>0.44469514409211197</v>
      </c>
    </row>
    <row r="2123" spans="1:2" x14ac:dyDescent="0.2">
      <c r="A2123">
        <v>2117</v>
      </c>
      <c r="B2123">
        <v>0.97329302935961814</v>
      </c>
    </row>
    <row r="2124" spans="1:2" x14ac:dyDescent="0.2">
      <c r="A2124">
        <v>2118</v>
      </c>
      <c r="B2124">
        <v>2.6242738150896172E-2</v>
      </c>
    </row>
    <row r="2125" spans="1:2" x14ac:dyDescent="0.2">
      <c r="A2125">
        <v>2119</v>
      </c>
      <c r="B2125">
        <v>0.52112271742310057</v>
      </c>
    </row>
    <row r="2126" spans="1:2" x14ac:dyDescent="0.2">
      <c r="A2126">
        <v>2120</v>
      </c>
      <c r="B2126">
        <v>0.33175180449788455</v>
      </c>
    </row>
    <row r="2127" spans="1:2" x14ac:dyDescent="0.2">
      <c r="A2127">
        <v>2121</v>
      </c>
      <c r="B2127">
        <v>3.2713001167651301E-2</v>
      </c>
    </row>
    <row r="2128" spans="1:2" x14ac:dyDescent="0.2">
      <c r="A2128">
        <v>2122</v>
      </c>
      <c r="B2128">
        <v>0.63653288984503653</v>
      </c>
    </row>
    <row r="2129" spans="1:2" x14ac:dyDescent="0.2">
      <c r="A2129">
        <v>2123</v>
      </c>
      <c r="B2129">
        <v>0.11636416781992254</v>
      </c>
    </row>
    <row r="2130" spans="1:2" x14ac:dyDescent="0.2">
      <c r="A2130">
        <v>2124</v>
      </c>
      <c r="B2130">
        <v>0.39119436862885215</v>
      </c>
    </row>
    <row r="2131" spans="1:2" x14ac:dyDescent="0.2">
      <c r="A2131">
        <v>2125</v>
      </c>
      <c r="B2131">
        <v>0.87659739887525157</v>
      </c>
    </row>
    <row r="2132" spans="1:2" x14ac:dyDescent="0.2">
      <c r="A2132">
        <v>2126</v>
      </c>
      <c r="B2132">
        <v>0.24913939816127151</v>
      </c>
    </row>
    <row r="2133" spans="1:2" x14ac:dyDescent="0.2">
      <c r="A2133">
        <v>2127</v>
      </c>
      <c r="B2133">
        <v>0.52537994928678822</v>
      </c>
    </row>
    <row r="2134" spans="1:2" x14ac:dyDescent="0.2">
      <c r="A2134">
        <v>2128</v>
      </c>
      <c r="B2134">
        <v>0.86698724511359926</v>
      </c>
    </row>
    <row r="2135" spans="1:2" x14ac:dyDescent="0.2">
      <c r="A2135">
        <v>2129</v>
      </c>
      <c r="B2135">
        <v>0.6617012286915076</v>
      </c>
    </row>
    <row r="2136" spans="1:2" x14ac:dyDescent="0.2">
      <c r="A2136">
        <v>2130</v>
      </c>
      <c r="B2136">
        <v>0.83309495625735819</v>
      </c>
    </row>
    <row r="2137" spans="1:2" x14ac:dyDescent="0.2">
      <c r="A2137">
        <v>2131</v>
      </c>
      <c r="B2137">
        <v>0.68008548709080086</v>
      </c>
    </row>
    <row r="2138" spans="1:2" x14ac:dyDescent="0.2">
      <c r="A2138">
        <v>2132</v>
      </c>
      <c r="B2138">
        <v>7.2614343789037084E-2</v>
      </c>
    </row>
    <row r="2139" spans="1:2" x14ac:dyDescent="0.2">
      <c r="A2139">
        <v>2133</v>
      </c>
      <c r="B2139">
        <v>0.94759907738348181</v>
      </c>
    </row>
    <row r="2140" spans="1:2" x14ac:dyDescent="0.2">
      <c r="A2140">
        <v>2134</v>
      </c>
      <c r="B2140">
        <v>0.66478123316535254</v>
      </c>
    </row>
    <row r="2141" spans="1:2" x14ac:dyDescent="0.2">
      <c r="A2141">
        <v>2135</v>
      </c>
      <c r="B2141">
        <v>0.7802731573082341</v>
      </c>
    </row>
    <row r="2142" spans="1:2" x14ac:dyDescent="0.2">
      <c r="A2142">
        <v>2136</v>
      </c>
      <c r="B2142">
        <v>0.7403250231519054</v>
      </c>
    </row>
    <row r="2143" spans="1:2" x14ac:dyDescent="0.2">
      <c r="A2143">
        <v>2137</v>
      </c>
      <c r="B2143">
        <v>0.13947436785411926</v>
      </c>
    </row>
    <row r="2144" spans="1:2" x14ac:dyDescent="0.2">
      <c r="A2144">
        <v>2138</v>
      </c>
      <c r="B2144">
        <v>2.1429122508757503E-2</v>
      </c>
    </row>
    <row r="2145" spans="1:2" x14ac:dyDescent="0.2">
      <c r="A2145">
        <v>2139</v>
      </c>
      <c r="B2145">
        <v>0.32493198433703463</v>
      </c>
    </row>
    <row r="2146" spans="1:2" x14ac:dyDescent="0.2">
      <c r="A2146">
        <v>2140</v>
      </c>
      <c r="B2146">
        <v>0.92970538019025639</v>
      </c>
    </row>
    <row r="2147" spans="1:2" x14ac:dyDescent="0.2">
      <c r="A2147">
        <v>2141</v>
      </c>
      <c r="B2147">
        <v>0.28902285068142641</v>
      </c>
    </row>
    <row r="2148" spans="1:2" x14ac:dyDescent="0.2">
      <c r="A2148">
        <v>2142</v>
      </c>
      <c r="B2148">
        <v>0.26594451494288252</v>
      </c>
    </row>
    <row r="2149" spans="1:2" x14ac:dyDescent="0.2">
      <c r="A2149">
        <v>2143</v>
      </c>
      <c r="B2149">
        <v>0.57552719327264956</v>
      </c>
    </row>
    <row r="2150" spans="1:2" x14ac:dyDescent="0.2">
      <c r="A2150">
        <v>2144</v>
      </c>
      <c r="B2150">
        <v>9.4680335961498163E-2</v>
      </c>
    </row>
    <row r="2151" spans="1:2" x14ac:dyDescent="0.2">
      <c r="A2151">
        <v>2145</v>
      </c>
      <c r="B2151">
        <v>0.49747813412127351</v>
      </c>
    </row>
    <row r="2152" spans="1:2" x14ac:dyDescent="0.2">
      <c r="A2152">
        <v>2146</v>
      </c>
      <c r="B2152">
        <v>4.101991914630454E-3</v>
      </c>
    </row>
    <row r="2153" spans="1:2" x14ac:dyDescent="0.2">
      <c r="A2153">
        <v>2147</v>
      </c>
      <c r="B2153">
        <v>0.33430755644225185</v>
      </c>
    </row>
    <row r="2154" spans="1:2" x14ac:dyDescent="0.2">
      <c r="A2154">
        <v>2148</v>
      </c>
      <c r="B2154">
        <v>0.2071639035534768</v>
      </c>
    </row>
    <row r="2155" spans="1:2" x14ac:dyDescent="0.2">
      <c r="A2155">
        <v>2149</v>
      </c>
      <c r="B2155">
        <v>0.31574975352613865</v>
      </c>
    </row>
    <row r="2156" spans="1:2" x14ac:dyDescent="0.2">
      <c r="A2156">
        <v>2150</v>
      </c>
      <c r="B2156">
        <v>0.59002473408214595</v>
      </c>
    </row>
    <row r="2157" spans="1:2" x14ac:dyDescent="0.2">
      <c r="A2157">
        <v>2151</v>
      </c>
      <c r="B2157">
        <v>0.71513683008409468</v>
      </c>
    </row>
    <row r="2158" spans="1:2" x14ac:dyDescent="0.2">
      <c r="A2158">
        <v>2152</v>
      </c>
      <c r="B2158">
        <v>0.57801522804689398</v>
      </c>
    </row>
    <row r="2159" spans="1:2" x14ac:dyDescent="0.2">
      <c r="A2159">
        <v>2153</v>
      </c>
      <c r="B2159">
        <v>0.39662818905211261</v>
      </c>
    </row>
    <row r="2160" spans="1:2" x14ac:dyDescent="0.2">
      <c r="A2160">
        <v>2154</v>
      </c>
      <c r="B2160">
        <v>0.72457580637859842</v>
      </c>
    </row>
    <row r="2161" spans="1:2" x14ac:dyDescent="0.2">
      <c r="A2161">
        <v>2155</v>
      </c>
      <c r="B2161">
        <v>5.9499081445183011E-2</v>
      </c>
    </row>
    <row r="2162" spans="1:2" x14ac:dyDescent="0.2">
      <c r="A2162">
        <v>2156</v>
      </c>
      <c r="B2162">
        <v>0.38771092746360991</v>
      </c>
    </row>
    <row r="2163" spans="1:2" x14ac:dyDescent="0.2">
      <c r="A2163">
        <v>2157</v>
      </c>
      <c r="B2163">
        <v>0.42160682622873547</v>
      </c>
    </row>
    <row r="2164" spans="1:2" x14ac:dyDescent="0.2">
      <c r="A2164">
        <v>2158</v>
      </c>
      <c r="B2164">
        <v>0.47957124219648484</v>
      </c>
    </row>
    <row r="2165" spans="1:2" x14ac:dyDescent="0.2">
      <c r="A2165">
        <v>2159</v>
      </c>
      <c r="B2165">
        <v>0.32125143269649337</v>
      </c>
    </row>
    <row r="2166" spans="1:2" x14ac:dyDescent="0.2">
      <c r="A2166">
        <v>2160</v>
      </c>
      <c r="B2166">
        <v>0.78144558739042513</v>
      </c>
    </row>
    <row r="2167" spans="1:2" x14ac:dyDescent="0.2">
      <c r="A2167">
        <v>2161</v>
      </c>
      <c r="B2167">
        <v>0.85061003824201487</v>
      </c>
    </row>
    <row r="2168" spans="1:2" x14ac:dyDescent="0.2">
      <c r="A2168">
        <v>2162</v>
      </c>
      <c r="B2168">
        <v>0.92170651604183274</v>
      </c>
    </row>
    <row r="2169" spans="1:2" x14ac:dyDescent="0.2">
      <c r="A2169">
        <v>2163</v>
      </c>
      <c r="B2169">
        <v>0.43884467866600252</v>
      </c>
    </row>
    <row r="2170" spans="1:2" x14ac:dyDescent="0.2">
      <c r="A2170">
        <v>2164</v>
      </c>
      <c r="B2170">
        <v>0.60143227012369305</v>
      </c>
    </row>
    <row r="2171" spans="1:2" x14ac:dyDescent="0.2">
      <c r="A2171">
        <v>2165</v>
      </c>
      <c r="B2171">
        <v>0.82336120587177786</v>
      </c>
    </row>
    <row r="2172" spans="1:2" x14ac:dyDescent="0.2">
      <c r="A2172">
        <v>2166</v>
      </c>
      <c r="B2172">
        <v>0.71831137401872247</v>
      </c>
    </row>
    <row r="2173" spans="1:2" x14ac:dyDescent="0.2">
      <c r="A2173">
        <v>2167</v>
      </c>
      <c r="B2173">
        <v>4.6220404909657509E-2</v>
      </c>
    </row>
    <row r="2174" spans="1:2" x14ac:dyDescent="0.2">
      <c r="A2174">
        <v>2168</v>
      </c>
      <c r="B2174">
        <v>3.4820099104855395E-2</v>
      </c>
    </row>
    <row r="2175" spans="1:2" x14ac:dyDescent="0.2">
      <c r="A2175">
        <v>2169</v>
      </c>
      <c r="B2175">
        <v>8.7565356387875215E-2</v>
      </c>
    </row>
    <row r="2176" spans="1:2" x14ac:dyDescent="0.2">
      <c r="A2176">
        <v>2170</v>
      </c>
      <c r="B2176">
        <v>0.5183015848746394</v>
      </c>
    </row>
    <row r="2177" spans="1:2" x14ac:dyDescent="0.2">
      <c r="A2177">
        <v>2171</v>
      </c>
      <c r="B2177">
        <v>6.6614432261774548E-3</v>
      </c>
    </row>
    <row r="2178" spans="1:2" x14ac:dyDescent="0.2">
      <c r="A2178">
        <v>2172</v>
      </c>
      <c r="B2178">
        <v>0.16934215342101855</v>
      </c>
    </row>
    <row r="2179" spans="1:2" x14ac:dyDescent="0.2">
      <c r="A2179">
        <v>2173</v>
      </c>
      <c r="B2179">
        <v>6.3784458154591217E-2</v>
      </c>
    </row>
    <row r="2180" spans="1:2" x14ac:dyDescent="0.2">
      <c r="A2180">
        <v>2174</v>
      </c>
      <c r="B2180">
        <v>0.25986038845577875</v>
      </c>
    </row>
    <row r="2181" spans="1:2" x14ac:dyDescent="0.2">
      <c r="A2181">
        <v>2175</v>
      </c>
      <c r="B2181">
        <v>0.78869408078157877</v>
      </c>
    </row>
    <row r="2182" spans="1:2" x14ac:dyDescent="0.2">
      <c r="A2182">
        <v>2176</v>
      </c>
      <c r="B2182">
        <v>0.79553699098116548</v>
      </c>
    </row>
    <row r="2183" spans="1:2" x14ac:dyDescent="0.2">
      <c r="A2183">
        <v>2177</v>
      </c>
      <c r="B2183">
        <v>0.93553501270128392</v>
      </c>
    </row>
    <row r="2184" spans="1:2" x14ac:dyDescent="0.2">
      <c r="A2184">
        <v>2178</v>
      </c>
      <c r="B2184">
        <v>0.43532921871114139</v>
      </c>
    </row>
    <row r="2185" spans="1:2" x14ac:dyDescent="0.2">
      <c r="A2185">
        <v>2179</v>
      </c>
      <c r="B2185">
        <v>2.3153538145670449E-3</v>
      </c>
    </row>
    <row r="2186" spans="1:2" x14ac:dyDescent="0.2">
      <c r="A2186">
        <v>2180</v>
      </c>
      <c r="B2186">
        <v>0.92384900177234375</v>
      </c>
    </row>
    <row r="2187" spans="1:2" x14ac:dyDescent="0.2">
      <c r="A2187">
        <v>2181</v>
      </c>
      <c r="B2187">
        <v>0.99641758177111628</v>
      </c>
    </row>
    <row r="2188" spans="1:2" x14ac:dyDescent="0.2">
      <c r="A2188">
        <v>2182</v>
      </c>
      <c r="B2188">
        <v>0.74252180658933264</v>
      </c>
    </row>
    <row r="2189" spans="1:2" x14ac:dyDescent="0.2">
      <c r="A2189">
        <v>2183</v>
      </c>
      <c r="B2189">
        <v>0.16482947344472776</v>
      </c>
    </row>
    <row r="2190" spans="1:2" x14ac:dyDescent="0.2">
      <c r="A2190">
        <v>2184</v>
      </c>
      <c r="B2190">
        <v>0.53462196283752783</v>
      </c>
    </row>
    <row r="2191" spans="1:2" x14ac:dyDescent="0.2">
      <c r="A2191">
        <v>2185</v>
      </c>
      <c r="B2191">
        <v>0.6363916833536386</v>
      </c>
    </row>
    <row r="2192" spans="1:2" x14ac:dyDescent="0.2">
      <c r="A2192">
        <v>2186</v>
      </c>
      <c r="B2192">
        <v>0.3890563105441609</v>
      </c>
    </row>
    <row r="2193" spans="1:2" x14ac:dyDescent="0.2">
      <c r="A2193">
        <v>2187</v>
      </c>
      <c r="B2193">
        <v>0.49829596405250309</v>
      </c>
    </row>
    <row r="2194" spans="1:2" x14ac:dyDescent="0.2">
      <c r="A2194">
        <v>2188</v>
      </c>
      <c r="B2194">
        <v>0.55369764469047156</v>
      </c>
    </row>
    <row r="2195" spans="1:2" x14ac:dyDescent="0.2">
      <c r="A2195">
        <v>2189</v>
      </c>
      <c r="B2195">
        <v>0.20196404350877861</v>
      </c>
    </row>
    <row r="2196" spans="1:2" x14ac:dyDescent="0.2">
      <c r="A2196">
        <v>2190</v>
      </c>
      <c r="B2196">
        <v>0.41753259529455733</v>
      </c>
    </row>
    <row r="2197" spans="1:2" x14ac:dyDescent="0.2">
      <c r="A2197">
        <v>2191</v>
      </c>
      <c r="B2197">
        <v>0.93449379526810483</v>
      </c>
    </row>
    <row r="2198" spans="1:2" x14ac:dyDescent="0.2">
      <c r="A2198">
        <v>2192</v>
      </c>
      <c r="B2198">
        <v>0.49298771939340402</v>
      </c>
    </row>
    <row r="2199" spans="1:2" x14ac:dyDescent="0.2">
      <c r="A2199">
        <v>2193</v>
      </c>
      <c r="B2199">
        <v>0.57312618598557885</v>
      </c>
    </row>
    <row r="2200" spans="1:2" x14ac:dyDescent="0.2">
      <c r="A2200">
        <v>2194</v>
      </c>
      <c r="B2200">
        <v>0.6740727328014422</v>
      </c>
    </row>
    <row r="2201" spans="1:2" x14ac:dyDescent="0.2">
      <c r="A2201">
        <v>2195</v>
      </c>
      <c r="B2201">
        <v>0.14599058968414069</v>
      </c>
    </row>
    <row r="2202" spans="1:2" x14ac:dyDescent="0.2">
      <c r="A2202">
        <v>2196</v>
      </c>
      <c r="B2202">
        <v>0.28030791909441533</v>
      </c>
    </row>
    <row r="2203" spans="1:2" x14ac:dyDescent="0.2">
      <c r="A2203">
        <v>2197</v>
      </c>
      <c r="B2203">
        <v>0.68865078553893844</v>
      </c>
    </row>
    <row r="2204" spans="1:2" x14ac:dyDescent="0.2">
      <c r="A2204">
        <v>2198</v>
      </c>
      <c r="B2204">
        <v>0.27814607122968493</v>
      </c>
    </row>
    <row r="2205" spans="1:2" x14ac:dyDescent="0.2">
      <c r="A2205">
        <v>2199</v>
      </c>
      <c r="B2205">
        <v>0.41271263044757878</v>
      </c>
    </row>
    <row r="2206" spans="1:2" x14ac:dyDescent="0.2">
      <c r="A2206">
        <v>2200</v>
      </c>
      <c r="B2206">
        <v>0.88417076633722247</v>
      </c>
    </row>
    <row r="2207" spans="1:2" x14ac:dyDescent="0.2">
      <c r="A2207">
        <v>2201</v>
      </c>
      <c r="B2207">
        <v>0.38479604751882179</v>
      </c>
    </row>
    <row r="2208" spans="1:2" x14ac:dyDescent="0.2">
      <c r="A2208">
        <v>2202</v>
      </c>
      <c r="B2208">
        <v>0.65348062491034287</v>
      </c>
    </row>
    <row r="2209" spans="1:2" x14ac:dyDescent="0.2">
      <c r="A2209">
        <v>2203</v>
      </c>
      <c r="B2209">
        <v>0.87078710590267605</v>
      </c>
    </row>
    <row r="2210" spans="1:2" x14ac:dyDescent="0.2">
      <c r="A2210">
        <v>2204</v>
      </c>
      <c r="B2210">
        <v>0.55322265920513303</v>
      </c>
    </row>
    <row r="2211" spans="1:2" x14ac:dyDescent="0.2">
      <c r="A2211">
        <v>2205</v>
      </c>
      <c r="B2211">
        <v>0.91827061695068346</v>
      </c>
    </row>
    <row r="2212" spans="1:2" x14ac:dyDescent="0.2">
      <c r="A2212">
        <v>2206</v>
      </c>
      <c r="B2212">
        <v>0.54073518279308286</v>
      </c>
    </row>
    <row r="2213" spans="1:2" x14ac:dyDescent="0.2">
      <c r="A2213">
        <v>2207</v>
      </c>
      <c r="B2213">
        <v>0.54793288908982074</v>
      </c>
    </row>
    <row r="2214" spans="1:2" x14ac:dyDescent="0.2">
      <c r="A2214">
        <v>2208</v>
      </c>
      <c r="B2214">
        <v>0.96735186541688534</v>
      </c>
    </row>
    <row r="2215" spans="1:2" x14ac:dyDescent="0.2">
      <c r="A2215">
        <v>2209</v>
      </c>
      <c r="B2215">
        <v>0.40074361978791573</v>
      </c>
    </row>
    <row r="2216" spans="1:2" x14ac:dyDescent="0.2">
      <c r="A2216">
        <v>2210</v>
      </c>
      <c r="B2216">
        <v>9.467332520112326E-2</v>
      </c>
    </row>
    <row r="2217" spans="1:2" x14ac:dyDescent="0.2">
      <c r="A2217">
        <v>2211</v>
      </c>
      <c r="B2217">
        <v>0.23205738063948422</v>
      </c>
    </row>
    <row r="2218" spans="1:2" x14ac:dyDescent="0.2">
      <c r="A2218">
        <v>2212</v>
      </c>
      <c r="B2218">
        <v>0.17277060185548576</v>
      </c>
    </row>
    <row r="2219" spans="1:2" x14ac:dyDescent="0.2">
      <c r="A2219">
        <v>2213</v>
      </c>
      <c r="B2219">
        <v>0.65884873235600871</v>
      </c>
    </row>
    <row r="2220" spans="1:2" x14ac:dyDescent="0.2">
      <c r="A2220">
        <v>2214</v>
      </c>
      <c r="B2220">
        <v>0.68461093840539144</v>
      </c>
    </row>
    <row r="2221" spans="1:2" x14ac:dyDescent="0.2">
      <c r="A2221">
        <v>2215</v>
      </c>
      <c r="B2221">
        <v>0.36961703252340317</v>
      </c>
    </row>
    <row r="2222" spans="1:2" x14ac:dyDescent="0.2">
      <c r="A2222">
        <v>2216</v>
      </c>
      <c r="B2222">
        <v>0.44429558271538705</v>
      </c>
    </row>
    <row r="2223" spans="1:2" x14ac:dyDescent="0.2">
      <c r="A2223">
        <v>2217</v>
      </c>
      <c r="B2223">
        <v>0.64829267138727842</v>
      </c>
    </row>
    <row r="2224" spans="1:2" x14ac:dyDescent="0.2">
      <c r="A2224">
        <v>2218</v>
      </c>
      <c r="B2224">
        <v>0.89271487004654992</v>
      </c>
    </row>
    <row r="2225" spans="1:2" x14ac:dyDescent="0.2">
      <c r="A2225">
        <v>2219</v>
      </c>
      <c r="B2225">
        <v>0.51277372768159202</v>
      </c>
    </row>
    <row r="2226" spans="1:2" x14ac:dyDescent="0.2">
      <c r="A2226">
        <v>2220</v>
      </c>
      <c r="B2226">
        <v>0.45988312476295468</v>
      </c>
    </row>
    <row r="2227" spans="1:2" x14ac:dyDescent="0.2">
      <c r="A2227">
        <v>2221</v>
      </c>
      <c r="B2227">
        <v>0.62586242386847923</v>
      </c>
    </row>
    <row r="2228" spans="1:2" x14ac:dyDescent="0.2">
      <c r="A2228">
        <v>2222</v>
      </c>
      <c r="B2228">
        <v>0.49217394847117091</v>
      </c>
    </row>
    <row r="2229" spans="1:2" x14ac:dyDescent="0.2">
      <c r="A2229">
        <v>2223</v>
      </c>
      <c r="B2229">
        <v>2.2949744519821236E-3</v>
      </c>
    </row>
    <row r="2230" spans="1:2" x14ac:dyDescent="0.2">
      <c r="A2230">
        <v>2224</v>
      </c>
      <c r="B2230">
        <v>0.66401275130610993</v>
      </c>
    </row>
    <row r="2231" spans="1:2" x14ac:dyDescent="0.2">
      <c r="A2231">
        <v>2225</v>
      </c>
      <c r="B2231">
        <v>0.27395046316791016</v>
      </c>
    </row>
    <row r="2232" spans="1:2" x14ac:dyDescent="0.2">
      <c r="A2232">
        <v>2226</v>
      </c>
      <c r="B2232">
        <v>9.4800299442950542E-2</v>
      </c>
    </row>
    <row r="2233" spans="1:2" x14ac:dyDescent="0.2">
      <c r="A2233">
        <v>2227</v>
      </c>
      <c r="B2233">
        <v>0.80266979618780943</v>
      </c>
    </row>
    <row r="2234" spans="1:2" x14ac:dyDescent="0.2">
      <c r="A2234">
        <v>2228</v>
      </c>
      <c r="B2234">
        <v>0.49500657872681775</v>
      </c>
    </row>
    <row r="2235" spans="1:2" x14ac:dyDescent="0.2">
      <c r="A2235">
        <v>2229</v>
      </c>
      <c r="B2235">
        <v>0.83712243478937132</v>
      </c>
    </row>
    <row r="2236" spans="1:2" x14ac:dyDescent="0.2">
      <c r="A2236">
        <v>2230</v>
      </c>
      <c r="B2236">
        <v>0.12977391026792606</v>
      </c>
    </row>
    <row r="2237" spans="1:2" x14ac:dyDescent="0.2">
      <c r="A2237">
        <v>2231</v>
      </c>
      <c r="B2237">
        <v>0.76631164927896833</v>
      </c>
    </row>
    <row r="2238" spans="1:2" x14ac:dyDescent="0.2">
      <c r="A2238">
        <v>2232</v>
      </c>
      <c r="B2238">
        <v>0.21829117234332918</v>
      </c>
    </row>
    <row r="2239" spans="1:2" x14ac:dyDescent="0.2">
      <c r="A2239">
        <v>2233</v>
      </c>
      <c r="B2239">
        <v>0.37980463264268916</v>
      </c>
    </row>
    <row r="2240" spans="1:2" x14ac:dyDescent="0.2">
      <c r="A2240">
        <v>2234</v>
      </c>
      <c r="B2240">
        <v>0.52969591289684403</v>
      </c>
    </row>
    <row r="2241" spans="1:2" x14ac:dyDescent="0.2">
      <c r="A2241">
        <v>2235</v>
      </c>
      <c r="B2241">
        <v>0.52116781682294355</v>
      </c>
    </row>
    <row r="2242" spans="1:2" x14ac:dyDescent="0.2">
      <c r="A2242">
        <v>2236</v>
      </c>
      <c r="B2242">
        <v>0.32197569689523731</v>
      </c>
    </row>
    <row r="2243" spans="1:2" x14ac:dyDescent="0.2">
      <c r="A2243">
        <v>2237</v>
      </c>
      <c r="B2243">
        <v>0.94668857708357845</v>
      </c>
    </row>
    <row r="2244" spans="1:2" x14ac:dyDescent="0.2">
      <c r="A2244">
        <v>2238</v>
      </c>
      <c r="B2244">
        <v>0.16929170929505155</v>
      </c>
    </row>
    <row r="2245" spans="1:2" x14ac:dyDescent="0.2">
      <c r="A2245">
        <v>2239</v>
      </c>
      <c r="B2245">
        <v>0.33463995197963226</v>
      </c>
    </row>
    <row r="2246" spans="1:2" x14ac:dyDescent="0.2">
      <c r="A2246">
        <v>2240</v>
      </c>
      <c r="B2246">
        <v>0.67048711609532219</v>
      </c>
    </row>
    <row r="2247" spans="1:2" x14ac:dyDescent="0.2">
      <c r="A2247">
        <v>2241</v>
      </c>
      <c r="B2247">
        <v>4.2174716292273651E-3</v>
      </c>
    </row>
    <row r="2248" spans="1:2" x14ac:dyDescent="0.2">
      <c r="A2248">
        <v>2242</v>
      </c>
      <c r="B2248">
        <v>0.24168637830118134</v>
      </c>
    </row>
    <row r="2249" spans="1:2" x14ac:dyDescent="0.2">
      <c r="A2249">
        <v>2243</v>
      </c>
      <c r="B2249">
        <v>0.22457932018857663</v>
      </c>
    </row>
    <row r="2250" spans="1:2" x14ac:dyDescent="0.2">
      <c r="A2250">
        <v>2244</v>
      </c>
      <c r="B2250">
        <v>0.76621478697507761</v>
      </c>
    </row>
    <row r="2251" spans="1:2" x14ac:dyDescent="0.2">
      <c r="A2251">
        <v>2245</v>
      </c>
      <c r="B2251">
        <v>0.48099420430959849</v>
      </c>
    </row>
    <row r="2252" spans="1:2" x14ac:dyDescent="0.2">
      <c r="A2252">
        <v>2246</v>
      </c>
      <c r="B2252">
        <v>0.21261444850892064</v>
      </c>
    </row>
    <row r="2253" spans="1:2" x14ac:dyDescent="0.2">
      <c r="A2253">
        <v>2247</v>
      </c>
      <c r="B2253">
        <v>2.4376849138466494E-2</v>
      </c>
    </row>
    <row r="2254" spans="1:2" x14ac:dyDescent="0.2">
      <c r="A2254">
        <v>2248</v>
      </c>
      <c r="B2254">
        <v>0.83400405968222735</v>
      </c>
    </row>
    <row r="2255" spans="1:2" x14ac:dyDescent="0.2">
      <c r="A2255">
        <v>2249</v>
      </c>
      <c r="B2255">
        <v>0.35184326804089683</v>
      </c>
    </row>
    <row r="2256" spans="1:2" x14ac:dyDescent="0.2">
      <c r="A2256">
        <v>2250</v>
      </c>
      <c r="B2256">
        <v>0.24438229617664675</v>
      </c>
    </row>
    <row r="2257" spans="1:2" x14ac:dyDescent="0.2">
      <c r="A2257">
        <v>2251</v>
      </c>
      <c r="B2257">
        <v>0.96915699347272799</v>
      </c>
    </row>
    <row r="2258" spans="1:2" x14ac:dyDescent="0.2">
      <c r="A2258">
        <v>2252</v>
      </c>
      <c r="B2258">
        <v>0.6028831013492445</v>
      </c>
    </row>
    <row r="2259" spans="1:2" x14ac:dyDescent="0.2">
      <c r="A2259">
        <v>2253</v>
      </c>
      <c r="B2259">
        <v>0.32800631734030727</v>
      </c>
    </row>
    <row r="2260" spans="1:2" x14ac:dyDescent="0.2">
      <c r="A2260">
        <v>2254</v>
      </c>
      <c r="B2260">
        <v>0.19076281497537206</v>
      </c>
    </row>
    <row r="2261" spans="1:2" x14ac:dyDescent="0.2">
      <c r="A2261">
        <v>2255</v>
      </c>
      <c r="B2261">
        <v>0.42563580689590919</v>
      </c>
    </row>
    <row r="2262" spans="1:2" x14ac:dyDescent="0.2">
      <c r="A2262">
        <v>2256</v>
      </c>
      <c r="B2262">
        <v>0.15727384039364734</v>
      </c>
    </row>
    <row r="2263" spans="1:2" x14ac:dyDescent="0.2">
      <c r="A2263">
        <v>2257</v>
      </c>
      <c r="B2263">
        <v>0.12483988814120639</v>
      </c>
    </row>
    <row r="2264" spans="1:2" x14ac:dyDescent="0.2">
      <c r="A2264">
        <v>2258</v>
      </c>
      <c r="B2264">
        <v>0.79115688283249563</v>
      </c>
    </row>
    <row r="2265" spans="1:2" x14ac:dyDescent="0.2">
      <c r="A2265">
        <v>2259</v>
      </c>
      <c r="B2265">
        <v>0.60165947995262803</v>
      </c>
    </row>
    <row r="2266" spans="1:2" x14ac:dyDescent="0.2">
      <c r="A2266">
        <v>2260</v>
      </c>
      <c r="B2266">
        <v>5.9262328915814844E-2</v>
      </c>
    </row>
    <row r="2267" spans="1:2" x14ac:dyDescent="0.2">
      <c r="A2267">
        <v>2261</v>
      </c>
      <c r="B2267">
        <v>0.5451352132224514</v>
      </c>
    </row>
    <row r="2268" spans="1:2" x14ac:dyDescent="0.2">
      <c r="A2268">
        <v>2262</v>
      </c>
      <c r="B2268">
        <v>0.56411592828811929</v>
      </c>
    </row>
    <row r="2269" spans="1:2" x14ac:dyDescent="0.2">
      <c r="A2269">
        <v>2263</v>
      </c>
      <c r="B2269">
        <v>0.95346523913403114</v>
      </c>
    </row>
    <row r="2270" spans="1:2" x14ac:dyDescent="0.2">
      <c r="A2270">
        <v>2264</v>
      </c>
      <c r="B2270">
        <v>0.48850428671438451</v>
      </c>
    </row>
    <row r="2271" spans="1:2" x14ac:dyDescent="0.2">
      <c r="A2271">
        <v>2265</v>
      </c>
      <c r="B2271">
        <v>0.6739540081108838</v>
      </c>
    </row>
    <row r="2272" spans="1:2" x14ac:dyDescent="0.2">
      <c r="A2272">
        <v>2266</v>
      </c>
      <c r="B2272">
        <v>0.81321544267260482</v>
      </c>
    </row>
    <row r="2273" spans="1:2" x14ac:dyDescent="0.2">
      <c r="A2273">
        <v>2267</v>
      </c>
      <c r="B2273">
        <v>0.31000413526340054</v>
      </c>
    </row>
    <row r="2274" spans="1:2" x14ac:dyDescent="0.2">
      <c r="A2274">
        <v>2268</v>
      </c>
      <c r="B2274">
        <v>0.63566234212284789</v>
      </c>
    </row>
    <row r="2275" spans="1:2" x14ac:dyDescent="0.2">
      <c r="A2275">
        <v>2269</v>
      </c>
      <c r="B2275">
        <v>0.79894432728025377</v>
      </c>
    </row>
    <row r="2276" spans="1:2" x14ac:dyDescent="0.2">
      <c r="A2276">
        <v>2270</v>
      </c>
      <c r="B2276">
        <v>0.53662466180118351</v>
      </c>
    </row>
    <row r="2277" spans="1:2" x14ac:dyDescent="0.2">
      <c r="A2277">
        <v>2271</v>
      </c>
      <c r="B2277">
        <v>0.78034254245282819</v>
      </c>
    </row>
    <row r="2278" spans="1:2" x14ac:dyDescent="0.2">
      <c r="A2278">
        <v>2272</v>
      </c>
      <c r="B2278">
        <v>0.78669631448060884</v>
      </c>
    </row>
    <row r="2279" spans="1:2" x14ac:dyDescent="0.2">
      <c r="A2279">
        <v>2273</v>
      </c>
      <c r="B2279">
        <v>0.54929534915363665</v>
      </c>
    </row>
    <row r="2280" spans="1:2" x14ac:dyDescent="0.2">
      <c r="A2280">
        <v>2274</v>
      </c>
      <c r="B2280">
        <v>0.85324494430253228</v>
      </c>
    </row>
    <row r="2281" spans="1:2" x14ac:dyDescent="0.2">
      <c r="A2281">
        <v>2275</v>
      </c>
      <c r="B2281">
        <v>0.60379572941195747</v>
      </c>
    </row>
    <row r="2282" spans="1:2" x14ac:dyDescent="0.2">
      <c r="A2282">
        <v>2276</v>
      </c>
      <c r="B2282">
        <v>0.27474083332515298</v>
      </c>
    </row>
    <row r="2283" spans="1:2" x14ac:dyDescent="0.2">
      <c r="A2283">
        <v>2277</v>
      </c>
      <c r="B2283">
        <v>0.9248709594898793</v>
      </c>
    </row>
    <row r="2284" spans="1:2" x14ac:dyDescent="0.2">
      <c r="A2284">
        <v>2278</v>
      </c>
      <c r="B2284">
        <v>0.52939177546408067</v>
      </c>
    </row>
    <row r="2285" spans="1:2" x14ac:dyDescent="0.2">
      <c r="A2285">
        <v>2279</v>
      </c>
      <c r="B2285">
        <v>9.9371662958645524E-2</v>
      </c>
    </row>
    <row r="2286" spans="1:2" x14ac:dyDescent="0.2">
      <c r="A2286">
        <v>2280</v>
      </c>
      <c r="B2286">
        <v>0.18472191571165331</v>
      </c>
    </row>
    <row r="2287" spans="1:2" x14ac:dyDescent="0.2">
      <c r="A2287">
        <v>2281</v>
      </c>
      <c r="B2287">
        <v>0.21424098167522776</v>
      </c>
    </row>
    <row r="2288" spans="1:2" x14ac:dyDescent="0.2">
      <c r="A2288">
        <v>2282</v>
      </c>
      <c r="B2288">
        <v>0.77108655449009944</v>
      </c>
    </row>
    <row r="2289" spans="1:2" x14ac:dyDescent="0.2">
      <c r="A2289">
        <v>2283</v>
      </c>
      <c r="B2289">
        <v>0.73458905064081359</v>
      </c>
    </row>
    <row r="2290" spans="1:2" x14ac:dyDescent="0.2">
      <c r="A2290">
        <v>2284</v>
      </c>
      <c r="B2290">
        <v>0.78735903396526918</v>
      </c>
    </row>
    <row r="2291" spans="1:2" x14ac:dyDescent="0.2">
      <c r="A2291">
        <v>2285</v>
      </c>
      <c r="B2291">
        <v>0.2606804157022522</v>
      </c>
    </row>
    <row r="2292" spans="1:2" x14ac:dyDescent="0.2">
      <c r="A2292">
        <v>2286</v>
      </c>
      <c r="B2292">
        <v>0.92264641779654766</v>
      </c>
    </row>
    <row r="2293" spans="1:2" x14ac:dyDescent="0.2">
      <c r="A2293">
        <v>2287</v>
      </c>
      <c r="B2293">
        <v>0.21948270912420531</v>
      </c>
    </row>
    <row r="2294" spans="1:2" x14ac:dyDescent="0.2">
      <c r="A2294">
        <v>2288</v>
      </c>
      <c r="B2294">
        <v>0.1884470523918822</v>
      </c>
    </row>
    <row r="2295" spans="1:2" x14ac:dyDescent="0.2">
      <c r="A2295">
        <v>2289</v>
      </c>
      <c r="B2295">
        <v>0.60847556314206275</v>
      </c>
    </row>
    <row r="2296" spans="1:2" x14ac:dyDescent="0.2">
      <c r="A2296">
        <v>2290</v>
      </c>
      <c r="B2296">
        <v>3.1903537638142798E-2</v>
      </c>
    </row>
    <row r="2297" spans="1:2" x14ac:dyDescent="0.2">
      <c r="A2297">
        <v>2291</v>
      </c>
      <c r="B2297">
        <v>0.1239389389474389</v>
      </c>
    </row>
    <row r="2298" spans="1:2" x14ac:dyDescent="0.2">
      <c r="A2298">
        <v>2292</v>
      </c>
      <c r="B2298">
        <v>0.31210157927224491</v>
      </c>
    </row>
    <row r="2299" spans="1:2" x14ac:dyDescent="0.2">
      <c r="A2299">
        <v>2293</v>
      </c>
      <c r="B2299">
        <v>0.86943199831552531</v>
      </c>
    </row>
    <row r="2300" spans="1:2" x14ac:dyDescent="0.2">
      <c r="A2300">
        <v>2294</v>
      </c>
      <c r="B2300">
        <v>0.86651756724257123</v>
      </c>
    </row>
    <row r="2301" spans="1:2" x14ac:dyDescent="0.2">
      <c r="A2301">
        <v>2295</v>
      </c>
      <c r="B2301">
        <v>0.84907269615655112</v>
      </c>
    </row>
    <row r="2302" spans="1:2" x14ac:dyDescent="0.2">
      <c r="A2302">
        <v>2296</v>
      </c>
      <c r="B2302">
        <v>0.48719822108229005</v>
      </c>
    </row>
    <row r="2303" spans="1:2" x14ac:dyDescent="0.2">
      <c r="A2303">
        <v>2297</v>
      </c>
      <c r="B2303">
        <v>0.98748420578327301</v>
      </c>
    </row>
    <row r="2304" spans="1:2" x14ac:dyDescent="0.2">
      <c r="A2304">
        <v>2298</v>
      </c>
      <c r="B2304">
        <v>0.70185857324303935</v>
      </c>
    </row>
    <row r="2305" spans="1:2" x14ac:dyDescent="0.2">
      <c r="A2305">
        <v>2299</v>
      </c>
      <c r="B2305">
        <v>0.52521671616215793</v>
      </c>
    </row>
    <row r="2306" spans="1:2" x14ac:dyDescent="0.2">
      <c r="A2306">
        <v>2300</v>
      </c>
      <c r="B2306">
        <v>0.69150523200380831</v>
      </c>
    </row>
    <row r="2307" spans="1:2" x14ac:dyDescent="0.2">
      <c r="A2307">
        <v>2301</v>
      </c>
      <c r="B2307">
        <v>1.1575594660998667E-2</v>
      </c>
    </row>
    <row r="2308" spans="1:2" x14ac:dyDescent="0.2">
      <c r="A2308">
        <v>2302</v>
      </c>
      <c r="B2308">
        <v>0.36080522156004868</v>
      </c>
    </row>
    <row r="2309" spans="1:2" x14ac:dyDescent="0.2">
      <c r="A2309">
        <v>2303</v>
      </c>
      <c r="B2309">
        <v>0.57070551890523147</v>
      </c>
    </row>
    <row r="2310" spans="1:2" x14ac:dyDescent="0.2">
      <c r="A2310">
        <v>2304</v>
      </c>
      <c r="B2310">
        <v>0.33640920990382772</v>
      </c>
    </row>
    <row r="2311" spans="1:2" x14ac:dyDescent="0.2">
      <c r="A2311">
        <v>2305</v>
      </c>
      <c r="B2311">
        <v>0.83633451631800015</v>
      </c>
    </row>
    <row r="2312" spans="1:2" x14ac:dyDescent="0.2">
      <c r="A2312">
        <v>2306</v>
      </c>
      <c r="B2312">
        <v>0.32082266683360339</v>
      </c>
    </row>
    <row r="2313" spans="1:2" x14ac:dyDescent="0.2">
      <c r="A2313">
        <v>2307</v>
      </c>
      <c r="B2313">
        <v>0.18500826912419399</v>
      </c>
    </row>
    <row r="2314" spans="1:2" x14ac:dyDescent="0.2">
      <c r="A2314">
        <v>2308</v>
      </c>
      <c r="B2314">
        <v>0.19716627551583954</v>
      </c>
    </row>
    <row r="2315" spans="1:2" x14ac:dyDescent="0.2">
      <c r="A2315">
        <v>2309</v>
      </c>
      <c r="B2315">
        <v>0.51237749116305786</v>
      </c>
    </row>
    <row r="2316" spans="1:2" x14ac:dyDescent="0.2">
      <c r="A2316">
        <v>2310</v>
      </c>
      <c r="B2316">
        <v>0.79258231127626944</v>
      </c>
    </row>
    <row r="2317" spans="1:2" x14ac:dyDescent="0.2">
      <c r="A2317">
        <v>2311</v>
      </c>
      <c r="B2317">
        <v>0.41755605936989681</v>
      </c>
    </row>
    <row r="2318" spans="1:2" x14ac:dyDescent="0.2">
      <c r="A2318">
        <v>2312</v>
      </c>
      <c r="B2318">
        <v>0.31693192957522276</v>
      </c>
    </row>
    <row r="2319" spans="1:2" x14ac:dyDescent="0.2">
      <c r="A2319">
        <v>2313</v>
      </c>
      <c r="B2319">
        <v>0.29297317584224425</v>
      </c>
    </row>
    <row r="2320" spans="1:2" x14ac:dyDescent="0.2">
      <c r="A2320">
        <v>2314</v>
      </c>
      <c r="B2320">
        <v>7.6442567746232148E-2</v>
      </c>
    </row>
    <row r="2321" spans="1:2" x14ac:dyDescent="0.2">
      <c r="A2321">
        <v>2315</v>
      </c>
      <c r="B2321">
        <v>0.40857004235730465</v>
      </c>
    </row>
    <row r="2322" spans="1:2" x14ac:dyDescent="0.2">
      <c r="A2322">
        <v>2316</v>
      </c>
      <c r="B2322">
        <v>0.8453376600645689</v>
      </c>
    </row>
    <row r="2323" spans="1:2" x14ac:dyDescent="0.2">
      <c r="A2323">
        <v>2317</v>
      </c>
      <c r="B2323">
        <v>0.16914292646707418</v>
      </c>
    </row>
    <row r="2324" spans="1:2" x14ac:dyDescent="0.2">
      <c r="A2324">
        <v>2318</v>
      </c>
      <c r="B2324">
        <v>0.2801926200926419</v>
      </c>
    </row>
    <row r="2325" spans="1:2" x14ac:dyDescent="0.2">
      <c r="A2325">
        <v>2319</v>
      </c>
      <c r="B2325">
        <v>0.26108658620214298</v>
      </c>
    </row>
    <row r="2326" spans="1:2" x14ac:dyDescent="0.2">
      <c r="A2326">
        <v>2320</v>
      </c>
      <c r="B2326">
        <v>0.89258567992763127</v>
      </c>
    </row>
    <row r="2327" spans="1:2" x14ac:dyDescent="0.2">
      <c r="A2327">
        <v>2321</v>
      </c>
      <c r="B2327">
        <v>0.87767616822782279</v>
      </c>
    </row>
    <row r="2328" spans="1:2" x14ac:dyDescent="0.2">
      <c r="A2328">
        <v>2322</v>
      </c>
      <c r="B2328">
        <v>0.67193789922031066</v>
      </c>
    </row>
    <row r="2329" spans="1:2" x14ac:dyDescent="0.2">
      <c r="A2329">
        <v>2323</v>
      </c>
      <c r="B2329">
        <v>0.93655751031574686</v>
      </c>
    </row>
    <row r="2330" spans="1:2" x14ac:dyDescent="0.2">
      <c r="A2330">
        <v>2324</v>
      </c>
      <c r="B2330">
        <v>3.4583244874777375E-2</v>
      </c>
    </row>
    <row r="2331" spans="1:2" x14ac:dyDescent="0.2">
      <c r="A2331">
        <v>2325</v>
      </c>
      <c r="B2331">
        <v>0.19123432237919369</v>
      </c>
    </row>
    <row r="2332" spans="1:2" x14ac:dyDescent="0.2">
      <c r="A2332">
        <v>2326</v>
      </c>
      <c r="B2332">
        <v>0.83609958472683721</v>
      </c>
    </row>
    <row r="2333" spans="1:2" x14ac:dyDescent="0.2">
      <c r="A2333">
        <v>2327</v>
      </c>
      <c r="B2333">
        <v>0.65829641175909559</v>
      </c>
    </row>
    <row r="2334" spans="1:2" x14ac:dyDescent="0.2">
      <c r="A2334">
        <v>2328</v>
      </c>
      <c r="B2334">
        <v>0.31662863892687765</v>
      </c>
    </row>
    <row r="2335" spans="1:2" x14ac:dyDescent="0.2">
      <c r="A2335">
        <v>2329</v>
      </c>
      <c r="B2335">
        <v>0.57846167838008133</v>
      </c>
    </row>
    <row r="2336" spans="1:2" x14ac:dyDescent="0.2">
      <c r="A2336">
        <v>2330</v>
      </c>
      <c r="B2336">
        <v>0.1885195237121835</v>
      </c>
    </row>
    <row r="2337" spans="1:2" x14ac:dyDescent="0.2">
      <c r="A2337">
        <v>2331</v>
      </c>
      <c r="B2337">
        <v>0.58704256423631207</v>
      </c>
    </row>
    <row r="2338" spans="1:2" x14ac:dyDescent="0.2">
      <c r="A2338">
        <v>2332</v>
      </c>
      <c r="B2338">
        <v>0.841350081627942</v>
      </c>
    </row>
    <row r="2339" spans="1:2" x14ac:dyDescent="0.2">
      <c r="A2339">
        <v>2333</v>
      </c>
      <c r="B2339">
        <v>0.52124875730700326</v>
      </c>
    </row>
    <row r="2340" spans="1:2" x14ac:dyDescent="0.2">
      <c r="A2340">
        <v>2334</v>
      </c>
      <c r="B2340">
        <v>0.55396331159399193</v>
      </c>
    </row>
    <row r="2341" spans="1:2" x14ac:dyDescent="0.2">
      <c r="A2341">
        <v>2335</v>
      </c>
      <c r="B2341">
        <v>0.70291270323740107</v>
      </c>
    </row>
    <row r="2342" spans="1:2" x14ac:dyDescent="0.2">
      <c r="A2342">
        <v>2336</v>
      </c>
      <c r="B2342">
        <v>0.37750093866039103</v>
      </c>
    </row>
    <row r="2343" spans="1:2" x14ac:dyDescent="0.2">
      <c r="A2343">
        <v>2337</v>
      </c>
      <c r="B2343">
        <v>0.88009850365493203</v>
      </c>
    </row>
    <row r="2344" spans="1:2" x14ac:dyDescent="0.2">
      <c r="A2344">
        <v>2338</v>
      </c>
      <c r="B2344">
        <v>0.39970587983240069</v>
      </c>
    </row>
    <row r="2345" spans="1:2" x14ac:dyDescent="0.2">
      <c r="A2345">
        <v>2339</v>
      </c>
      <c r="B2345">
        <v>0.87124420434247163</v>
      </c>
    </row>
    <row r="2346" spans="1:2" x14ac:dyDescent="0.2">
      <c r="A2346">
        <v>2340</v>
      </c>
      <c r="B2346">
        <v>0.68191856116731531</v>
      </c>
    </row>
    <row r="2347" spans="1:2" x14ac:dyDescent="0.2">
      <c r="A2347">
        <v>2341</v>
      </c>
      <c r="B2347">
        <v>0.1583995848949975</v>
      </c>
    </row>
    <row r="2348" spans="1:2" x14ac:dyDescent="0.2">
      <c r="A2348">
        <v>2342</v>
      </c>
      <c r="B2348">
        <v>0.20924194626371029</v>
      </c>
    </row>
    <row r="2349" spans="1:2" x14ac:dyDescent="0.2">
      <c r="A2349">
        <v>2343</v>
      </c>
      <c r="B2349">
        <v>1.2074747220611637E-2</v>
      </c>
    </row>
    <row r="2350" spans="1:2" x14ac:dyDescent="0.2">
      <c r="A2350">
        <v>2344</v>
      </c>
      <c r="B2350">
        <v>0.30411053623386131</v>
      </c>
    </row>
    <row r="2351" spans="1:2" x14ac:dyDescent="0.2">
      <c r="A2351">
        <v>2345</v>
      </c>
      <c r="B2351">
        <v>0.25804977576447719</v>
      </c>
    </row>
    <row r="2352" spans="1:2" x14ac:dyDescent="0.2">
      <c r="A2352">
        <v>2346</v>
      </c>
      <c r="B2352">
        <v>0.39944159533159718</v>
      </c>
    </row>
    <row r="2353" spans="1:2" x14ac:dyDescent="0.2">
      <c r="A2353">
        <v>2347</v>
      </c>
      <c r="B2353">
        <v>0.89114930176964913</v>
      </c>
    </row>
    <row r="2354" spans="1:2" x14ac:dyDescent="0.2">
      <c r="A2354">
        <v>2348</v>
      </c>
      <c r="B2354">
        <v>0.18495167120383837</v>
      </c>
    </row>
    <row r="2355" spans="1:2" x14ac:dyDescent="0.2">
      <c r="A2355">
        <v>2349</v>
      </c>
      <c r="B2355">
        <v>0.67560542656390388</v>
      </c>
    </row>
    <row r="2356" spans="1:2" x14ac:dyDescent="0.2">
      <c r="A2356">
        <v>2350</v>
      </c>
      <c r="B2356">
        <v>0.3702886919825924</v>
      </c>
    </row>
    <row r="2357" spans="1:2" x14ac:dyDescent="0.2">
      <c r="A2357">
        <v>2351</v>
      </c>
      <c r="B2357">
        <v>0.4986113400429798</v>
      </c>
    </row>
    <row r="2358" spans="1:2" x14ac:dyDescent="0.2">
      <c r="A2358">
        <v>2352</v>
      </c>
      <c r="B2358">
        <v>0.24474473974750866</v>
      </c>
    </row>
    <row r="2359" spans="1:2" x14ac:dyDescent="0.2">
      <c r="A2359">
        <v>2353</v>
      </c>
      <c r="B2359">
        <v>0.38950338856319788</v>
      </c>
    </row>
    <row r="2360" spans="1:2" x14ac:dyDescent="0.2">
      <c r="A2360">
        <v>2354</v>
      </c>
      <c r="B2360">
        <v>0.42468831163791021</v>
      </c>
    </row>
    <row r="2361" spans="1:2" x14ac:dyDescent="0.2">
      <c r="A2361">
        <v>2355</v>
      </c>
      <c r="B2361">
        <v>0.84354749836928367</v>
      </c>
    </row>
    <row r="2362" spans="1:2" x14ac:dyDescent="0.2">
      <c r="A2362">
        <v>2356</v>
      </c>
      <c r="B2362">
        <v>0.16424765183307732</v>
      </c>
    </row>
    <row r="2363" spans="1:2" x14ac:dyDescent="0.2">
      <c r="A2363">
        <v>2357</v>
      </c>
      <c r="B2363">
        <v>0.35408260331434993</v>
      </c>
    </row>
    <row r="2364" spans="1:2" x14ac:dyDescent="0.2">
      <c r="A2364">
        <v>2358</v>
      </c>
      <c r="B2364">
        <v>0.62157000653411043</v>
      </c>
    </row>
    <row r="2365" spans="1:2" x14ac:dyDescent="0.2">
      <c r="A2365">
        <v>2359</v>
      </c>
      <c r="B2365">
        <v>0.86037040408097953</v>
      </c>
    </row>
    <row r="2366" spans="1:2" x14ac:dyDescent="0.2">
      <c r="A2366">
        <v>2360</v>
      </c>
      <c r="B2366">
        <v>0.58854767809862663</v>
      </c>
    </row>
    <row r="2367" spans="1:2" x14ac:dyDescent="0.2">
      <c r="A2367">
        <v>2361</v>
      </c>
      <c r="B2367">
        <v>0.54096230889173147</v>
      </c>
    </row>
    <row r="2368" spans="1:2" x14ac:dyDescent="0.2">
      <c r="A2368">
        <v>2362</v>
      </c>
      <c r="B2368">
        <v>0.30484361221928036</v>
      </c>
    </row>
    <row r="2369" spans="1:2" x14ac:dyDescent="0.2">
      <c r="A2369">
        <v>2363</v>
      </c>
      <c r="B2369">
        <v>0.61020873142731136</v>
      </c>
    </row>
    <row r="2370" spans="1:2" x14ac:dyDescent="0.2">
      <c r="A2370">
        <v>2364</v>
      </c>
      <c r="B2370">
        <v>0.5569976362630743</v>
      </c>
    </row>
    <row r="2371" spans="1:2" x14ac:dyDescent="0.2">
      <c r="A2371">
        <v>2365</v>
      </c>
      <c r="B2371">
        <v>0.50403755846912024</v>
      </c>
    </row>
    <row r="2372" spans="1:2" x14ac:dyDescent="0.2">
      <c r="A2372">
        <v>2366</v>
      </c>
      <c r="B2372">
        <v>0.53212357100828234</v>
      </c>
    </row>
    <row r="2373" spans="1:2" x14ac:dyDescent="0.2">
      <c r="A2373">
        <v>2367</v>
      </c>
      <c r="B2373">
        <v>0.99685243266212642</v>
      </c>
    </row>
    <row r="2374" spans="1:2" x14ac:dyDescent="0.2">
      <c r="A2374">
        <v>2368</v>
      </c>
      <c r="B2374">
        <v>0.54490848698318872</v>
      </c>
    </row>
    <row r="2375" spans="1:2" x14ac:dyDescent="0.2">
      <c r="A2375">
        <v>2369</v>
      </c>
      <c r="B2375">
        <v>0.60586251860339291</v>
      </c>
    </row>
    <row r="2376" spans="1:2" x14ac:dyDescent="0.2">
      <c r="A2376">
        <v>2370</v>
      </c>
      <c r="B2376">
        <v>0.80058144870736192</v>
      </c>
    </row>
    <row r="2377" spans="1:2" x14ac:dyDescent="0.2">
      <c r="A2377">
        <v>2371</v>
      </c>
      <c r="B2377">
        <v>0.62421370893604999</v>
      </c>
    </row>
    <row r="2378" spans="1:2" x14ac:dyDescent="0.2">
      <c r="A2378">
        <v>2372</v>
      </c>
      <c r="B2378">
        <v>0.33260732372989976</v>
      </c>
    </row>
    <row r="2379" spans="1:2" x14ac:dyDescent="0.2">
      <c r="A2379">
        <v>2373</v>
      </c>
      <c r="B2379">
        <v>0.19210812906025143</v>
      </c>
    </row>
    <row r="2380" spans="1:2" x14ac:dyDescent="0.2">
      <c r="A2380">
        <v>2374</v>
      </c>
      <c r="B2380">
        <v>0.76548327830210894</v>
      </c>
    </row>
    <row r="2381" spans="1:2" x14ac:dyDescent="0.2">
      <c r="A2381">
        <v>2375</v>
      </c>
      <c r="B2381">
        <v>0.96621028210391369</v>
      </c>
    </row>
    <row r="2382" spans="1:2" x14ac:dyDescent="0.2">
      <c r="A2382">
        <v>2376</v>
      </c>
      <c r="B2382">
        <v>0.44289228081017973</v>
      </c>
    </row>
    <row r="2383" spans="1:2" x14ac:dyDescent="0.2">
      <c r="A2383">
        <v>2377</v>
      </c>
      <c r="B2383">
        <v>0.74793819148982832</v>
      </c>
    </row>
    <row r="2384" spans="1:2" x14ac:dyDescent="0.2">
      <c r="A2384">
        <v>2378</v>
      </c>
      <c r="B2384">
        <v>0.71184156667095833</v>
      </c>
    </row>
    <row r="2385" spans="1:2" x14ac:dyDescent="0.2">
      <c r="A2385">
        <v>2379</v>
      </c>
      <c r="B2385">
        <v>0.98399623452866347</v>
      </c>
    </row>
    <row r="2386" spans="1:2" x14ac:dyDescent="0.2">
      <c r="A2386">
        <v>2380</v>
      </c>
      <c r="B2386">
        <v>0.44875457024987531</v>
      </c>
    </row>
    <row r="2387" spans="1:2" x14ac:dyDescent="0.2">
      <c r="A2387">
        <v>2381</v>
      </c>
      <c r="B2387">
        <v>0.59956022188779867</v>
      </c>
    </row>
    <row r="2388" spans="1:2" x14ac:dyDescent="0.2">
      <c r="A2388">
        <v>2382</v>
      </c>
      <c r="B2388">
        <v>0.14710075770580067</v>
      </c>
    </row>
    <row r="2389" spans="1:2" x14ac:dyDescent="0.2">
      <c r="A2389">
        <v>2383</v>
      </c>
      <c r="B2389">
        <v>0.85304875873460173</v>
      </c>
    </row>
    <row r="2390" spans="1:2" x14ac:dyDescent="0.2">
      <c r="A2390">
        <v>2384</v>
      </c>
      <c r="B2390">
        <v>0.73002600099752613</v>
      </c>
    </row>
    <row r="2391" spans="1:2" x14ac:dyDescent="0.2">
      <c r="A2391">
        <v>2385</v>
      </c>
      <c r="B2391">
        <v>0.88376709966130562</v>
      </c>
    </row>
    <row r="2392" spans="1:2" x14ac:dyDescent="0.2">
      <c r="A2392">
        <v>2386</v>
      </c>
      <c r="B2392">
        <v>0.39148130789417146</v>
      </c>
    </row>
    <row r="2393" spans="1:2" x14ac:dyDescent="0.2">
      <c r="A2393">
        <v>2387</v>
      </c>
      <c r="B2393">
        <v>0.30665897738842196</v>
      </c>
    </row>
    <row r="2394" spans="1:2" x14ac:dyDescent="0.2">
      <c r="A2394">
        <v>2388</v>
      </c>
      <c r="B2394">
        <v>0.60320180943330615</v>
      </c>
    </row>
    <row r="2395" spans="1:2" x14ac:dyDescent="0.2">
      <c r="A2395">
        <v>2389</v>
      </c>
      <c r="B2395">
        <v>0.64469993975977558</v>
      </c>
    </row>
    <row r="2396" spans="1:2" x14ac:dyDescent="0.2">
      <c r="A2396">
        <v>2390</v>
      </c>
      <c r="B2396">
        <v>0.76891095495805017</v>
      </c>
    </row>
    <row r="2397" spans="1:2" x14ac:dyDescent="0.2">
      <c r="A2397">
        <v>2391</v>
      </c>
      <c r="B2397">
        <v>0.65332513881079124</v>
      </c>
    </row>
    <row r="2398" spans="1:2" x14ac:dyDescent="0.2">
      <c r="A2398">
        <v>2392</v>
      </c>
      <c r="B2398">
        <v>0.66735684987554689</v>
      </c>
    </row>
    <row r="2399" spans="1:2" x14ac:dyDescent="0.2">
      <c r="A2399">
        <v>2393</v>
      </c>
      <c r="B2399">
        <v>0.49895842225809983</v>
      </c>
    </row>
    <row r="2400" spans="1:2" x14ac:dyDescent="0.2">
      <c r="A2400">
        <v>2394</v>
      </c>
      <c r="B2400">
        <v>0.95824441700248086</v>
      </c>
    </row>
    <row r="2401" spans="1:2" x14ac:dyDescent="0.2">
      <c r="A2401">
        <v>2395</v>
      </c>
      <c r="B2401">
        <v>0.58691425339039871</v>
      </c>
    </row>
    <row r="2402" spans="1:2" x14ac:dyDescent="0.2">
      <c r="A2402">
        <v>2396</v>
      </c>
      <c r="B2402">
        <v>0.97917637384457268</v>
      </c>
    </row>
    <row r="2403" spans="1:2" x14ac:dyDescent="0.2">
      <c r="A2403">
        <v>2397</v>
      </c>
      <c r="B2403">
        <v>2.9599489272731594E-2</v>
      </c>
    </row>
    <row r="2404" spans="1:2" x14ac:dyDescent="0.2">
      <c r="A2404">
        <v>2398</v>
      </c>
      <c r="B2404">
        <v>0.44318745676939497</v>
      </c>
    </row>
    <row r="2405" spans="1:2" x14ac:dyDescent="0.2">
      <c r="A2405">
        <v>2399</v>
      </c>
      <c r="B2405">
        <v>4.3741751096888826E-2</v>
      </c>
    </row>
    <row r="2406" spans="1:2" x14ac:dyDescent="0.2">
      <c r="A2406">
        <v>2400</v>
      </c>
      <c r="B2406">
        <v>0.30798147575545431</v>
      </c>
    </row>
    <row r="2407" spans="1:2" x14ac:dyDescent="0.2">
      <c r="A2407">
        <v>2401</v>
      </c>
      <c r="B2407">
        <v>6.3798830610424573E-2</v>
      </c>
    </row>
    <row r="2408" spans="1:2" x14ac:dyDescent="0.2">
      <c r="A2408">
        <v>2402</v>
      </c>
      <c r="B2408">
        <v>0.48485008150477349</v>
      </c>
    </row>
    <row r="2409" spans="1:2" x14ac:dyDescent="0.2">
      <c r="A2409">
        <v>2403</v>
      </c>
      <c r="B2409">
        <v>0.47976008180092633</v>
      </c>
    </row>
    <row r="2410" spans="1:2" x14ac:dyDescent="0.2">
      <c r="A2410">
        <v>2404</v>
      </c>
      <c r="B2410">
        <v>0.88293817945166619</v>
      </c>
    </row>
    <row r="2411" spans="1:2" x14ac:dyDescent="0.2">
      <c r="A2411">
        <v>2405</v>
      </c>
      <c r="B2411">
        <v>0.60252012775800112</v>
      </c>
    </row>
    <row r="2412" spans="1:2" x14ac:dyDescent="0.2">
      <c r="A2412">
        <v>2406</v>
      </c>
      <c r="B2412">
        <v>0.76602377822564172</v>
      </c>
    </row>
    <row r="2413" spans="1:2" x14ac:dyDescent="0.2">
      <c r="A2413">
        <v>2407</v>
      </c>
      <c r="B2413">
        <v>0.86949550304199275</v>
      </c>
    </row>
    <row r="2414" spans="1:2" x14ac:dyDescent="0.2">
      <c r="A2414">
        <v>2408</v>
      </c>
      <c r="B2414">
        <v>0.40597252212985047</v>
      </c>
    </row>
    <row r="2415" spans="1:2" x14ac:dyDescent="0.2">
      <c r="A2415">
        <v>2409</v>
      </c>
      <c r="B2415">
        <v>0.80088087544380071</v>
      </c>
    </row>
    <row r="2416" spans="1:2" x14ac:dyDescent="0.2">
      <c r="A2416">
        <v>2410</v>
      </c>
      <c r="B2416">
        <v>0.36406699884325133</v>
      </c>
    </row>
    <row r="2417" spans="1:2" x14ac:dyDescent="0.2">
      <c r="A2417">
        <v>2411</v>
      </c>
      <c r="B2417">
        <v>0.84354457307517761</v>
      </c>
    </row>
    <row r="2418" spans="1:2" x14ac:dyDescent="0.2">
      <c r="A2418">
        <v>2412</v>
      </c>
      <c r="B2418">
        <v>0.8250835372289137</v>
      </c>
    </row>
    <row r="2419" spans="1:2" x14ac:dyDescent="0.2">
      <c r="A2419">
        <v>2413</v>
      </c>
      <c r="B2419">
        <v>5.5966886094025448E-2</v>
      </c>
    </row>
    <row r="2420" spans="1:2" x14ac:dyDescent="0.2">
      <c r="A2420">
        <v>2414</v>
      </c>
      <c r="B2420">
        <v>0.98080983012451184</v>
      </c>
    </row>
    <row r="2421" spans="1:2" x14ac:dyDescent="0.2">
      <c r="A2421">
        <v>2415</v>
      </c>
      <c r="B2421">
        <v>0.10888756959659696</v>
      </c>
    </row>
    <row r="2422" spans="1:2" x14ac:dyDescent="0.2">
      <c r="A2422">
        <v>2416</v>
      </c>
      <c r="B2422">
        <v>0.48038162775608984</v>
      </c>
    </row>
    <row r="2423" spans="1:2" x14ac:dyDescent="0.2">
      <c r="A2423">
        <v>2417</v>
      </c>
      <c r="B2423">
        <v>0.99232539451061041</v>
      </c>
    </row>
    <row r="2424" spans="1:2" x14ac:dyDescent="0.2">
      <c r="A2424">
        <v>2418</v>
      </c>
      <c r="B2424">
        <v>0.89400639021746098</v>
      </c>
    </row>
    <row r="2425" spans="1:2" x14ac:dyDescent="0.2">
      <c r="A2425">
        <v>2419</v>
      </c>
      <c r="B2425">
        <v>0.54465051728136471</v>
      </c>
    </row>
    <row r="2426" spans="1:2" x14ac:dyDescent="0.2">
      <c r="A2426">
        <v>2420</v>
      </c>
      <c r="B2426">
        <v>0.12099635725027524</v>
      </c>
    </row>
    <row r="2427" spans="1:2" x14ac:dyDescent="0.2">
      <c r="A2427">
        <v>2421</v>
      </c>
      <c r="B2427">
        <v>0.55420782927297929</v>
      </c>
    </row>
    <row r="2428" spans="1:2" x14ac:dyDescent="0.2">
      <c r="A2428">
        <v>2422</v>
      </c>
      <c r="B2428">
        <v>0.23239857675945474</v>
      </c>
    </row>
    <row r="2429" spans="1:2" x14ac:dyDescent="0.2">
      <c r="A2429">
        <v>2423</v>
      </c>
      <c r="B2429">
        <v>0.98266800818556754</v>
      </c>
    </row>
    <row r="2430" spans="1:2" x14ac:dyDescent="0.2">
      <c r="A2430">
        <v>2424</v>
      </c>
      <c r="B2430">
        <v>0.59396345300900333</v>
      </c>
    </row>
    <row r="2431" spans="1:2" x14ac:dyDescent="0.2">
      <c r="A2431">
        <v>2425</v>
      </c>
      <c r="B2431">
        <v>0.55069291845061574</v>
      </c>
    </row>
    <row r="2432" spans="1:2" x14ac:dyDescent="0.2">
      <c r="A2432">
        <v>2426</v>
      </c>
      <c r="B2432">
        <v>0.82173430859218721</v>
      </c>
    </row>
    <row r="2433" spans="1:2" x14ac:dyDescent="0.2">
      <c r="A2433">
        <v>2427</v>
      </c>
      <c r="B2433">
        <v>3.8056567409886721E-2</v>
      </c>
    </row>
    <row r="2434" spans="1:2" x14ac:dyDescent="0.2">
      <c r="A2434">
        <v>2428</v>
      </c>
      <c r="B2434">
        <v>0.40436726861685601</v>
      </c>
    </row>
    <row r="2435" spans="1:2" x14ac:dyDescent="0.2">
      <c r="A2435">
        <v>2429</v>
      </c>
      <c r="B2435">
        <v>0.17212964947287501</v>
      </c>
    </row>
    <row r="2436" spans="1:2" x14ac:dyDescent="0.2">
      <c r="A2436">
        <v>2430</v>
      </c>
      <c r="B2436">
        <v>0.39008483466303301</v>
      </c>
    </row>
    <row r="2437" spans="1:2" x14ac:dyDescent="0.2">
      <c r="A2437">
        <v>2431</v>
      </c>
      <c r="B2437">
        <v>0.32290093624767657</v>
      </c>
    </row>
    <row r="2438" spans="1:2" x14ac:dyDescent="0.2">
      <c r="A2438">
        <v>2432</v>
      </c>
      <c r="B2438">
        <v>0.78818618162282639</v>
      </c>
    </row>
    <row r="2439" spans="1:2" x14ac:dyDescent="0.2">
      <c r="A2439">
        <v>2433</v>
      </c>
      <c r="B2439">
        <v>0.52534872400039911</v>
      </c>
    </row>
    <row r="2440" spans="1:2" x14ac:dyDescent="0.2">
      <c r="A2440">
        <v>2434</v>
      </c>
      <c r="B2440">
        <v>7.8828392758797383E-2</v>
      </c>
    </row>
    <row r="2441" spans="1:2" x14ac:dyDescent="0.2">
      <c r="A2441">
        <v>2435</v>
      </c>
      <c r="B2441">
        <v>1.5883962502943993E-2</v>
      </c>
    </row>
    <row r="2442" spans="1:2" x14ac:dyDescent="0.2">
      <c r="A2442">
        <v>2436</v>
      </c>
      <c r="B2442">
        <v>0.74163727933127976</v>
      </c>
    </row>
    <row r="2443" spans="1:2" x14ac:dyDescent="0.2">
      <c r="A2443">
        <v>2437</v>
      </c>
      <c r="B2443">
        <v>8.2494009971107563E-2</v>
      </c>
    </row>
    <row r="2444" spans="1:2" x14ac:dyDescent="0.2">
      <c r="A2444">
        <v>2438</v>
      </c>
      <c r="B2444">
        <v>0.58582400008888669</v>
      </c>
    </row>
    <row r="2445" spans="1:2" x14ac:dyDescent="0.2">
      <c r="A2445">
        <v>2439</v>
      </c>
      <c r="B2445">
        <v>6.7375823561809933E-2</v>
      </c>
    </row>
    <row r="2446" spans="1:2" x14ac:dyDescent="0.2">
      <c r="A2446">
        <v>2440</v>
      </c>
      <c r="B2446">
        <v>6.091559885848874E-2</v>
      </c>
    </row>
    <row r="2447" spans="1:2" x14ac:dyDescent="0.2">
      <c r="A2447">
        <v>2441</v>
      </c>
      <c r="B2447">
        <v>0.84210917984106926</v>
      </c>
    </row>
    <row r="2448" spans="1:2" x14ac:dyDescent="0.2">
      <c r="A2448">
        <v>2442</v>
      </c>
      <c r="B2448">
        <v>0.61127740053440138</v>
      </c>
    </row>
    <row r="2449" spans="1:2" x14ac:dyDescent="0.2">
      <c r="A2449">
        <v>2443</v>
      </c>
      <c r="B2449">
        <v>0.12600982839490216</v>
      </c>
    </row>
    <row r="2450" spans="1:2" x14ac:dyDescent="0.2">
      <c r="A2450">
        <v>2444</v>
      </c>
      <c r="B2450">
        <v>0.29645982805246118</v>
      </c>
    </row>
    <row r="2451" spans="1:2" x14ac:dyDescent="0.2">
      <c r="A2451">
        <v>2445</v>
      </c>
      <c r="B2451">
        <v>0.90988279980552578</v>
      </c>
    </row>
    <row r="2452" spans="1:2" x14ac:dyDescent="0.2">
      <c r="A2452">
        <v>2446</v>
      </c>
      <c r="B2452">
        <v>0.95597275224307077</v>
      </c>
    </row>
    <row r="2453" spans="1:2" x14ac:dyDescent="0.2">
      <c r="A2453">
        <v>2447</v>
      </c>
      <c r="B2453">
        <v>0.45884466360389708</v>
      </c>
    </row>
    <row r="2454" spans="1:2" x14ac:dyDescent="0.2">
      <c r="A2454">
        <v>2448</v>
      </c>
      <c r="B2454">
        <v>0.65924931068550741</v>
      </c>
    </row>
    <row r="2455" spans="1:2" x14ac:dyDescent="0.2">
      <c r="A2455">
        <v>2449</v>
      </c>
      <c r="B2455">
        <v>0.42384552265948428</v>
      </c>
    </row>
    <row r="2456" spans="1:2" x14ac:dyDescent="0.2">
      <c r="A2456">
        <v>2450</v>
      </c>
      <c r="B2456">
        <v>0.20813541730991436</v>
      </c>
    </row>
    <row r="2457" spans="1:2" x14ac:dyDescent="0.2">
      <c r="A2457">
        <v>2451</v>
      </c>
      <c r="B2457">
        <v>0.68624049577075352</v>
      </c>
    </row>
    <row r="2458" spans="1:2" x14ac:dyDescent="0.2">
      <c r="A2458">
        <v>2452</v>
      </c>
      <c r="B2458">
        <v>0.77406898243384636</v>
      </c>
    </row>
    <row r="2459" spans="1:2" x14ac:dyDescent="0.2">
      <c r="A2459">
        <v>2453</v>
      </c>
      <c r="B2459">
        <v>0.20727421917798494</v>
      </c>
    </row>
    <row r="2460" spans="1:2" x14ac:dyDescent="0.2">
      <c r="A2460">
        <v>2454</v>
      </c>
      <c r="B2460">
        <v>0.39387677508278862</v>
      </c>
    </row>
    <row r="2461" spans="1:2" x14ac:dyDescent="0.2">
      <c r="A2461">
        <v>2455</v>
      </c>
      <c r="B2461">
        <v>9.1018054289604078E-2</v>
      </c>
    </row>
    <row r="2462" spans="1:2" x14ac:dyDescent="0.2">
      <c r="A2462">
        <v>2456</v>
      </c>
      <c r="B2462">
        <v>0.23389892995279593</v>
      </c>
    </row>
    <row r="2463" spans="1:2" x14ac:dyDescent="0.2">
      <c r="A2463">
        <v>2457</v>
      </c>
      <c r="B2463">
        <v>0.6867424849387852</v>
      </c>
    </row>
    <row r="2464" spans="1:2" x14ac:dyDescent="0.2">
      <c r="A2464">
        <v>2458</v>
      </c>
      <c r="B2464">
        <v>0.44733444460265959</v>
      </c>
    </row>
    <row r="2465" spans="1:2" x14ac:dyDescent="0.2">
      <c r="A2465">
        <v>2459</v>
      </c>
      <c r="B2465">
        <v>0.25832619289479952</v>
      </c>
    </row>
    <row r="2466" spans="1:2" x14ac:dyDescent="0.2">
      <c r="A2466">
        <v>2460</v>
      </c>
      <c r="B2466">
        <v>0.98766675112531377</v>
      </c>
    </row>
    <row r="2467" spans="1:2" x14ac:dyDescent="0.2">
      <c r="A2467">
        <v>2461</v>
      </c>
      <c r="B2467">
        <v>0.61195702936455421</v>
      </c>
    </row>
    <row r="2468" spans="1:2" x14ac:dyDescent="0.2">
      <c r="A2468">
        <v>2462</v>
      </c>
      <c r="B2468">
        <v>0.40893049870726561</v>
      </c>
    </row>
    <row r="2469" spans="1:2" x14ac:dyDescent="0.2">
      <c r="A2469">
        <v>2463</v>
      </c>
      <c r="B2469">
        <v>0.5903278608526964</v>
      </c>
    </row>
    <row r="2470" spans="1:2" x14ac:dyDescent="0.2">
      <c r="A2470">
        <v>2464</v>
      </c>
      <c r="B2470">
        <v>0.28914078829784295</v>
      </c>
    </row>
    <row r="2471" spans="1:2" x14ac:dyDescent="0.2">
      <c r="A2471">
        <v>2465</v>
      </c>
      <c r="B2471">
        <v>0.13210060937714652</v>
      </c>
    </row>
    <row r="2472" spans="1:2" x14ac:dyDescent="0.2">
      <c r="A2472">
        <v>2466</v>
      </c>
      <c r="B2472">
        <v>7.6213552686776875E-2</v>
      </c>
    </row>
    <row r="2473" spans="1:2" x14ac:dyDescent="0.2">
      <c r="A2473">
        <v>2467</v>
      </c>
      <c r="B2473">
        <v>0.11844617013904712</v>
      </c>
    </row>
    <row r="2474" spans="1:2" x14ac:dyDescent="0.2">
      <c r="A2474">
        <v>2468</v>
      </c>
      <c r="B2474">
        <v>0.21732772265552336</v>
      </c>
    </row>
    <row r="2475" spans="1:2" x14ac:dyDescent="0.2">
      <c r="A2475">
        <v>2469</v>
      </c>
      <c r="B2475">
        <v>0.10305289598314282</v>
      </c>
    </row>
    <row r="2476" spans="1:2" x14ac:dyDescent="0.2">
      <c r="A2476">
        <v>2470</v>
      </c>
      <c r="B2476">
        <v>0.66192187253817969</v>
      </c>
    </row>
    <row r="2477" spans="1:2" x14ac:dyDescent="0.2">
      <c r="A2477">
        <v>2471</v>
      </c>
      <c r="B2477">
        <v>0.85486106479468316</v>
      </c>
    </row>
    <row r="2478" spans="1:2" x14ac:dyDescent="0.2">
      <c r="A2478">
        <v>2472</v>
      </c>
      <c r="B2478">
        <v>0.87477850962808124</v>
      </c>
    </row>
    <row r="2479" spans="1:2" x14ac:dyDescent="0.2">
      <c r="A2479">
        <v>2473</v>
      </c>
      <c r="B2479">
        <v>0.94985516092139233</v>
      </c>
    </row>
    <row r="2480" spans="1:2" x14ac:dyDescent="0.2">
      <c r="A2480">
        <v>2474</v>
      </c>
      <c r="B2480">
        <v>0.31025036514037063</v>
      </c>
    </row>
    <row r="2481" spans="1:2" x14ac:dyDescent="0.2">
      <c r="A2481">
        <v>2475</v>
      </c>
      <c r="B2481">
        <v>0.7028421940909374</v>
      </c>
    </row>
    <row r="2482" spans="1:2" x14ac:dyDescent="0.2">
      <c r="A2482">
        <v>2476</v>
      </c>
      <c r="B2482">
        <v>0.57578357631281829</v>
      </c>
    </row>
    <row r="2483" spans="1:2" x14ac:dyDescent="0.2">
      <c r="A2483">
        <v>2477</v>
      </c>
      <c r="B2483">
        <v>0.5110129005084314</v>
      </c>
    </row>
    <row r="2484" spans="1:2" x14ac:dyDescent="0.2">
      <c r="A2484">
        <v>2478</v>
      </c>
      <c r="B2484">
        <v>0.33982331640068153</v>
      </c>
    </row>
    <row r="2485" spans="1:2" x14ac:dyDescent="0.2">
      <c r="A2485">
        <v>2479</v>
      </c>
      <c r="B2485">
        <v>0.42342524113630531</v>
      </c>
    </row>
    <row r="2486" spans="1:2" x14ac:dyDescent="0.2">
      <c r="A2486">
        <v>2480</v>
      </c>
      <c r="B2486">
        <v>0.9741022743070763</v>
      </c>
    </row>
    <row r="2487" spans="1:2" x14ac:dyDescent="0.2">
      <c r="A2487">
        <v>2481</v>
      </c>
      <c r="B2487">
        <v>0.83641228607939944</v>
      </c>
    </row>
    <row r="2488" spans="1:2" x14ac:dyDescent="0.2">
      <c r="A2488">
        <v>2482</v>
      </c>
      <c r="B2488">
        <v>0.35225447491466222</v>
      </c>
    </row>
    <row r="2489" spans="1:2" x14ac:dyDescent="0.2">
      <c r="A2489">
        <v>2483</v>
      </c>
      <c r="B2489">
        <v>0.46015334254359808</v>
      </c>
    </row>
    <row r="2490" spans="1:2" x14ac:dyDescent="0.2">
      <c r="A2490">
        <v>2484</v>
      </c>
      <c r="B2490">
        <v>0.46669373689013904</v>
      </c>
    </row>
    <row r="2491" spans="1:2" x14ac:dyDescent="0.2">
      <c r="A2491">
        <v>2485</v>
      </c>
      <c r="B2491">
        <v>0.29712322923160794</v>
      </c>
    </row>
    <row r="2492" spans="1:2" x14ac:dyDescent="0.2">
      <c r="A2492">
        <v>2486</v>
      </c>
      <c r="B2492">
        <v>4.5921501197435655E-2</v>
      </c>
    </row>
    <row r="2493" spans="1:2" x14ac:dyDescent="0.2">
      <c r="A2493">
        <v>2487</v>
      </c>
      <c r="B2493">
        <v>0.75475275054857194</v>
      </c>
    </row>
    <row r="2494" spans="1:2" x14ac:dyDescent="0.2">
      <c r="A2494">
        <v>2488</v>
      </c>
      <c r="B2494">
        <v>0.8448477109298439</v>
      </c>
    </row>
    <row r="2495" spans="1:2" x14ac:dyDescent="0.2">
      <c r="A2495">
        <v>2489</v>
      </c>
      <c r="B2495">
        <v>0.58413120768915827</v>
      </c>
    </row>
    <row r="2496" spans="1:2" x14ac:dyDescent="0.2">
      <c r="A2496">
        <v>2490</v>
      </c>
      <c r="B2496">
        <v>0.5292388472879439</v>
      </c>
    </row>
    <row r="2497" spans="1:2" x14ac:dyDescent="0.2">
      <c r="A2497">
        <v>2491</v>
      </c>
      <c r="B2497">
        <v>0.78954568521673518</v>
      </c>
    </row>
    <row r="2498" spans="1:2" x14ac:dyDescent="0.2">
      <c r="A2498">
        <v>2492</v>
      </c>
      <c r="B2498">
        <v>0.45225529368312056</v>
      </c>
    </row>
    <row r="2499" spans="1:2" x14ac:dyDescent="0.2">
      <c r="A2499">
        <v>2493</v>
      </c>
      <c r="B2499">
        <v>0.31272090360510518</v>
      </c>
    </row>
    <row r="2500" spans="1:2" x14ac:dyDescent="0.2">
      <c r="A2500">
        <v>2494</v>
      </c>
      <c r="B2500">
        <v>0.51765276949942396</v>
      </c>
    </row>
    <row r="2501" spans="1:2" x14ac:dyDescent="0.2">
      <c r="A2501">
        <v>2495</v>
      </c>
      <c r="B2501">
        <v>0.36835037657180292</v>
      </c>
    </row>
    <row r="2502" spans="1:2" x14ac:dyDescent="0.2">
      <c r="A2502">
        <v>2496</v>
      </c>
      <c r="B2502">
        <v>0.11418138313190129</v>
      </c>
    </row>
    <row r="2503" spans="1:2" x14ac:dyDescent="0.2">
      <c r="A2503">
        <v>2497</v>
      </c>
      <c r="B2503">
        <v>0.98327008355337897</v>
      </c>
    </row>
    <row r="2504" spans="1:2" x14ac:dyDescent="0.2">
      <c r="A2504">
        <v>2498</v>
      </c>
      <c r="B2504">
        <v>0.10026433539570745</v>
      </c>
    </row>
    <row r="2505" spans="1:2" x14ac:dyDescent="0.2">
      <c r="A2505">
        <v>2499</v>
      </c>
      <c r="B2505">
        <v>0.76366549334166145</v>
      </c>
    </row>
    <row r="2506" spans="1:2" x14ac:dyDescent="0.2">
      <c r="A2506">
        <v>2500</v>
      </c>
      <c r="B2506">
        <v>3.3865601289118086E-2</v>
      </c>
    </row>
    <row r="2507" spans="1:2" x14ac:dyDescent="0.2">
      <c r="A2507">
        <v>2501</v>
      </c>
      <c r="B2507">
        <v>0.55265634236897188</v>
      </c>
    </row>
    <row r="2508" spans="1:2" x14ac:dyDescent="0.2">
      <c r="A2508">
        <v>2502</v>
      </c>
      <c r="B2508">
        <v>0.63458347118569947</v>
      </c>
    </row>
    <row r="2509" spans="1:2" x14ac:dyDescent="0.2">
      <c r="A2509">
        <v>2503</v>
      </c>
      <c r="B2509">
        <v>0.87957552411983475</v>
      </c>
    </row>
    <row r="2510" spans="1:2" x14ac:dyDescent="0.2">
      <c r="A2510">
        <v>2504</v>
      </c>
      <c r="B2510">
        <v>0.81658561612327418</v>
      </c>
    </row>
    <row r="2511" spans="1:2" x14ac:dyDescent="0.2">
      <c r="A2511">
        <v>2505</v>
      </c>
      <c r="B2511">
        <v>0.65732025293681662</v>
      </c>
    </row>
    <row r="2512" spans="1:2" x14ac:dyDescent="0.2">
      <c r="A2512">
        <v>2506</v>
      </c>
      <c r="B2512">
        <v>0.69677558307130194</v>
      </c>
    </row>
    <row r="2513" spans="1:2" x14ac:dyDescent="0.2">
      <c r="A2513">
        <v>2507</v>
      </c>
      <c r="B2513">
        <v>2.2263207734593893E-2</v>
      </c>
    </row>
    <row r="2514" spans="1:2" x14ac:dyDescent="0.2">
      <c r="A2514">
        <v>2508</v>
      </c>
      <c r="B2514">
        <v>3.1218886470080198E-2</v>
      </c>
    </row>
    <row r="2515" spans="1:2" x14ac:dyDescent="0.2">
      <c r="A2515">
        <v>2509</v>
      </c>
      <c r="B2515">
        <v>0.68499915001214462</v>
      </c>
    </row>
    <row r="2516" spans="1:2" x14ac:dyDescent="0.2">
      <c r="A2516">
        <v>2510</v>
      </c>
      <c r="B2516">
        <v>0.41619992881347501</v>
      </c>
    </row>
    <row r="2517" spans="1:2" x14ac:dyDescent="0.2">
      <c r="A2517">
        <v>2511</v>
      </c>
      <c r="B2517">
        <v>0.99305258272870189</v>
      </c>
    </row>
    <row r="2518" spans="1:2" x14ac:dyDescent="0.2">
      <c r="A2518">
        <v>2512</v>
      </c>
      <c r="B2518">
        <v>0.14141797734114392</v>
      </c>
    </row>
    <row r="2519" spans="1:2" x14ac:dyDescent="0.2">
      <c r="A2519">
        <v>2513</v>
      </c>
      <c r="B2519">
        <v>2.3285050095635862E-2</v>
      </c>
    </row>
    <row r="2520" spans="1:2" x14ac:dyDescent="0.2">
      <c r="A2520">
        <v>2514</v>
      </c>
      <c r="B2520">
        <v>0.58847890770637212</v>
      </c>
    </row>
    <row r="2521" spans="1:2" x14ac:dyDescent="0.2">
      <c r="A2521">
        <v>2515</v>
      </c>
      <c r="B2521">
        <v>0.6516536359099494</v>
      </c>
    </row>
    <row r="2522" spans="1:2" x14ac:dyDescent="0.2">
      <c r="A2522">
        <v>2516</v>
      </c>
      <c r="B2522">
        <v>0.48628174300698401</v>
      </c>
    </row>
    <row r="2523" spans="1:2" x14ac:dyDescent="0.2">
      <c r="A2523">
        <v>2517</v>
      </c>
      <c r="B2523">
        <v>0.9851192382776276</v>
      </c>
    </row>
    <row r="2524" spans="1:2" x14ac:dyDescent="0.2">
      <c r="A2524">
        <v>2518</v>
      </c>
      <c r="B2524">
        <v>0.87620376960867818</v>
      </c>
    </row>
    <row r="2525" spans="1:2" x14ac:dyDescent="0.2">
      <c r="A2525">
        <v>2519</v>
      </c>
      <c r="B2525">
        <v>0.38203331493483128</v>
      </c>
    </row>
    <row r="2526" spans="1:2" x14ac:dyDescent="0.2">
      <c r="A2526">
        <v>2520</v>
      </c>
      <c r="B2526">
        <v>0.73171143136370054</v>
      </c>
    </row>
    <row r="2527" spans="1:2" x14ac:dyDescent="0.2">
      <c r="A2527">
        <v>2521</v>
      </c>
      <c r="B2527">
        <v>0.94590993192455008</v>
      </c>
    </row>
    <row r="2528" spans="1:2" x14ac:dyDescent="0.2">
      <c r="A2528">
        <v>2522</v>
      </c>
      <c r="B2528">
        <v>0.21384003286791242</v>
      </c>
    </row>
    <row r="2529" spans="1:2" x14ac:dyDescent="0.2">
      <c r="A2529">
        <v>2523</v>
      </c>
      <c r="B2529">
        <v>0.54455878533802604</v>
      </c>
    </row>
    <row r="2530" spans="1:2" x14ac:dyDescent="0.2">
      <c r="A2530">
        <v>2524</v>
      </c>
      <c r="B2530">
        <v>4.9385860146628269E-2</v>
      </c>
    </row>
    <row r="2531" spans="1:2" x14ac:dyDescent="0.2">
      <c r="A2531">
        <v>2525</v>
      </c>
      <c r="B2531">
        <v>0.78440082105156494</v>
      </c>
    </row>
    <row r="2532" spans="1:2" x14ac:dyDescent="0.2">
      <c r="A2532">
        <v>2526</v>
      </c>
      <c r="B2532">
        <v>8.6952250272527731E-2</v>
      </c>
    </row>
    <row r="2533" spans="1:2" x14ac:dyDescent="0.2">
      <c r="A2533">
        <v>2527</v>
      </c>
      <c r="B2533">
        <v>0.57226544160829262</v>
      </c>
    </row>
    <row r="2534" spans="1:2" x14ac:dyDescent="0.2">
      <c r="A2534">
        <v>2528</v>
      </c>
      <c r="B2534">
        <v>0.44648077272963216</v>
      </c>
    </row>
    <row r="2535" spans="1:2" x14ac:dyDescent="0.2">
      <c r="A2535">
        <v>2529</v>
      </c>
      <c r="B2535">
        <v>0.27684664681806315</v>
      </c>
    </row>
    <row r="2536" spans="1:2" x14ac:dyDescent="0.2">
      <c r="A2536">
        <v>2530</v>
      </c>
      <c r="B2536">
        <v>0.53178638168015024</v>
      </c>
    </row>
    <row r="2537" spans="1:2" x14ac:dyDescent="0.2">
      <c r="A2537">
        <v>2531</v>
      </c>
      <c r="B2537">
        <v>0.5645293248624782</v>
      </c>
    </row>
    <row r="2538" spans="1:2" x14ac:dyDescent="0.2">
      <c r="A2538">
        <v>2532</v>
      </c>
      <c r="B2538">
        <v>0.95306007320780739</v>
      </c>
    </row>
    <row r="2539" spans="1:2" x14ac:dyDescent="0.2">
      <c r="A2539">
        <v>2533</v>
      </c>
      <c r="B2539">
        <v>0.50835504363178186</v>
      </c>
    </row>
    <row r="2540" spans="1:2" x14ac:dyDescent="0.2">
      <c r="A2540">
        <v>2534</v>
      </c>
      <c r="B2540">
        <v>0.60733682638995634</v>
      </c>
    </row>
    <row r="2541" spans="1:2" x14ac:dyDescent="0.2">
      <c r="A2541">
        <v>2535</v>
      </c>
      <c r="B2541">
        <v>0.62753430059427784</v>
      </c>
    </row>
    <row r="2542" spans="1:2" x14ac:dyDescent="0.2">
      <c r="A2542">
        <v>2536</v>
      </c>
      <c r="B2542">
        <v>0.41294005805958667</v>
      </c>
    </row>
    <row r="2543" spans="1:2" x14ac:dyDescent="0.2">
      <c r="A2543">
        <v>2537</v>
      </c>
      <c r="B2543">
        <v>6.3771356764084408E-2</v>
      </c>
    </row>
    <row r="2544" spans="1:2" x14ac:dyDescent="0.2">
      <c r="A2544">
        <v>2538</v>
      </c>
      <c r="B2544">
        <v>0.32304796526140556</v>
      </c>
    </row>
    <row r="2545" spans="1:2" x14ac:dyDescent="0.2">
      <c r="A2545">
        <v>2539</v>
      </c>
      <c r="B2545">
        <v>0.56256145582225459</v>
      </c>
    </row>
    <row r="2546" spans="1:2" x14ac:dyDescent="0.2">
      <c r="A2546">
        <v>2540</v>
      </c>
      <c r="B2546">
        <v>0.90301025205460739</v>
      </c>
    </row>
    <row r="2547" spans="1:2" x14ac:dyDescent="0.2">
      <c r="A2547">
        <v>2541</v>
      </c>
      <c r="B2547">
        <v>0.28379553284985548</v>
      </c>
    </row>
    <row r="2548" spans="1:2" x14ac:dyDescent="0.2">
      <c r="A2548">
        <v>2542</v>
      </c>
      <c r="B2548">
        <v>0.13727164875403963</v>
      </c>
    </row>
    <row r="2549" spans="1:2" x14ac:dyDescent="0.2">
      <c r="A2549">
        <v>2543</v>
      </c>
      <c r="B2549">
        <v>0.77259959654700017</v>
      </c>
    </row>
    <row r="2550" spans="1:2" x14ac:dyDescent="0.2">
      <c r="A2550">
        <v>2544</v>
      </c>
      <c r="B2550">
        <v>0.25156607201876202</v>
      </c>
    </row>
    <row r="2551" spans="1:2" x14ac:dyDescent="0.2">
      <c r="A2551">
        <v>2545</v>
      </c>
      <c r="B2551">
        <v>8.8688815297481072E-2</v>
      </c>
    </row>
    <row r="2552" spans="1:2" x14ac:dyDescent="0.2">
      <c r="A2552">
        <v>2546</v>
      </c>
      <c r="B2552">
        <v>0.8631868615132805</v>
      </c>
    </row>
    <row r="2553" spans="1:2" x14ac:dyDescent="0.2">
      <c r="A2553">
        <v>2547</v>
      </c>
      <c r="B2553">
        <v>0.87893146979056269</v>
      </c>
    </row>
    <row r="2554" spans="1:2" x14ac:dyDescent="0.2">
      <c r="A2554">
        <v>2548</v>
      </c>
      <c r="B2554">
        <v>0.19834259704620028</v>
      </c>
    </row>
    <row r="2555" spans="1:2" x14ac:dyDescent="0.2">
      <c r="A2555">
        <v>2549</v>
      </c>
      <c r="B2555">
        <v>0.65848559965859099</v>
      </c>
    </row>
    <row r="2556" spans="1:2" x14ac:dyDescent="0.2">
      <c r="A2556">
        <v>2550</v>
      </c>
      <c r="B2556">
        <v>0.20262020308238249</v>
      </c>
    </row>
    <row r="2557" spans="1:2" x14ac:dyDescent="0.2">
      <c r="A2557">
        <v>2551</v>
      </c>
      <c r="B2557">
        <v>0.24722319035622098</v>
      </c>
    </row>
    <row r="2558" spans="1:2" x14ac:dyDescent="0.2">
      <c r="A2558">
        <v>2552</v>
      </c>
      <c r="B2558">
        <v>0.57599921988990765</v>
      </c>
    </row>
    <row r="2559" spans="1:2" x14ac:dyDescent="0.2">
      <c r="A2559">
        <v>2553</v>
      </c>
      <c r="B2559">
        <v>0.44663994072778279</v>
      </c>
    </row>
    <row r="2560" spans="1:2" x14ac:dyDescent="0.2">
      <c r="A2560">
        <v>2554</v>
      </c>
      <c r="B2560">
        <v>0.2492954463472592</v>
      </c>
    </row>
    <row r="2561" spans="1:2" x14ac:dyDescent="0.2">
      <c r="A2561">
        <v>2555</v>
      </c>
      <c r="B2561">
        <v>0.40351250424660645</v>
      </c>
    </row>
    <row r="2562" spans="1:2" x14ac:dyDescent="0.2">
      <c r="A2562">
        <v>2556</v>
      </c>
      <c r="B2562">
        <v>0.99898684905007973</v>
      </c>
    </row>
    <row r="2563" spans="1:2" x14ac:dyDescent="0.2">
      <c r="A2563">
        <v>2557</v>
      </c>
      <c r="B2563">
        <v>0.6797858593767907</v>
      </c>
    </row>
    <row r="2564" spans="1:2" x14ac:dyDescent="0.2">
      <c r="A2564">
        <v>2558</v>
      </c>
      <c r="B2564">
        <v>7.2330119929770786E-2</v>
      </c>
    </row>
    <row r="2565" spans="1:2" x14ac:dyDescent="0.2">
      <c r="A2565">
        <v>2559</v>
      </c>
      <c r="B2565">
        <v>0.66230102508026611</v>
      </c>
    </row>
    <row r="2566" spans="1:2" x14ac:dyDescent="0.2">
      <c r="A2566">
        <v>2560</v>
      </c>
      <c r="B2566">
        <v>0.55111525790372295</v>
      </c>
    </row>
    <row r="2567" spans="1:2" x14ac:dyDescent="0.2">
      <c r="A2567">
        <v>2561</v>
      </c>
      <c r="B2567">
        <v>0.64653299225471472</v>
      </c>
    </row>
    <row r="2568" spans="1:2" x14ac:dyDescent="0.2">
      <c r="A2568">
        <v>2562</v>
      </c>
      <c r="B2568">
        <v>0.11219479179147995</v>
      </c>
    </row>
    <row r="2569" spans="1:2" x14ac:dyDescent="0.2">
      <c r="A2569">
        <v>2563</v>
      </c>
      <c r="B2569">
        <v>0.68633066580990021</v>
      </c>
    </row>
    <row r="2570" spans="1:2" x14ac:dyDescent="0.2">
      <c r="A2570">
        <v>2564</v>
      </c>
      <c r="B2570">
        <v>0.74057039888567688</v>
      </c>
    </row>
    <row r="2571" spans="1:2" x14ac:dyDescent="0.2">
      <c r="A2571">
        <v>2565</v>
      </c>
      <c r="B2571">
        <v>8.7100788652601069E-2</v>
      </c>
    </row>
    <row r="2572" spans="1:2" x14ac:dyDescent="0.2">
      <c r="A2572">
        <v>2566</v>
      </c>
      <c r="B2572">
        <v>0.37413907395891866</v>
      </c>
    </row>
    <row r="2573" spans="1:2" x14ac:dyDescent="0.2">
      <c r="A2573">
        <v>2567</v>
      </c>
      <c r="B2573">
        <v>0.62898811204718796</v>
      </c>
    </row>
    <row r="2574" spans="1:2" x14ac:dyDescent="0.2">
      <c r="A2574">
        <v>2568</v>
      </c>
      <c r="B2574">
        <v>0.12521046162380423</v>
      </c>
    </row>
    <row r="2575" spans="1:2" x14ac:dyDescent="0.2">
      <c r="A2575">
        <v>2569</v>
      </c>
      <c r="B2575">
        <v>0.45134431256825192</v>
      </c>
    </row>
    <row r="2576" spans="1:2" x14ac:dyDescent="0.2">
      <c r="A2576">
        <v>2570</v>
      </c>
      <c r="B2576">
        <v>0.11566287314826396</v>
      </c>
    </row>
    <row r="2577" spans="1:2" x14ac:dyDescent="0.2">
      <c r="A2577">
        <v>2571</v>
      </c>
      <c r="B2577">
        <v>0.51652159532439779</v>
      </c>
    </row>
    <row r="2578" spans="1:2" x14ac:dyDescent="0.2">
      <c r="A2578">
        <v>2572</v>
      </c>
      <c r="B2578">
        <v>0.20469744538006585</v>
      </c>
    </row>
    <row r="2579" spans="1:2" x14ac:dyDescent="0.2">
      <c r="A2579">
        <v>2573</v>
      </c>
      <c r="B2579">
        <v>0.66426854323221873</v>
      </c>
    </row>
    <row r="2580" spans="1:2" x14ac:dyDescent="0.2">
      <c r="A2580">
        <v>2574</v>
      </c>
      <c r="B2580">
        <v>0.59901967658163957</v>
      </c>
    </row>
    <row r="2581" spans="1:2" x14ac:dyDescent="0.2">
      <c r="A2581">
        <v>2575</v>
      </c>
      <c r="B2581">
        <v>0.92248583728120215</v>
      </c>
    </row>
    <row r="2582" spans="1:2" x14ac:dyDescent="0.2">
      <c r="A2582">
        <v>2576</v>
      </c>
      <c r="B2582">
        <v>0.54220407745171839</v>
      </c>
    </row>
    <row r="2583" spans="1:2" x14ac:dyDescent="0.2">
      <c r="A2583">
        <v>2577</v>
      </c>
      <c r="B2583">
        <v>0.80064007801263315</v>
      </c>
    </row>
    <row r="2584" spans="1:2" x14ac:dyDescent="0.2">
      <c r="A2584">
        <v>2578</v>
      </c>
      <c r="B2584">
        <v>0.18517680026699823</v>
      </c>
    </row>
    <row r="2585" spans="1:2" x14ac:dyDescent="0.2">
      <c r="A2585">
        <v>2579</v>
      </c>
      <c r="B2585">
        <v>0.27435241681877365</v>
      </c>
    </row>
    <row r="2586" spans="1:2" x14ac:dyDescent="0.2">
      <c r="A2586">
        <v>2580</v>
      </c>
      <c r="B2586">
        <v>0.31431527819781291</v>
      </c>
    </row>
    <row r="2587" spans="1:2" x14ac:dyDescent="0.2">
      <c r="A2587">
        <v>2581</v>
      </c>
      <c r="B2587">
        <v>2.0425453425917062E-2</v>
      </c>
    </row>
    <row r="2588" spans="1:2" x14ac:dyDescent="0.2">
      <c r="A2588">
        <v>2582</v>
      </c>
      <c r="B2588">
        <v>7.9151615372517137E-2</v>
      </c>
    </row>
    <row r="2589" spans="1:2" x14ac:dyDescent="0.2">
      <c r="A2589">
        <v>2583</v>
      </c>
      <c r="B2589">
        <v>0.76121712500473204</v>
      </c>
    </row>
    <row r="2590" spans="1:2" x14ac:dyDescent="0.2">
      <c r="A2590">
        <v>2584</v>
      </c>
      <c r="B2590">
        <v>0.88515429512598498</v>
      </c>
    </row>
    <row r="2591" spans="1:2" x14ac:dyDescent="0.2">
      <c r="A2591">
        <v>2585</v>
      </c>
      <c r="B2591">
        <v>0.95393927103864917</v>
      </c>
    </row>
    <row r="2592" spans="1:2" x14ac:dyDescent="0.2">
      <c r="A2592">
        <v>2586</v>
      </c>
      <c r="B2592">
        <v>0.15082109298572166</v>
      </c>
    </row>
    <row r="2593" spans="1:2" x14ac:dyDescent="0.2">
      <c r="A2593">
        <v>2587</v>
      </c>
      <c r="B2593">
        <v>0.42562706743913592</v>
      </c>
    </row>
    <row r="2594" spans="1:2" x14ac:dyDescent="0.2">
      <c r="A2594">
        <v>2588</v>
      </c>
      <c r="B2594">
        <v>0.43170735689840534</v>
      </c>
    </row>
    <row r="2595" spans="1:2" x14ac:dyDescent="0.2">
      <c r="A2595">
        <v>2589</v>
      </c>
      <c r="B2595">
        <v>0.37413947360669353</v>
      </c>
    </row>
    <row r="2596" spans="1:2" x14ac:dyDescent="0.2">
      <c r="A2596">
        <v>2590</v>
      </c>
      <c r="B2596">
        <v>0.7486085411037624</v>
      </c>
    </row>
    <row r="2597" spans="1:2" x14ac:dyDescent="0.2">
      <c r="A2597">
        <v>2591</v>
      </c>
      <c r="B2597">
        <v>0.48298558546876924</v>
      </c>
    </row>
    <row r="2598" spans="1:2" x14ac:dyDescent="0.2">
      <c r="A2598">
        <v>2592</v>
      </c>
      <c r="B2598">
        <v>0.97852096412451905</v>
      </c>
    </row>
    <row r="2599" spans="1:2" x14ac:dyDescent="0.2">
      <c r="A2599">
        <v>2593</v>
      </c>
      <c r="B2599">
        <v>0.87225676606334979</v>
      </c>
    </row>
    <row r="2600" spans="1:2" x14ac:dyDescent="0.2">
      <c r="A2600">
        <v>2594</v>
      </c>
      <c r="B2600">
        <v>0.13466918030120656</v>
      </c>
    </row>
    <row r="2601" spans="1:2" x14ac:dyDescent="0.2">
      <c r="A2601">
        <v>2595</v>
      </c>
      <c r="B2601">
        <v>0.86750911947472287</v>
      </c>
    </row>
    <row r="2602" spans="1:2" x14ac:dyDescent="0.2">
      <c r="A2602">
        <v>2596</v>
      </c>
      <c r="B2602">
        <v>0.52382036511055519</v>
      </c>
    </row>
    <row r="2603" spans="1:2" x14ac:dyDescent="0.2">
      <c r="A2603">
        <v>2597</v>
      </c>
      <c r="B2603">
        <v>0.84125752495797568</v>
      </c>
    </row>
    <row r="2604" spans="1:2" x14ac:dyDescent="0.2">
      <c r="A2604">
        <v>2598</v>
      </c>
      <c r="B2604">
        <v>0.98126674109496237</v>
      </c>
    </row>
    <row r="2605" spans="1:2" x14ac:dyDescent="0.2">
      <c r="A2605">
        <v>2599</v>
      </c>
      <c r="B2605">
        <v>0.69601690597346677</v>
      </c>
    </row>
    <row r="2606" spans="1:2" x14ac:dyDescent="0.2">
      <c r="A2606">
        <v>2600</v>
      </c>
      <c r="B2606">
        <v>0.38673076688047647</v>
      </c>
    </row>
    <row r="2607" spans="1:2" x14ac:dyDescent="0.2">
      <c r="A2607">
        <v>2601</v>
      </c>
      <c r="B2607">
        <v>0.16898702673582433</v>
      </c>
    </row>
    <row r="2608" spans="1:2" x14ac:dyDescent="0.2">
      <c r="A2608">
        <v>2602</v>
      </c>
      <c r="B2608">
        <v>8.8781926950637469E-2</v>
      </c>
    </row>
    <row r="2609" spans="1:2" x14ac:dyDescent="0.2">
      <c r="A2609">
        <v>2603</v>
      </c>
      <c r="B2609">
        <v>0.94560101298196297</v>
      </c>
    </row>
    <row r="2610" spans="1:2" x14ac:dyDescent="0.2">
      <c r="A2610">
        <v>2604</v>
      </c>
      <c r="B2610">
        <v>0.56831235875396802</v>
      </c>
    </row>
    <row r="2611" spans="1:2" x14ac:dyDescent="0.2">
      <c r="A2611">
        <v>2605</v>
      </c>
      <c r="B2611">
        <v>0.15572426950867779</v>
      </c>
    </row>
    <row r="2612" spans="1:2" x14ac:dyDescent="0.2">
      <c r="A2612">
        <v>2606</v>
      </c>
      <c r="B2612">
        <v>2.9030090474999271E-2</v>
      </c>
    </row>
    <row r="2613" spans="1:2" x14ac:dyDescent="0.2">
      <c r="A2613">
        <v>2607</v>
      </c>
      <c r="B2613">
        <v>0.20768705782214791</v>
      </c>
    </row>
    <row r="2614" spans="1:2" x14ac:dyDescent="0.2">
      <c r="A2614">
        <v>2608</v>
      </c>
      <c r="B2614">
        <v>1.8312994875017141E-3</v>
      </c>
    </row>
    <row r="2615" spans="1:2" x14ac:dyDescent="0.2">
      <c r="A2615">
        <v>2609</v>
      </c>
      <c r="B2615">
        <v>0.72566329089734327</v>
      </c>
    </row>
    <row r="2616" spans="1:2" x14ac:dyDescent="0.2">
      <c r="A2616">
        <v>2610</v>
      </c>
      <c r="B2616">
        <v>0.31281258435375492</v>
      </c>
    </row>
    <row r="2617" spans="1:2" x14ac:dyDescent="0.2">
      <c r="A2617">
        <v>2611</v>
      </c>
      <c r="B2617">
        <v>0.17304013225054837</v>
      </c>
    </row>
    <row r="2618" spans="1:2" x14ac:dyDescent="0.2">
      <c r="A2618">
        <v>2612</v>
      </c>
      <c r="B2618">
        <v>0.28537667874670691</v>
      </c>
    </row>
    <row r="2619" spans="1:2" x14ac:dyDescent="0.2">
      <c r="A2619">
        <v>2613</v>
      </c>
      <c r="B2619">
        <v>0.94918329367113474</v>
      </c>
    </row>
    <row r="2620" spans="1:2" x14ac:dyDescent="0.2">
      <c r="A2620">
        <v>2614</v>
      </c>
      <c r="B2620">
        <v>9.0372635556654646E-2</v>
      </c>
    </row>
    <row r="2621" spans="1:2" x14ac:dyDescent="0.2">
      <c r="A2621">
        <v>2615</v>
      </c>
      <c r="B2621">
        <v>0.77945145928485571</v>
      </c>
    </row>
    <row r="2622" spans="1:2" x14ac:dyDescent="0.2">
      <c r="A2622">
        <v>2616</v>
      </c>
      <c r="B2622">
        <v>0.7495733888904913</v>
      </c>
    </row>
    <row r="2623" spans="1:2" x14ac:dyDescent="0.2">
      <c r="A2623">
        <v>2617</v>
      </c>
      <c r="B2623">
        <v>3.4183298069262458E-3</v>
      </c>
    </row>
    <row r="2624" spans="1:2" x14ac:dyDescent="0.2">
      <c r="A2624">
        <v>2618</v>
      </c>
      <c r="B2624">
        <v>0.99249907896215173</v>
      </c>
    </row>
    <row r="2625" spans="1:2" x14ac:dyDescent="0.2">
      <c r="A2625">
        <v>2619</v>
      </c>
      <c r="B2625">
        <v>0.55959548955195659</v>
      </c>
    </row>
    <row r="2626" spans="1:2" x14ac:dyDescent="0.2">
      <c r="A2626">
        <v>2620</v>
      </c>
      <c r="B2626">
        <v>0.74209923975284897</v>
      </c>
    </row>
    <row r="2627" spans="1:2" x14ac:dyDescent="0.2">
      <c r="A2627">
        <v>2621</v>
      </c>
      <c r="B2627">
        <v>0.74854605140340791</v>
      </c>
    </row>
    <row r="2628" spans="1:2" x14ac:dyDescent="0.2">
      <c r="A2628">
        <v>2622</v>
      </c>
      <c r="B2628">
        <v>0.73383540577128703</v>
      </c>
    </row>
    <row r="2629" spans="1:2" x14ac:dyDescent="0.2">
      <c r="A2629">
        <v>2623</v>
      </c>
      <c r="B2629">
        <v>0.95457487663696083</v>
      </c>
    </row>
    <row r="2630" spans="1:2" x14ac:dyDescent="0.2">
      <c r="A2630">
        <v>2624</v>
      </c>
      <c r="B2630">
        <v>0.24777632636382774</v>
      </c>
    </row>
    <row r="2631" spans="1:2" x14ac:dyDescent="0.2">
      <c r="A2631">
        <v>2625</v>
      </c>
      <c r="B2631">
        <v>0.21153364744271619</v>
      </c>
    </row>
    <row r="2632" spans="1:2" x14ac:dyDescent="0.2">
      <c r="A2632">
        <v>2626</v>
      </c>
      <c r="B2632">
        <v>0.50145955886127225</v>
      </c>
    </row>
    <row r="2633" spans="1:2" x14ac:dyDescent="0.2">
      <c r="A2633">
        <v>2627</v>
      </c>
      <c r="B2633">
        <v>0.30754176244465026</v>
      </c>
    </row>
    <row r="2634" spans="1:2" x14ac:dyDescent="0.2">
      <c r="A2634">
        <v>2628</v>
      </c>
      <c r="B2634">
        <v>0.11614153110095748</v>
      </c>
    </row>
    <row r="2635" spans="1:2" x14ac:dyDescent="0.2">
      <c r="A2635">
        <v>2629</v>
      </c>
      <c r="B2635">
        <v>9.7044777872813293E-2</v>
      </c>
    </row>
    <row r="2636" spans="1:2" x14ac:dyDescent="0.2">
      <c r="A2636">
        <v>2630</v>
      </c>
      <c r="B2636">
        <v>0.51211858910437935</v>
      </c>
    </row>
    <row r="2637" spans="1:2" x14ac:dyDescent="0.2">
      <c r="A2637">
        <v>2631</v>
      </c>
      <c r="B2637">
        <v>3.7407082004363157E-2</v>
      </c>
    </row>
    <row r="2638" spans="1:2" x14ac:dyDescent="0.2">
      <c r="A2638">
        <v>2632</v>
      </c>
      <c r="B2638">
        <v>0.93950190243606235</v>
      </c>
    </row>
    <row r="2639" spans="1:2" x14ac:dyDescent="0.2">
      <c r="A2639">
        <v>2633</v>
      </c>
      <c r="B2639">
        <v>0.48258441611810932</v>
      </c>
    </row>
    <row r="2640" spans="1:2" x14ac:dyDescent="0.2">
      <c r="A2640">
        <v>2634</v>
      </c>
      <c r="B2640">
        <v>4.9391844325771261E-3</v>
      </c>
    </row>
    <row r="2641" spans="1:2" x14ac:dyDescent="0.2">
      <c r="A2641">
        <v>2635</v>
      </c>
      <c r="B2641">
        <v>3.3427094749295172E-2</v>
      </c>
    </row>
    <row r="2642" spans="1:2" x14ac:dyDescent="0.2">
      <c r="A2642">
        <v>2636</v>
      </c>
      <c r="B2642">
        <v>9.7790833694690549E-2</v>
      </c>
    </row>
    <row r="2643" spans="1:2" x14ac:dyDescent="0.2">
      <c r="A2643">
        <v>2637</v>
      </c>
      <c r="B2643">
        <v>0.39480903089619279</v>
      </c>
    </row>
    <row r="2644" spans="1:2" x14ac:dyDescent="0.2">
      <c r="A2644">
        <v>2638</v>
      </c>
      <c r="B2644">
        <v>4.5001074936715124E-2</v>
      </c>
    </row>
    <row r="2645" spans="1:2" x14ac:dyDescent="0.2">
      <c r="A2645">
        <v>2639</v>
      </c>
      <c r="B2645">
        <v>0.66494264709128992</v>
      </c>
    </row>
    <row r="2646" spans="1:2" x14ac:dyDescent="0.2">
      <c r="A2646">
        <v>2640</v>
      </c>
      <c r="B2646">
        <v>0.79638225339791902</v>
      </c>
    </row>
    <row r="2647" spans="1:2" x14ac:dyDescent="0.2">
      <c r="A2647">
        <v>2641</v>
      </c>
      <c r="B2647">
        <v>0.92795332020151</v>
      </c>
    </row>
    <row r="2648" spans="1:2" x14ac:dyDescent="0.2">
      <c r="A2648">
        <v>2642</v>
      </c>
      <c r="B2648">
        <v>0.80767144389241263</v>
      </c>
    </row>
    <row r="2649" spans="1:2" x14ac:dyDescent="0.2">
      <c r="A2649">
        <v>2643</v>
      </c>
      <c r="B2649">
        <v>0.36862673355791287</v>
      </c>
    </row>
    <row r="2650" spans="1:2" x14ac:dyDescent="0.2">
      <c r="A2650">
        <v>2644</v>
      </c>
      <c r="B2650">
        <v>0.84249665371528693</v>
      </c>
    </row>
    <row r="2651" spans="1:2" x14ac:dyDescent="0.2">
      <c r="A2651">
        <v>2645</v>
      </c>
      <c r="B2651">
        <v>0.67684353697925603</v>
      </c>
    </row>
    <row r="2652" spans="1:2" x14ac:dyDescent="0.2">
      <c r="A2652">
        <v>2646</v>
      </c>
      <c r="B2652">
        <v>0.81981414241433881</v>
      </c>
    </row>
    <row r="2653" spans="1:2" x14ac:dyDescent="0.2">
      <c r="A2653">
        <v>2647</v>
      </c>
      <c r="B2653">
        <v>0.55869099563232461</v>
      </c>
    </row>
    <row r="2654" spans="1:2" x14ac:dyDescent="0.2">
      <c r="A2654">
        <v>2648</v>
      </c>
      <c r="B2654">
        <v>0.73933453927393322</v>
      </c>
    </row>
    <row r="2655" spans="1:2" x14ac:dyDescent="0.2">
      <c r="A2655">
        <v>2649</v>
      </c>
      <c r="B2655">
        <v>0.11824663289182369</v>
      </c>
    </row>
    <row r="2656" spans="1:2" x14ac:dyDescent="0.2">
      <c r="A2656">
        <v>2650</v>
      </c>
      <c r="B2656">
        <v>0.69630264488647786</v>
      </c>
    </row>
    <row r="2657" spans="1:2" x14ac:dyDescent="0.2">
      <c r="A2657">
        <v>2651</v>
      </c>
      <c r="B2657">
        <v>1.9322527020409597E-2</v>
      </c>
    </row>
    <row r="2658" spans="1:2" x14ac:dyDescent="0.2">
      <c r="A2658">
        <v>2652</v>
      </c>
      <c r="B2658">
        <v>0.63073840832863837</v>
      </c>
    </row>
    <row r="2659" spans="1:2" x14ac:dyDescent="0.2">
      <c r="A2659">
        <v>2653</v>
      </c>
      <c r="B2659">
        <v>0.44245694979229755</v>
      </c>
    </row>
    <row r="2660" spans="1:2" x14ac:dyDescent="0.2">
      <c r="A2660">
        <v>2654</v>
      </c>
      <c r="B2660">
        <v>0.50106978253038192</v>
      </c>
    </row>
    <row r="2661" spans="1:2" x14ac:dyDescent="0.2">
      <c r="A2661">
        <v>2655</v>
      </c>
      <c r="B2661">
        <v>0.7817316906358428</v>
      </c>
    </row>
    <row r="2662" spans="1:2" x14ac:dyDescent="0.2">
      <c r="A2662">
        <v>2656</v>
      </c>
      <c r="B2662">
        <v>4.3042758259960845E-2</v>
      </c>
    </row>
    <row r="2663" spans="1:2" x14ac:dyDescent="0.2">
      <c r="A2663">
        <v>2657</v>
      </c>
      <c r="B2663">
        <v>0.28408578855286915</v>
      </c>
    </row>
    <row r="2664" spans="1:2" x14ac:dyDescent="0.2">
      <c r="A2664">
        <v>2658</v>
      </c>
      <c r="B2664">
        <v>2.7996953380907019E-2</v>
      </c>
    </row>
    <row r="2665" spans="1:2" x14ac:dyDescent="0.2">
      <c r="A2665">
        <v>2659</v>
      </c>
      <c r="B2665">
        <v>0.94139521046444652</v>
      </c>
    </row>
    <row r="2666" spans="1:2" x14ac:dyDescent="0.2">
      <c r="A2666">
        <v>2660</v>
      </c>
      <c r="B2666">
        <v>0.20896717312814639</v>
      </c>
    </row>
    <row r="2667" spans="1:2" x14ac:dyDescent="0.2">
      <c r="A2667">
        <v>2661</v>
      </c>
      <c r="B2667">
        <v>0.28430848111719154</v>
      </c>
    </row>
    <row r="2668" spans="1:2" x14ac:dyDescent="0.2">
      <c r="A2668">
        <v>2662</v>
      </c>
      <c r="B2668">
        <v>0.6396996861176405</v>
      </c>
    </row>
    <row r="2669" spans="1:2" x14ac:dyDescent="0.2">
      <c r="A2669">
        <v>2663</v>
      </c>
      <c r="B2669">
        <v>0.33348546739015128</v>
      </c>
    </row>
    <row r="2670" spans="1:2" x14ac:dyDescent="0.2">
      <c r="A2670">
        <v>2664</v>
      </c>
      <c r="B2670">
        <v>1.2912826229429353E-2</v>
      </c>
    </row>
    <row r="2671" spans="1:2" x14ac:dyDescent="0.2">
      <c r="A2671">
        <v>2665</v>
      </c>
      <c r="B2671">
        <v>0.52167951954220382</v>
      </c>
    </row>
    <row r="2672" spans="1:2" x14ac:dyDescent="0.2">
      <c r="A2672">
        <v>2666</v>
      </c>
      <c r="B2672">
        <v>0.92182655060784391</v>
      </c>
    </row>
    <row r="2673" spans="1:2" x14ac:dyDescent="0.2">
      <c r="A2673">
        <v>2667</v>
      </c>
      <c r="B2673">
        <v>0.59917585586354916</v>
      </c>
    </row>
    <row r="2674" spans="1:2" x14ac:dyDescent="0.2">
      <c r="A2674">
        <v>2668</v>
      </c>
      <c r="B2674">
        <v>0.45277948248228395</v>
      </c>
    </row>
    <row r="2675" spans="1:2" x14ac:dyDescent="0.2">
      <c r="A2675">
        <v>2669</v>
      </c>
      <c r="B2675">
        <v>0.15112211108880136</v>
      </c>
    </row>
    <row r="2676" spans="1:2" x14ac:dyDescent="0.2">
      <c r="A2676">
        <v>2670</v>
      </c>
      <c r="B2676">
        <v>0.24889910678812532</v>
      </c>
    </row>
    <row r="2677" spans="1:2" x14ac:dyDescent="0.2">
      <c r="A2677">
        <v>2671</v>
      </c>
      <c r="B2677">
        <v>4.0249478712711562E-2</v>
      </c>
    </row>
    <row r="2678" spans="1:2" x14ac:dyDescent="0.2">
      <c r="A2678">
        <v>2672</v>
      </c>
      <c r="B2678">
        <v>0.72863374251488511</v>
      </c>
    </row>
    <row r="2679" spans="1:2" x14ac:dyDescent="0.2">
      <c r="A2679">
        <v>2673</v>
      </c>
      <c r="B2679">
        <v>0.67956564566656463</v>
      </c>
    </row>
    <row r="2680" spans="1:2" x14ac:dyDescent="0.2">
      <c r="A2680">
        <v>2674</v>
      </c>
      <c r="B2680">
        <v>0.83642218298538829</v>
      </c>
    </row>
    <row r="2681" spans="1:2" x14ac:dyDescent="0.2">
      <c r="A2681">
        <v>2675</v>
      </c>
      <c r="B2681">
        <v>0.36321440532613947</v>
      </c>
    </row>
    <row r="2682" spans="1:2" x14ac:dyDescent="0.2">
      <c r="A2682">
        <v>2676</v>
      </c>
      <c r="B2682">
        <v>0.69647629538460498</v>
      </c>
    </row>
    <row r="2683" spans="1:2" x14ac:dyDescent="0.2">
      <c r="A2683">
        <v>2677</v>
      </c>
      <c r="B2683">
        <v>0.67224812969904146</v>
      </c>
    </row>
    <row r="2684" spans="1:2" x14ac:dyDescent="0.2">
      <c r="A2684">
        <v>2678</v>
      </c>
      <c r="B2684">
        <v>0.46473760730229086</v>
      </c>
    </row>
    <row r="2685" spans="1:2" x14ac:dyDescent="0.2">
      <c r="A2685">
        <v>2679</v>
      </c>
      <c r="B2685">
        <v>0.22828001157252653</v>
      </c>
    </row>
    <row r="2686" spans="1:2" x14ac:dyDescent="0.2">
      <c r="A2686">
        <v>2680</v>
      </c>
      <c r="B2686">
        <v>0.81674019684380705</v>
      </c>
    </row>
    <row r="2687" spans="1:2" x14ac:dyDescent="0.2">
      <c r="A2687">
        <v>2681</v>
      </c>
      <c r="B2687">
        <v>0.36771608135788847</v>
      </c>
    </row>
    <row r="2688" spans="1:2" x14ac:dyDescent="0.2">
      <c r="A2688">
        <v>2682</v>
      </c>
      <c r="B2688">
        <v>0.48299650433690244</v>
      </c>
    </row>
    <row r="2689" spans="1:2" x14ac:dyDescent="0.2">
      <c r="A2689">
        <v>2683</v>
      </c>
      <c r="B2689">
        <v>0.7984498916482371</v>
      </c>
    </row>
    <row r="2690" spans="1:2" x14ac:dyDescent="0.2">
      <c r="A2690">
        <v>2684</v>
      </c>
      <c r="B2690">
        <v>0.15936355346179709</v>
      </c>
    </row>
    <row r="2691" spans="1:2" x14ac:dyDescent="0.2">
      <c r="A2691">
        <v>2685</v>
      </c>
      <c r="B2691">
        <v>0.13085550265074475</v>
      </c>
    </row>
    <row r="2692" spans="1:2" x14ac:dyDescent="0.2">
      <c r="A2692">
        <v>2686</v>
      </c>
      <c r="B2692">
        <v>0.6804984347278582</v>
      </c>
    </row>
    <row r="2693" spans="1:2" x14ac:dyDescent="0.2">
      <c r="A2693">
        <v>2687</v>
      </c>
      <c r="B2693">
        <v>0.27220306079440448</v>
      </c>
    </row>
    <row r="2694" spans="1:2" x14ac:dyDescent="0.2">
      <c r="A2694">
        <v>2688</v>
      </c>
      <c r="B2694">
        <v>0.16917317707428203</v>
      </c>
    </row>
    <row r="2695" spans="1:2" x14ac:dyDescent="0.2">
      <c r="A2695">
        <v>2689</v>
      </c>
      <c r="B2695">
        <v>0.92178169172966951</v>
      </c>
    </row>
    <row r="2696" spans="1:2" x14ac:dyDescent="0.2">
      <c r="A2696">
        <v>2690</v>
      </c>
      <c r="B2696">
        <v>0.23362575807100616</v>
      </c>
    </row>
    <row r="2697" spans="1:2" x14ac:dyDescent="0.2">
      <c r="A2697">
        <v>2691</v>
      </c>
      <c r="B2697">
        <v>8.8496197983198965E-2</v>
      </c>
    </row>
    <row r="2698" spans="1:2" x14ac:dyDescent="0.2">
      <c r="A2698">
        <v>2692</v>
      </c>
      <c r="B2698">
        <v>0.35506580955201827</v>
      </c>
    </row>
    <row r="2699" spans="1:2" x14ac:dyDescent="0.2">
      <c r="A2699">
        <v>2693</v>
      </c>
      <c r="B2699">
        <v>0.49656603548613665</v>
      </c>
    </row>
    <row r="2700" spans="1:2" x14ac:dyDescent="0.2">
      <c r="A2700">
        <v>2694</v>
      </c>
      <c r="B2700">
        <v>2.4036530432974934E-2</v>
      </c>
    </row>
    <row r="2701" spans="1:2" x14ac:dyDescent="0.2">
      <c r="A2701">
        <v>2695</v>
      </c>
      <c r="B2701">
        <v>0.69511713568390021</v>
      </c>
    </row>
    <row r="2702" spans="1:2" x14ac:dyDescent="0.2">
      <c r="A2702">
        <v>2696</v>
      </c>
      <c r="B2702">
        <v>0.13810273669669737</v>
      </c>
    </row>
    <row r="2703" spans="1:2" x14ac:dyDescent="0.2">
      <c r="A2703">
        <v>2697</v>
      </c>
      <c r="B2703">
        <v>0.25835555637792751</v>
      </c>
    </row>
    <row r="2704" spans="1:2" x14ac:dyDescent="0.2">
      <c r="A2704">
        <v>2698</v>
      </c>
      <c r="B2704">
        <v>0.45612494327217989</v>
      </c>
    </row>
    <row r="2705" spans="1:2" x14ac:dyDescent="0.2">
      <c r="A2705">
        <v>2699</v>
      </c>
      <c r="B2705">
        <v>0.51343196871046648</v>
      </c>
    </row>
    <row r="2706" spans="1:2" x14ac:dyDescent="0.2">
      <c r="A2706">
        <v>2700</v>
      </c>
      <c r="B2706">
        <v>0.81417397788255719</v>
      </c>
    </row>
    <row r="2707" spans="1:2" x14ac:dyDescent="0.2">
      <c r="A2707">
        <v>2701</v>
      </c>
      <c r="B2707">
        <v>0.31444937987396537</v>
      </c>
    </row>
    <row r="2708" spans="1:2" x14ac:dyDescent="0.2">
      <c r="A2708">
        <v>2702</v>
      </c>
      <c r="B2708">
        <v>0.30980767689657673</v>
      </c>
    </row>
    <row r="2709" spans="1:2" x14ac:dyDescent="0.2">
      <c r="A2709">
        <v>2703</v>
      </c>
      <c r="B2709">
        <v>0.12047913950275024</v>
      </c>
    </row>
    <row r="2710" spans="1:2" x14ac:dyDescent="0.2">
      <c r="A2710">
        <v>2704</v>
      </c>
      <c r="B2710">
        <v>0.85042219219931658</v>
      </c>
    </row>
    <row r="2711" spans="1:2" x14ac:dyDescent="0.2">
      <c r="A2711">
        <v>2705</v>
      </c>
      <c r="B2711">
        <v>0.10360430019722244</v>
      </c>
    </row>
    <row r="2712" spans="1:2" x14ac:dyDescent="0.2">
      <c r="A2712">
        <v>2706</v>
      </c>
      <c r="B2712">
        <v>5.7267749644648758E-2</v>
      </c>
    </row>
    <row r="2713" spans="1:2" x14ac:dyDescent="0.2">
      <c r="A2713">
        <v>2707</v>
      </c>
      <c r="B2713">
        <v>0.93144915330901812</v>
      </c>
    </row>
    <row r="2714" spans="1:2" x14ac:dyDescent="0.2">
      <c r="A2714">
        <v>2708</v>
      </c>
      <c r="B2714">
        <v>0.25958553428101827</v>
      </c>
    </row>
    <row r="2715" spans="1:2" x14ac:dyDescent="0.2">
      <c r="A2715">
        <v>2709</v>
      </c>
      <c r="B2715">
        <v>0.81706155975324846</v>
      </c>
    </row>
    <row r="2716" spans="1:2" x14ac:dyDescent="0.2">
      <c r="A2716">
        <v>2710</v>
      </c>
      <c r="B2716">
        <v>0.52042120405069003</v>
      </c>
    </row>
    <row r="2717" spans="1:2" x14ac:dyDescent="0.2">
      <c r="A2717">
        <v>2711</v>
      </c>
      <c r="B2717">
        <v>6.2657715994918095E-2</v>
      </c>
    </row>
    <row r="2718" spans="1:2" x14ac:dyDescent="0.2">
      <c r="A2718">
        <v>2712</v>
      </c>
      <c r="B2718">
        <v>0.1272363558315206</v>
      </c>
    </row>
    <row r="2719" spans="1:2" x14ac:dyDescent="0.2">
      <c r="A2719">
        <v>2713</v>
      </c>
      <c r="B2719">
        <v>0.49613931429677072</v>
      </c>
    </row>
    <row r="2720" spans="1:2" x14ac:dyDescent="0.2">
      <c r="A2720">
        <v>2714</v>
      </c>
      <c r="B2720">
        <v>0.69567080639611367</v>
      </c>
    </row>
    <row r="2721" spans="1:2" x14ac:dyDescent="0.2">
      <c r="A2721">
        <v>2715</v>
      </c>
      <c r="B2721">
        <v>0.26119781387723673</v>
      </c>
    </row>
    <row r="2722" spans="1:2" x14ac:dyDescent="0.2">
      <c r="A2722">
        <v>2716</v>
      </c>
      <c r="B2722">
        <v>0.46721395797061127</v>
      </c>
    </row>
    <row r="2723" spans="1:2" x14ac:dyDescent="0.2">
      <c r="A2723">
        <v>2717</v>
      </c>
      <c r="B2723">
        <v>0.3881430882116319</v>
      </c>
    </row>
    <row r="2724" spans="1:2" x14ac:dyDescent="0.2">
      <c r="A2724">
        <v>2718</v>
      </c>
      <c r="B2724">
        <v>0.27854823602871237</v>
      </c>
    </row>
    <row r="2725" spans="1:2" x14ac:dyDescent="0.2">
      <c r="A2725">
        <v>2719</v>
      </c>
      <c r="B2725">
        <v>0.87667209792980172</v>
      </c>
    </row>
    <row r="2726" spans="1:2" x14ac:dyDescent="0.2">
      <c r="A2726">
        <v>2720</v>
      </c>
      <c r="B2726">
        <v>0.3092292871964879</v>
      </c>
    </row>
    <row r="2727" spans="1:2" x14ac:dyDescent="0.2">
      <c r="A2727">
        <v>2721</v>
      </c>
      <c r="B2727">
        <v>0.60199955388633719</v>
      </c>
    </row>
    <row r="2728" spans="1:2" x14ac:dyDescent="0.2">
      <c r="A2728">
        <v>2722</v>
      </c>
      <c r="B2728">
        <v>8.2154605481736365E-2</v>
      </c>
    </row>
    <row r="2729" spans="1:2" x14ac:dyDescent="0.2">
      <c r="A2729">
        <v>2723</v>
      </c>
      <c r="B2729">
        <v>0.18794117729160209</v>
      </c>
    </row>
    <row r="2730" spans="1:2" x14ac:dyDescent="0.2">
      <c r="A2730">
        <v>2724</v>
      </c>
      <c r="B2730">
        <v>0.1395318797795615</v>
      </c>
    </row>
    <row r="2731" spans="1:2" x14ac:dyDescent="0.2">
      <c r="A2731">
        <v>2725</v>
      </c>
      <c r="B2731">
        <v>0.78624034629534389</v>
      </c>
    </row>
    <row r="2732" spans="1:2" x14ac:dyDescent="0.2">
      <c r="A2732">
        <v>2726</v>
      </c>
      <c r="B2732">
        <v>0.55731582355785503</v>
      </c>
    </row>
    <row r="2733" spans="1:2" x14ac:dyDescent="0.2">
      <c r="A2733">
        <v>2727</v>
      </c>
      <c r="B2733">
        <v>0.5510977733501724</v>
      </c>
    </row>
    <row r="2734" spans="1:2" x14ac:dyDescent="0.2">
      <c r="A2734">
        <v>2728</v>
      </c>
      <c r="B2734">
        <v>0.84080903137124319</v>
      </c>
    </row>
    <row r="2735" spans="1:2" x14ac:dyDescent="0.2">
      <c r="A2735">
        <v>2729</v>
      </c>
      <c r="B2735">
        <v>0.77975029537181362</v>
      </c>
    </row>
    <row r="2736" spans="1:2" x14ac:dyDescent="0.2">
      <c r="A2736">
        <v>2730</v>
      </c>
      <c r="B2736">
        <v>0.69235221599715724</v>
      </c>
    </row>
    <row r="2737" spans="1:2" x14ac:dyDescent="0.2">
      <c r="A2737">
        <v>2731</v>
      </c>
      <c r="B2737">
        <v>0.63933513737495806</v>
      </c>
    </row>
    <row r="2738" spans="1:2" x14ac:dyDescent="0.2">
      <c r="A2738">
        <v>2732</v>
      </c>
      <c r="B2738">
        <v>0.39546314139146499</v>
      </c>
    </row>
    <row r="2739" spans="1:2" x14ac:dyDescent="0.2">
      <c r="A2739">
        <v>2733</v>
      </c>
      <c r="B2739">
        <v>0.50577790909372644</v>
      </c>
    </row>
    <row r="2740" spans="1:2" x14ac:dyDescent="0.2">
      <c r="A2740">
        <v>2734</v>
      </c>
      <c r="B2740">
        <v>0.87777075306904939</v>
      </c>
    </row>
    <row r="2741" spans="1:2" x14ac:dyDescent="0.2">
      <c r="A2741">
        <v>2735</v>
      </c>
      <c r="B2741">
        <v>0.77847763359422273</v>
      </c>
    </row>
    <row r="2742" spans="1:2" x14ac:dyDescent="0.2">
      <c r="A2742">
        <v>2736</v>
      </c>
      <c r="B2742">
        <v>0.39368548413876203</v>
      </c>
    </row>
    <row r="2743" spans="1:2" x14ac:dyDescent="0.2">
      <c r="A2743">
        <v>2737</v>
      </c>
      <c r="B2743">
        <v>0.62880312497929003</v>
      </c>
    </row>
    <row r="2744" spans="1:2" x14ac:dyDescent="0.2">
      <c r="A2744">
        <v>2738</v>
      </c>
      <c r="B2744">
        <v>5.2540624102301647E-2</v>
      </c>
    </row>
    <row r="2745" spans="1:2" x14ac:dyDescent="0.2">
      <c r="A2745">
        <v>2739</v>
      </c>
      <c r="B2745">
        <v>0.13067529168358072</v>
      </c>
    </row>
    <row r="2746" spans="1:2" x14ac:dyDescent="0.2">
      <c r="A2746">
        <v>2740</v>
      </c>
      <c r="B2746">
        <v>0.48985732311191876</v>
      </c>
    </row>
    <row r="2747" spans="1:2" x14ac:dyDescent="0.2">
      <c r="A2747">
        <v>2741</v>
      </c>
      <c r="B2747">
        <v>0.84410638247834502</v>
      </c>
    </row>
    <row r="2748" spans="1:2" x14ac:dyDescent="0.2">
      <c r="A2748">
        <v>2742</v>
      </c>
      <c r="B2748">
        <v>0.10710448939441819</v>
      </c>
    </row>
    <row r="2749" spans="1:2" x14ac:dyDescent="0.2">
      <c r="A2749">
        <v>2743</v>
      </c>
      <c r="B2749">
        <v>0.1348757650090372</v>
      </c>
    </row>
    <row r="2750" spans="1:2" x14ac:dyDescent="0.2">
      <c r="A2750">
        <v>2744</v>
      </c>
      <c r="B2750">
        <v>0.97891426675825144</v>
      </c>
    </row>
    <row r="2751" spans="1:2" x14ac:dyDescent="0.2">
      <c r="A2751">
        <v>2745</v>
      </c>
      <c r="B2751">
        <v>0.81040452582256917</v>
      </c>
    </row>
    <row r="2752" spans="1:2" x14ac:dyDescent="0.2">
      <c r="A2752">
        <v>2746</v>
      </c>
      <c r="B2752">
        <v>0.96590795130125584</v>
      </c>
    </row>
    <row r="2753" spans="1:2" x14ac:dyDescent="0.2">
      <c r="A2753">
        <v>2747</v>
      </c>
      <c r="B2753">
        <v>4.1720697887821623E-2</v>
      </c>
    </row>
    <row r="2754" spans="1:2" x14ac:dyDescent="0.2">
      <c r="A2754">
        <v>2748</v>
      </c>
      <c r="B2754">
        <v>0.31278825125033494</v>
      </c>
    </row>
    <row r="2755" spans="1:2" x14ac:dyDescent="0.2">
      <c r="A2755">
        <v>2749</v>
      </c>
      <c r="B2755">
        <v>0.65837831731481555</v>
      </c>
    </row>
    <row r="2756" spans="1:2" x14ac:dyDescent="0.2">
      <c r="A2756">
        <v>2750</v>
      </c>
      <c r="B2756">
        <v>0.16392943940546145</v>
      </c>
    </row>
    <row r="2757" spans="1:2" x14ac:dyDescent="0.2">
      <c r="A2757">
        <v>2751</v>
      </c>
      <c r="B2757">
        <v>0.96035938077866534</v>
      </c>
    </row>
    <row r="2758" spans="1:2" x14ac:dyDescent="0.2">
      <c r="A2758">
        <v>2752</v>
      </c>
      <c r="B2758">
        <v>0.99255137014181705</v>
      </c>
    </row>
    <row r="2759" spans="1:2" x14ac:dyDescent="0.2">
      <c r="A2759">
        <v>2753</v>
      </c>
      <c r="B2759">
        <v>0.57059222632305528</v>
      </c>
    </row>
    <row r="2760" spans="1:2" x14ac:dyDescent="0.2">
      <c r="A2760">
        <v>2754</v>
      </c>
      <c r="B2760">
        <v>0.90406500227317788</v>
      </c>
    </row>
    <row r="2761" spans="1:2" x14ac:dyDescent="0.2">
      <c r="A2761">
        <v>2755</v>
      </c>
      <c r="B2761">
        <v>0.61187959786510815</v>
      </c>
    </row>
    <row r="2762" spans="1:2" x14ac:dyDescent="0.2">
      <c r="A2762">
        <v>2756</v>
      </c>
      <c r="B2762">
        <v>0.77081388637830384</v>
      </c>
    </row>
    <row r="2763" spans="1:2" x14ac:dyDescent="0.2">
      <c r="A2763">
        <v>2757</v>
      </c>
      <c r="B2763">
        <v>0.31001480568896844</v>
      </c>
    </row>
    <row r="2764" spans="1:2" x14ac:dyDescent="0.2">
      <c r="A2764">
        <v>2758</v>
      </c>
      <c r="B2764">
        <v>0.90401431682908129</v>
      </c>
    </row>
    <row r="2765" spans="1:2" x14ac:dyDescent="0.2">
      <c r="A2765">
        <v>2759</v>
      </c>
      <c r="B2765">
        <v>0.95651781528935309</v>
      </c>
    </row>
    <row r="2766" spans="1:2" x14ac:dyDescent="0.2">
      <c r="A2766">
        <v>2760</v>
      </c>
      <c r="B2766">
        <v>7.3805331693985399E-2</v>
      </c>
    </row>
    <row r="2767" spans="1:2" x14ac:dyDescent="0.2">
      <c r="A2767">
        <v>2761</v>
      </c>
      <c r="B2767">
        <v>0.77486742284677912</v>
      </c>
    </row>
    <row r="2768" spans="1:2" x14ac:dyDescent="0.2">
      <c r="A2768">
        <v>2762</v>
      </c>
      <c r="B2768">
        <v>0.64476917978275083</v>
      </c>
    </row>
    <row r="2769" spans="1:2" x14ac:dyDescent="0.2">
      <c r="A2769">
        <v>2763</v>
      </c>
      <c r="B2769">
        <v>0.18713987630941609</v>
      </c>
    </row>
    <row r="2770" spans="1:2" x14ac:dyDescent="0.2">
      <c r="A2770">
        <v>2764</v>
      </c>
      <c r="B2770">
        <v>0.59249881613415856</v>
      </c>
    </row>
    <row r="2771" spans="1:2" x14ac:dyDescent="0.2">
      <c r="A2771">
        <v>2765</v>
      </c>
      <c r="B2771">
        <v>0.35702333225401606</v>
      </c>
    </row>
    <row r="2772" spans="1:2" x14ac:dyDescent="0.2">
      <c r="A2772">
        <v>2766</v>
      </c>
      <c r="B2772">
        <v>0.79820132942213007</v>
      </c>
    </row>
    <row r="2773" spans="1:2" x14ac:dyDescent="0.2">
      <c r="A2773">
        <v>2767</v>
      </c>
      <c r="B2773">
        <v>0.61073561359172868</v>
      </c>
    </row>
    <row r="2774" spans="1:2" x14ac:dyDescent="0.2">
      <c r="A2774">
        <v>2768</v>
      </c>
      <c r="B2774">
        <v>0.56990492231468171</v>
      </c>
    </row>
    <row r="2775" spans="1:2" x14ac:dyDescent="0.2">
      <c r="A2775">
        <v>2769</v>
      </c>
      <c r="B2775">
        <v>0.3236823583082824</v>
      </c>
    </row>
    <row r="2776" spans="1:2" x14ac:dyDescent="0.2">
      <c r="A2776">
        <v>2770</v>
      </c>
      <c r="B2776">
        <v>0.15752261752878804</v>
      </c>
    </row>
    <row r="2777" spans="1:2" x14ac:dyDescent="0.2">
      <c r="A2777">
        <v>2771</v>
      </c>
      <c r="B2777">
        <v>0.88648703992779876</v>
      </c>
    </row>
    <row r="2778" spans="1:2" x14ac:dyDescent="0.2">
      <c r="A2778">
        <v>2772</v>
      </c>
      <c r="B2778">
        <v>0.75096065962607561</v>
      </c>
    </row>
    <row r="2779" spans="1:2" x14ac:dyDescent="0.2">
      <c r="A2779">
        <v>2773</v>
      </c>
      <c r="B2779">
        <v>4.3109540963224724E-2</v>
      </c>
    </row>
    <row r="2780" spans="1:2" x14ac:dyDescent="0.2">
      <c r="A2780">
        <v>2774</v>
      </c>
      <c r="B2780">
        <v>0.90877536123291536</v>
      </c>
    </row>
    <row r="2781" spans="1:2" x14ac:dyDescent="0.2">
      <c r="A2781">
        <v>2775</v>
      </c>
      <c r="B2781">
        <v>0.83443391025463975</v>
      </c>
    </row>
    <row r="2782" spans="1:2" x14ac:dyDescent="0.2">
      <c r="A2782">
        <v>2776</v>
      </c>
      <c r="B2782">
        <v>0.16129408906243703</v>
      </c>
    </row>
    <row r="2783" spans="1:2" x14ac:dyDescent="0.2">
      <c r="A2783">
        <v>2777</v>
      </c>
      <c r="B2783">
        <v>0.48823493656460515</v>
      </c>
    </row>
    <row r="2784" spans="1:2" x14ac:dyDescent="0.2">
      <c r="A2784">
        <v>2778</v>
      </c>
      <c r="B2784">
        <v>0.79542748200764268</v>
      </c>
    </row>
    <row r="2785" spans="1:2" x14ac:dyDescent="0.2">
      <c r="A2785">
        <v>2779</v>
      </c>
      <c r="B2785">
        <v>0.102289891856855</v>
      </c>
    </row>
    <row r="2786" spans="1:2" x14ac:dyDescent="0.2">
      <c r="A2786">
        <v>2780</v>
      </c>
      <c r="B2786">
        <v>8.0808302418320599E-2</v>
      </c>
    </row>
    <row r="2787" spans="1:2" x14ac:dyDescent="0.2">
      <c r="A2787">
        <v>2781</v>
      </c>
      <c r="B2787">
        <v>0.65555725522539021</v>
      </c>
    </row>
    <row r="2788" spans="1:2" x14ac:dyDescent="0.2">
      <c r="A2788">
        <v>2782</v>
      </c>
      <c r="B2788">
        <v>0.99444443600689958</v>
      </c>
    </row>
    <row r="2789" spans="1:2" x14ac:dyDescent="0.2">
      <c r="A2789">
        <v>2783</v>
      </c>
      <c r="B2789">
        <v>0.29904991985391727</v>
      </c>
    </row>
    <row r="2790" spans="1:2" x14ac:dyDescent="0.2">
      <c r="A2790">
        <v>2784</v>
      </c>
      <c r="B2790">
        <v>0.22538536174140367</v>
      </c>
    </row>
    <row r="2791" spans="1:2" x14ac:dyDescent="0.2">
      <c r="A2791">
        <v>2785</v>
      </c>
      <c r="B2791">
        <v>0.1031250766330214</v>
      </c>
    </row>
    <row r="2792" spans="1:2" x14ac:dyDescent="0.2">
      <c r="A2792">
        <v>2786</v>
      </c>
      <c r="B2792">
        <v>0.23592438065722698</v>
      </c>
    </row>
    <row r="2793" spans="1:2" x14ac:dyDescent="0.2">
      <c r="A2793">
        <v>2787</v>
      </c>
      <c r="B2793">
        <v>0.21057660266190859</v>
      </c>
    </row>
    <row r="2794" spans="1:2" x14ac:dyDescent="0.2">
      <c r="A2794">
        <v>2788</v>
      </c>
      <c r="B2794">
        <v>0.41125208362369881</v>
      </c>
    </row>
    <row r="2795" spans="1:2" x14ac:dyDescent="0.2">
      <c r="A2795">
        <v>2789</v>
      </c>
      <c r="B2795">
        <v>0.96402174229938142</v>
      </c>
    </row>
    <row r="2796" spans="1:2" x14ac:dyDescent="0.2">
      <c r="A2796">
        <v>2790</v>
      </c>
      <c r="B2796">
        <v>1.0008630845514177E-2</v>
      </c>
    </row>
    <row r="2797" spans="1:2" x14ac:dyDescent="0.2">
      <c r="A2797">
        <v>2791</v>
      </c>
      <c r="B2797">
        <v>0.3460953582227061</v>
      </c>
    </row>
    <row r="2798" spans="1:2" x14ac:dyDescent="0.2">
      <c r="A2798">
        <v>2792</v>
      </c>
      <c r="B2798">
        <v>0.96360384274606936</v>
      </c>
    </row>
    <row r="2799" spans="1:2" x14ac:dyDescent="0.2">
      <c r="A2799">
        <v>2793</v>
      </c>
      <c r="B2799">
        <v>0.90055189785455536</v>
      </c>
    </row>
    <row r="2800" spans="1:2" x14ac:dyDescent="0.2">
      <c r="A2800">
        <v>2794</v>
      </c>
      <c r="B2800">
        <v>0.15057373326429946</v>
      </c>
    </row>
    <row r="2801" spans="1:2" x14ac:dyDescent="0.2">
      <c r="A2801">
        <v>2795</v>
      </c>
      <c r="B2801">
        <v>0.77620589634514126</v>
      </c>
    </row>
    <row r="2802" spans="1:2" x14ac:dyDescent="0.2">
      <c r="A2802">
        <v>2796</v>
      </c>
      <c r="B2802">
        <v>0.37646993900709091</v>
      </c>
    </row>
    <row r="2803" spans="1:2" x14ac:dyDescent="0.2">
      <c r="A2803">
        <v>2797</v>
      </c>
      <c r="B2803">
        <v>0.86883288985610163</v>
      </c>
    </row>
    <row r="2804" spans="1:2" x14ac:dyDescent="0.2">
      <c r="A2804">
        <v>2798</v>
      </c>
      <c r="B2804">
        <v>5.2732659776685509E-2</v>
      </c>
    </row>
    <row r="2805" spans="1:2" x14ac:dyDescent="0.2">
      <c r="A2805">
        <v>2799</v>
      </c>
      <c r="B2805">
        <v>0.31477884821817237</v>
      </c>
    </row>
    <row r="2806" spans="1:2" x14ac:dyDescent="0.2">
      <c r="A2806">
        <v>2800</v>
      </c>
      <c r="B2806">
        <v>0.20034007049350788</v>
      </c>
    </row>
    <row r="2807" spans="1:2" x14ac:dyDescent="0.2">
      <c r="A2807">
        <v>2801</v>
      </c>
      <c r="B2807">
        <v>0.89416096218862207</v>
      </c>
    </row>
    <row r="2808" spans="1:2" x14ac:dyDescent="0.2">
      <c r="A2808">
        <v>2802</v>
      </c>
      <c r="B2808">
        <v>0.54850007401002709</v>
      </c>
    </row>
    <row r="2809" spans="1:2" x14ac:dyDescent="0.2">
      <c r="A2809">
        <v>2803</v>
      </c>
      <c r="B2809">
        <v>0.42117122040119426</v>
      </c>
    </row>
    <row r="2810" spans="1:2" x14ac:dyDescent="0.2">
      <c r="A2810">
        <v>2804</v>
      </c>
      <c r="B2810">
        <v>0.76911102325038883</v>
      </c>
    </row>
    <row r="2811" spans="1:2" x14ac:dyDescent="0.2">
      <c r="A2811">
        <v>2805</v>
      </c>
      <c r="B2811">
        <v>9.6070408452393341E-3</v>
      </c>
    </row>
    <row r="2812" spans="1:2" x14ac:dyDescent="0.2">
      <c r="A2812">
        <v>2806</v>
      </c>
      <c r="B2812">
        <v>4.4583501683943427E-2</v>
      </c>
    </row>
    <row r="2813" spans="1:2" x14ac:dyDescent="0.2">
      <c r="A2813">
        <v>2807</v>
      </c>
      <c r="B2813">
        <v>0.43549911570922795</v>
      </c>
    </row>
    <row r="2814" spans="1:2" x14ac:dyDescent="0.2">
      <c r="A2814">
        <v>2808</v>
      </c>
      <c r="B2814">
        <v>0.22996714043535738</v>
      </c>
    </row>
    <row r="2815" spans="1:2" x14ac:dyDescent="0.2">
      <c r="A2815">
        <v>2809</v>
      </c>
      <c r="B2815">
        <v>0.12579932507709091</v>
      </c>
    </row>
    <row r="2816" spans="1:2" x14ac:dyDescent="0.2">
      <c r="A2816">
        <v>2810</v>
      </c>
      <c r="B2816">
        <v>0.8397799339019506</v>
      </c>
    </row>
    <row r="2817" spans="1:2" x14ac:dyDescent="0.2">
      <c r="A2817">
        <v>2811</v>
      </c>
      <c r="B2817">
        <v>0.55327404744072417</v>
      </c>
    </row>
    <row r="2818" spans="1:2" x14ac:dyDescent="0.2">
      <c r="A2818">
        <v>2812</v>
      </c>
      <c r="B2818">
        <v>0.61063876159011721</v>
      </c>
    </row>
    <row r="2819" spans="1:2" x14ac:dyDescent="0.2">
      <c r="A2819">
        <v>2813</v>
      </c>
      <c r="B2819">
        <v>0.94529792524748835</v>
      </c>
    </row>
    <row r="2820" spans="1:2" x14ac:dyDescent="0.2">
      <c r="A2820">
        <v>2814</v>
      </c>
      <c r="B2820">
        <v>0.36745990886228386</v>
      </c>
    </row>
    <row r="2821" spans="1:2" x14ac:dyDescent="0.2">
      <c r="A2821">
        <v>2815</v>
      </c>
      <c r="B2821">
        <v>0.64062726617921573</v>
      </c>
    </row>
    <row r="2822" spans="1:2" x14ac:dyDescent="0.2">
      <c r="A2822">
        <v>2816</v>
      </c>
      <c r="B2822">
        <v>0.36578232194982874</v>
      </c>
    </row>
    <row r="2823" spans="1:2" x14ac:dyDescent="0.2">
      <c r="A2823">
        <v>2817</v>
      </c>
      <c r="B2823">
        <v>0.78127100374200376</v>
      </c>
    </row>
    <row r="2824" spans="1:2" x14ac:dyDescent="0.2">
      <c r="A2824">
        <v>2818</v>
      </c>
      <c r="B2824">
        <v>3.5841513034234773E-2</v>
      </c>
    </row>
    <row r="2825" spans="1:2" x14ac:dyDescent="0.2">
      <c r="A2825">
        <v>2819</v>
      </c>
      <c r="B2825">
        <v>0.40193084060990791</v>
      </c>
    </row>
    <row r="2826" spans="1:2" x14ac:dyDescent="0.2">
      <c r="A2826">
        <v>2820</v>
      </c>
      <c r="B2826">
        <v>0.40126324917472156</v>
      </c>
    </row>
    <row r="2827" spans="1:2" x14ac:dyDescent="0.2">
      <c r="A2827">
        <v>2821</v>
      </c>
      <c r="B2827">
        <v>0.10483075438576817</v>
      </c>
    </row>
    <row r="2828" spans="1:2" x14ac:dyDescent="0.2">
      <c r="A2828">
        <v>2822</v>
      </c>
      <c r="B2828">
        <v>0.29569060812821757</v>
      </c>
    </row>
    <row r="2829" spans="1:2" x14ac:dyDescent="0.2">
      <c r="A2829">
        <v>2823</v>
      </c>
      <c r="B2829">
        <v>0.71358332209524722</v>
      </c>
    </row>
    <row r="2830" spans="1:2" x14ac:dyDescent="0.2">
      <c r="A2830">
        <v>2824</v>
      </c>
      <c r="B2830">
        <v>0.12167911085579386</v>
      </c>
    </row>
    <row r="2831" spans="1:2" x14ac:dyDescent="0.2">
      <c r="A2831">
        <v>2825</v>
      </c>
      <c r="B2831">
        <v>0.96909021519855021</v>
      </c>
    </row>
    <row r="2832" spans="1:2" x14ac:dyDescent="0.2">
      <c r="A2832">
        <v>2826</v>
      </c>
      <c r="B2832">
        <v>0.27734224400622809</v>
      </c>
    </row>
    <row r="2833" spans="1:2" x14ac:dyDescent="0.2">
      <c r="A2833">
        <v>2827</v>
      </c>
      <c r="B2833">
        <v>0.53991627046831825</v>
      </c>
    </row>
    <row r="2834" spans="1:2" x14ac:dyDescent="0.2">
      <c r="A2834">
        <v>2828</v>
      </c>
      <c r="B2834">
        <v>6.7397680535139837E-2</v>
      </c>
    </row>
    <row r="2835" spans="1:2" x14ac:dyDescent="0.2">
      <c r="A2835">
        <v>2829</v>
      </c>
      <c r="B2835">
        <v>4.4717765517591213E-3</v>
      </c>
    </row>
    <row r="2836" spans="1:2" x14ac:dyDescent="0.2">
      <c r="A2836">
        <v>2830</v>
      </c>
      <c r="B2836">
        <v>9.7367113597431998E-2</v>
      </c>
    </row>
    <row r="2837" spans="1:2" x14ac:dyDescent="0.2">
      <c r="A2837">
        <v>2831</v>
      </c>
      <c r="B2837">
        <v>0.62662902546386645</v>
      </c>
    </row>
    <row r="2838" spans="1:2" x14ac:dyDescent="0.2">
      <c r="A2838">
        <v>2832</v>
      </c>
      <c r="B2838">
        <v>0.84156211447075235</v>
      </c>
    </row>
    <row r="2839" spans="1:2" x14ac:dyDescent="0.2">
      <c r="A2839">
        <v>2833</v>
      </c>
      <c r="B2839">
        <v>0.29861345546958529</v>
      </c>
    </row>
    <row r="2840" spans="1:2" x14ac:dyDescent="0.2">
      <c r="A2840">
        <v>2834</v>
      </c>
      <c r="B2840">
        <v>0.55104466811035746</v>
      </c>
    </row>
    <row r="2841" spans="1:2" x14ac:dyDescent="0.2">
      <c r="A2841">
        <v>2835</v>
      </c>
      <c r="B2841">
        <v>0.57106580645264482</v>
      </c>
    </row>
    <row r="2842" spans="1:2" x14ac:dyDescent="0.2">
      <c r="A2842">
        <v>2836</v>
      </c>
      <c r="B2842">
        <v>0.25092573261479312</v>
      </c>
    </row>
    <row r="2843" spans="1:2" x14ac:dyDescent="0.2">
      <c r="A2843">
        <v>2837</v>
      </c>
      <c r="B2843">
        <v>0.3123222299852304</v>
      </c>
    </row>
    <row r="2844" spans="1:2" x14ac:dyDescent="0.2">
      <c r="A2844">
        <v>2838</v>
      </c>
      <c r="B2844">
        <v>0.43199974347814363</v>
      </c>
    </row>
    <row r="2845" spans="1:2" x14ac:dyDescent="0.2">
      <c r="A2845">
        <v>2839</v>
      </c>
      <c r="B2845">
        <v>0.92498714378456737</v>
      </c>
    </row>
    <row r="2846" spans="1:2" x14ac:dyDescent="0.2">
      <c r="A2846">
        <v>2840</v>
      </c>
      <c r="B2846">
        <v>0.91015221598055818</v>
      </c>
    </row>
    <row r="2847" spans="1:2" x14ac:dyDescent="0.2">
      <c r="A2847">
        <v>2841</v>
      </c>
      <c r="B2847">
        <v>0.80712526199032253</v>
      </c>
    </row>
    <row r="2848" spans="1:2" x14ac:dyDescent="0.2">
      <c r="A2848">
        <v>2842</v>
      </c>
      <c r="B2848">
        <v>0.34624635418240857</v>
      </c>
    </row>
    <row r="2849" spans="1:2" x14ac:dyDescent="0.2">
      <c r="A2849">
        <v>2843</v>
      </c>
      <c r="B2849">
        <v>0.8414846863854275</v>
      </c>
    </row>
    <row r="2850" spans="1:2" x14ac:dyDescent="0.2">
      <c r="A2850">
        <v>2844</v>
      </c>
      <c r="B2850">
        <v>0.77004821094087528</v>
      </c>
    </row>
    <row r="2851" spans="1:2" x14ac:dyDescent="0.2">
      <c r="A2851">
        <v>2845</v>
      </c>
      <c r="B2851">
        <v>0.89099629101530475</v>
      </c>
    </row>
    <row r="2852" spans="1:2" x14ac:dyDescent="0.2">
      <c r="A2852">
        <v>2846</v>
      </c>
      <c r="B2852">
        <v>0.48650159847493135</v>
      </c>
    </row>
    <row r="2853" spans="1:2" x14ac:dyDescent="0.2">
      <c r="A2853">
        <v>2847</v>
      </c>
      <c r="B2853">
        <v>0.64105359371155046</v>
      </c>
    </row>
    <row r="2854" spans="1:2" x14ac:dyDescent="0.2">
      <c r="A2854">
        <v>2848</v>
      </c>
      <c r="B2854">
        <v>0.23677553104349847</v>
      </c>
    </row>
    <row r="2855" spans="1:2" x14ac:dyDescent="0.2">
      <c r="A2855">
        <v>2849</v>
      </c>
      <c r="B2855">
        <v>0.85002872977349575</v>
      </c>
    </row>
    <row r="2856" spans="1:2" x14ac:dyDescent="0.2">
      <c r="A2856">
        <v>2850</v>
      </c>
      <c r="B2856">
        <v>0.92733864919155473</v>
      </c>
    </row>
    <row r="2857" spans="1:2" x14ac:dyDescent="0.2">
      <c r="A2857">
        <v>2851</v>
      </c>
      <c r="B2857">
        <v>0.50810090877454839</v>
      </c>
    </row>
    <row r="2858" spans="1:2" x14ac:dyDescent="0.2">
      <c r="A2858">
        <v>2852</v>
      </c>
      <c r="B2858">
        <v>0.98206232694098339</v>
      </c>
    </row>
    <row r="2859" spans="1:2" x14ac:dyDescent="0.2">
      <c r="A2859">
        <v>2853</v>
      </c>
      <c r="B2859">
        <v>0.11114100160006735</v>
      </c>
    </row>
    <row r="2860" spans="1:2" x14ac:dyDescent="0.2">
      <c r="A2860">
        <v>2854</v>
      </c>
      <c r="B2860">
        <v>0.70351239269552146</v>
      </c>
    </row>
    <row r="2861" spans="1:2" x14ac:dyDescent="0.2">
      <c r="A2861">
        <v>2855</v>
      </c>
      <c r="B2861">
        <v>0.2095887163115191</v>
      </c>
    </row>
    <row r="2862" spans="1:2" x14ac:dyDescent="0.2">
      <c r="A2862">
        <v>2856</v>
      </c>
      <c r="B2862">
        <v>0.67498756932056536</v>
      </c>
    </row>
    <row r="2863" spans="1:2" x14ac:dyDescent="0.2">
      <c r="A2863">
        <v>2857</v>
      </c>
      <c r="B2863">
        <v>0.92466948362963242</v>
      </c>
    </row>
    <row r="2864" spans="1:2" x14ac:dyDescent="0.2">
      <c r="A2864">
        <v>2858</v>
      </c>
      <c r="B2864">
        <v>0.83590746997475163</v>
      </c>
    </row>
    <row r="2865" spans="1:2" x14ac:dyDescent="0.2">
      <c r="A2865">
        <v>2859</v>
      </c>
      <c r="B2865">
        <v>1.8915784459534457E-3</v>
      </c>
    </row>
    <row r="2866" spans="1:2" x14ac:dyDescent="0.2">
      <c r="A2866">
        <v>2860</v>
      </c>
      <c r="B2866">
        <v>8.4613240863744776E-2</v>
      </c>
    </row>
    <row r="2867" spans="1:2" x14ac:dyDescent="0.2">
      <c r="A2867">
        <v>2861</v>
      </c>
      <c r="B2867">
        <v>1.7994104477123796E-2</v>
      </c>
    </row>
    <row r="2868" spans="1:2" x14ac:dyDescent="0.2">
      <c r="A2868">
        <v>2862</v>
      </c>
      <c r="B2868">
        <v>0.92132920830461262</v>
      </c>
    </row>
    <row r="2869" spans="1:2" x14ac:dyDescent="0.2">
      <c r="A2869">
        <v>2863</v>
      </c>
      <c r="B2869">
        <v>0.44757226416496609</v>
      </c>
    </row>
    <row r="2870" spans="1:2" x14ac:dyDescent="0.2">
      <c r="A2870">
        <v>2864</v>
      </c>
      <c r="B2870">
        <v>0.63446070315452041</v>
      </c>
    </row>
    <row r="2871" spans="1:2" x14ac:dyDescent="0.2">
      <c r="A2871">
        <v>2865</v>
      </c>
      <c r="B2871">
        <v>0.80975009224090377</v>
      </c>
    </row>
    <row r="2872" spans="1:2" x14ac:dyDescent="0.2">
      <c r="A2872">
        <v>2866</v>
      </c>
      <c r="B2872">
        <v>0.64196324528584559</v>
      </c>
    </row>
    <row r="2873" spans="1:2" x14ac:dyDescent="0.2">
      <c r="A2873">
        <v>2867</v>
      </c>
      <c r="B2873">
        <v>0.47425657695765744</v>
      </c>
    </row>
    <row r="2874" spans="1:2" x14ac:dyDescent="0.2">
      <c r="A2874">
        <v>2868</v>
      </c>
      <c r="B2874">
        <v>0.43072407986053862</v>
      </c>
    </row>
    <row r="2875" spans="1:2" x14ac:dyDescent="0.2">
      <c r="A2875">
        <v>2869</v>
      </c>
      <c r="B2875">
        <v>0.21435079751135155</v>
      </c>
    </row>
    <row r="2876" spans="1:2" x14ac:dyDescent="0.2">
      <c r="A2876">
        <v>2870</v>
      </c>
      <c r="B2876">
        <v>6.7831086954277642E-2</v>
      </c>
    </row>
    <row r="2877" spans="1:2" x14ac:dyDescent="0.2">
      <c r="A2877">
        <v>2871</v>
      </c>
      <c r="B2877">
        <v>0.98826263207145393</v>
      </c>
    </row>
    <row r="2878" spans="1:2" x14ac:dyDescent="0.2">
      <c r="A2878">
        <v>2872</v>
      </c>
      <c r="B2878">
        <v>0.78704677219539521</v>
      </c>
    </row>
    <row r="2879" spans="1:2" x14ac:dyDescent="0.2">
      <c r="A2879">
        <v>2873</v>
      </c>
      <c r="B2879">
        <v>0.32663231110159752</v>
      </c>
    </row>
    <row r="2880" spans="1:2" x14ac:dyDescent="0.2">
      <c r="A2880">
        <v>2874</v>
      </c>
      <c r="B2880">
        <v>0.922622603442527</v>
      </c>
    </row>
    <row r="2881" spans="1:2" x14ac:dyDescent="0.2">
      <c r="A2881">
        <v>2875</v>
      </c>
      <c r="B2881">
        <v>0.44872085097496317</v>
      </c>
    </row>
    <row r="2882" spans="1:2" x14ac:dyDescent="0.2">
      <c r="A2882">
        <v>2876</v>
      </c>
      <c r="B2882">
        <v>0.60507773579077084</v>
      </c>
    </row>
    <row r="2883" spans="1:2" x14ac:dyDescent="0.2">
      <c r="A2883">
        <v>2877</v>
      </c>
      <c r="B2883">
        <v>0.73678165267660312</v>
      </c>
    </row>
    <row r="2884" spans="1:2" x14ac:dyDescent="0.2">
      <c r="A2884">
        <v>2878</v>
      </c>
      <c r="B2884">
        <v>0.36324082952527958</v>
      </c>
    </row>
    <row r="2885" spans="1:2" x14ac:dyDescent="0.2">
      <c r="A2885">
        <v>2879</v>
      </c>
      <c r="B2885">
        <v>0.16709344086193478</v>
      </c>
    </row>
    <row r="2886" spans="1:2" x14ac:dyDescent="0.2">
      <c r="A2886">
        <v>2880</v>
      </c>
      <c r="B2886">
        <v>0.55715545111194853</v>
      </c>
    </row>
    <row r="2887" spans="1:2" x14ac:dyDescent="0.2">
      <c r="A2887">
        <v>2881</v>
      </c>
      <c r="B2887">
        <v>5.3867805031057592E-2</v>
      </c>
    </row>
    <row r="2888" spans="1:2" x14ac:dyDescent="0.2">
      <c r="A2888">
        <v>2882</v>
      </c>
      <c r="B2888">
        <v>0.8672868970919172</v>
      </c>
    </row>
    <row r="2889" spans="1:2" x14ac:dyDescent="0.2">
      <c r="A2889">
        <v>2883</v>
      </c>
      <c r="B2889">
        <v>0.87669574753399948</v>
      </c>
    </row>
    <row r="2890" spans="1:2" x14ac:dyDescent="0.2">
      <c r="A2890">
        <v>2884</v>
      </c>
      <c r="B2890">
        <v>0.92341476460608596</v>
      </c>
    </row>
    <row r="2891" spans="1:2" x14ac:dyDescent="0.2">
      <c r="A2891">
        <v>2885</v>
      </c>
      <c r="B2891">
        <v>0.46920815695654028</v>
      </c>
    </row>
    <row r="2892" spans="1:2" x14ac:dyDescent="0.2">
      <c r="A2892">
        <v>2886</v>
      </c>
      <c r="B2892">
        <v>0.49986838527716115</v>
      </c>
    </row>
    <row r="2893" spans="1:2" x14ac:dyDescent="0.2">
      <c r="A2893">
        <v>2887</v>
      </c>
      <c r="B2893">
        <v>0.20210444579242481</v>
      </c>
    </row>
    <row r="2894" spans="1:2" x14ac:dyDescent="0.2">
      <c r="A2894">
        <v>2888</v>
      </c>
      <c r="B2894">
        <v>0.24961765332053454</v>
      </c>
    </row>
    <row r="2895" spans="1:2" x14ac:dyDescent="0.2">
      <c r="A2895">
        <v>2889</v>
      </c>
      <c r="B2895">
        <v>0.7398610093506488</v>
      </c>
    </row>
    <row r="2896" spans="1:2" x14ac:dyDescent="0.2">
      <c r="A2896">
        <v>2890</v>
      </c>
      <c r="B2896">
        <v>0.64899635733698446</v>
      </c>
    </row>
    <row r="2897" spans="1:2" x14ac:dyDescent="0.2">
      <c r="A2897">
        <v>2891</v>
      </c>
      <c r="B2897">
        <v>0.27816456387147537</v>
      </c>
    </row>
    <row r="2898" spans="1:2" x14ac:dyDescent="0.2">
      <c r="A2898">
        <v>2892</v>
      </c>
      <c r="B2898">
        <v>0.16243918669341095</v>
      </c>
    </row>
    <row r="2899" spans="1:2" x14ac:dyDescent="0.2">
      <c r="A2899">
        <v>2893</v>
      </c>
      <c r="B2899">
        <v>0.66179427329669827</v>
      </c>
    </row>
    <row r="2900" spans="1:2" x14ac:dyDescent="0.2">
      <c r="A2900">
        <v>2894</v>
      </c>
      <c r="B2900">
        <v>0.81000590005301476</v>
      </c>
    </row>
    <row r="2901" spans="1:2" x14ac:dyDescent="0.2">
      <c r="A2901">
        <v>2895</v>
      </c>
      <c r="B2901">
        <v>0.90750271688457651</v>
      </c>
    </row>
    <row r="2902" spans="1:2" x14ac:dyDescent="0.2">
      <c r="A2902">
        <v>2896</v>
      </c>
      <c r="B2902">
        <v>0.68936813260460816</v>
      </c>
    </row>
    <row r="2903" spans="1:2" x14ac:dyDescent="0.2">
      <c r="A2903">
        <v>2897</v>
      </c>
      <c r="B2903">
        <v>3.5857076867931492E-2</v>
      </c>
    </row>
    <row r="2904" spans="1:2" x14ac:dyDescent="0.2">
      <c r="A2904">
        <v>2898</v>
      </c>
      <c r="B2904">
        <v>4.9717926418980207E-2</v>
      </c>
    </row>
    <row r="2905" spans="1:2" x14ac:dyDescent="0.2">
      <c r="A2905">
        <v>2899</v>
      </c>
      <c r="B2905">
        <v>0.83935286667983211</v>
      </c>
    </row>
    <row r="2906" spans="1:2" x14ac:dyDescent="0.2">
      <c r="A2906">
        <v>2900</v>
      </c>
      <c r="B2906">
        <v>0.51747727523068587</v>
      </c>
    </row>
    <row r="2907" spans="1:2" x14ac:dyDescent="0.2">
      <c r="A2907">
        <v>2901</v>
      </c>
      <c r="B2907">
        <v>0.26545052176906381</v>
      </c>
    </row>
    <row r="2908" spans="1:2" x14ac:dyDescent="0.2">
      <c r="A2908">
        <v>2902</v>
      </c>
      <c r="B2908">
        <v>0.79984700883473081</v>
      </c>
    </row>
    <row r="2909" spans="1:2" x14ac:dyDescent="0.2">
      <c r="A2909">
        <v>2903</v>
      </c>
      <c r="B2909">
        <v>0.76836738987254916</v>
      </c>
    </row>
    <row r="2910" spans="1:2" x14ac:dyDescent="0.2">
      <c r="A2910">
        <v>2904</v>
      </c>
      <c r="B2910">
        <v>0.79823737192694832</v>
      </c>
    </row>
    <row r="2911" spans="1:2" x14ac:dyDescent="0.2">
      <c r="A2911">
        <v>2905</v>
      </c>
      <c r="B2911">
        <v>0.85881418615868732</v>
      </c>
    </row>
    <row r="2912" spans="1:2" x14ac:dyDescent="0.2">
      <c r="A2912">
        <v>2906</v>
      </c>
      <c r="B2912">
        <v>0.39201617117120702</v>
      </c>
    </row>
    <row r="2913" spans="1:2" x14ac:dyDescent="0.2">
      <c r="A2913">
        <v>2907</v>
      </c>
      <c r="B2913">
        <v>0.14958219201135281</v>
      </c>
    </row>
    <row r="2914" spans="1:2" x14ac:dyDescent="0.2">
      <c r="A2914">
        <v>2908</v>
      </c>
      <c r="B2914">
        <v>0.17274192046473424</v>
      </c>
    </row>
    <row r="2915" spans="1:2" x14ac:dyDescent="0.2">
      <c r="A2915">
        <v>2909</v>
      </c>
      <c r="B2915">
        <v>0.1815451067652043</v>
      </c>
    </row>
    <row r="2916" spans="1:2" x14ac:dyDescent="0.2">
      <c r="A2916">
        <v>2910</v>
      </c>
      <c r="B2916">
        <v>0.96039121857775189</v>
      </c>
    </row>
    <row r="2917" spans="1:2" x14ac:dyDescent="0.2">
      <c r="A2917">
        <v>2911</v>
      </c>
      <c r="B2917">
        <v>0.16124597233519733</v>
      </c>
    </row>
    <row r="2918" spans="1:2" x14ac:dyDescent="0.2">
      <c r="A2918">
        <v>2912</v>
      </c>
      <c r="B2918">
        <v>0.87059148252336793</v>
      </c>
    </row>
    <row r="2919" spans="1:2" x14ac:dyDescent="0.2">
      <c r="A2919">
        <v>2913</v>
      </c>
      <c r="B2919">
        <v>0.70566125585691131</v>
      </c>
    </row>
    <row r="2920" spans="1:2" x14ac:dyDescent="0.2">
      <c r="A2920">
        <v>2914</v>
      </c>
      <c r="B2920">
        <v>9.5336465688774186E-2</v>
      </c>
    </row>
    <row r="2921" spans="1:2" x14ac:dyDescent="0.2">
      <c r="A2921">
        <v>2915</v>
      </c>
      <c r="B2921">
        <v>0.75241870555915702</v>
      </c>
    </row>
    <row r="2922" spans="1:2" x14ac:dyDescent="0.2">
      <c r="A2922">
        <v>2916</v>
      </c>
      <c r="B2922">
        <v>0.32891852434701951</v>
      </c>
    </row>
    <row r="2923" spans="1:2" x14ac:dyDescent="0.2">
      <c r="A2923">
        <v>2917</v>
      </c>
      <c r="B2923">
        <v>0.18441270061897153</v>
      </c>
    </row>
    <row r="2924" spans="1:2" x14ac:dyDescent="0.2">
      <c r="A2924">
        <v>2918</v>
      </c>
      <c r="B2924">
        <v>9.9708133938962162E-2</v>
      </c>
    </row>
    <row r="2925" spans="1:2" x14ac:dyDescent="0.2">
      <c r="A2925">
        <v>2919</v>
      </c>
      <c r="B2925">
        <v>0.6583638830550419</v>
      </c>
    </row>
    <row r="2926" spans="1:2" x14ac:dyDescent="0.2">
      <c r="A2926">
        <v>2920</v>
      </c>
      <c r="B2926">
        <v>0.20703790681971146</v>
      </c>
    </row>
    <row r="2927" spans="1:2" x14ac:dyDescent="0.2">
      <c r="A2927">
        <v>2921</v>
      </c>
      <c r="B2927">
        <v>3.5522831927521592E-2</v>
      </c>
    </row>
    <row r="2928" spans="1:2" x14ac:dyDescent="0.2">
      <c r="A2928">
        <v>2922</v>
      </c>
      <c r="B2928">
        <v>6.7763648046234026E-3</v>
      </c>
    </row>
    <row r="2929" spans="1:2" x14ac:dyDescent="0.2">
      <c r="A2929">
        <v>2923</v>
      </c>
      <c r="B2929">
        <v>0.68360942421098125</v>
      </c>
    </row>
    <row r="2930" spans="1:2" x14ac:dyDescent="0.2">
      <c r="A2930">
        <v>2924</v>
      </c>
      <c r="B2930">
        <v>0.8959456366527947</v>
      </c>
    </row>
    <row r="2931" spans="1:2" x14ac:dyDescent="0.2">
      <c r="A2931">
        <v>2925</v>
      </c>
      <c r="B2931">
        <v>0.9982763310346574</v>
      </c>
    </row>
    <row r="2932" spans="1:2" x14ac:dyDescent="0.2">
      <c r="A2932">
        <v>2926</v>
      </c>
      <c r="B2932">
        <v>6.2919592055934892E-2</v>
      </c>
    </row>
    <row r="2933" spans="1:2" x14ac:dyDescent="0.2">
      <c r="A2933">
        <v>2927</v>
      </c>
      <c r="B2933">
        <v>0.40018026414677155</v>
      </c>
    </row>
    <row r="2934" spans="1:2" x14ac:dyDescent="0.2">
      <c r="A2934">
        <v>2928</v>
      </c>
      <c r="B2934">
        <v>0.80410739361148365</v>
      </c>
    </row>
    <row r="2935" spans="1:2" x14ac:dyDescent="0.2">
      <c r="A2935">
        <v>2929</v>
      </c>
      <c r="B2935">
        <v>0.81357074932160711</v>
      </c>
    </row>
    <row r="2936" spans="1:2" x14ac:dyDescent="0.2">
      <c r="A2936">
        <v>2930</v>
      </c>
      <c r="B2936">
        <v>0.1364323829255174</v>
      </c>
    </row>
    <row r="2937" spans="1:2" x14ac:dyDescent="0.2">
      <c r="A2937">
        <v>2931</v>
      </c>
      <c r="B2937">
        <v>7.7880423971978252E-2</v>
      </c>
    </row>
    <row r="2938" spans="1:2" x14ac:dyDescent="0.2">
      <c r="A2938">
        <v>2932</v>
      </c>
      <c r="B2938">
        <v>0.7938372031798544</v>
      </c>
    </row>
    <row r="2939" spans="1:2" x14ac:dyDescent="0.2">
      <c r="A2939">
        <v>2933</v>
      </c>
      <c r="B2939">
        <v>0.4823554806296515</v>
      </c>
    </row>
    <row r="2940" spans="1:2" x14ac:dyDescent="0.2">
      <c r="A2940">
        <v>2934</v>
      </c>
      <c r="B2940">
        <v>0.7312953834236563</v>
      </c>
    </row>
    <row r="2941" spans="1:2" x14ac:dyDescent="0.2">
      <c r="A2941">
        <v>2935</v>
      </c>
      <c r="B2941">
        <v>0.84736955536525793</v>
      </c>
    </row>
    <row r="2942" spans="1:2" x14ac:dyDescent="0.2">
      <c r="A2942">
        <v>2936</v>
      </c>
      <c r="B2942">
        <v>0.40476936809072195</v>
      </c>
    </row>
    <row r="2943" spans="1:2" x14ac:dyDescent="0.2">
      <c r="A2943">
        <v>2937</v>
      </c>
      <c r="B2943">
        <v>0.96719827985930718</v>
      </c>
    </row>
    <row r="2944" spans="1:2" x14ac:dyDescent="0.2">
      <c r="A2944">
        <v>2938</v>
      </c>
      <c r="B2944">
        <v>0.11594577880212542</v>
      </c>
    </row>
    <row r="2945" spans="1:2" x14ac:dyDescent="0.2">
      <c r="A2945">
        <v>2939</v>
      </c>
      <c r="B2945">
        <v>0.3559011319204971</v>
      </c>
    </row>
    <row r="2946" spans="1:2" x14ac:dyDescent="0.2">
      <c r="A2946">
        <v>2940</v>
      </c>
      <c r="B2946">
        <v>0.78604290790017584</v>
      </c>
    </row>
    <row r="2947" spans="1:2" x14ac:dyDescent="0.2">
      <c r="A2947">
        <v>2941</v>
      </c>
      <c r="B2947">
        <v>0.73849461390938342</v>
      </c>
    </row>
    <row r="2948" spans="1:2" x14ac:dyDescent="0.2">
      <c r="A2948">
        <v>2942</v>
      </c>
      <c r="B2948">
        <v>0.29437647217565599</v>
      </c>
    </row>
    <row r="2949" spans="1:2" x14ac:dyDescent="0.2">
      <c r="A2949">
        <v>2943</v>
      </c>
      <c r="B2949">
        <v>0.75551331860642956</v>
      </c>
    </row>
    <row r="2950" spans="1:2" x14ac:dyDescent="0.2">
      <c r="A2950">
        <v>2944</v>
      </c>
      <c r="B2950">
        <v>0.15277918245034383</v>
      </c>
    </row>
    <row r="2951" spans="1:2" x14ac:dyDescent="0.2">
      <c r="A2951">
        <v>2945</v>
      </c>
      <c r="B2951">
        <v>0.43336670913312936</v>
      </c>
    </row>
    <row r="2952" spans="1:2" x14ac:dyDescent="0.2">
      <c r="A2952">
        <v>2946</v>
      </c>
      <c r="B2952">
        <v>0.10002178431050313</v>
      </c>
    </row>
    <row r="2953" spans="1:2" x14ac:dyDescent="0.2">
      <c r="A2953">
        <v>2947</v>
      </c>
      <c r="B2953">
        <v>0.64122456968365393</v>
      </c>
    </row>
    <row r="2954" spans="1:2" x14ac:dyDescent="0.2">
      <c r="A2954">
        <v>2948</v>
      </c>
      <c r="B2954">
        <v>0.21074899523937174</v>
      </c>
    </row>
    <row r="2955" spans="1:2" x14ac:dyDescent="0.2">
      <c r="A2955">
        <v>2949</v>
      </c>
      <c r="B2955">
        <v>0.98402888999890992</v>
      </c>
    </row>
    <row r="2956" spans="1:2" x14ac:dyDescent="0.2">
      <c r="A2956">
        <v>2950</v>
      </c>
      <c r="B2956">
        <v>8.2196689780229093E-2</v>
      </c>
    </row>
    <row r="2957" spans="1:2" x14ac:dyDescent="0.2">
      <c r="A2957">
        <v>2951</v>
      </c>
      <c r="B2957">
        <v>0.76031511518796047</v>
      </c>
    </row>
    <row r="2958" spans="1:2" x14ac:dyDescent="0.2">
      <c r="A2958">
        <v>2952</v>
      </c>
      <c r="B2958">
        <v>0.8925830759340595</v>
      </c>
    </row>
    <row r="2959" spans="1:2" x14ac:dyDescent="0.2">
      <c r="A2959">
        <v>2953</v>
      </c>
      <c r="B2959">
        <v>3.3513514034423375E-3</v>
      </c>
    </row>
    <row r="2960" spans="1:2" x14ac:dyDescent="0.2">
      <c r="A2960">
        <v>2954</v>
      </c>
      <c r="B2960">
        <v>0.30746699349576689</v>
      </c>
    </row>
    <row r="2961" spans="1:2" x14ac:dyDescent="0.2">
      <c r="A2961">
        <v>2955</v>
      </c>
      <c r="B2961">
        <v>0.3781868667910786</v>
      </c>
    </row>
    <row r="2962" spans="1:2" x14ac:dyDescent="0.2">
      <c r="A2962">
        <v>2956</v>
      </c>
      <c r="B2962">
        <v>0.27691417699899912</v>
      </c>
    </row>
    <row r="2963" spans="1:2" x14ac:dyDescent="0.2">
      <c r="A2963">
        <v>2957</v>
      </c>
      <c r="B2963">
        <v>0.4494114321911028</v>
      </c>
    </row>
    <row r="2964" spans="1:2" x14ac:dyDescent="0.2">
      <c r="A2964">
        <v>2958</v>
      </c>
      <c r="B2964">
        <v>0.65670704104802036</v>
      </c>
    </row>
    <row r="2965" spans="1:2" x14ac:dyDescent="0.2">
      <c r="A2965">
        <v>2959</v>
      </c>
      <c r="B2965">
        <v>8.5345279577508926E-4</v>
      </c>
    </row>
    <row r="2966" spans="1:2" x14ac:dyDescent="0.2">
      <c r="A2966">
        <v>2960</v>
      </c>
      <c r="B2966">
        <v>0.1280480335833043</v>
      </c>
    </row>
    <row r="2967" spans="1:2" x14ac:dyDescent="0.2">
      <c r="A2967">
        <v>2961</v>
      </c>
      <c r="B2967">
        <v>0.73667570492158163</v>
      </c>
    </row>
    <row r="2968" spans="1:2" x14ac:dyDescent="0.2">
      <c r="A2968">
        <v>2962</v>
      </c>
      <c r="B2968">
        <v>0.20918000673474768</v>
      </c>
    </row>
    <row r="2969" spans="1:2" x14ac:dyDescent="0.2">
      <c r="A2969">
        <v>2963</v>
      </c>
      <c r="B2969">
        <v>0.14514196345206176</v>
      </c>
    </row>
    <row r="2970" spans="1:2" x14ac:dyDescent="0.2">
      <c r="A2970">
        <v>2964</v>
      </c>
      <c r="B2970">
        <v>0.21133159772753018</v>
      </c>
    </row>
    <row r="2971" spans="1:2" x14ac:dyDescent="0.2">
      <c r="A2971">
        <v>2965</v>
      </c>
      <c r="B2971">
        <v>0.26861427869165577</v>
      </c>
    </row>
    <row r="2972" spans="1:2" x14ac:dyDescent="0.2">
      <c r="A2972">
        <v>2966</v>
      </c>
      <c r="B2972">
        <v>0.44703727541216776</v>
      </c>
    </row>
    <row r="2973" spans="1:2" x14ac:dyDescent="0.2">
      <c r="A2973">
        <v>2967</v>
      </c>
      <c r="B2973">
        <v>0.17544913057007627</v>
      </c>
    </row>
    <row r="2974" spans="1:2" x14ac:dyDescent="0.2">
      <c r="A2974">
        <v>2968</v>
      </c>
      <c r="B2974">
        <v>0.93438866981060265</v>
      </c>
    </row>
    <row r="2975" spans="1:2" x14ac:dyDescent="0.2">
      <c r="A2975">
        <v>2969</v>
      </c>
      <c r="B2975">
        <v>0.31342939376283352</v>
      </c>
    </row>
    <row r="2976" spans="1:2" x14ac:dyDescent="0.2">
      <c r="A2976">
        <v>2970</v>
      </c>
      <c r="B2976">
        <v>0.33586982113991704</v>
      </c>
    </row>
    <row r="2977" spans="1:2" x14ac:dyDescent="0.2">
      <c r="A2977">
        <v>2971</v>
      </c>
      <c r="B2977">
        <v>0.72975523370509832</v>
      </c>
    </row>
    <row r="2978" spans="1:2" x14ac:dyDescent="0.2">
      <c r="A2978">
        <v>2972</v>
      </c>
      <c r="B2978">
        <v>2.0642237602696012E-3</v>
      </c>
    </row>
    <row r="2979" spans="1:2" x14ac:dyDescent="0.2">
      <c r="A2979">
        <v>2973</v>
      </c>
      <c r="B2979">
        <v>0.49156160671586824</v>
      </c>
    </row>
    <row r="2980" spans="1:2" x14ac:dyDescent="0.2">
      <c r="A2980">
        <v>2974</v>
      </c>
      <c r="B2980">
        <v>0.4028210844476896</v>
      </c>
    </row>
    <row r="2981" spans="1:2" x14ac:dyDescent="0.2">
      <c r="A2981">
        <v>2975</v>
      </c>
      <c r="B2981">
        <v>0.72416852866064219</v>
      </c>
    </row>
    <row r="2982" spans="1:2" x14ac:dyDescent="0.2">
      <c r="A2982">
        <v>2976</v>
      </c>
      <c r="B2982">
        <v>0.56484198216706782</v>
      </c>
    </row>
    <row r="2983" spans="1:2" x14ac:dyDescent="0.2">
      <c r="A2983">
        <v>2977</v>
      </c>
      <c r="B2983">
        <v>0.36397020438058791</v>
      </c>
    </row>
    <row r="2984" spans="1:2" x14ac:dyDescent="0.2">
      <c r="A2984">
        <v>2978</v>
      </c>
      <c r="B2984">
        <v>0.85259600819371273</v>
      </c>
    </row>
    <row r="2985" spans="1:2" x14ac:dyDescent="0.2">
      <c r="A2985">
        <v>2979</v>
      </c>
      <c r="B2985">
        <v>0.58805962980063653</v>
      </c>
    </row>
    <row r="2986" spans="1:2" x14ac:dyDescent="0.2">
      <c r="A2986">
        <v>2980</v>
      </c>
      <c r="B2986">
        <v>0.12438566464856426</v>
      </c>
    </row>
    <row r="2987" spans="1:2" x14ac:dyDescent="0.2">
      <c r="A2987">
        <v>2981</v>
      </c>
      <c r="B2987">
        <v>0.74840965159904294</v>
      </c>
    </row>
    <row r="2988" spans="1:2" x14ac:dyDescent="0.2">
      <c r="A2988">
        <v>2982</v>
      </c>
      <c r="B2988">
        <v>0.57887483125054862</v>
      </c>
    </row>
    <row r="2989" spans="1:2" x14ac:dyDescent="0.2">
      <c r="A2989">
        <v>2983</v>
      </c>
      <c r="B2989">
        <v>0.98253448319969749</v>
      </c>
    </row>
    <row r="2990" spans="1:2" x14ac:dyDescent="0.2">
      <c r="A2990">
        <v>2984</v>
      </c>
      <c r="B2990">
        <v>0.13052798819563172</v>
      </c>
    </row>
    <row r="2991" spans="1:2" x14ac:dyDescent="0.2">
      <c r="A2991">
        <v>2985</v>
      </c>
      <c r="B2991">
        <v>0.50502368085218408</v>
      </c>
    </row>
    <row r="2992" spans="1:2" x14ac:dyDescent="0.2">
      <c r="A2992">
        <v>2986</v>
      </c>
      <c r="B2992">
        <v>0.66157004171553191</v>
      </c>
    </row>
    <row r="2993" spans="1:2" x14ac:dyDescent="0.2">
      <c r="A2993">
        <v>2987</v>
      </c>
      <c r="B2993">
        <v>9.8977869942434848E-2</v>
      </c>
    </row>
    <row r="2994" spans="1:2" x14ac:dyDescent="0.2">
      <c r="A2994">
        <v>2988</v>
      </c>
      <c r="B2994">
        <v>0.98208451476215508</v>
      </c>
    </row>
    <row r="2995" spans="1:2" x14ac:dyDescent="0.2">
      <c r="A2995">
        <v>2989</v>
      </c>
      <c r="B2995">
        <v>0.6634922821068705</v>
      </c>
    </row>
    <row r="2996" spans="1:2" x14ac:dyDescent="0.2">
      <c r="A2996">
        <v>2990</v>
      </c>
      <c r="B2996">
        <v>0.75399012822713085</v>
      </c>
    </row>
    <row r="2997" spans="1:2" x14ac:dyDescent="0.2">
      <c r="A2997">
        <v>2991</v>
      </c>
      <c r="B2997">
        <v>0.23871648787981581</v>
      </c>
    </row>
    <row r="2998" spans="1:2" x14ac:dyDescent="0.2">
      <c r="A2998">
        <v>2992</v>
      </c>
      <c r="B2998">
        <v>0.34450001181102441</v>
      </c>
    </row>
    <row r="2999" spans="1:2" x14ac:dyDescent="0.2">
      <c r="A2999">
        <v>2993</v>
      </c>
      <c r="B2999">
        <v>0.41582474087952825</v>
      </c>
    </row>
    <row r="3000" spans="1:2" x14ac:dyDescent="0.2">
      <c r="A3000">
        <v>2994</v>
      </c>
      <c r="B3000">
        <v>0.23748471932456328</v>
      </c>
    </row>
    <row r="3001" spans="1:2" x14ac:dyDescent="0.2">
      <c r="A3001">
        <v>2995</v>
      </c>
      <c r="B3001">
        <v>0.21665102497872912</v>
      </c>
    </row>
    <row r="3002" spans="1:2" x14ac:dyDescent="0.2">
      <c r="A3002">
        <v>2996</v>
      </c>
      <c r="B3002">
        <v>0.91048669880221456</v>
      </c>
    </row>
    <row r="3003" spans="1:2" x14ac:dyDescent="0.2">
      <c r="A3003">
        <v>2997</v>
      </c>
      <c r="B3003">
        <v>1.3646186918119141E-2</v>
      </c>
    </row>
    <row r="3004" spans="1:2" x14ac:dyDescent="0.2">
      <c r="A3004">
        <v>2998</v>
      </c>
      <c r="B3004">
        <v>0.78237669319339187</v>
      </c>
    </row>
    <row r="3005" spans="1:2" x14ac:dyDescent="0.2">
      <c r="A3005">
        <v>2999</v>
      </c>
      <c r="B3005">
        <v>0.20955631968814437</v>
      </c>
    </row>
    <row r="3006" spans="1:2" x14ac:dyDescent="0.2">
      <c r="A3006">
        <v>3000</v>
      </c>
      <c r="B3006">
        <v>0.37986765301853931</v>
      </c>
    </row>
    <row r="3007" spans="1:2" x14ac:dyDescent="0.2">
      <c r="A3007">
        <v>3001</v>
      </c>
      <c r="B3007">
        <v>0.62471600535027361</v>
      </c>
    </row>
    <row r="3008" spans="1:2" x14ac:dyDescent="0.2">
      <c r="A3008">
        <v>3002</v>
      </c>
      <c r="B3008">
        <v>0.77214715661916911</v>
      </c>
    </row>
    <row r="3009" spans="1:2" x14ac:dyDescent="0.2">
      <c r="A3009">
        <v>3003</v>
      </c>
      <c r="B3009">
        <v>0.14020285219975215</v>
      </c>
    </row>
    <row r="3010" spans="1:2" x14ac:dyDescent="0.2">
      <c r="A3010">
        <v>3004</v>
      </c>
      <c r="B3010">
        <v>0.52571572754414941</v>
      </c>
    </row>
    <row r="3011" spans="1:2" x14ac:dyDescent="0.2">
      <c r="A3011">
        <v>3005</v>
      </c>
      <c r="B3011">
        <v>0.77946494337251815</v>
      </c>
    </row>
    <row r="3012" spans="1:2" x14ac:dyDescent="0.2">
      <c r="A3012">
        <v>3006</v>
      </c>
      <c r="B3012">
        <v>0.63482552191367292</v>
      </c>
    </row>
    <row r="3013" spans="1:2" x14ac:dyDescent="0.2">
      <c r="A3013">
        <v>3007</v>
      </c>
      <c r="B3013">
        <v>0.90026604540630606</v>
      </c>
    </row>
    <row r="3014" spans="1:2" x14ac:dyDescent="0.2">
      <c r="A3014">
        <v>3008</v>
      </c>
      <c r="B3014">
        <v>0.94591902144444784</v>
      </c>
    </row>
    <row r="3015" spans="1:2" x14ac:dyDescent="0.2">
      <c r="A3015">
        <v>3009</v>
      </c>
      <c r="B3015">
        <v>0.69610131695566368</v>
      </c>
    </row>
    <row r="3016" spans="1:2" x14ac:dyDescent="0.2">
      <c r="A3016">
        <v>3010</v>
      </c>
      <c r="B3016">
        <v>8.055047035460694E-2</v>
      </c>
    </row>
    <row r="3017" spans="1:2" x14ac:dyDescent="0.2">
      <c r="A3017">
        <v>3011</v>
      </c>
      <c r="B3017">
        <v>0.13068303137894444</v>
      </c>
    </row>
    <row r="3018" spans="1:2" x14ac:dyDescent="0.2">
      <c r="A3018">
        <v>3012</v>
      </c>
      <c r="B3018">
        <v>0.81813223978671779</v>
      </c>
    </row>
    <row r="3019" spans="1:2" x14ac:dyDescent="0.2">
      <c r="A3019">
        <v>3013</v>
      </c>
      <c r="B3019">
        <v>0.17345002217178263</v>
      </c>
    </row>
    <row r="3020" spans="1:2" x14ac:dyDescent="0.2">
      <c r="A3020">
        <v>3014</v>
      </c>
      <c r="B3020">
        <v>0.43706622365104131</v>
      </c>
    </row>
    <row r="3021" spans="1:2" x14ac:dyDescent="0.2">
      <c r="A3021">
        <v>3015</v>
      </c>
      <c r="B3021">
        <v>0.21603648623767246</v>
      </c>
    </row>
    <row r="3022" spans="1:2" x14ac:dyDescent="0.2">
      <c r="A3022">
        <v>3016</v>
      </c>
      <c r="B3022">
        <v>0.31197639336734884</v>
      </c>
    </row>
    <row r="3023" spans="1:2" x14ac:dyDescent="0.2">
      <c r="A3023">
        <v>3017</v>
      </c>
      <c r="B3023">
        <v>0.68296676830437375</v>
      </c>
    </row>
    <row r="3024" spans="1:2" x14ac:dyDescent="0.2">
      <c r="A3024">
        <v>3018</v>
      </c>
      <c r="B3024">
        <v>0.24348545241473252</v>
      </c>
    </row>
    <row r="3025" spans="1:2" x14ac:dyDescent="0.2">
      <c r="A3025">
        <v>3019</v>
      </c>
      <c r="B3025">
        <v>0.76189746697770722</v>
      </c>
    </row>
    <row r="3026" spans="1:2" x14ac:dyDescent="0.2">
      <c r="A3026">
        <v>3020</v>
      </c>
      <c r="B3026">
        <v>0.41805884315339814</v>
      </c>
    </row>
    <row r="3027" spans="1:2" x14ac:dyDescent="0.2">
      <c r="A3027">
        <v>3021</v>
      </c>
      <c r="B3027">
        <v>0.92538031191853998</v>
      </c>
    </row>
    <row r="3028" spans="1:2" x14ac:dyDescent="0.2">
      <c r="A3028">
        <v>3022</v>
      </c>
      <c r="B3028">
        <v>0.3571858755134153</v>
      </c>
    </row>
    <row r="3029" spans="1:2" x14ac:dyDescent="0.2">
      <c r="A3029">
        <v>3023</v>
      </c>
      <c r="B3029">
        <v>0.84251563041684374</v>
      </c>
    </row>
    <row r="3030" spans="1:2" x14ac:dyDescent="0.2">
      <c r="A3030">
        <v>3024</v>
      </c>
      <c r="B3030">
        <v>0.94196190247226441</v>
      </c>
    </row>
    <row r="3031" spans="1:2" x14ac:dyDescent="0.2">
      <c r="A3031">
        <v>3025</v>
      </c>
      <c r="B3031">
        <v>0.93122602240175822</v>
      </c>
    </row>
    <row r="3032" spans="1:2" x14ac:dyDescent="0.2">
      <c r="A3032">
        <v>3026</v>
      </c>
      <c r="B3032">
        <v>0.76627069440929019</v>
      </c>
    </row>
    <row r="3033" spans="1:2" x14ac:dyDescent="0.2">
      <c r="A3033">
        <v>3027</v>
      </c>
      <c r="B3033">
        <v>0.17878899121542058</v>
      </c>
    </row>
    <row r="3034" spans="1:2" x14ac:dyDescent="0.2">
      <c r="A3034">
        <v>3028</v>
      </c>
      <c r="B3034">
        <v>0.32210489085690841</v>
      </c>
    </row>
    <row r="3035" spans="1:2" x14ac:dyDescent="0.2">
      <c r="A3035">
        <v>3029</v>
      </c>
      <c r="B3035">
        <v>0.55874011367706089</v>
      </c>
    </row>
    <row r="3036" spans="1:2" x14ac:dyDescent="0.2">
      <c r="A3036">
        <v>3030</v>
      </c>
      <c r="B3036">
        <v>0.9520839858602016</v>
      </c>
    </row>
    <row r="3037" spans="1:2" x14ac:dyDescent="0.2">
      <c r="A3037">
        <v>3031</v>
      </c>
      <c r="B3037">
        <v>0.93559478032948684</v>
      </c>
    </row>
    <row r="3038" spans="1:2" x14ac:dyDescent="0.2">
      <c r="A3038">
        <v>3032</v>
      </c>
      <c r="B3038">
        <v>0.11079100042712187</v>
      </c>
    </row>
    <row r="3039" spans="1:2" x14ac:dyDescent="0.2">
      <c r="A3039">
        <v>3033</v>
      </c>
      <c r="B3039">
        <v>0.33366084808583052</v>
      </c>
    </row>
    <row r="3040" spans="1:2" x14ac:dyDescent="0.2">
      <c r="A3040">
        <v>3034</v>
      </c>
      <c r="B3040">
        <v>0.67955429527086697</v>
      </c>
    </row>
    <row r="3041" spans="1:2" x14ac:dyDescent="0.2">
      <c r="A3041">
        <v>3035</v>
      </c>
      <c r="B3041">
        <v>0.33823058284063634</v>
      </c>
    </row>
    <row r="3042" spans="1:2" x14ac:dyDescent="0.2">
      <c r="A3042">
        <v>3036</v>
      </c>
      <c r="B3042">
        <v>0.12345961753090995</v>
      </c>
    </row>
    <row r="3043" spans="1:2" x14ac:dyDescent="0.2">
      <c r="A3043">
        <v>3037</v>
      </c>
      <c r="B3043">
        <v>0.49468292594285412</v>
      </c>
    </row>
    <row r="3044" spans="1:2" x14ac:dyDescent="0.2">
      <c r="A3044">
        <v>3038</v>
      </c>
      <c r="B3044">
        <v>0.47463385634163524</v>
      </c>
    </row>
    <row r="3045" spans="1:2" x14ac:dyDescent="0.2">
      <c r="A3045">
        <v>3039</v>
      </c>
      <c r="B3045">
        <v>0.32447240303772029</v>
      </c>
    </row>
    <row r="3046" spans="1:2" x14ac:dyDescent="0.2">
      <c r="A3046">
        <v>3040</v>
      </c>
      <c r="B3046">
        <v>0.90984156016086948</v>
      </c>
    </row>
    <row r="3047" spans="1:2" x14ac:dyDescent="0.2">
      <c r="A3047">
        <v>3041</v>
      </c>
      <c r="B3047">
        <v>0.29593469396488048</v>
      </c>
    </row>
    <row r="3048" spans="1:2" x14ac:dyDescent="0.2">
      <c r="A3048">
        <v>3042</v>
      </c>
      <c r="B3048">
        <v>0.22255008430726575</v>
      </c>
    </row>
    <row r="3049" spans="1:2" x14ac:dyDescent="0.2">
      <c r="A3049">
        <v>3043</v>
      </c>
      <c r="B3049">
        <v>0.70851539198243618</v>
      </c>
    </row>
    <row r="3050" spans="1:2" x14ac:dyDescent="0.2">
      <c r="A3050">
        <v>3044</v>
      </c>
      <c r="B3050">
        <v>5.0485253222350979E-3</v>
      </c>
    </row>
    <row r="3051" spans="1:2" x14ac:dyDescent="0.2">
      <c r="A3051">
        <v>3045</v>
      </c>
      <c r="B3051">
        <v>0.17606173914481593</v>
      </c>
    </row>
    <row r="3052" spans="1:2" x14ac:dyDescent="0.2">
      <c r="A3052">
        <v>3046</v>
      </c>
      <c r="B3052">
        <v>0.12869488931291995</v>
      </c>
    </row>
    <row r="3053" spans="1:2" x14ac:dyDescent="0.2">
      <c r="A3053">
        <v>3047</v>
      </c>
      <c r="B3053">
        <v>0.46484860289713081</v>
      </c>
    </row>
    <row r="3054" spans="1:2" x14ac:dyDescent="0.2">
      <c r="A3054">
        <v>3048</v>
      </c>
      <c r="B3054">
        <v>0.23814017015606459</v>
      </c>
    </row>
    <row r="3055" spans="1:2" x14ac:dyDescent="0.2">
      <c r="A3055">
        <v>3049</v>
      </c>
      <c r="B3055">
        <v>0.28670689052211351</v>
      </c>
    </row>
    <row r="3056" spans="1:2" x14ac:dyDescent="0.2">
      <c r="A3056">
        <v>3050</v>
      </c>
      <c r="B3056">
        <v>0.67891699124167804</v>
      </c>
    </row>
    <row r="3057" spans="1:2" x14ac:dyDescent="0.2">
      <c r="A3057">
        <v>3051</v>
      </c>
      <c r="B3057">
        <v>0.1974302704976898</v>
      </c>
    </row>
    <row r="3058" spans="1:2" x14ac:dyDescent="0.2">
      <c r="A3058">
        <v>3052</v>
      </c>
      <c r="B3058">
        <v>0.76993749751892748</v>
      </c>
    </row>
    <row r="3059" spans="1:2" x14ac:dyDescent="0.2">
      <c r="A3059">
        <v>3053</v>
      </c>
      <c r="B3059">
        <v>0.84188745869253012</v>
      </c>
    </row>
    <row r="3060" spans="1:2" x14ac:dyDescent="0.2">
      <c r="A3060">
        <v>3054</v>
      </c>
      <c r="B3060">
        <v>0.38751105773125893</v>
      </c>
    </row>
    <row r="3061" spans="1:2" x14ac:dyDescent="0.2">
      <c r="A3061">
        <v>3055</v>
      </c>
      <c r="B3061">
        <v>0.36637391870353964</v>
      </c>
    </row>
    <row r="3062" spans="1:2" x14ac:dyDescent="0.2">
      <c r="A3062">
        <v>3056</v>
      </c>
      <c r="B3062">
        <v>0.41445256541449182</v>
      </c>
    </row>
    <row r="3063" spans="1:2" x14ac:dyDescent="0.2">
      <c r="A3063">
        <v>3057</v>
      </c>
      <c r="B3063">
        <v>0.61762417742368436</v>
      </c>
    </row>
    <row r="3064" spans="1:2" x14ac:dyDescent="0.2">
      <c r="A3064">
        <v>3058</v>
      </c>
      <c r="B3064">
        <v>0.79070021233094856</v>
      </c>
    </row>
    <row r="3065" spans="1:2" x14ac:dyDescent="0.2">
      <c r="A3065">
        <v>3059</v>
      </c>
      <c r="B3065">
        <v>0.64882495983459454</v>
      </c>
    </row>
    <row r="3066" spans="1:2" x14ac:dyDescent="0.2">
      <c r="A3066">
        <v>3060</v>
      </c>
      <c r="B3066">
        <v>0.58803712855890555</v>
      </c>
    </row>
    <row r="3067" spans="1:2" x14ac:dyDescent="0.2">
      <c r="A3067">
        <v>3061</v>
      </c>
      <c r="B3067">
        <v>0.27836511292557276</v>
      </c>
    </row>
    <row r="3068" spans="1:2" x14ac:dyDescent="0.2">
      <c r="A3068">
        <v>3062</v>
      </c>
      <c r="B3068">
        <v>0.25862420081952164</v>
      </c>
    </row>
    <row r="3069" spans="1:2" x14ac:dyDescent="0.2">
      <c r="A3069">
        <v>3063</v>
      </c>
      <c r="B3069">
        <v>0.81176058545469054</v>
      </c>
    </row>
    <row r="3070" spans="1:2" x14ac:dyDescent="0.2">
      <c r="A3070">
        <v>3064</v>
      </c>
      <c r="B3070">
        <v>2.6132377896719849E-2</v>
      </c>
    </row>
    <row r="3071" spans="1:2" x14ac:dyDescent="0.2">
      <c r="A3071">
        <v>3065</v>
      </c>
      <c r="B3071">
        <v>0.82776121740390474</v>
      </c>
    </row>
    <row r="3072" spans="1:2" x14ac:dyDescent="0.2">
      <c r="A3072">
        <v>3066</v>
      </c>
      <c r="B3072">
        <v>0.88152519601067092</v>
      </c>
    </row>
    <row r="3073" spans="1:2" x14ac:dyDescent="0.2">
      <c r="A3073">
        <v>3067</v>
      </c>
      <c r="B3073">
        <v>0.70128367949523807</v>
      </c>
    </row>
    <row r="3074" spans="1:2" x14ac:dyDescent="0.2">
      <c r="A3074">
        <v>3068</v>
      </c>
      <c r="B3074">
        <v>0.31968996043083486</v>
      </c>
    </row>
    <row r="3075" spans="1:2" x14ac:dyDescent="0.2">
      <c r="A3075">
        <v>3069</v>
      </c>
      <c r="B3075">
        <v>0.47413098330682346</v>
      </c>
    </row>
    <row r="3076" spans="1:2" x14ac:dyDescent="0.2">
      <c r="A3076">
        <v>3070</v>
      </c>
      <c r="B3076">
        <v>0.67882903126914906</v>
      </c>
    </row>
    <row r="3077" spans="1:2" x14ac:dyDescent="0.2">
      <c r="A3077">
        <v>3071</v>
      </c>
      <c r="B3077">
        <v>0.45903581800045234</v>
      </c>
    </row>
    <row r="3078" spans="1:2" x14ac:dyDescent="0.2">
      <c r="A3078">
        <v>3072</v>
      </c>
      <c r="B3078">
        <v>2.079093279008315E-2</v>
      </c>
    </row>
    <row r="3079" spans="1:2" x14ac:dyDescent="0.2">
      <c r="A3079">
        <v>3073</v>
      </c>
      <c r="B3079">
        <v>0.68887962342176601</v>
      </c>
    </row>
    <row r="3080" spans="1:2" x14ac:dyDescent="0.2">
      <c r="A3080">
        <v>3074</v>
      </c>
      <c r="B3080">
        <v>0.55611849679758507</v>
      </c>
    </row>
    <row r="3081" spans="1:2" x14ac:dyDescent="0.2">
      <c r="A3081">
        <v>3075</v>
      </c>
      <c r="B3081">
        <v>0.79238946833117652</v>
      </c>
    </row>
    <row r="3082" spans="1:2" x14ac:dyDescent="0.2">
      <c r="A3082">
        <v>3076</v>
      </c>
      <c r="B3082">
        <v>0.64656305241648238</v>
      </c>
    </row>
    <row r="3083" spans="1:2" x14ac:dyDescent="0.2">
      <c r="A3083">
        <v>3077</v>
      </c>
      <c r="B3083">
        <v>0.35460443009333065</v>
      </c>
    </row>
    <row r="3084" spans="1:2" x14ac:dyDescent="0.2">
      <c r="A3084">
        <v>3078</v>
      </c>
      <c r="B3084">
        <v>0.53106937895216189</v>
      </c>
    </row>
    <row r="3085" spans="1:2" x14ac:dyDescent="0.2">
      <c r="A3085">
        <v>3079</v>
      </c>
      <c r="B3085">
        <v>8.8008769000527787E-2</v>
      </c>
    </row>
    <row r="3086" spans="1:2" x14ac:dyDescent="0.2">
      <c r="A3086">
        <v>3080</v>
      </c>
      <c r="B3086">
        <v>0.23232410810669946</v>
      </c>
    </row>
    <row r="3087" spans="1:2" x14ac:dyDescent="0.2">
      <c r="A3087">
        <v>3081</v>
      </c>
      <c r="B3087">
        <v>0.44764642808858501</v>
      </c>
    </row>
    <row r="3088" spans="1:2" x14ac:dyDescent="0.2">
      <c r="A3088">
        <v>3082</v>
      </c>
      <c r="B3088">
        <v>0.57190238555841999</v>
      </c>
    </row>
    <row r="3089" spans="1:2" x14ac:dyDescent="0.2">
      <c r="A3089">
        <v>3083</v>
      </c>
      <c r="B3089">
        <v>0.55267587720742084</v>
      </c>
    </row>
    <row r="3090" spans="1:2" x14ac:dyDescent="0.2">
      <c r="A3090">
        <v>3084</v>
      </c>
      <c r="B3090">
        <v>0.28923692322214634</v>
      </c>
    </row>
    <row r="3091" spans="1:2" x14ac:dyDescent="0.2">
      <c r="A3091">
        <v>3085</v>
      </c>
      <c r="B3091">
        <v>0.30586394415790996</v>
      </c>
    </row>
    <row r="3092" spans="1:2" x14ac:dyDescent="0.2">
      <c r="A3092">
        <v>3086</v>
      </c>
      <c r="B3092">
        <v>0.43700748688615176</v>
      </c>
    </row>
    <row r="3093" spans="1:2" x14ac:dyDescent="0.2">
      <c r="A3093">
        <v>3087</v>
      </c>
      <c r="B3093">
        <v>0.94586635749569015</v>
      </c>
    </row>
    <row r="3094" spans="1:2" x14ac:dyDescent="0.2">
      <c r="A3094">
        <v>3088</v>
      </c>
      <c r="B3094">
        <v>0.66628828078361801</v>
      </c>
    </row>
    <row r="3095" spans="1:2" x14ac:dyDescent="0.2">
      <c r="A3095">
        <v>3089</v>
      </c>
      <c r="B3095">
        <v>0.36564264218394582</v>
      </c>
    </row>
    <row r="3096" spans="1:2" x14ac:dyDescent="0.2">
      <c r="A3096">
        <v>3090</v>
      </c>
      <c r="B3096">
        <v>0.17218652975838222</v>
      </c>
    </row>
    <row r="3097" spans="1:2" x14ac:dyDescent="0.2">
      <c r="A3097">
        <v>3091</v>
      </c>
      <c r="B3097">
        <v>0.1942168464322791</v>
      </c>
    </row>
    <row r="3098" spans="1:2" x14ac:dyDescent="0.2">
      <c r="A3098">
        <v>3092</v>
      </c>
      <c r="B3098">
        <v>0.63823014197699957</v>
      </c>
    </row>
    <row r="3099" spans="1:2" x14ac:dyDescent="0.2">
      <c r="A3099">
        <v>3093</v>
      </c>
      <c r="B3099">
        <v>7.8777118053438233E-2</v>
      </c>
    </row>
    <row r="3100" spans="1:2" x14ac:dyDescent="0.2">
      <c r="A3100">
        <v>3094</v>
      </c>
      <c r="B3100">
        <v>0.49587787699063401</v>
      </c>
    </row>
    <row r="3101" spans="1:2" x14ac:dyDescent="0.2">
      <c r="A3101">
        <v>3095</v>
      </c>
      <c r="B3101">
        <v>0.41639701126310602</v>
      </c>
    </row>
    <row r="3102" spans="1:2" x14ac:dyDescent="0.2">
      <c r="A3102">
        <v>3096</v>
      </c>
      <c r="B3102">
        <v>0.10168495960707091</v>
      </c>
    </row>
    <row r="3103" spans="1:2" x14ac:dyDescent="0.2">
      <c r="A3103">
        <v>3097</v>
      </c>
      <c r="B3103">
        <v>8.0408818272207028E-2</v>
      </c>
    </row>
    <row r="3104" spans="1:2" x14ac:dyDescent="0.2">
      <c r="A3104">
        <v>3098</v>
      </c>
      <c r="B3104">
        <v>0.81974501165425551</v>
      </c>
    </row>
    <row r="3105" spans="1:2" x14ac:dyDescent="0.2">
      <c r="A3105">
        <v>3099</v>
      </c>
      <c r="B3105">
        <v>0.91773911930655927</v>
      </c>
    </row>
    <row r="3106" spans="1:2" x14ac:dyDescent="0.2">
      <c r="A3106">
        <v>3100</v>
      </c>
      <c r="B3106">
        <v>1.3406946860386348E-2</v>
      </c>
    </row>
    <row r="3107" spans="1:2" x14ac:dyDescent="0.2">
      <c r="A3107">
        <v>3101</v>
      </c>
      <c r="B3107">
        <v>0.54849258332773976</v>
      </c>
    </row>
    <row r="3108" spans="1:2" x14ac:dyDescent="0.2">
      <c r="A3108">
        <v>3102</v>
      </c>
      <c r="B3108">
        <v>0.89572291921060676</v>
      </c>
    </row>
    <row r="3109" spans="1:2" x14ac:dyDescent="0.2">
      <c r="A3109">
        <v>3103</v>
      </c>
      <c r="B3109">
        <v>0.21423469262640005</v>
      </c>
    </row>
    <row r="3110" spans="1:2" x14ac:dyDescent="0.2">
      <c r="A3110">
        <v>3104</v>
      </c>
      <c r="B3110">
        <v>0.35017906600093596</v>
      </c>
    </row>
    <row r="3111" spans="1:2" x14ac:dyDescent="0.2">
      <c r="A3111">
        <v>3105</v>
      </c>
      <c r="B3111">
        <v>0.24687918940566345</v>
      </c>
    </row>
    <row r="3112" spans="1:2" x14ac:dyDescent="0.2">
      <c r="A3112">
        <v>3106</v>
      </c>
      <c r="B3112">
        <v>0.21540331039582117</v>
      </c>
    </row>
    <row r="3113" spans="1:2" x14ac:dyDescent="0.2">
      <c r="A3113">
        <v>3107</v>
      </c>
      <c r="B3113">
        <v>0.77103451402081991</v>
      </c>
    </row>
    <row r="3114" spans="1:2" x14ac:dyDescent="0.2">
      <c r="A3114">
        <v>3108</v>
      </c>
      <c r="B3114">
        <v>0.23352247280606442</v>
      </c>
    </row>
    <row r="3115" spans="1:2" x14ac:dyDescent="0.2">
      <c r="A3115">
        <v>3109</v>
      </c>
      <c r="B3115">
        <v>0.24017898048128605</v>
      </c>
    </row>
    <row r="3116" spans="1:2" x14ac:dyDescent="0.2">
      <c r="A3116">
        <v>3110</v>
      </c>
      <c r="B3116">
        <v>0.19251185726056697</v>
      </c>
    </row>
    <row r="3117" spans="1:2" x14ac:dyDescent="0.2">
      <c r="A3117">
        <v>3111</v>
      </c>
      <c r="B3117">
        <v>0.32310327013827433</v>
      </c>
    </row>
    <row r="3118" spans="1:2" x14ac:dyDescent="0.2">
      <c r="A3118">
        <v>3112</v>
      </c>
      <c r="B3118">
        <v>0.90329675432542289</v>
      </c>
    </row>
    <row r="3119" spans="1:2" x14ac:dyDescent="0.2">
      <c r="A3119">
        <v>3113</v>
      </c>
      <c r="B3119">
        <v>0.8056625311468858</v>
      </c>
    </row>
    <row r="3120" spans="1:2" x14ac:dyDescent="0.2">
      <c r="A3120">
        <v>3114</v>
      </c>
      <c r="B3120">
        <v>0.12476192376109518</v>
      </c>
    </row>
    <row r="3121" spans="1:2" x14ac:dyDescent="0.2">
      <c r="A3121">
        <v>3115</v>
      </c>
      <c r="B3121">
        <v>0.69294841886584846</v>
      </c>
    </row>
    <row r="3122" spans="1:2" x14ac:dyDescent="0.2">
      <c r="A3122">
        <v>3116</v>
      </c>
      <c r="B3122">
        <v>0.3558395988111106</v>
      </c>
    </row>
    <row r="3123" spans="1:2" x14ac:dyDescent="0.2">
      <c r="A3123">
        <v>3117</v>
      </c>
      <c r="B3123">
        <v>0.53693625132624268</v>
      </c>
    </row>
    <row r="3124" spans="1:2" x14ac:dyDescent="0.2">
      <c r="A3124">
        <v>3118</v>
      </c>
      <c r="B3124">
        <v>0.60560281853686904</v>
      </c>
    </row>
    <row r="3125" spans="1:2" x14ac:dyDescent="0.2">
      <c r="A3125">
        <v>3119</v>
      </c>
      <c r="B3125">
        <v>0.75974849150333157</v>
      </c>
    </row>
    <row r="3126" spans="1:2" x14ac:dyDescent="0.2">
      <c r="A3126">
        <v>3120</v>
      </c>
      <c r="B3126">
        <v>0.39315690976047235</v>
      </c>
    </row>
    <row r="3127" spans="1:2" x14ac:dyDescent="0.2">
      <c r="A3127">
        <v>3121</v>
      </c>
      <c r="B3127">
        <v>0.89933287112037064</v>
      </c>
    </row>
    <row r="3128" spans="1:2" x14ac:dyDescent="0.2">
      <c r="A3128">
        <v>3122</v>
      </c>
      <c r="B3128">
        <v>0.88149041927340155</v>
      </c>
    </row>
    <row r="3129" spans="1:2" x14ac:dyDescent="0.2">
      <c r="A3129">
        <v>3123</v>
      </c>
      <c r="B3129">
        <v>0.66894879339487634</v>
      </c>
    </row>
    <row r="3130" spans="1:2" x14ac:dyDescent="0.2">
      <c r="A3130">
        <v>3124</v>
      </c>
      <c r="B3130">
        <v>8.5628450547052815E-3</v>
      </c>
    </row>
    <row r="3131" spans="1:2" x14ac:dyDescent="0.2">
      <c r="A3131">
        <v>3125</v>
      </c>
      <c r="B3131">
        <v>0.51848726537670708</v>
      </c>
    </row>
    <row r="3132" spans="1:2" x14ac:dyDescent="0.2">
      <c r="A3132">
        <v>3126</v>
      </c>
      <c r="B3132">
        <v>0.95374183399437529</v>
      </c>
    </row>
    <row r="3133" spans="1:2" x14ac:dyDescent="0.2">
      <c r="A3133">
        <v>3127</v>
      </c>
      <c r="B3133">
        <v>0.72710462953550381</v>
      </c>
    </row>
    <row r="3134" spans="1:2" x14ac:dyDescent="0.2">
      <c r="A3134">
        <v>3128</v>
      </c>
      <c r="B3134">
        <v>0.6086228081084043</v>
      </c>
    </row>
    <row r="3135" spans="1:2" x14ac:dyDescent="0.2">
      <c r="A3135">
        <v>3129</v>
      </c>
      <c r="B3135">
        <v>8.6809442985063989E-2</v>
      </c>
    </row>
    <row r="3136" spans="1:2" x14ac:dyDescent="0.2">
      <c r="A3136">
        <v>3130</v>
      </c>
      <c r="B3136">
        <v>1.4626492976048344E-2</v>
      </c>
    </row>
    <row r="3137" spans="1:2" x14ac:dyDescent="0.2">
      <c r="A3137">
        <v>3131</v>
      </c>
      <c r="B3137">
        <v>0.63170442748093336</v>
      </c>
    </row>
    <row r="3138" spans="1:2" x14ac:dyDescent="0.2">
      <c r="A3138">
        <v>3132</v>
      </c>
      <c r="B3138">
        <v>8.9326739569567715E-2</v>
      </c>
    </row>
    <row r="3139" spans="1:2" x14ac:dyDescent="0.2">
      <c r="A3139">
        <v>3133</v>
      </c>
      <c r="B3139">
        <v>0.76470321050663737</v>
      </c>
    </row>
    <row r="3140" spans="1:2" x14ac:dyDescent="0.2">
      <c r="A3140">
        <v>3134</v>
      </c>
      <c r="B3140">
        <v>0.91780881703169126</v>
      </c>
    </row>
    <row r="3141" spans="1:2" x14ac:dyDescent="0.2">
      <c r="A3141">
        <v>3135</v>
      </c>
      <c r="B3141">
        <v>0.73171761249044021</v>
      </c>
    </row>
    <row r="3142" spans="1:2" x14ac:dyDescent="0.2">
      <c r="A3142">
        <v>3136</v>
      </c>
      <c r="B3142">
        <v>0.12927119469392256</v>
      </c>
    </row>
    <row r="3143" spans="1:2" x14ac:dyDescent="0.2">
      <c r="A3143">
        <v>3137</v>
      </c>
      <c r="B3143">
        <v>0.50374919653670858</v>
      </c>
    </row>
    <row r="3144" spans="1:2" x14ac:dyDescent="0.2">
      <c r="A3144">
        <v>3138</v>
      </c>
      <c r="B3144">
        <v>0.10662861188679451</v>
      </c>
    </row>
    <row r="3145" spans="1:2" x14ac:dyDescent="0.2">
      <c r="A3145">
        <v>3139</v>
      </c>
      <c r="B3145">
        <v>0.65500783627205406</v>
      </c>
    </row>
    <row r="3146" spans="1:2" x14ac:dyDescent="0.2">
      <c r="A3146">
        <v>3140</v>
      </c>
      <c r="B3146">
        <v>0.12396779523373291</v>
      </c>
    </row>
    <row r="3147" spans="1:2" x14ac:dyDescent="0.2">
      <c r="A3147">
        <v>3141</v>
      </c>
      <c r="B3147">
        <v>0.43400539125573456</v>
      </c>
    </row>
    <row r="3148" spans="1:2" x14ac:dyDescent="0.2">
      <c r="A3148">
        <v>3142</v>
      </c>
      <c r="B3148">
        <v>0.18396161712308889</v>
      </c>
    </row>
    <row r="3149" spans="1:2" x14ac:dyDescent="0.2">
      <c r="A3149">
        <v>3143</v>
      </c>
      <c r="B3149">
        <v>0.35046880068331909</v>
      </c>
    </row>
    <row r="3150" spans="1:2" x14ac:dyDescent="0.2">
      <c r="A3150">
        <v>3144</v>
      </c>
      <c r="B3150">
        <v>0.9188748466272163</v>
      </c>
    </row>
    <row r="3151" spans="1:2" x14ac:dyDescent="0.2">
      <c r="A3151">
        <v>3145</v>
      </c>
      <c r="B3151">
        <v>0.55929046971310237</v>
      </c>
    </row>
    <row r="3152" spans="1:2" x14ac:dyDescent="0.2">
      <c r="A3152">
        <v>3146</v>
      </c>
      <c r="B3152">
        <v>0.63677662348043207</v>
      </c>
    </row>
    <row r="3153" spans="1:2" x14ac:dyDescent="0.2">
      <c r="A3153">
        <v>3147</v>
      </c>
      <c r="B3153">
        <v>0.21234851086385387</v>
      </c>
    </row>
    <row r="3154" spans="1:2" x14ac:dyDescent="0.2">
      <c r="A3154">
        <v>3148</v>
      </c>
      <c r="B3154">
        <v>0.86736447942406947</v>
      </c>
    </row>
    <row r="3155" spans="1:2" x14ac:dyDescent="0.2">
      <c r="A3155">
        <v>3149</v>
      </c>
      <c r="B3155">
        <v>0.89734083374592399</v>
      </c>
    </row>
    <row r="3156" spans="1:2" x14ac:dyDescent="0.2">
      <c r="A3156">
        <v>3150</v>
      </c>
      <c r="B3156">
        <v>0.14321066043215935</v>
      </c>
    </row>
    <row r="3157" spans="1:2" x14ac:dyDescent="0.2">
      <c r="A3157">
        <v>3151</v>
      </c>
      <c r="B3157">
        <v>0.19407948072105619</v>
      </c>
    </row>
    <row r="3158" spans="1:2" x14ac:dyDescent="0.2">
      <c r="A3158">
        <v>3152</v>
      </c>
      <c r="B3158">
        <v>0.72573062236037944</v>
      </c>
    </row>
    <row r="3159" spans="1:2" x14ac:dyDescent="0.2">
      <c r="A3159">
        <v>3153</v>
      </c>
      <c r="B3159">
        <v>0.71448731456309111</v>
      </c>
    </row>
    <row r="3160" spans="1:2" x14ac:dyDescent="0.2">
      <c r="A3160">
        <v>3154</v>
      </c>
      <c r="B3160">
        <v>0.44596021790558737</v>
      </c>
    </row>
    <row r="3161" spans="1:2" x14ac:dyDescent="0.2">
      <c r="A3161">
        <v>3155</v>
      </c>
      <c r="B3161">
        <v>0.92485089865962145</v>
      </c>
    </row>
    <row r="3162" spans="1:2" x14ac:dyDescent="0.2">
      <c r="A3162">
        <v>3156</v>
      </c>
      <c r="B3162">
        <v>0.35303272221759807</v>
      </c>
    </row>
    <row r="3163" spans="1:2" x14ac:dyDescent="0.2">
      <c r="A3163">
        <v>3157</v>
      </c>
      <c r="B3163">
        <v>7.9381239883334787E-2</v>
      </c>
    </row>
    <row r="3164" spans="1:2" x14ac:dyDescent="0.2">
      <c r="A3164">
        <v>3158</v>
      </c>
      <c r="B3164">
        <v>0.62431567624149731</v>
      </c>
    </row>
    <row r="3165" spans="1:2" x14ac:dyDescent="0.2">
      <c r="A3165">
        <v>3159</v>
      </c>
      <c r="B3165">
        <v>0.15894281263317789</v>
      </c>
    </row>
    <row r="3166" spans="1:2" x14ac:dyDescent="0.2">
      <c r="A3166">
        <v>3160</v>
      </c>
      <c r="B3166">
        <v>0.90783742929643685</v>
      </c>
    </row>
    <row r="3167" spans="1:2" x14ac:dyDescent="0.2">
      <c r="A3167">
        <v>3161</v>
      </c>
      <c r="B3167">
        <v>0.12913958008343451</v>
      </c>
    </row>
    <row r="3168" spans="1:2" x14ac:dyDescent="0.2">
      <c r="A3168">
        <v>3162</v>
      </c>
      <c r="B3168">
        <v>0.81713681115757686</v>
      </c>
    </row>
    <row r="3169" spans="1:2" x14ac:dyDescent="0.2">
      <c r="A3169">
        <v>3163</v>
      </c>
      <c r="B3169">
        <v>4.8923621879219947E-3</v>
      </c>
    </row>
    <row r="3170" spans="1:2" x14ac:dyDescent="0.2">
      <c r="A3170">
        <v>3164</v>
      </c>
      <c r="B3170">
        <v>0.75149975367405231</v>
      </c>
    </row>
    <row r="3171" spans="1:2" x14ac:dyDescent="0.2">
      <c r="A3171">
        <v>3165</v>
      </c>
      <c r="B3171">
        <v>0.3838853676169971</v>
      </c>
    </row>
    <row r="3172" spans="1:2" x14ac:dyDescent="0.2">
      <c r="A3172">
        <v>3166</v>
      </c>
      <c r="B3172">
        <v>0.84387023485478885</v>
      </c>
    </row>
    <row r="3173" spans="1:2" x14ac:dyDescent="0.2">
      <c r="A3173">
        <v>3167</v>
      </c>
      <c r="B3173">
        <v>0.65938248348786077</v>
      </c>
    </row>
    <row r="3174" spans="1:2" x14ac:dyDescent="0.2">
      <c r="A3174">
        <v>3168</v>
      </c>
      <c r="B3174">
        <v>0.80052978081951842</v>
      </c>
    </row>
    <row r="3175" spans="1:2" x14ac:dyDescent="0.2">
      <c r="A3175">
        <v>3169</v>
      </c>
      <c r="B3175">
        <v>0.1068937090510067</v>
      </c>
    </row>
    <row r="3176" spans="1:2" x14ac:dyDescent="0.2">
      <c r="A3176">
        <v>3170</v>
      </c>
      <c r="B3176">
        <v>0.97043336860422047</v>
      </c>
    </row>
    <row r="3177" spans="1:2" x14ac:dyDescent="0.2">
      <c r="A3177">
        <v>3171</v>
      </c>
      <c r="B3177">
        <v>0.6296618863093183</v>
      </c>
    </row>
    <row r="3178" spans="1:2" x14ac:dyDescent="0.2">
      <c r="A3178">
        <v>3172</v>
      </c>
      <c r="B3178">
        <v>9.9418229948507686E-2</v>
      </c>
    </row>
    <row r="3179" spans="1:2" x14ac:dyDescent="0.2">
      <c r="A3179">
        <v>3173</v>
      </c>
      <c r="B3179">
        <v>0.78411162798475409</v>
      </c>
    </row>
    <row r="3180" spans="1:2" x14ac:dyDescent="0.2">
      <c r="A3180">
        <v>3174</v>
      </c>
      <c r="B3180">
        <v>0.90376900833266416</v>
      </c>
    </row>
    <row r="3181" spans="1:2" x14ac:dyDescent="0.2">
      <c r="A3181">
        <v>3175</v>
      </c>
      <c r="B3181">
        <v>0.39428007224487593</v>
      </c>
    </row>
    <row r="3182" spans="1:2" x14ac:dyDescent="0.2">
      <c r="A3182">
        <v>3176</v>
      </c>
      <c r="B3182">
        <v>0.7748866418019833</v>
      </c>
    </row>
    <row r="3183" spans="1:2" x14ac:dyDescent="0.2">
      <c r="A3183">
        <v>3177</v>
      </c>
      <c r="B3183">
        <v>9.8490725238537746E-2</v>
      </c>
    </row>
    <row r="3184" spans="1:2" x14ac:dyDescent="0.2">
      <c r="A3184">
        <v>3178</v>
      </c>
      <c r="B3184">
        <v>0.76772124505062844</v>
      </c>
    </row>
    <row r="3185" spans="1:2" x14ac:dyDescent="0.2">
      <c r="A3185">
        <v>3179</v>
      </c>
      <c r="B3185">
        <v>0.25511013006572136</v>
      </c>
    </row>
    <row r="3186" spans="1:2" x14ac:dyDescent="0.2">
      <c r="A3186">
        <v>3180</v>
      </c>
      <c r="B3186">
        <v>9.8375533342009325E-2</v>
      </c>
    </row>
    <row r="3187" spans="1:2" x14ac:dyDescent="0.2">
      <c r="A3187">
        <v>3181</v>
      </c>
      <c r="B3187">
        <v>0.3259334690432607</v>
      </c>
    </row>
    <row r="3188" spans="1:2" x14ac:dyDescent="0.2">
      <c r="A3188">
        <v>3182</v>
      </c>
      <c r="B3188">
        <v>0.16333818251259546</v>
      </c>
    </row>
    <row r="3189" spans="1:2" x14ac:dyDescent="0.2">
      <c r="A3189">
        <v>3183</v>
      </c>
      <c r="B3189">
        <v>0.68042949238557393</v>
      </c>
    </row>
    <row r="3190" spans="1:2" x14ac:dyDescent="0.2">
      <c r="A3190">
        <v>3184</v>
      </c>
      <c r="B3190">
        <v>0.69183149330361671</v>
      </c>
    </row>
    <row r="3191" spans="1:2" x14ac:dyDescent="0.2">
      <c r="A3191">
        <v>3185</v>
      </c>
      <c r="B3191">
        <v>0.96532783393843236</v>
      </c>
    </row>
    <row r="3192" spans="1:2" x14ac:dyDescent="0.2">
      <c r="A3192">
        <v>3186</v>
      </c>
      <c r="B3192">
        <v>0.95993087028688573</v>
      </c>
    </row>
    <row r="3193" spans="1:2" x14ac:dyDescent="0.2">
      <c r="A3193">
        <v>3187</v>
      </c>
      <c r="B3193">
        <v>0.17596125566012799</v>
      </c>
    </row>
    <row r="3194" spans="1:2" x14ac:dyDescent="0.2">
      <c r="A3194">
        <v>3188</v>
      </c>
      <c r="B3194">
        <v>0.73101936515993471</v>
      </c>
    </row>
    <row r="3195" spans="1:2" x14ac:dyDescent="0.2">
      <c r="A3195">
        <v>3189</v>
      </c>
      <c r="B3195">
        <v>0.12641293704268364</v>
      </c>
    </row>
    <row r="3196" spans="1:2" x14ac:dyDescent="0.2">
      <c r="A3196">
        <v>3190</v>
      </c>
      <c r="B3196">
        <v>0.59178989878598509</v>
      </c>
    </row>
    <row r="3197" spans="1:2" x14ac:dyDescent="0.2">
      <c r="A3197">
        <v>3191</v>
      </c>
      <c r="B3197">
        <v>0.20902766978335607</v>
      </c>
    </row>
    <row r="3198" spans="1:2" x14ac:dyDescent="0.2">
      <c r="A3198">
        <v>3192</v>
      </c>
      <c r="B3198">
        <v>0.44566755131492419</v>
      </c>
    </row>
    <row r="3199" spans="1:2" x14ac:dyDescent="0.2">
      <c r="A3199">
        <v>3193</v>
      </c>
      <c r="B3199">
        <v>8.3101627574411308E-2</v>
      </c>
    </row>
    <row r="3200" spans="1:2" x14ac:dyDescent="0.2">
      <c r="A3200">
        <v>3194</v>
      </c>
      <c r="B3200">
        <v>0.96595241461454295</v>
      </c>
    </row>
    <row r="3201" spans="1:2" x14ac:dyDescent="0.2">
      <c r="A3201">
        <v>3195</v>
      </c>
      <c r="B3201">
        <v>0.75163647327151961</v>
      </c>
    </row>
    <row r="3202" spans="1:2" x14ac:dyDescent="0.2">
      <c r="A3202">
        <v>3196</v>
      </c>
      <c r="B3202">
        <v>0.21787353941820653</v>
      </c>
    </row>
    <row r="3203" spans="1:2" x14ac:dyDescent="0.2">
      <c r="A3203">
        <v>3197</v>
      </c>
      <c r="B3203">
        <v>0.23100606404881352</v>
      </c>
    </row>
    <row r="3204" spans="1:2" x14ac:dyDescent="0.2">
      <c r="A3204">
        <v>3198</v>
      </c>
      <c r="B3204">
        <v>0.85403229040094664</v>
      </c>
    </row>
    <row r="3205" spans="1:2" x14ac:dyDescent="0.2">
      <c r="A3205">
        <v>3199</v>
      </c>
      <c r="B3205">
        <v>0.25192815185969208</v>
      </c>
    </row>
    <row r="3206" spans="1:2" x14ac:dyDescent="0.2">
      <c r="A3206">
        <v>3200</v>
      </c>
      <c r="B3206">
        <v>0.69344599881874092</v>
      </c>
    </row>
    <row r="3207" spans="1:2" x14ac:dyDescent="0.2">
      <c r="A3207">
        <v>3201</v>
      </c>
      <c r="B3207">
        <v>0.64999899916056414</v>
      </c>
    </row>
    <row r="3208" spans="1:2" x14ac:dyDescent="0.2">
      <c r="A3208">
        <v>3202</v>
      </c>
      <c r="B3208">
        <v>0.14696616825104925</v>
      </c>
    </row>
    <row r="3209" spans="1:2" x14ac:dyDescent="0.2">
      <c r="A3209">
        <v>3203</v>
      </c>
      <c r="B3209">
        <v>0.23164228397436948</v>
      </c>
    </row>
    <row r="3210" spans="1:2" x14ac:dyDescent="0.2">
      <c r="A3210">
        <v>3204</v>
      </c>
      <c r="B3210">
        <v>0.33457237803627538</v>
      </c>
    </row>
    <row r="3211" spans="1:2" x14ac:dyDescent="0.2">
      <c r="A3211">
        <v>3205</v>
      </c>
      <c r="B3211">
        <v>0.84184965303173742</v>
      </c>
    </row>
    <row r="3212" spans="1:2" x14ac:dyDescent="0.2">
      <c r="A3212">
        <v>3206</v>
      </c>
      <c r="B3212">
        <v>0.26763260367749475</v>
      </c>
    </row>
    <row r="3213" spans="1:2" x14ac:dyDescent="0.2">
      <c r="A3213">
        <v>3207</v>
      </c>
      <c r="B3213">
        <v>0.88000785506226376</v>
      </c>
    </row>
    <row r="3214" spans="1:2" x14ac:dyDescent="0.2">
      <c r="A3214">
        <v>3208</v>
      </c>
      <c r="B3214">
        <v>0.84952511682203302</v>
      </c>
    </row>
    <row r="3215" spans="1:2" x14ac:dyDescent="0.2">
      <c r="A3215">
        <v>3209</v>
      </c>
      <c r="B3215">
        <v>0.61389869988179291</v>
      </c>
    </row>
    <row r="3216" spans="1:2" x14ac:dyDescent="0.2">
      <c r="A3216">
        <v>3210</v>
      </c>
      <c r="B3216">
        <v>0.5073189806856806</v>
      </c>
    </row>
    <row r="3217" spans="1:2" x14ac:dyDescent="0.2">
      <c r="A3217">
        <v>3211</v>
      </c>
      <c r="B3217">
        <v>0.42769196043373503</v>
      </c>
    </row>
    <row r="3218" spans="1:2" x14ac:dyDescent="0.2">
      <c r="A3218">
        <v>3212</v>
      </c>
      <c r="B3218">
        <v>0.16369370120139404</v>
      </c>
    </row>
    <row r="3219" spans="1:2" x14ac:dyDescent="0.2">
      <c r="A3219">
        <v>3213</v>
      </c>
      <c r="B3219">
        <v>0.76405718347408991</v>
      </c>
    </row>
    <row r="3220" spans="1:2" x14ac:dyDescent="0.2">
      <c r="A3220">
        <v>3214</v>
      </c>
      <c r="B3220">
        <v>0.89668629214318396</v>
      </c>
    </row>
    <row r="3221" spans="1:2" x14ac:dyDescent="0.2">
      <c r="A3221">
        <v>3215</v>
      </c>
      <c r="B3221">
        <v>0.69874403614286562</v>
      </c>
    </row>
    <row r="3222" spans="1:2" x14ac:dyDescent="0.2">
      <c r="A3222">
        <v>3216</v>
      </c>
      <c r="B3222">
        <v>0.48028785720002098</v>
      </c>
    </row>
    <row r="3223" spans="1:2" x14ac:dyDescent="0.2">
      <c r="A3223">
        <v>3217</v>
      </c>
      <c r="B3223">
        <v>0.46134666207131836</v>
      </c>
    </row>
    <row r="3224" spans="1:2" x14ac:dyDescent="0.2">
      <c r="A3224">
        <v>3218</v>
      </c>
      <c r="B3224">
        <v>0.37305306477769662</v>
      </c>
    </row>
    <row r="3225" spans="1:2" x14ac:dyDescent="0.2">
      <c r="A3225">
        <v>3219</v>
      </c>
      <c r="B3225">
        <v>2.9617050255188127E-2</v>
      </c>
    </row>
    <row r="3226" spans="1:2" x14ac:dyDescent="0.2">
      <c r="A3226">
        <v>3220</v>
      </c>
      <c r="B3226">
        <v>0.55486169129926644</v>
      </c>
    </row>
    <row r="3227" spans="1:2" x14ac:dyDescent="0.2">
      <c r="A3227">
        <v>3221</v>
      </c>
      <c r="B3227">
        <v>0.32145317282561814</v>
      </c>
    </row>
    <row r="3228" spans="1:2" x14ac:dyDescent="0.2">
      <c r="A3228">
        <v>3222</v>
      </c>
      <c r="B3228">
        <v>0.16803100202242993</v>
      </c>
    </row>
    <row r="3229" spans="1:2" x14ac:dyDescent="0.2">
      <c r="A3229">
        <v>3223</v>
      </c>
      <c r="B3229">
        <v>0.72900911317599504</v>
      </c>
    </row>
    <row r="3230" spans="1:2" x14ac:dyDescent="0.2">
      <c r="A3230">
        <v>3224</v>
      </c>
      <c r="B3230">
        <v>0.52775348869721317</v>
      </c>
    </row>
    <row r="3231" spans="1:2" x14ac:dyDescent="0.2">
      <c r="A3231">
        <v>3225</v>
      </c>
      <c r="B3231">
        <v>0.9679093854642381</v>
      </c>
    </row>
    <row r="3232" spans="1:2" x14ac:dyDescent="0.2">
      <c r="A3232">
        <v>3226</v>
      </c>
      <c r="B3232">
        <v>0.67721766743771916</v>
      </c>
    </row>
    <row r="3233" spans="1:2" x14ac:dyDescent="0.2">
      <c r="A3233">
        <v>3227</v>
      </c>
      <c r="B3233">
        <v>0.4037543827146709</v>
      </c>
    </row>
    <row r="3234" spans="1:2" x14ac:dyDescent="0.2">
      <c r="A3234">
        <v>3228</v>
      </c>
      <c r="B3234">
        <v>0.87289421283372259</v>
      </c>
    </row>
    <row r="3235" spans="1:2" x14ac:dyDescent="0.2">
      <c r="A3235">
        <v>3229</v>
      </c>
      <c r="B3235">
        <v>0.68649433534412685</v>
      </c>
    </row>
    <row r="3236" spans="1:2" x14ac:dyDescent="0.2">
      <c r="A3236">
        <v>3230</v>
      </c>
      <c r="B3236">
        <v>0.63639221808839774</v>
      </c>
    </row>
    <row r="3237" spans="1:2" x14ac:dyDescent="0.2">
      <c r="A3237">
        <v>3231</v>
      </c>
      <c r="B3237">
        <v>0.83783970715794509</v>
      </c>
    </row>
    <row r="3238" spans="1:2" x14ac:dyDescent="0.2">
      <c r="A3238">
        <v>3232</v>
      </c>
      <c r="B3238">
        <v>0.33474993205724335</v>
      </c>
    </row>
    <row r="3239" spans="1:2" x14ac:dyDescent="0.2">
      <c r="A3239">
        <v>3233</v>
      </c>
      <c r="B3239">
        <v>0.91036157216040514</v>
      </c>
    </row>
    <row r="3240" spans="1:2" x14ac:dyDescent="0.2">
      <c r="A3240">
        <v>3234</v>
      </c>
      <c r="B3240">
        <v>0.41375429256249785</v>
      </c>
    </row>
    <row r="3241" spans="1:2" x14ac:dyDescent="0.2">
      <c r="A3241">
        <v>3235</v>
      </c>
      <c r="B3241">
        <v>0.55640215427985151</v>
      </c>
    </row>
    <row r="3242" spans="1:2" x14ac:dyDescent="0.2">
      <c r="A3242">
        <v>3236</v>
      </c>
      <c r="B3242">
        <v>0.10245535966738661</v>
      </c>
    </row>
    <row r="3243" spans="1:2" x14ac:dyDescent="0.2">
      <c r="A3243">
        <v>3237</v>
      </c>
      <c r="B3243">
        <v>0.22567147879222316</v>
      </c>
    </row>
    <row r="3244" spans="1:2" x14ac:dyDescent="0.2">
      <c r="A3244">
        <v>3238</v>
      </c>
      <c r="B3244">
        <v>0.20539459441997598</v>
      </c>
    </row>
    <row r="3245" spans="1:2" x14ac:dyDescent="0.2">
      <c r="A3245">
        <v>3239</v>
      </c>
      <c r="B3245">
        <v>0.33398381106923225</v>
      </c>
    </row>
    <row r="3246" spans="1:2" x14ac:dyDescent="0.2">
      <c r="A3246">
        <v>3240</v>
      </c>
      <c r="B3246">
        <v>0.19652271853496672</v>
      </c>
    </row>
    <row r="3247" spans="1:2" x14ac:dyDescent="0.2">
      <c r="A3247">
        <v>3241</v>
      </c>
      <c r="B3247">
        <v>0.75341411416420534</v>
      </c>
    </row>
    <row r="3248" spans="1:2" x14ac:dyDescent="0.2">
      <c r="A3248">
        <v>3242</v>
      </c>
      <c r="B3248">
        <v>0.3548071447396608</v>
      </c>
    </row>
    <row r="3249" spans="1:2" x14ac:dyDescent="0.2">
      <c r="A3249">
        <v>3243</v>
      </c>
      <c r="B3249">
        <v>0.12388907554390505</v>
      </c>
    </row>
    <row r="3250" spans="1:2" x14ac:dyDescent="0.2">
      <c r="A3250">
        <v>3244</v>
      </c>
      <c r="B3250">
        <v>0.68523560485394031</v>
      </c>
    </row>
    <row r="3251" spans="1:2" x14ac:dyDescent="0.2">
      <c r="A3251">
        <v>3245</v>
      </c>
      <c r="B3251">
        <v>0.22476729020454489</v>
      </c>
    </row>
    <row r="3252" spans="1:2" x14ac:dyDescent="0.2">
      <c r="A3252">
        <v>3246</v>
      </c>
      <c r="B3252">
        <v>0.88219455493971133</v>
      </c>
    </row>
    <row r="3253" spans="1:2" x14ac:dyDescent="0.2">
      <c r="A3253">
        <v>3247</v>
      </c>
      <c r="B3253">
        <v>7.8689417020909036E-2</v>
      </c>
    </row>
    <row r="3254" spans="1:2" x14ac:dyDescent="0.2">
      <c r="A3254">
        <v>3248</v>
      </c>
      <c r="B3254">
        <v>0.6063925671247864</v>
      </c>
    </row>
    <row r="3255" spans="1:2" x14ac:dyDescent="0.2">
      <c r="A3255">
        <v>3249</v>
      </c>
      <c r="B3255">
        <v>0.39791137325135573</v>
      </c>
    </row>
    <row r="3256" spans="1:2" x14ac:dyDescent="0.2">
      <c r="A3256">
        <v>3250</v>
      </c>
      <c r="B3256">
        <v>0.1218255769797596</v>
      </c>
    </row>
    <row r="3257" spans="1:2" x14ac:dyDescent="0.2">
      <c r="A3257">
        <v>3251</v>
      </c>
      <c r="B3257">
        <v>0.18893617142885344</v>
      </c>
    </row>
    <row r="3258" spans="1:2" x14ac:dyDescent="0.2">
      <c r="A3258">
        <v>3252</v>
      </c>
      <c r="B3258">
        <v>0.15681986202684706</v>
      </c>
    </row>
    <row r="3259" spans="1:2" x14ac:dyDescent="0.2">
      <c r="A3259">
        <v>3253</v>
      </c>
      <c r="B3259">
        <v>0.27341913404170026</v>
      </c>
    </row>
    <row r="3260" spans="1:2" x14ac:dyDescent="0.2">
      <c r="A3260">
        <v>3254</v>
      </c>
      <c r="B3260">
        <v>0.62062748164422588</v>
      </c>
    </row>
    <row r="3261" spans="1:2" x14ac:dyDescent="0.2">
      <c r="A3261">
        <v>3255</v>
      </c>
      <c r="B3261">
        <v>0.80983210047748944</v>
      </c>
    </row>
    <row r="3262" spans="1:2" x14ac:dyDescent="0.2">
      <c r="A3262">
        <v>3256</v>
      </c>
      <c r="B3262">
        <v>0.80578974973627071</v>
      </c>
    </row>
    <row r="3263" spans="1:2" x14ac:dyDescent="0.2">
      <c r="A3263">
        <v>3257</v>
      </c>
      <c r="B3263">
        <v>0.88918547010824056</v>
      </c>
    </row>
    <row r="3264" spans="1:2" x14ac:dyDescent="0.2">
      <c r="A3264">
        <v>3258</v>
      </c>
      <c r="B3264">
        <v>0.51575259913128968</v>
      </c>
    </row>
    <row r="3265" spans="1:2" x14ac:dyDescent="0.2">
      <c r="A3265">
        <v>3259</v>
      </c>
      <c r="B3265">
        <v>0.38944189819206421</v>
      </c>
    </row>
    <row r="3266" spans="1:2" x14ac:dyDescent="0.2">
      <c r="A3266">
        <v>3260</v>
      </c>
      <c r="B3266">
        <v>0.26137879536546504</v>
      </c>
    </row>
    <row r="3267" spans="1:2" x14ac:dyDescent="0.2">
      <c r="A3267">
        <v>3261</v>
      </c>
      <c r="B3267">
        <v>3.7892931556965492E-2</v>
      </c>
    </row>
    <row r="3268" spans="1:2" x14ac:dyDescent="0.2">
      <c r="A3268">
        <v>3262</v>
      </c>
      <c r="B3268">
        <v>0.97158956419628451</v>
      </c>
    </row>
    <row r="3269" spans="1:2" x14ac:dyDescent="0.2">
      <c r="A3269">
        <v>3263</v>
      </c>
      <c r="B3269">
        <v>0.43945439723394131</v>
      </c>
    </row>
    <row r="3270" spans="1:2" x14ac:dyDescent="0.2">
      <c r="A3270">
        <v>3264</v>
      </c>
      <c r="B3270">
        <v>0.84270670570119044</v>
      </c>
    </row>
    <row r="3271" spans="1:2" x14ac:dyDescent="0.2">
      <c r="A3271">
        <v>3265</v>
      </c>
      <c r="B3271">
        <v>0.77529235592429391</v>
      </c>
    </row>
    <row r="3272" spans="1:2" x14ac:dyDescent="0.2">
      <c r="A3272">
        <v>3266</v>
      </c>
      <c r="B3272">
        <v>0.11236064807086721</v>
      </c>
    </row>
    <row r="3273" spans="1:2" x14ac:dyDescent="0.2">
      <c r="A3273">
        <v>3267</v>
      </c>
      <c r="B3273">
        <v>0.68532335465976335</v>
      </c>
    </row>
    <row r="3274" spans="1:2" x14ac:dyDescent="0.2">
      <c r="A3274">
        <v>3268</v>
      </c>
      <c r="B3274">
        <v>2.6583973843448683E-2</v>
      </c>
    </row>
    <row r="3275" spans="1:2" x14ac:dyDescent="0.2">
      <c r="A3275">
        <v>3269</v>
      </c>
      <c r="B3275">
        <v>0.8912917671027637</v>
      </c>
    </row>
    <row r="3276" spans="1:2" x14ac:dyDescent="0.2">
      <c r="A3276">
        <v>3270</v>
      </c>
      <c r="B3276">
        <v>0.51489465470663343</v>
      </c>
    </row>
    <row r="3277" spans="1:2" x14ac:dyDescent="0.2">
      <c r="A3277">
        <v>3271</v>
      </c>
      <c r="B3277">
        <v>0.93011634113090047</v>
      </c>
    </row>
    <row r="3278" spans="1:2" x14ac:dyDescent="0.2">
      <c r="A3278">
        <v>3272</v>
      </c>
      <c r="B3278">
        <v>0.92550253342427136</v>
      </c>
    </row>
    <row r="3279" spans="1:2" x14ac:dyDescent="0.2">
      <c r="A3279">
        <v>3273</v>
      </c>
      <c r="B3279">
        <v>0.98785787176809525</v>
      </c>
    </row>
    <row r="3280" spans="1:2" x14ac:dyDescent="0.2">
      <c r="A3280">
        <v>3274</v>
      </c>
      <c r="B3280">
        <v>0.47729256126693875</v>
      </c>
    </row>
    <row r="3281" spans="1:2" x14ac:dyDescent="0.2">
      <c r="A3281">
        <v>3275</v>
      </c>
      <c r="B3281">
        <v>0.25235134312666874</v>
      </c>
    </row>
    <row r="3282" spans="1:2" x14ac:dyDescent="0.2">
      <c r="A3282">
        <v>3276</v>
      </c>
      <c r="B3282">
        <v>0.97418897506932378</v>
      </c>
    </row>
    <row r="3283" spans="1:2" x14ac:dyDescent="0.2">
      <c r="A3283">
        <v>3277</v>
      </c>
      <c r="B3283">
        <v>3.0663457721592291E-2</v>
      </c>
    </row>
    <row r="3284" spans="1:2" x14ac:dyDescent="0.2">
      <c r="A3284">
        <v>3278</v>
      </c>
      <c r="B3284">
        <v>0.4116932698940523</v>
      </c>
    </row>
    <row r="3285" spans="1:2" x14ac:dyDescent="0.2">
      <c r="A3285">
        <v>3279</v>
      </c>
      <c r="B3285">
        <v>0.89772751134795048</v>
      </c>
    </row>
    <row r="3286" spans="1:2" x14ac:dyDescent="0.2">
      <c r="A3286">
        <v>3280</v>
      </c>
      <c r="B3286">
        <v>0.90137427324149233</v>
      </c>
    </row>
    <row r="3287" spans="1:2" x14ac:dyDescent="0.2">
      <c r="A3287">
        <v>3281</v>
      </c>
      <c r="B3287">
        <v>0.46215538523152366</v>
      </c>
    </row>
    <row r="3288" spans="1:2" x14ac:dyDescent="0.2">
      <c r="A3288">
        <v>3282</v>
      </c>
      <c r="B3288">
        <v>0.45324281265694499</v>
      </c>
    </row>
    <row r="3289" spans="1:2" x14ac:dyDescent="0.2">
      <c r="A3289">
        <v>3283</v>
      </c>
      <c r="B3289">
        <v>0.30667272903895493</v>
      </c>
    </row>
    <row r="3290" spans="1:2" x14ac:dyDescent="0.2">
      <c r="A3290">
        <v>3284</v>
      </c>
      <c r="B3290">
        <v>0.27224380308150864</v>
      </c>
    </row>
    <row r="3291" spans="1:2" x14ac:dyDescent="0.2">
      <c r="A3291">
        <v>3285</v>
      </c>
      <c r="B3291">
        <v>0.5459301809017556</v>
      </c>
    </row>
    <row r="3292" spans="1:2" x14ac:dyDescent="0.2">
      <c r="A3292">
        <v>3286</v>
      </c>
      <c r="B3292">
        <v>0.37956074644535276</v>
      </c>
    </row>
    <row r="3293" spans="1:2" x14ac:dyDescent="0.2">
      <c r="A3293">
        <v>3287</v>
      </c>
      <c r="B3293">
        <v>0.96515472977044303</v>
      </c>
    </row>
    <row r="3294" spans="1:2" x14ac:dyDescent="0.2">
      <c r="A3294">
        <v>3288</v>
      </c>
      <c r="B3294">
        <v>0.47315043986980754</v>
      </c>
    </row>
    <row r="3295" spans="1:2" x14ac:dyDescent="0.2">
      <c r="A3295">
        <v>3289</v>
      </c>
      <c r="B3295">
        <v>0.64970675471069905</v>
      </c>
    </row>
    <row r="3296" spans="1:2" x14ac:dyDescent="0.2">
      <c r="A3296">
        <v>3290</v>
      </c>
      <c r="B3296">
        <v>7.2730895249322192E-2</v>
      </c>
    </row>
    <row r="3297" spans="1:2" x14ac:dyDescent="0.2">
      <c r="A3297">
        <v>3291</v>
      </c>
      <c r="B3297">
        <v>0.590863288670611</v>
      </c>
    </row>
    <row r="3298" spans="1:2" x14ac:dyDescent="0.2">
      <c r="A3298">
        <v>3292</v>
      </c>
      <c r="B3298">
        <v>0.50635083636265166</v>
      </c>
    </row>
    <row r="3299" spans="1:2" x14ac:dyDescent="0.2">
      <c r="A3299">
        <v>3293</v>
      </c>
      <c r="B3299">
        <v>2.3030068572863049E-2</v>
      </c>
    </row>
    <row r="3300" spans="1:2" x14ac:dyDescent="0.2">
      <c r="A3300">
        <v>3294</v>
      </c>
      <c r="B3300">
        <v>0.2209221997737868</v>
      </c>
    </row>
    <row r="3301" spans="1:2" x14ac:dyDescent="0.2">
      <c r="A3301">
        <v>3295</v>
      </c>
      <c r="B3301">
        <v>0.95022571023360236</v>
      </c>
    </row>
    <row r="3302" spans="1:2" x14ac:dyDescent="0.2">
      <c r="A3302">
        <v>3296</v>
      </c>
      <c r="B3302">
        <v>0.75229762572024705</v>
      </c>
    </row>
    <row r="3303" spans="1:2" x14ac:dyDescent="0.2">
      <c r="A3303">
        <v>3297</v>
      </c>
      <c r="B3303">
        <v>0.35703998423365013</v>
      </c>
    </row>
    <row r="3304" spans="1:2" x14ac:dyDescent="0.2">
      <c r="A3304">
        <v>3298</v>
      </c>
      <c r="B3304">
        <v>0.29014920958256241</v>
      </c>
    </row>
    <row r="3305" spans="1:2" x14ac:dyDescent="0.2">
      <c r="A3305">
        <v>3299</v>
      </c>
      <c r="B3305">
        <v>0.93936052686728355</v>
      </c>
    </row>
    <row r="3306" spans="1:2" x14ac:dyDescent="0.2">
      <c r="A3306">
        <v>3300</v>
      </c>
      <c r="B3306">
        <v>0.765886655318051</v>
      </c>
    </row>
    <row r="3307" spans="1:2" x14ac:dyDescent="0.2">
      <c r="A3307">
        <v>3301</v>
      </c>
      <c r="B3307">
        <v>9.9991221313414536E-2</v>
      </c>
    </row>
    <row r="3308" spans="1:2" x14ac:dyDescent="0.2">
      <c r="A3308">
        <v>3302</v>
      </c>
      <c r="B3308">
        <v>0.38220842933429644</v>
      </c>
    </row>
    <row r="3309" spans="1:2" x14ac:dyDescent="0.2">
      <c r="A3309">
        <v>3303</v>
      </c>
      <c r="B3309">
        <v>0.4388680041737042</v>
      </c>
    </row>
    <row r="3310" spans="1:2" x14ac:dyDescent="0.2">
      <c r="A3310">
        <v>3304</v>
      </c>
      <c r="B3310">
        <v>0.68164834585607326</v>
      </c>
    </row>
    <row r="3311" spans="1:2" x14ac:dyDescent="0.2">
      <c r="A3311">
        <v>3305</v>
      </c>
      <c r="B3311">
        <v>0.49465549096336614</v>
      </c>
    </row>
    <row r="3312" spans="1:2" x14ac:dyDescent="0.2">
      <c r="A3312">
        <v>3306</v>
      </c>
      <c r="B3312">
        <v>0.3862277772207291</v>
      </c>
    </row>
    <row r="3313" spans="1:2" x14ac:dyDescent="0.2">
      <c r="A3313">
        <v>3307</v>
      </c>
      <c r="B3313">
        <v>0.97673281021222491</v>
      </c>
    </row>
    <row r="3314" spans="1:2" x14ac:dyDescent="0.2">
      <c r="A3314">
        <v>3308</v>
      </c>
      <c r="B3314">
        <v>3.5867866987136066E-2</v>
      </c>
    </row>
    <row r="3315" spans="1:2" x14ac:dyDescent="0.2">
      <c r="A3315">
        <v>3309</v>
      </c>
      <c r="B3315">
        <v>0.72848030182755019</v>
      </c>
    </row>
    <row r="3316" spans="1:2" x14ac:dyDescent="0.2">
      <c r="A3316">
        <v>3310</v>
      </c>
      <c r="B3316">
        <v>8.320846251270908E-2</v>
      </c>
    </row>
    <row r="3317" spans="1:2" x14ac:dyDescent="0.2">
      <c r="A3317">
        <v>3311</v>
      </c>
      <c r="B3317">
        <v>0.1215485363232307</v>
      </c>
    </row>
    <row r="3318" spans="1:2" x14ac:dyDescent="0.2">
      <c r="A3318">
        <v>3312</v>
      </c>
      <c r="B3318">
        <v>0.81413166982006557</v>
      </c>
    </row>
    <row r="3319" spans="1:2" x14ac:dyDescent="0.2">
      <c r="A3319">
        <v>3313</v>
      </c>
      <c r="B3319">
        <v>0.7249565784397729</v>
      </c>
    </row>
    <row r="3320" spans="1:2" x14ac:dyDescent="0.2">
      <c r="A3320">
        <v>3314</v>
      </c>
      <c r="B3320">
        <v>0.2504814745118189</v>
      </c>
    </row>
    <row r="3321" spans="1:2" x14ac:dyDescent="0.2">
      <c r="A3321">
        <v>3315</v>
      </c>
      <c r="B3321">
        <v>0.36001788869752938</v>
      </c>
    </row>
    <row r="3322" spans="1:2" x14ac:dyDescent="0.2">
      <c r="A3322">
        <v>3316</v>
      </c>
      <c r="B3322">
        <v>0.11533565943001212</v>
      </c>
    </row>
    <row r="3323" spans="1:2" x14ac:dyDescent="0.2">
      <c r="A3323">
        <v>3317</v>
      </c>
      <c r="B3323">
        <v>0.96103299063744574</v>
      </c>
    </row>
    <row r="3324" spans="1:2" x14ac:dyDescent="0.2">
      <c r="A3324">
        <v>3318</v>
      </c>
      <c r="B3324">
        <v>0.46011941778724574</v>
      </c>
    </row>
    <row r="3325" spans="1:2" x14ac:dyDescent="0.2">
      <c r="A3325">
        <v>3319</v>
      </c>
      <c r="B3325">
        <v>9.1242006921964935E-2</v>
      </c>
    </row>
    <row r="3326" spans="1:2" x14ac:dyDescent="0.2">
      <c r="A3326">
        <v>3320</v>
      </c>
      <c r="B3326">
        <v>3.8249821385403671E-2</v>
      </c>
    </row>
    <row r="3327" spans="1:2" x14ac:dyDescent="0.2">
      <c r="A3327">
        <v>3321</v>
      </c>
      <c r="B3327">
        <v>0.376053063243587</v>
      </c>
    </row>
    <row r="3328" spans="1:2" x14ac:dyDescent="0.2">
      <c r="A3328">
        <v>3322</v>
      </c>
      <c r="B3328">
        <v>0.48287274364841171</v>
      </c>
    </row>
    <row r="3329" spans="1:2" x14ac:dyDescent="0.2">
      <c r="A3329">
        <v>3323</v>
      </c>
      <c r="B3329">
        <v>0.69516372991743647</v>
      </c>
    </row>
    <row r="3330" spans="1:2" x14ac:dyDescent="0.2">
      <c r="A3330">
        <v>3324</v>
      </c>
      <c r="B3330">
        <v>9.2535322300861811E-3</v>
      </c>
    </row>
    <row r="3331" spans="1:2" x14ac:dyDescent="0.2">
      <c r="A3331">
        <v>3325</v>
      </c>
      <c r="B3331">
        <v>0.53388642794454266</v>
      </c>
    </row>
    <row r="3332" spans="1:2" x14ac:dyDescent="0.2">
      <c r="A3332">
        <v>3326</v>
      </c>
      <c r="B3332">
        <v>0.10345910916596157</v>
      </c>
    </row>
    <row r="3333" spans="1:2" x14ac:dyDescent="0.2">
      <c r="A3333">
        <v>3327</v>
      </c>
      <c r="B3333">
        <v>0.33208513493086478</v>
      </c>
    </row>
    <row r="3334" spans="1:2" x14ac:dyDescent="0.2">
      <c r="A3334">
        <v>3328</v>
      </c>
      <c r="B3334">
        <v>0.93954962910206496</v>
      </c>
    </row>
    <row r="3335" spans="1:2" x14ac:dyDescent="0.2">
      <c r="A3335">
        <v>3329</v>
      </c>
      <c r="B3335">
        <v>0.58084050791371122</v>
      </c>
    </row>
    <row r="3336" spans="1:2" x14ac:dyDescent="0.2">
      <c r="A3336">
        <v>3330</v>
      </c>
      <c r="B3336">
        <v>0.80692174472533318</v>
      </c>
    </row>
    <row r="3337" spans="1:2" x14ac:dyDescent="0.2">
      <c r="A3337">
        <v>3331</v>
      </c>
      <c r="B3337">
        <v>0.94343923927263551</v>
      </c>
    </row>
    <row r="3338" spans="1:2" x14ac:dyDescent="0.2">
      <c r="A3338">
        <v>3332</v>
      </c>
      <c r="B3338">
        <v>0.70194741901563917</v>
      </c>
    </row>
    <row r="3339" spans="1:2" x14ac:dyDescent="0.2">
      <c r="A3339">
        <v>3333</v>
      </c>
      <c r="B3339">
        <v>0.8818319441585778</v>
      </c>
    </row>
    <row r="3340" spans="1:2" x14ac:dyDescent="0.2">
      <c r="A3340">
        <v>3334</v>
      </c>
      <c r="B3340">
        <v>0.94263214689546604</v>
      </c>
    </row>
    <row r="3341" spans="1:2" x14ac:dyDescent="0.2">
      <c r="A3341">
        <v>3335</v>
      </c>
      <c r="B3341">
        <v>0.3168820366091939</v>
      </c>
    </row>
    <row r="3342" spans="1:2" x14ac:dyDescent="0.2">
      <c r="A3342">
        <v>3336</v>
      </c>
      <c r="B3342">
        <v>0.82244023665973509</v>
      </c>
    </row>
    <row r="3343" spans="1:2" x14ac:dyDescent="0.2">
      <c r="A3343">
        <v>3337</v>
      </c>
      <c r="B3343">
        <v>0.78666846146677127</v>
      </c>
    </row>
    <row r="3344" spans="1:2" x14ac:dyDescent="0.2">
      <c r="A3344">
        <v>3338</v>
      </c>
      <c r="B3344">
        <v>0.25123402076135937</v>
      </c>
    </row>
    <row r="3345" spans="1:2" x14ac:dyDescent="0.2">
      <c r="A3345">
        <v>3339</v>
      </c>
      <c r="B3345">
        <v>0.98026859562029389</v>
      </c>
    </row>
    <row r="3346" spans="1:2" x14ac:dyDescent="0.2">
      <c r="A3346">
        <v>3340</v>
      </c>
      <c r="B3346">
        <v>0.59851105833951268</v>
      </c>
    </row>
    <row r="3347" spans="1:2" x14ac:dyDescent="0.2">
      <c r="A3347">
        <v>3341</v>
      </c>
      <c r="B3347">
        <v>0.73179157249927562</v>
      </c>
    </row>
    <row r="3348" spans="1:2" x14ac:dyDescent="0.2">
      <c r="A3348">
        <v>3342</v>
      </c>
      <c r="B3348">
        <v>0.99351163722503655</v>
      </c>
    </row>
    <row r="3349" spans="1:2" x14ac:dyDescent="0.2">
      <c r="A3349">
        <v>3343</v>
      </c>
      <c r="B3349">
        <v>0.32743431905539966</v>
      </c>
    </row>
    <row r="3350" spans="1:2" x14ac:dyDescent="0.2">
      <c r="A3350">
        <v>3344</v>
      </c>
      <c r="B3350">
        <v>0.55613431648293898</v>
      </c>
    </row>
    <row r="3351" spans="1:2" x14ac:dyDescent="0.2">
      <c r="A3351">
        <v>3345</v>
      </c>
      <c r="B3351">
        <v>0.18504784937950303</v>
      </c>
    </row>
    <row r="3352" spans="1:2" x14ac:dyDescent="0.2">
      <c r="A3352">
        <v>3346</v>
      </c>
      <c r="B3352">
        <v>0.3198776257546101</v>
      </c>
    </row>
    <row r="3353" spans="1:2" x14ac:dyDescent="0.2">
      <c r="A3353">
        <v>3347</v>
      </c>
      <c r="B3353">
        <v>0.49985514016170107</v>
      </c>
    </row>
    <row r="3354" spans="1:2" x14ac:dyDescent="0.2">
      <c r="A3354">
        <v>3348</v>
      </c>
      <c r="B3354">
        <v>0.31441726630028644</v>
      </c>
    </row>
    <row r="3355" spans="1:2" x14ac:dyDescent="0.2">
      <c r="A3355">
        <v>3349</v>
      </c>
      <c r="B3355">
        <v>0.29899620488368184</v>
      </c>
    </row>
    <row r="3356" spans="1:2" x14ac:dyDescent="0.2">
      <c r="A3356">
        <v>3350</v>
      </c>
      <c r="B3356">
        <v>6.0392033287144264E-2</v>
      </c>
    </row>
    <row r="3357" spans="1:2" x14ac:dyDescent="0.2">
      <c r="A3357">
        <v>3351</v>
      </c>
      <c r="B3357">
        <v>0.71101280723649329</v>
      </c>
    </row>
    <row r="3358" spans="1:2" x14ac:dyDescent="0.2">
      <c r="A3358">
        <v>3352</v>
      </c>
      <c r="B3358">
        <v>0.11750291239539923</v>
      </c>
    </row>
    <row r="3359" spans="1:2" x14ac:dyDescent="0.2">
      <c r="A3359">
        <v>3353</v>
      </c>
      <c r="B3359">
        <v>2.3777994680106329E-2</v>
      </c>
    </row>
    <row r="3360" spans="1:2" x14ac:dyDescent="0.2">
      <c r="A3360">
        <v>3354</v>
      </c>
      <c r="B3360">
        <v>0.3984170537429661</v>
      </c>
    </row>
    <row r="3361" spans="1:2" x14ac:dyDescent="0.2">
      <c r="A3361">
        <v>3355</v>
      </c>
      <c r="B3361">
        <v>0.57899888675100986</v>
      </c>
    </row>
    <row r="3362" spans="1:2" x14ac:dyDescent="0.2">
      <c r="A3362">
        <v>3356</v>
      </c>
      <c r="B3362">
        <v>0.66197559136640538</v>
      </c>
    </row>
    <row r="3363" spans="1:2" x14ac:dyDescent="0.2">
      <c r="A3363">
        <v>3357</v>
      </c>
      <c r="B3363">
        <v>0.97340248507940941</v>
      </c>
    </row>
    <row r="3364" spans="1:2" x14ac:dyDescent="0.2">
      <c r="A3364">
        <v>3358</v>
      </c>
      <c r="B3364">
        <v>0.39047143124324635</v>
      </c>
    </row>
    <row r="3365" spans="1:2" x14ac:dyDescent="0.2">
      <c r="A3365">
        <v>3359</v>
      </c>
      <c r="B3365">
        <v>0.42285011577524068</v>
      </c>
    </row>
    <row r="3366" spans="1:2" x14ac:dyDescent="0.2">
      <c r="A3366">
        <v>3360</v>
      </c>
      <c r="B3366">
        <v>0.11041509679357975</v>
      </c>
    </row>
    <row r="3367" spans="1:2" x14ac:dyDescent="0.2">
      <c r="A3367">
        <v>3361</v>
      </c>
      <c r="B3367">
        <v>0.77668584742005831</v>
      </c>
    </row>
    <row r="3368" spans="1:2" x14ac:dyDescent="0.2">
      <c r="A3368">
        <v>3362</v>
      </c>
      <c r="B3368">
        <v>0.423611534769335</v>
      </c>
    </row>
    <row r="3369" spans="1:2" x14ac:dyDescent="0.2">
      <c r="A3369">
        <v>3363</v>
      </c>
      <c r="B3369">
        <v>0.1617102793474372</v>
      </c>
    </row>
    <row r="3370" spans="1:2" x14ac:dyDescent="0.2">
      <c r="A3370">
        <v>3364</v>
      </c>
      <c r="B3370">
        <v>0.18242858466869427</v>
      </c>
    </row>
    <row r="3371" spans="1:2" x14ac:dyDescent="0.2">
      <c r="A3371">
        <v>3365</v>
      </c>
      <c r="B3371">
        <v>2.566708690130548E-2</v>
      </c>
    </row>
    <row r="3372" spans="1:2" x14ac:dyDescent="0.2">
      <c r="A3372">
        <v>3366</v>
      </c>
      <c r="B3372">
        <v>0.26022492820174525</v>
      </c>
    </row>
    <row r="3373" spans="1:2" x14ac:dyDescent="0.2">
      <c r="A3373">
        <v>3367</v>
      </c>
      <c r="B3373">
        <v>0.77900565526172538</v>
      </c>
    </row>
    <row r="3374" spans="1:2" x14ac:dyDescent="0.2">
      <c r="A3374">
        <v>3368</v>
      </c>
      <c r="B3374">
        <v>0.22563269445525858</v>
      </c>
    </row>
    <row r="3375" spans="1:2" x14ac:dyDescent="0.2">
      <c r="A3375">
        <v>3369</v>
      </c>
      <c r="B3375">
        <v>0.98362602638803032</v>
      </c>
    </row>
    <row r="3376" spans="1:2" x14ac:dyDescent="0.2">
      <c r="A3376">
        <v>3370</v>
      </c>
      <c r="B3376">
        <v>0.10890476194570387</v>
      </c>
    </row>
    <row r="3377" spans="1:2" x14ac:dyDescent="0.2">
      <c r="A3377">
        <v>3371</v>
      </c>
      <c r="B3377">
        <v>0.2263593493137126</v>
      </c>
    </row>
    <row r="3378" spans="1:2" x14ac:dyDescent="0.2">
      <c r="A3378">
        <v>3372</v>
      </c>
      <c r="B3378">
        <v>0.97405709843709543</v>
      </c>
    </row>
    <row r="3379" spans="1:2" x14ac:dyDescent="0.2">
      <c r="A3379">
        <v>3373</v>
      </c>
      <c r="B3379">
        <v>0.64516596862437292</v>
      </c>
    </row>
    <row r="3380" spans="1:2" x14ac:dyDescent="0.2">
      <c r="A3380">
        <v>3374</v>
      </c>
      <c r="B3380">
        <v>0.30946618091546951</v>
      </c>
    </row>
    <row r="3381" spans="1:2" x14ac:dyDescent="0.2">
      <c r="A3381">
        <v>3375</v>
      </c>
      <c r="B3381">
        <v>0.548185907659825</v>
      </c>
    </row>
    <row r="3382" spans="1:2" x14ac:dyDescent="0.2">
      <c r="A3382">
        <v>3376</v>
      </c>
      <c r="B3382">
        <v>0.4199181509703076</v>
      </c>
    </row>
    <row r="3383" spans="1:2" x14ac:dyDescent="0.2">
      <c r="A3383">
        <v>3377</v>
      </c>
      <c r="B3383">
        <v>0.52897832896435615</v>
      </c>
    </row>
    <row r="3384" spans="1:2" x14ac:dyDescent="0.2">
      <c r="A3384">
        <v>3378</v>
      </c>
      <c r="B3384">
        <v>4.9740351558789198E-2</v>
      </c>
    </row>
    <row r="3385" spans="1:2" x14ac:dyDescent="0.2">
      <c r="A3385">
        <v>3379</v>
      </c>
      <c r="B3385">
        <v>0.60567935547348062</v>
      </c>
    </row>
    <row r="3386" spans="1:2" x14ac:dyDescent="0.2">
      <c r="A3386">
        <v>3380</v>
      </c>
      <c r="B3386">
        <v>0.3123455279165761</v>
      </c>
    </row>
    <row r="3387" spans="1:2" x14ac:dyDescent="0.2">
      <c r="A3387">
        <v>3381</v>
      </c>
      <c r="B3387">
        <v>0.38779668315580607</v>
      </c>
    </row>
    <row r="3388" spans="1:2" x14ac:dyDescent="0.2">
      <c r="A3388">
        <v>3382</v>
      </c>
      <c r="B3388">
        <v>0.63810004330050085</v>
      </c>
    </row>
    <row r="3389" spans="1:2" x14ac:dyDescent="0.2">
      <c r="A3389">
        <v>3383</v>
      </c>
      <c r="B3389">
        <v>0.49334069598844776</v>
      </c>
    </row>
    <row r="3390" spans="1:2" x14ac:dyDescent="0.2">
      <c r="A3390">
        <v>3384</v>
      </c>
      <c r="B3390">
        <v>0.28541241847415577</v>
      </c>
    </row>
    <row r="3391" spans="1:2" x14ac:dyDescent="0.2">
      <c r="A3391">
        <v>3385</v>
      </c>
      <c r="B3391">
        <v>0.84294586654217585</v>
      </c>
    </row>
    <row r="3392" spans="1:2" x14ac:dyDescent="0.2">
      <c r="A3392">
        <v>3386</v>
      </c>
      <c r="B3392">
        <v>0.29551537640279757</v>
      </c>
    </row>
    <row r="3393" spans="1:2" x14ac:dyDescent="0.2">
      <c r="A3393">
        <v>3387</v>
      </c>
      <c r="B3393">
        <v>1.7290350713532909E-2</v>
      </c>
    </row>
    <row r="3394" spans="1:2" x14ac:dyDescent="0.2">
      <c r="A3394">
        <v>3388</v>
      </c>
      <c r="B3394">
        <v>0.92303839247362229</v>
      </c>
    </row>
    <row r="3395" spans="1:2" x14ac:dyDescent="0.2">
      <c r="A3395">
        <v>3389</v>
      </c>
      <c r="B3395">
        <v>0.8674235844643069</v>
      </c>
    </row>
    <row r="3396" spans="1:2" x14ac:dyDescent="0.2">
      <c r="A3396">
        <v>3390</v>
      </c>
      <c r="B3396">
        <v>0.40400626659676897</v>
      </c>
    </row>
    <row r="3397" spans="1:2" x14ac:dyDescent="0.2">
      <c r="A3397">
        <v>3391</v>
      </c>
      <c r="B3397">
        <v>0.49110802020831035</v>
      </c>
    </row>
    <row r="3398" spans="1:2" x14ac:dyDescent="0.2">
      <c r="A3398">
        <v>3392</v>
      </c>
      <c r="B3398">
        <v>0.38717619560364946</v>
      </c>
    </row>
    <row r="3399" spans="1:2" x14ac:dyDescent="0.2">
      <c r="A3399">
        <v>3393</v>
      </c>
      <c r="B3399">
        <v>0.96788021437821103</v>
      </c>
    </row>
    <row r="3400" spans="1:2" x14ac:dyDescent="0.2">
      <c r="A3400">
        <v>3394</v>
      </c>
      <c r="B3400">
        <v>0.77044370044160126</v>
      </c>
    </row>
    <row r="3401" spans="1:2" x14ac:dyDescent="0.2">
      <c r="A3401">
        <v>3395</v>
      </c>
      <c r="B3401">
        <v>0.81788612161598107</v>
      </c>
    </row>
    <row r="3402" spans="1:2" x14ac:dyDescent="0.2">
      <c r="A3402">
        <v>3396</v>
      </c>
      <c r="B3402">
        <v>0.90817939766473932</v>
      </c>
    </row>
    <row r="3403" spans="1:2" x14ac:dyDescent="0.2">
      <c r="A3403">
        <v>3397</v>
      </c>
      <c r="B3403">
        <v>0.91966713148084223</v>
      </c>
    </row>
    <row r="3404" spans="1:2" x14ac:dyDescent="0.2">
      <c r="A3404">
        <v>3398</v>
      </c>
      <c r="B3404">
        <v>0.61861881264766727</v>
      </c>
    </row>
    <row r="3405" spans="1:2" x14ac:dyDescent="0.2">
      <c r="A3405">
        <v>3399</v>
      </c>
      <c r="B3405">
        <v>0.12715667668698594</v>
      </c>
    </row>
    <row r="3406" spans="1:2" x14ac:dyDescent="0.2">
      <c r="A3406">
        <v>3400</v>
      </c>
      <c r="B3406">
        <v>0.51589150074707868</v>
      </c>
    </row>
    <row r="3407" spans="1:2" x14ac:dyDescent="0.2">
      <c r="A3407">
        <v>3401</v>
      </c>
      <c r="B3407">
        <v>0.10772600075887995</v>
      </c>
    </row>
    <row r="3408" spans="1:2" x14ac:dyDescent="0.2">
      <c r="A3408">
        <v>3402</v>
      </c>
      <c r="B3408">
        <v>0.26900698705349657</v>
      </c>
    </row>
    <row r="3409" spans="1:2" x14ac:dyDescent="0.2">
      <c r="A3409">
        <v>3403</v>
      </c>
      <c r="B3409">
        <v>0.68735087650384785</v>
      </c>
    </row>
    <row r="3410" spans="1:2" x14ac:dyDescent="0.2">
      <c r="A3410">
        <v>3404</v>
      </c>
      <c r="B3410">
        <v>0.42303825504936876</v>
      </c>
    </row>
    <row r="3411" spans="1:2" x14ac:dyDescent="0.2">
      <c r="A3411">
        <v>3405</v>
      </c>
      <c r="B3411">
        <v>0.92658857331323696</v>
      </c>
    </row>
    <row r="3412" spans="1:2" x14ac:dyDescent="0.2">
      <c r="A3412">
        <v>3406</v>
      </c>
      <c r="B3412">
        <v>0.38949545014923914</v>
      </c>
    </row>
    <row r="3413" spans="1:2" x14ac:dyDescent="0.2">
      <c r="A3413">
        <v>3407</v>
      </c>
      <c r="B3413">
        <v>0.40315478158448392</v>
      </c>
    </row>
    <row r="3414" spans="1:2" x14ac:dyDescent="0.2">
      <c r="A3414">
        <v>3408</v>
      </c>
      <c r="B3414">
        <v>0.48079948391670035</v>
      </c>
    </row>
    <row r="3415" spans="1:2" x14ac:dyDescent="0.2">
      <c r="A3415">
        <v>3409</v>
      </c>
      <c r="B3415">
        <v>0.17469491855394226</v>
      </c>
    </row>
    <row r="3416" spans="1:2" x14ac:dyDescent="0.2">
      <c r="A3416">
        <v>3410</v>
      </c>
      <c r="B3416">
        <v>0.90706853678182409</v>
      </c>
    </row>
    <row r="3417" spans="1:2" x14ac:dyDescent="0.2">
      <c r="A3417">
        <v>3411</v>
      </c>
      <c r="B3417">
        <v>0.99609134098164198</v>
      </c>
    </row>
    <row r="3418" spans="1:2" x14ac:dyDescent="0.2">
      <c r="A3418">
        <v>3412</v>
      </c>
      <c r="B3418">
        <v>0.59988565422904361</v>
      </c>
    </row>
    <row r="3419" spans="1:2" x14ac:dyDescent="0.2">
      <c r="A3419">
        <v>3413</v>
      </c>
      <c r="B3419">
        <v>0.52327099129233856</v>
      </c>
    </row>
    <row r="3420" spans="1:2" x14ac:dyDescent="0.2">
      <c r="A3420">
        <v>3414</v>
      </c>
      <c r="B3420">
        <v>0.87128483113061284</v>
      </c>
    </row>
    <row r="3421" spans="1:2" x14ac:dyDescent="0.2">
      <c r="A3421">
        <v>3415</v>
      </c>
      <c r="B3421">
        <v>0.40997524554309417</v>
      </c>
    </row>
    <row r="3422" spans="1:2" x14ac:dyDescent="0.2">
      <c r="A3422">
        <v>3416</v>
      </c>
      <c r="B3422">
        <v>0.44677636860359726</v>
      </c>
    </row>
    <row r="3423" spans="1:2" x14ac:dyDescent="0.2">
      <c r="A3423">
        <v>3417</v>
      </c>
      <c r="B3423">
        <v>0.32726238956960607</v>
      </c>
    </row>
    <row r="3424" spans="1:2" x14ac:dyDescent="0.2">
      <c r="A3424">
        <v>3418</v>
      </c>
      <c r="B3424">
        <v>0.45694777393490316</v>
      </c>
    </row>
    <row r="3425" spans="1:2" x14ac:dyDescent="0.2">
      <c r="A3425">
        <v>3419</v>
      </c>
      <c r="B3425">
        <v>4.355559425500044E-2</v>
      </c>
    </row>
    <row r="3426" spans="1:2" x14ac:dyDescent="0.2">
      <c r="A3426">
        <v>3420</v>
      </c>
      <c r="B3426">
        <v>0.83803385162116251</v>
      </c>
    </row>
    <row r="3427" spans="1:2" x14ac:dyDescent="0.2">
      <c r="A3427">
        <v>3421</v>
      </c>
      <c r="B3427">
        <v>0.39473895011548155</v>
      </c>
    </row>
    <row r="3428" spans="1:2" x14ac:dyDescent="0.2">
      <c r="A3428">
        <v>3422</v>
      </c>
      <c r="B3428">
        <v>1.5207361581825452E-2</v>
      </c>
    </row>
    <row r="3429" spans="1:2" x14ac:dyDescent="0.2">
      <c r="A3429">
        <v>3423</v>
      </c>
      <c r="B3429">
        <v>0.91711950004593323</v>
      </c>
    </row>
    <row r="3430" spans="1:2" x14ac:dyDescent="0.2">
      <c r="A3430">
        <v>3424</v>
      </c>
      <c r="B3430">
        <v>0.71322449212043171</v>
      </c>
    </row>
    <row r="3431" spans="1:2" x14ac:dyDescent="0.2">
      <c r="A3431">
        <v>3425</v>
      </c>
      <c r="B3431">
        <v>0.28886297960444074</v>
      </c>
    </row>
    <row r="3432" spans="1:2" x14ac:dyDescent="0.2">
      <c r="A3432">
        <v>3426</v>
      </c>
      <c r="B3432">
        <v>0.52462581009360254</v>
      </c>
    </row>
    <row r="3433" spans="1:2" x14ac:dyDescent="0.2">
      <c r="A3433">
        <v>3427</v>
      </c>
      <c r="B3433">
        <v>0.12929193797283789</v>
      </c>
    </row>
    <row r="3434" spans="1:2" x14ac:dyDescent="0.2">
      <c r="A3434">
        <v>3428</v>
      </c>
      <c r="B3434">
        <v>0.6722541749087354</v>
      </c>
    </row>
    <row r="3435" spans="1:2" x14ac:dyDescent="0.2">
      <c r="A3435">
        <v>3429</v>
      </c>
      <c r="B3435">
        <v>0.27359837715598612</v>
      </c>
    </row>
    <row r="3436" spans="1:2" x14ac:dyDescent="0.2">
      <c r="A3436">
        <v>3430</v>
      </c>
      <c r="B3436">
        <v>2.7837247457198622E-2</v>
      </c>
    </row>
    <row r="3437" spans="1:2" x14ac:dyDescent="0.2">
      <c r="A3437">
        <v>3431</v>
      </c>
      <c r="B3437">
        <v>0.68889576693244958</v>
      </c>
    </row>
    <row r="3438" spans="1:2" x14ac:dyDescent="0.2">
      <c r="A3438">
        <v>3432</v>
      </c>
      <c r="B3438">
        <v>0.18915212388809366</v>
      </c>
    </row>
    <row r="3439" spans="1:2" x14ac:dyDescent="0.2">
      <c r="A3439">
        <v>3433</v>
      </c>
      <c r="B3439">
        <v>0.9507384954126249</v>
      </c>
    </row>
    <row r="3440" spans="1:2" x14ac:dyDescent="0.2">
      <c r="A3440">
        <v>3434</v>
      </c>
      <c r="B3440">
        <v>0.22276409977799838</v>
      </c>
    </row>
    <row r="3441" spans="1:2" x14ac:dyDescent="0.2">
      <c r="A3441">
        <v>3435</v>
      </c>
      <c r="B3441">
        <v>0.27139335283487398</v>
      </c>
    </row>
    <row r="3442" spans="1:2" x14ac:dyDescent="0.2">
      <c r="A3442">
        <v>3436</v>
      </c>
      <c r="B3442">
        <v>0.20022934728201469</v>
      </c>
    </row>
    <row r="3443" spans="1:2" x14ac:dyDescent="0.2">
      <c r="A3443">
        <v>3437</v>
      </c>
      <c r="B3443">
        <v>0.20016879748017447</v>
      </c>
    </row>
    <row r="3444" spans="1:2" x14ac:dyDescent="0.2">
      <c r="A3444">
        <v>3438</v>
      </c>
      <c r="B3444">
        <v>0.48069437861076303</v>
      </c>
    </row>
    <row r="3445" spans="1:2" x14ac:dyDescent="0.2">
      <c r="A3445">
        <v>3439</v>
      </c>
      <c r="B3445">
        <v>0.36499652247256464</v>
      </c>
    </row>
    <row r="3446" spans="1:2" x14ac:dyDescent="0.2">
      <c r="A3446">
        <v>3440</v>
      </c>
      <c r="B3446">
        <v>0.39232448765107053</v>
      </c>
    </row>
    <row r="3447" spans="1:2" x14ac:dyDescent="0.2">
      <c r="A3447">
        <v>3441</v>
      </c>
      <c r="B3447">
        <v>0.75792032793651587</v>
      </c>
    </row>
    <row r="3448" spans="1:2" x14ac:dyDescent="0.2">
      <c r="A3448">
        <v>3442</v>
      </c>
      <c r="B3448">
        <v>6.8378193448694669E-2</v>
      </c>
    </row>
    <row r="3449" spans="1:2" x14ac:dyDescent="0.2">
      <c r="A3449">
        <v>3443</v>
      </c>
      <c r="B3449">
        <v>0.39387854967568126</v>
      </c>
    </row>
    <row r="3450" spans="1:2" x14ac:dyDescent="0.2">
      <c r="A3450">
        <v>3444</v>
      </c>
      <c r="B3450">
        <v>0.14249480005906257</v>
      </c>
    </row>
    <row r="3451" spans="1:2" x14ac:dyDescent="0.2">
      <c r="A3451">
        <v>3445</v>
      </c>
      <c r="B3451">
        <v>0.11150675239031504</v>
      </c>
    </row>
    <row r="3452" spans="1:2" x14ac:dyDescent="0.2">
      <c r="A3452">
        <v>3446</v>
      </c>
      <c r="B3452">
        <v>0.55986545406077892</v>
      </c>
    </row>
    <row r="3453" spans="1:2" x14ac:dyDescent="0.2">
      <c r="A3453">
        <v>3447</v>
      </c>
      <c r="B3453">
        <v>0.16587755373274971</v>
      </c>
    </row>
    <row r="3454" spans="1:2" x14ac:dyDescent="0.2">
      <c r="A3454">
        <v>3448</v>
      </c>
      <c r="B3454">
        <v>0.28161087192207035</v>
      </c>
    </row>
    <row r="3455" spans="1:2" x14ac:dyDescent="0.2">
      <c r="A3455">
        <v>3449</v>
      </c>
      <c r="B3455">
        <v>0.3431843580071634</v>
      </c>
    </row>
    <row r="3456" spans="1:2" x14ac:dyDescent="0.2">
      <c r="A3456">
        <v>3450</v>
      </c>
      <c r="B3456">
        <v>0.16903788702761025</v>
      </c>
    </row>
    <row r="3457" spans="1:2" x14ac:dyDescent="0.2">
      <c r="A3457">
        <v>3451</v>
      </c>
      <c r="B3457">
        <v>0.94347525355733064</v>
      </c>
    </row>
    <row r="3458" spans="1:2" x14ac:dyDescent="0.2">
      <c r="A3458">
        <v>3452</v>
      </c>
      <c r="B3458">
        <v>0.48399042375847712</v>
      </c>
    </row>
    <row r="3459" spans="1:2" x14ac:dyDescent="0.2">
      <c r="A3459">
        <v>3453</v>
      </c>
      <c r="B3459">
        <v>0.40935951244621116</v>
      </c>
    </row>
    <row r="3460" spans="1:2" x14ac:dyDescent="0.2">
      <c r="A3460">
        <v>3454</v>
      </c>
      <c r="B3460">
        <v>0.8921017936421568</v>
      </c>
    </row>
    <row r="3461" spans="1:2" x14ac:dyDescent="0.2">
      <c r="A3461">
        <v>3455</v>
      </c>
      <c r="B3461">
        <v>0.14595715361886774</v>
      </c>
    </row>
    <row r="3462" spans="1:2" x14ac:dyDescent="0.2">
      <c r="A3462">
        <v>3456</v>
      </c>
      <c r="B3462">
        <v>0.71072363250578219</v>
      </c>
    </row>
    <row r="3463" spans="1:2" x14ac:dyDescent="0.2">
      <c r="A3463">
        <v>3457</v>
      </c>
      <c r="B3463">
        <v>6.397158962135796E-2</v>
      </c>
    </row>
    <row r="3464" spans="1:2" x14ac:dyDescent="0.2">
      <c r="A3464">
        <v>3458</v>
      </c>
      <c r="B3464">
        <v>0.5831126175296576</v>
      </c>
    </row>
    <row r="3465" spans="1:2" x14ac:dyDescent="0.2">
      <c r="A3465">
        <v>3459</v>
      </c>
      <c r="B3465">
        <v>0.96183835022698616</v>
      </c>
    </row>
    <row r="3466" spans="1:2" x14ac:dyDescent="0.2">
      <c r="A3466">
        <v>3460</v>
      </c>
      <c r="B3466">
        <v>0.29691003391000992</v>
      </c>
    </row>
    <row r="3467" spans="1:2" x14ac:dyDescent="0.2">
      <c r="A3467">
        <v>3461</v>
      </c>
      <c r="B3467">
        <v>0.7276239052524589</v>
      </c>
    </row>
    <row r="3468" spans="1:2" x14ac:dyDescent="0.2">
      <c r="A3468">
        <v>3462</v>
      </c>
      <c r="B3468">
        <v>0.45686985203040853</v>
      </c>
    </row>
    <row r="3469" spans="1:2" x14ac:dyDescent="0.2">
      <c r="A3469">
        <v>3463</v>
      </c>
      <c r="B3469">
        <v>0.95444112754060539</v>
      </c>
    </row>
    <row r="3470" spans="1:2" x14ac:dyDescent="0.2">
      <c r="A3470">
        <v>3464</v>
      </c>
      <c r="B3470">
        <v>0.65369586767184673</v>
      </c>
    </row>
    <row r="3471" spans="1:2" x14ac:dyDescent="0.2">
      <c r="A3471">
        <v>3465</v>
      </c>
      <c r="B3471">
        <v>0.93984899419125789</v>
      </c>
    </row>
    <row r="3472" spans="1:2" x14ac:dyDescent="0.2">
      <c r="A3472">
        <v>3466</v>
      </c>
      <c r="B3472">
        <v>0.79263904627600001</v>
      </c>
    </row>
    <row r="3473" spans="1:2" x14ac:dyDescent="0.2">
      <c r="A3473">
        <v>3467</v>
      </c>
      <c r="B3473">
        <v>0.9500728165864738</v>
      </c>
    </row>
    <row r="3474" spans="1:2" x14ac:dyDescent="0.2">
      <c r="A3474">
        <v>3468</v>
      </c>
      <c r="B3474">
        <v>0.12104452168703328</v>
      </c>
    </row>
    <row r="3475" spans="1:2" x14ac:dyDescent="0.2">
      <c r="A3475">
        <v>3469</v>
      </c>
      <c r="B3475">
        <v>0.87421702941176305</v>
      </c>
    </row>
    <row r="3476" spans="1:2" x14ac:dyDescent="0.2">
      <c r="A3476">
        <v>3470</v>
      </c>
      <c r="B3476">
        <v>0.68360717206635468</v>
      </c>
    </row>
    <row r="3477" spans="1:2" x14ac:dyDescent="0.2">
      <c r="A3477">
        <v>3471</v>
      </c>
      <c r="B3477">
        <v>0.99245230843556576</v>
      </c>
    </row>
    <row r="3478" spans="1:2" x14ac:dyDescent="0.2">
      <c r="A3478">
        <v>3472</v>
      </c>
      <c r="B3478">
        <v>0.56083069218637194</v>
      </c>
    </row>
    <row r="3479" spans="1:2" x14ac:dyDescent="0.2">
      <c r="A3479">
        <v>3473</v>
      </c>
      <c r="B3479">
        <v>0.33681992310868281</v>
      </c>
    </row>
    <row r="3480" spans="1:2" x14ac:dyDescent="0.2">
      <c r="A3480">
        <v>3474</v>
      </c>
      <c r="B3480">
        <v>0.66532838424339469</v>
      </c>
    </row>
    <row r="3481" spans="1:2" x14ac:dyDescent="0.2">
      <c r="A3481">
        <v>3475</v>
      </c>
      <c r="B3481">
        <v>0.33112587829842066</v>
      </c>
    </row>
    <row r="3482" spans="1:2" x14ac:dyDescent="0.2">
      <c r="A3482">
        <v>3476</v>
      </c>
      <c r="B3482">
        <v>0.87524232329199259</v>
      </c>
    </row>
    <row r="3483" spans="1:2" x14ac:dyDescent="0.2">
      <c r="A3483">
        <v>3477</v>
      </c>
      <c r="B3483">
        <v>0.43391664887203862</v>
      </c>
    </row>
    <row r="3484" spans="1:2" x14ac:dyDescent="0.2">
      <c r="A3484">
        <v>3478</v>
      </c>
      <c r="B3484">
        <v>0.48937033088323412</v>
      </c>
    </row>
    <row r="3485" spans="1:2" x14ac:dyDescent="0.2">
      <c r="A3485">
        <v>3479</v>
      </c>
      <c r="B3485">
        <v>0.33602940116277358</v>
      </c>
    </row>
    <row r="3486" spans="1:2" x14ac:dyDescent="0.2">
      <c r="A3486">
        <v>3480</v>
      </c>
      <c r="B3486">
        <v>0.86269253895522824</v>
      </c>
    </row>
    <row r="3487" spans="1:2" x14ac:dyDescent="0.2">
      <c r="A3487">
        <v>3481</v>
      </c>
      <c r="B3487">
        <v>0.91835547267029105</v>
      </c>
    </row>
    <row r="3488" spans="1:2" x14ac:dyDescent="0.2">
      <c r="A3488">
        <v>3482</v>
      </c>
      <c r="B3488">
        <v>0.87325913525703192</v>
      </c>
    </row>
    <row r="3489" spans="1:2" x14ac:dyDescent="0.2">
      <c r="A3489">
        <v>3483</v>
      </c>
      <c r="B3489">
        <v>0.67335834295099717</v>
      </c>
    </row>
    <row r="3490" spans="1:2" x14ac:dyDescent="0.2">
      <c r="A3490">
        <v>3484</v>
      </c>
      <c r="B3490">
        <v>0.18255773203070869</v>
      </c>
    </row>
    <row r="3491" spans="1:2" x14ac:dyDescent="0.2">
      <c r="A3491">
        <v>3485</v>
      </c>
      <c r="B3491">
        <v>0.84560017853080771</v>
      </c>
    </row>
    <row r="3492" spans="1:2" x14ac:dyDescent="0.2">
      <c r="A3492">
        <v>3486</v>
      </c>
      <c r="B3492">
        <v>0.31739002757263768</v>
      </c>
    </row>
    <row r="3493" spans="1:2" x14ac:dyDescent="0.2">
      <c r="A3493">
        <v>3487</v>
      </c>
      <c r="B3493">
        <v>0.52773809713927711</v>
      </c>
    </row>
    <row r="3494" spans="1:2" x14ac:dyDescent="0.2">
      <c r="A3494">
        <v>3488</v>
      </c>
      <c r="B3494">
        <v>9.539967074986655E-2</v>
      </c>
    </row>
    <row r="3495" spans="1:2" x14ac:dyDescent="0.2">
      <c r="A3495">
        <v>3489</v>
      </c>
      <c r="B3495">
        <v>0.90679761663143976</v>
      </c>
    </row>
    <row r="3496" spans="1:2" x14ac:dyDescent="0.2">
      <c r="A3496">
        <v>3490</v>
      </c>
      <c r="B3496">
        <v>0.4443141356151844</v>
      </c>
    </row>
    <row r="3497" spans="1:2" x14ac:dyDescent="0.2">
      <c r="A3497">
        <v>3491</v>
      </c>
      <c r="B3497">
        <v>0.46006801748074655</v>
      </c>
    </row>
    <row r="3498" spans="1:2" x14ac:dyDescent="0.2">
      <c r="A3498">
        <v>3492</v>
      </c>
      <c r="B3498">
        <v>0.34439293043888397</v>
      </c>
    </row>
    <row r="3499" spans="1:2" x14ac:dyDescent="0.2">
      <c r="A3499">
        <v>3493</v>
      </c>
      <c r="B3499">
        <v>0.75819031822235805</v>
      </c>
    </row>
    <row r="3500" spans="1:2" x14ac:dyDescent="0.2">
      <c r="A3500">
        <v>3494</v>
      </c>
      <c r="B3500">
        <v>0.68130700025761359</v>
      </c>
    </row>
    <row r="3501" spans="1:2" x14ac:dyDescent="0.2">
      <c r="A3501">
        <v>3495</v>
      </c>
      <c r="B3501">
        <v>0.56002973874302231</v>
      </c>
    </row>
    <row r="3502" spans="1:2" x14ac:dyDescent="0.2">
      <c r="A3502">
        <v>3496</v>
      </c>
      <c r="B3502">
        <v>0.81941353017270868</v>
      </c>
    </row>
    <row r="3503" spans="1:2" x14ac:dyDescent="0.2">
      <c r="A3503">
        <v>3497</v>
      </c>
      <c r="B3503">
        <v>0.31296186699128103</v>
      </c>
    </row>
    <row r="3504" spans="1:2" x14ac:dyDescent="0.2">
      <c r="A3504">
        <v>3498</v>
      </c>
      <c r="B3504">
        <v>0.89054512539614761</v>
      </c>
    </row>
    <row r="3505" spans="1:2" x14ac:dyDescent="0.2">
      <c r="A3505">
        <v>3499</v>
      </c>
      <c r="B3505">
        <v>0.61656205268781616</v>
      </c>
    </row>
    <row r="3506" spans="1:2" x14ac:dyDescent="0.2">
      <c r="A3506">
        <v>3500</v>
      </c>
      <c r="B3506">
        <v>0.8897280651629611</v>
      </c>
    </row>
    <row r="3507" spans="1:2" x14ac:dyDescent="0.2">
      <c r="A3507">
        <v>3501</v>
      </c>
      <c r="B3507">
        <v>0.53612736105994685</v>
      </c>
    </row>
    <row r="3508" spans="1:2" x14ac:dyDescent="0.2">
      <c r="A3508">
        <v>3502</v>
      </c>
      <c r="B3508">
        <v>0.48099894603118831</v>
      </c>
    </row>
    <row r="3509" spans="1:2" x14ac:dyDescent="0.2">
      <c r="A3509">
        <v>3503</v>
      </c>
      <c r="B3509">
        <v>0.61365320710420435</v>
      </c>
    </row>
    <row r="3510" spans="1:2" x14ac:dyDescent="0.2">
      <c r="A3510">
        <v>3504</v>
      </c>
      <c r="B3510">
        <v>0.12391587290742012</v>
      </c>
    </row>
    <row r="3511" spans="1:2" x14ac:dyDescent="0.2">
      <c r="A3511">
        <v>3505</v>
      </c>
      <c r="B3511">
        <v>0.14385379976920465</v>
      </c>
    </row>
    <row r="3512" spans="1:2" x14ac:dyDescent="0.2">
      <c r="A3512">
        <v>3506</v>
      </c>
      <c r="B3512">
        <v>0.56929753413773554</v>
      </c>
    </row>
    <row r="3513" spans="1:2" x14ac:dyDescent="0.2">
      <c r="A3513">
        <v>3507</v>
      </c>
      <c r="B3513">
        <v>0.4606921516661906</v>
      </c>
    </row>
    <row r="3514" spans="1:2" x14ac:dyDescent="0.2">
      <c r="A3514">
        <v>3508</v>
      </c>
      <c r="B3514">
        <v>0.38210795262921415</v>
      </c>
    </row>
    <row r="3515" spans="1:2" x14ac:dyDescent="0.2">
      <c r="A3515">
        <v>3509</v>
      </c>
      <c r="B3515">
        <v>0.56623179649779876</v>
      </c>
    </row>
    <row r="3516" spans="1:2" x14ac:dyDescent="0.2">
      <c r="A3516">
        <v>3510</v>
      </c>
      <c r="B3516">
        <v>0.52186556828721298</v>
      </c>
    </row>
    <row r="3517" spans="1:2" x14ac:dyDescent="0.2">
      <c r="A3517">
        <v>3511</v>
      </c>
      <c r="B3517">
        <v>0.54014317081780239</v>
      </c>
    </row>
    <row r="3518" spans="1:2" x14ac:dyDescent="0.2">
      <c r="A3518">
        <v>3512</v>
      </c>
      <c r="B3518">
        <v>0.31280523003198379</v>
      </c>
    </row>
    <row r="3519" spans="1:2" x14ac:dyDescent="0.2">
      <c r="A3519">
        <v>3513</v>
      </c>
      <c r="B3519">
        <v>0.99809901432874182</v>
      </c>
    </row>
    <row r="3520" spans="1:2" x14ac:dyDescent="0.2">
      <c r="A3520">
        <v>3514</v>
      </c>
      <c r="B3520">
        <v>0.39387611487947061</v>
      </c>
    </row>
    <row r="3521" spans="1:2" x14ac:dyDescent="0.2">
      <c r="A3521">
        <v>3515</v>
      </c>
      <c r="B3521">
        <v>0.85390780488236129</v>
      </c>
    </row>
    <row r="3522" spans="1:2" x14ac:dyDescent="0.2">
      <c r="A3522">
        <v>3516</v>
      </c>
      <c r="B3522">
        <v>0.49515666963262239</v>
      </c>
    </row>
    <row r="3523" spans="1:2" x14ac:dyDescent="0.2">
      <c r="A3523">
        <v>3517</v>
      </c>
      <c r="B3523">
        <v>0.45931696087530194</v>
      </c>
    </row>
    <row r="3524" spans="1:2" x14ac:dyDescent="0.2">
      <c r="A3524">
        <v>3518</v>
      </c>
      <c r="B3524">
        <v>0.81796326505696326</v>
      </c>
    </row>
    <row r="3525" spans="1:2" x14ac:dyDescent="0.2">
      <c r="A3525">
        <v>3519</v>
      </c>
      <c r="B3525">
        <v>0.44751789145064602</v>
      </c>
    </row>
    <row r="3526" spans="1:2" x14ac:dyDescent="0.2">
      <c r="A3526">
        <v>3520</v>
      </c>
      <c r="B3526">
        <v>0.45708279905033811</v>
      </c>
    </row>
    <row r="3527" spans="1:2" x14ac:dyDescent="0.2">
      <c r="A3527">
        <v>3521</v>
      </c>
      <c r="B3527">
        <v>1.8008457663999611E-2</v>
      </c>
    </row>
    <row r="3528" spans="1:2" x14ac:dyDescent="0.2">
      <c r="A3528">
        <v>3522</v>
      </c>
      <c r="B3528">
        <v>0.59992820309506389</v>
      </c>
    </row>
    <row r="3529" spans="1:2" x14ac:dyDescent="0.2">
      <c r="A3529">
        <v>3523</v>
      </c>
      <c r="B3529">
        <v>0.4013027377565862</v>
      </c>
    </row>
    <row r="3530" spans="1:2" x14ac:dyDescent="0.2">
      <c r="A3530">
        <v>3524</v>
      </c>
      <c r="B3530">
        <v>0.43227669335491647</v>
      </c>
    </row>
    <row r="3531" spans="1:2" x14ac:dyDescent="0.2">
      <c r="A3531">
        <v>3525</v>
      </c>
      <c r="B3531">
        <v>0.24645080834240241</v>
      </c>
    </row>
    <row r="3532" spans="1:2" x14ac:dyDescent="0.2">
      <c r="A3532">
        <v>3526</v>
      </c>
      <c r="B3532">
        <v>0.21525196577225159</v>
      </c>
    </row>
    <row r="3533" spans="1:2" x14ac:dyDescent="0.2">
      <c r="A3533">
        <v>3527</v>
      </c>
      <c r="B3533">
        <v>0.3159129842008348</v>
      </c>
    </row>
    <row r="3534" spans="1:2" x14ac:dyDescent="0.2">
      <c r="A3534">
        <v>3528</v>
      </c>
      <c r="B3534">
        <v>0.69295700062857191</v>
      </c>
    </row>
    <row r="3535" spans="1:2" x14ac:dyDescent="0.2">
      <c r="A3535">
        <v>3529</v>
      </c>
      <c r="B3535">
        <v>0.65141433288813844</v>
      </c>
    </row>
    <row r="3536" spans="1:2" x14ac:dyDescent="0.2">
      <c r="A3536">
        <v>3530</v>
      </c>
      <c r="B3536">
        <v>0.3916256040095204</v>
      </c>
    </row>
    <row r="3537" spans="1:2" x14ac:dyDescent="0.2">
      <c r="A3537">
        <v>3531</v>
      </c>
      <c r="B3537">
        <v>0.8589084604853352</v>
      </c>
    </row>
    <row r="3538" spans="1:2" x14ac:dyDescent="0.2">
      <c r="A3538">
        <v>3532</v>
      </c>
      <c r="B3538">
        <v>0.81476329928200486</v>
      </c>
    </row>
    <row r="3539" spans="1:2" x14ac:dyDescent="0.2">
      <c r="A3539">
        <v>3533</v>
      </c>
      <c r="B3539">
        <v>0.3818894635436364</v>
      </c>
    </row>
    <row r="3540" spans="1:2" x14ac:dyDescent="0.2">
      <c r="A3540">
        <v>3534</v>
      </c>
      <c r="B3540">
        <v>0.93442532374221576</v>
      </c>
    </row>
    <row r="3541" spans="1:2" x14ac:dyDescent="0.2">
      <c r="A3541">
        <v>3535</v>
      </c>
      <c r="B3541">
        <v>0.64394204308962888</v>
      </c>
    </row>
    <row r="3542" spans="1:2" x14ac:dyDescent="0.2">
      <c r="A3542">
        <v>3536</v>
      </c>
      <c r="B3542">
        <v>0.26699528411325568</v>
      </c>
    </row>
    <row r="3543" spans="1:2" x14ac:dyDescent="0.2">
      <c r="A3543">
        <v>3537</v>
      </c>
      <c r="B3543">
        <v>0.9451301248154611</v>
      </c>
    </row>
    <row r="3544" spans="1:2" x14ac:dyDescent="0.2">
      <c r="A3544">
        <v>3538</v>
      </c>
      <c r="B3544">
        <v>0.65128726327828201</v>
      </c>
    </row>
    <row r="3545" spans="1:2" x14ac:dyDescent="0.2">
      <c r="A3545">
        <v>3539</v>
      </c>
      <c r="B3545">
        <v>0.57605728749456342</v>
      </c>
    </row>
    <row r="3546" spans="1:2" x14ac:dyDescent="0.2">
      <c r="A3546">
        <v>3540</v>
      </c>
      <c r="B3546">
        <v>0.99261473187240412</v>
      </c>
    </row>
    <row r="3547" spans="1:2" x14ac:dyDescent="0.2">
      <c r="A3547">
        <v>3541</v>
      </c>
      <c r="B3547">
        <v>0.65926064096865111</v>
      </c>
    </row>
    <row r="3548" spans="1:2" x14ac:dyDescent="0.2">
      <c r="A3548">
        <v>3542</v>
      </c>
      <c r="B3548">
        <v>0.40720586096950462</v>
      </c>
    </row>
    <row r="3549" spans="1:2" x14ac:dyDescent="0.2">
      <c r="A3549">
        <v>3543</v>
      </c>
      <c r="B3549">
        <v>0.11658887033816123</v>
      </c>
    </row>
    <row r="3550" spans="1:2" x14ac:dyDescent="0.2">
      <c r="A3550">
        <v>3544</v>
      </c>
      <c r="B3550">
        <v>0.54969901336905891</v>
      </c>
    </row>
    <row r="3551" spans="1:2" x14ac:dyDescent="0.2">
      <c r="A3551">
        <v>3545</v>
      </c>
      <c r="B3551">
        <v>0.16307550501112889</v>
      </c>
    </row>
    <row r="3552" spans="1:2" x14ac:dyDescent="0.2">
      <c r="A3552">
        <v>3546</v>
      </c>
      <c r="B3552">
        <v>0.27283007067567899</v>
      </c>
    </row>
    <row r="3553" spans="1:2" x14ac:dyDescent="0.2">
      <c r="A3553">
        <v>3547</v>
      </c>
      <c r="B3553">
        <v>0.2333611154565618</v>
      </c>
    </row>
    <row r="3554" spans="1:2" x14ac:dyDescent="0.2">
      <c r="A3554">
        <v>3548</v>
      </c>
      <c r="B3554">
        <v>0.7610241045780316</v>
      </c>
    </row>
    <row r="3555" spans="1:2" x14ac:dyDescent="0.2">
      <c r="A3555">
        <v>3549</v>
      </c>
      <c r="B3555">
        <v>0.46116558836786337</v>
      </c>
    </row>
    <row r="3556" spans="1:2" x14ac:dyDescent="0.2">
      <c r="A3556">
        <v>3550</v>
      </c>
      <c r="B3556">
        <v>0.63982895494474457</v>
      </c>
    </row>
    <row r="3557" spans="1:2" x14ac:dyDescent="0.2">
      <c r="A3557">
        <v>3551</v>
      </c>
      <c r="B3557">
        <v>6.8500221039139775E-2</v>
      </c>
    </row>
    <row r="3558" spans="1:2" x14ac:dyDescent="0.2">
      <c r="A3558">
        <v>3552</v>
      </c>
      <c r="B3558">
        <v>0.70215009678497398</v>
      </c>
    </row>
    <row r="3559" spans="1:2" x14ac:dyDescent="0.2">
      <c r="A3559">
        <v>3553</v>
      </c>
      <c r="B3559">
        <v>0.92238319236154875</v>
      </c>
    </row>
    <row r="3560" spans="1:2" x14ac:dyDescent="0.2">
      <c r="A3560">
        <v>3554</v>
      </c>
      <c r="B3560">
        <v>0.10553569155731246</v>
      </c>
    </row>
    <row r="3561" spans="1:2" x14ac:dyDescent="0.2">
      <c r="A3561">
        <v>3555</v>
      </c>
      <c r="B3561">
        <v>0.65957515244181519</v>
      </c>
    </row>
    <row r="3562" spans="1:2" x14ac:dyDescent="0.2">
      <c r="A3562">
        <v>3556</v>
      </c>
      <c r="B3562">
        <v>0.19206792933879857</v>
      </c>
    </row>
    <row r="3563" spans="1:2" x14ac:dyDescent="0.2">
      <c r="A3563">
        <v>3557</v>
      </c>
      <c r="B3563">
        <v>4.0457827635367427E-2</v>
      </c>
    </row>
    <row r="3564" spans="1:2" x14ac:dyDescent="0.2">
      <c r="A3564">
        <v>3558</v>
      </c>
      <c r="B3564">
        <v>0.31388851441414589</v>
      </c>
    </row>
    <row r="3565" spans="1:2" x14ac:dyDescent="0.2">
      <c r="A3565">
        <v>3559</v>
      </c>
      <c r="B3565">
        <v>0.388360400681664</v>
      </c>
    </row>
    <row r="3566" spans="1:2" x14ac:dyDescent="0.2">
      <c r="A3566">
        <v>3560</v>
      </c>
      <c r="B3566">
        <v>0.45072789962540694</v>
      </c>
    </row>
    <row r="3567" spans="1:2" x14ac:dyDescent="0.2">
      <c r="A3567">
        <v>3561</v>
      </c>
      <c r="B3567">
        <v>0.32096312269818439</v>
      </c>
    </row>
    <row r="3568" spans="1:2" x14ac:dyDescent="0.2">
      <c r="A3568">
        <v>3562</v>
      </c>
      <c r="B3568">
        <v>0.70490719083522491</v>
      </c>
    </row>
    <row r="3569" spans="1:2" x14ac:dyDescent="0.2">
      <c r="A3569">
        <v>3563</v>
      </c>
      <c r="B3569">
        <v>9.4478119165100516E-2</v>
      </c>
    </row>
    <row r="3570" spans="1:2" x14ac:dyDescent="0.2">
      <c r="A3570">
        <v>3564</v>
      </c>
      <c r="B3570">
        <v>0.28264600053046041</v>
      </c>
    </row>
    <row r="3571" spans="1:2" x14ac:dyDescent="0.2">
      <c r="A3571">
        <v>3565</v>
      </c>
      <c r="B3571">
        <v>0.709478119936364</v>
      </c>
    </row>
    <row r="3572" spans="1:2" x14ac:dyDescent="0.2">
      <c r="A3572">
        <v>3566</v>
      </c>
      <c r="B3572">
        <v>1.9203034082919346E-2</v>
      </c>
    </row>
    <row r="3573" spans="1:2" x14ac:dyDescent="0.2">
      <c r="A3573">
        <v>3567</v>
      </c>
      <c r="B3573">
        <v>0.69796681784380632</v>
      </c>
    </row>
    <row r="3574" spans="1:2" x14ac:dyDescent="0.2">
      <c r="A3574">
        <v>3568</v>
      </c>
      <c r="B3574">
        <v>0.59364078868323078</v>
      </c>
    </row>
    <row r="3575" spans="1:2" x14ac:dyDescent="0.2">
      <c r="A3575">
        <v>3569</v>
      </c>
      <c r="B3575">
        <v>0.93784114694831011</v>
      </c>
    </row>
    <row r="3576" spans="1:2" x14ac:dyDescent="0.2">
      <c r="A3576">
        <v>3570</v>
      </c>
      <c r="B3576">
        <v>0.86935238807926096</v>
      </c>
    </row>
    <row r="3577" spans="1:2" x14ac:dyDescent="0.2">
      <c r="A3577">
        <v>3571</v>
      </c>
      <c r="B3577">
        <v>0.79556717337010807</v>
      </c>
    </row>
    <row r="3578" spans="1:2" x14ac:dyDescent="0.2">
      <c r="A3578">
        <v>3572</v>
      </c>
      <c r="B3578">
        <v>0.11462231215486285</v>
      </c>
    </row>
    <row r="3579" spans="1:2" x14ac:dyDescent="0.2">
      <c r="A3579">
        <v>3573</v>
      </c>
      <c r="B3579">
        <v>0.12135001751201635</v>
      </c>
    </row>
    <row r="3580" spans="1:2" x14ac:dyDescent="0.2">
      <c r="A3580">
        <v>3574</v>
      </c>
      <c r="B3580">
        <v>0.91605731455787298</v>
      </c>
    </row>
    <row r="3581" spans="1:2" x14ac:dyDescent="0.2">
      <c r="A3581">
        <v>3575</v>
      </c>
      <c r="B3581">
        <v>0.21637573431422596</v>
      </c>
    </row>
    <row r="3582" spans="1:2" x14ac:dyDescent="0.2">
      <c r="A3582">
        <v>3576</v>
      </c>
      <c r="B3582">
        <v>3.506506929737141E-2</v>
      </c>
    </row>
    <row r="3583" spans="1:2" x14ac:dyDescent="0.2">
      <c r="A3583">
        <v>3577</v>
      </c>
      <c r="B3583">
        <v>0.32222408091598276</v>
      </c>
    </row>
    <row r="3584" spans="1:2" x14ac:dyDescent="0.2">
      <c r="A3584">
        <v>3578</v>
      </c>
      <c r="B3584">
        <v>0.72879517399978622</v>
      </c>
    </row>
    <row r="3585" spans="1:2" x14ac:dyDescent="0.2">
      <c r="A3585">
        <v>3579</v>
      </c>
      <c r="B3585">
        <v>0.55806593293815288</v>
      </c>
    </row>
    <row r="3586" spans="1:2" x14ac:dyDescent="0.2">
      <c r="A3586">
        <v>3580</v>
      </c>
      <c r="B3586">
        <v>0.63789240380906786</v>
      </c>
    </row>
    <row r="3587" spans="1:2" x14ac:dyDescent="0.2">
      <c r="A3587">
        <v>3581</v>
      </c>
      <c r="B3587">
        <v>0.82464807199886103</v>
      </c>
    </row>
    <row r="3588" spans="1:2" x14ac:dyDescent="0.2">
      <c r="A3588">
        <v>3582</v>
      </c>
      <c r="B3588">
        <v>0.76904105966378311</v>
      </c>
    </row>
    <row r="3589" spans="1:2" x14ac:dyDescent="0.2">
      <c r="A3589">
        <v>3583</v>
      </c>
      <c r="B3589">
        <v>0.29637561633814458</v>
      </c>
    </row>
    <row r="3590" spans="1:2" x14ac:dyDescent="0.2">
      <c r="A3590">
        <v>3584</v>
      </c>
      <c r="B3590">
        <v>0.8221544574419718</v>
      </c>
    </row>
    <row r="3591" spans="1:2" x14ac:dyDescent="0.2">
      <c r="A3591">
        <v>3585</v>
      </c>
      <c r="B3591">
        <v>1.2250962801222398E-2</v>
      </c>
    </row>
    <row r="3592" spans="1:2" x14ac:dyDescent="0.2">
      <c r="A3592">
        <v>3586</v>
      </c>
      <c r="B3592">
        <v>0.84041228964345993</v>
      </c>
    </row>
    <row r="3593" spans="1:2" x14ac:dyDescent="0.2">
      <c r="A3593">
        <v>3587</v>
      </c>
      <c r="B3593">
        <v>3.1408117548584746E-3</v>
      </c>
    </row>
    <row r="3594" spans="1:2" x14ac:dyDescent="0.2">
      <c r="A3594">
        <v>3588</v>
      </c>
      <c r="B3594">
        <v>0.46003036753407922</v>
      </c>
    </row>
    <row r="3595" spans="1:2" x14ac:dyDescent="0.2">
      <c r="A3595">
        <v>3589</v>
      </c>
      <c r="B3595">
        <v>0.99227152187775114</v>
      </c>
    </row>
    <row r="3596" spans="1:2" x14ac:dyDescent="0.2">
      <c r="A3596">
        <v>3590</v>
      </c>
      <c r="B3596">
        <v>0.62947537888684135</v>
      </c>
    </row>
    <row r="3597" spans="1:2" x14ac:dyDescent="0.2">
      <c r="A3597">
        <v>3591</v>
      </c>
      <c r="B3597">
        <v>0.14621364792633418</v>
      </c>
    </row>
    <row r="3598" spans="1:2" x14ac:dyDescent="0.2">
      <c r="A3598">
        <v>3592</v>
      </c>
      <c r="B3598">
        <v>0.69908312945647988</v>
      </c>
    </row>
    <row r="3599" spans="1:2" x14ac:dyDescent="0.2">
      <c r="A3599">
        <v>3593</v>
      </c>
      <c r="B3599">
        <v>0.26838385151203936</v>
      </c>
    </row>
    <row r="3600" spans="1:2" x14ac:dyDescent="0.2">
      <c r="A3600">
        <v>3594</v>
      </c>
      <c r="B3600">
        <v>0.20126665694906987</v>
      </c>
    </row>
    <row r="3601" spans="1:2" x14ac:dyDescent="0.2">
      <c r="A3601">
        <v>3595</v>
      </c>
      <c r="B3601">
        <v>0.36962631659424938</v>
      </c>
    </row>
    <row r="3602" spans="1:2" x14ac:dyDescent="0.2">
      <c r="A3602">
        <v>3596</v>
      </c>
      <c r="B3602">
        <v>0.74309615818887287</v>
      </c>
    </row>
    <row r="3603" spans="1:2" x14ac:dyDescent="0.2">
      <c r="A3603">
        <v>3597</v>
      </c>
      <c r="B3603">
        <v>0.40315182429436613</v>
      </c>
    </row>
    <row r="3604" spans="1:2" x14ac:dyDescent="0.2">
      <c r="A3604">
        <v>3598</v>
      </c>
      <c r="B3604">
        <v>0.74680531034846775</v>
      </c>
    </row>
    <row r="3605" spans="1:2" x14ac:dyDescent="0.2">
      <c r="A3605">
        <v>3599</v>
      </c>
      <c r="B3605">
        <v>0.62258725965971751</v>
      </c>
    </row>
    <row r="3606" spans="1:2" x14ac:dyDescent="0.2">
      <c r="A3606">
        <v>3600</v>
      </c>
      <c r="B3606">
        <v>0.55801151048304298</v>
      </c>
    </row>
    <row r="3607" spans="1:2" x14ac:dyDescent="0.2">
      <c r="A3607">
        <v>3601</v>
      </c>
      <c r="B3607">
        <v>0.22506580234512019</v>
      </c>
    </row>
    <row r="3608" spans="1:2" x14ac:dyDescent="0.2">
      <c r="A3608">
        <v>3602</v>
      </c>
      <c r="B3608">
        <v>0.29804129071275476</v>
      </c>
    </row>
    <row r="3609" spans="1:2" x14ac:dyDescent="0.2">
      <c r="A3609">
        <v>3603</v>
      </c>
      <c r="B3609">
        <v>0.63521153112466222</v>
      </c>
    </row>
    <row r="3610" spans="1:2" x14ac:dyDescent="0.2">
      <c r="A3610">
        <v>3604</v>
      </c>
      <c r="B3610">
        <v>0.76245759744461072</v>
      </c>
    </row>
    <row r="3611" spans="1:2" x14ac:dyDescent="0.2">
      <c r="A3611">
        <v>3605</v>
      </c>
      <c r="B3611">
        <v>7.5481008582194198E-2</v>
      </c>
    </row>
    <row r="3612" spans="1:2" x14ac:dyDescent="0.2">
      <c r="A3612">
        <v>3606</v>
      </c>
      <c r="B3612">
        <v>0.89337788525890738</v>
      </c>
    </row>
    <row r="3613" spans="1:2" x14ac:dyDescent="0.2">
      <c r="A3613">
        <v>3607</v>
      </c>
      <c r="B3613">
        <v>0.66308615930495751</v>
      </c>
    </row>
    <row r="3614" spans="1:2" x14ac:dyDescent="0.2">
      <c r="A3614">
        <v>3608</v>
      </c>
      <c r="B3614">
        <v>0.74133174853897688</v>
      </c>
    </row>
    <row r="3615" spans="1:2" x14ac:dyDescent="0.2">
      <c r="A3615">
        <v>3609</v>
      </c>
      <c r="B3615">
        <v>0.52213148317991132</v>
      </c>
    </row>
    <row r="3616" spans="1:2" x14ac:dyDescent="0.2">
      <c r="A3616">
        <v>3610</v>
      </c>
      <c r="B3616">
        <v>0.50606477115143866</v>
      </c>
    </row>
    <row r="3617" spans="1:2" x14ac:dyDescent="0.2">
      <c r="A3617">
        <v>3611</v>
      </c>
      <c r="B3617">
        <v>0.29651324534878409</v>
      </c>
    </row>
    <row r="3618" spans="1:2" x14ac:dyDescent="0.2">
      <c r="A3618">
        <v>3612</v>
      </c>
      <c r="B3618">
        <v>0.85138976929804644</v>
      </c>
    </row>
    <row r="3619" spans="1:2" x14ac:dyDescent="0.2">
      <c r="A3619">
        <v>3613</v>
      </c>
      <c r="B3619">
        <v>5.1814419945760859E-2</v>
      </c>
    </row>
    <row r="3620" spans="1:2" x14ac:dyDescent="0.2">
      <c r="A3620">
        <v>3614</v>
      </c>
      <c r="B3620">
        <v>0.84428581552066928</v>
      </c>
    </row>
    <row r="3621" spans="1:2" x14ac:dyDescent="0.2">
      <c r="A3621">
        <v>3615</v>
      </c>
      <c r="B3621">
        <v>0.35021732423694807</v>
      </c>
    </row>
    <row r="3622" spans="1:2" x14ac:dyDescent="0.2">
      <c r="A3622">
        <v>3616</v>
      </c>
      <c r="B3622">
        <v>0.69738444492446561</v>
      </c>
    </row>
    <row r="3623" spans="1:2" x14ac:dyDescent="0.2">
      <c r="A3623">
        <v>3617</v>
      </c>
      <c r="B3623">
        <v>0.76591475929786901</v>
      </c>
    </row>
    <row r="3624" spans="1:2" x14ac:dyDescent="0.2">
      <c r="A3624">
        <v>3618</v>
      </c>
      <c r="B3624">
        <v>0.7257588686470694</v>
      </c>
    </row>
    <row r="3625" spans="1:2" x14ac:dyDescent="0.2">
      <c r="A3625">
        <v>3619</v>
      </c>
      <c r="B3625">
        <v>0.34367306430510824</v>
      </c>
    </row>
    <row r="3626" spans="1:2" x14ac:dyDescent="0.2">
      <c r="A3626">
        <v>3620</v>
      </c>
      <c r="B3626">
        <v>0.83939800184061075</v>
      </c>
    </row>
    <row r="3627" spans="1:2" x14ac:dyDescent="0.2">
      <c r="A3627">
        <v>3621</v>
      </c>
      <c r="B3627">
        <v>0.67655011006394461</v>
      </c>
    </row>
    <row r="3628" spans="1:2" x14ac:dyDescent="0.2">
      <c r="A3628">
        <v>3622</v>
      </c>
      <c r="B3628">
        <v>0.36375969729968682</v>
      </c>
    </row>
    <row r="3629" spans="1:2" x14ac:dyDescent="0.2">
      <c r="A3629">
        <v>3623</v>
      </c>
      <c r="B3629">
        <v>0.15239917363756739</v>
      </c>
    </row>
    <row r="3630" spans="1:2" x14ac:dyDescent="0.2">
      <c r="A3630">
        <v>3624</v>
      </c>
      <c r="B3630">
        <v>0.9950080039275998</v>
      </c>
    </row>
    <row r="3631" spans="1:2" x14ac:dyDescent="0.2">
      <c r="A3631">
        <v>3625</v>
      </c>
      <c r="B3631">
        <v>0.24027592103937034</v>
      </c>
    </row>
    <row r="3632" spans="1:2" x14ac:dyDescent="0.2">
      <c r="A3632">
        <v>3626</v>
      </c>
      <c r="B3632">
        <v>0.66942379260273033</v>
      </c>
    </row>
    <row r="3633" spans="1:2" x14ac:dyDescent="0.2">
      <c r="A3633">
        <v>3627</v>
      </c>
      <c r="B3633">
        <v>8.6879705538470242E-2</v>
      </c>
    </row>
    <row r="3634" spans="1:2" x14ac:dyDescent="0.2">
      <c r="A3634">
        <v>3628</v>
      </c>
      <c r="B3634">
        <v>0.91928346303738206</v>
      </c>
    </row>
    <row r="3635" spans="1:2" x14ac:dyDescent="0.2">
      <c r="A3635">
        <v>3629</v>
      </c>
      <c r="B3635">
        <v>5.8330354203080081E-2</v>
      </c>
    </row>
    <row r="3636" spans="1:2" x14ac:dyDescent="0.2">
      <c r="A3636">
        <v>3630</v>
      </c>
      <c r="B3636">
        <v>2.1683436463980077E-2</v>
      </c>
    </row>
    <row r="3637" spans="1:2" x14ac:dyDescent="0.2">
      <c r="A3637">
        <v>3631</v>
      </c>
      <c r="B3637">
        <v>0.30957249225207761</v>
      </c>
    </row>
    <row r="3638" spans="1:2" x14ac:dyDescent="0.2">
      <c r="A3638">
        <v>3632</v>
      </c>
      <c r="B3638">
        <v>0.46479450371360231</v>
      </c>
    </row>
    <row r="3639" spans="1:2" x14ac:dyDescent="0.2">
      <c r="A3639">
        <v>3633</v>
      </c>
      <c r="B3639">
        <v>0.89271362107213692</v>
      </c>
    </row>
    <row r="3640" spans="1:2" x14ac:dyDescent="0.2">
      <c r="A3640">
        <v>3634</v>
      </c>
      <c r="B3640">
        <v>0.46015518317338877</v>
      </c>
    </row>
    <row r="3641" spans="1:2" x14ac:dyDescent="0.2">
      <c r="A3641">
        <v>3635</v>
      </c>
      <c r="B3641">
        <v>0.72715622837003369</v>
      </c>
    </row>
    <row r="3642" spans="1:2" x14ac:dyDescent="0.2">
      <c r="A3642">
        <v>3636</v>
      </c>
      <c r="B3642">
        <v>0.76131795552843762</v>
      </c>
    </row>
    <row r="3643" spans="1:2" x14ac:dyDescent="0.2">
      <c r="A3643">
        <v>3637</v>
      </c>
      <c r="B3643">
        <v>0.1449157233947368</v>
      </c>
    </row>
    <row r="3644" spans="1:2" x14ac:dyDescent="0.2">
      <c r="A3644">
        <v>3638</v>
      </c>
      <c r="B3644">
        <v>0.73018465230505436</v>
      </c>
    </row>
    <row r="3645" spans="1:2" x14ac:dyDescent="0.2">
      <c r="A3645">
        <v>3639</v>
      </c>
      <c r="B3645">
        <v>0.58042943077110509</v>
      </c>
    </row>
    <row r="3646" spans="1:2" x14ac:dyDescent="0.2">
      <c r="A3646">
        <v>3640</v>
      </c>
      <c r="B3646">
        <v>0.43267643865945293</v>
      </c>
    </row>
    <row r="3647" spans="1:2" x14ac:dyDescent="0.2">
      <c r="A3647">
        <v>3641</v>
      </c>
      <c r="B3647">
        <v>0.60650462538999472</v>
      </c>
    </row>
    <row r="3648" spans="1:2" x14ac:dyDescent="0.2">
      <c r="A3648">
        <v>3642</v>
      </c>
      <c r="B3648">
        <v>0.61331851532750692</v>
      </c>
    </row>
    <row r="3649" spans="1:2" x14ac:dyDescent="0.2">
      <c r="A3649">
        <v>3643</v>
      </c>
      <c r="B3649">
        <v>0.98194697029510392</v>
      </c>
    </row>
    <row r="3650" spans="1:2" x14ac:dyDescent="0.2">
      <c r="A3650">
        <v>3644</v>
      </c>
      <c r="B3650">
        <v>0.58339573045628645</v>
      </c>
    </row>
    <row r="3651" spans="1:2" x14ac:dyDescent="0.2">
      <c r="A3651">
        <v>3645</v>
      </c>
      <c r="B3651">
        <v>0.50285228648462299</v>
      </c>
    </row>
    <row r="3652" spans="1:2" x14ac:dyDescent="0.2">
      <c r="A3652">
        <v>3646</v>
      </c>
      <c r="B3652">
        <v>3.5455504677092797E-2</v>
      </c>
    </row>
    <row r="3653" spans="1:2" x14ac:dyDescent="0.2">
      <c r="A3653">
        <v>3647</v>
      </c>
      <c r="B3653">
        <v>0.25528486806876916</v>
      </c>
    </row>
    <row r="3654" spans="1:2" x14ac:dyDescent="0.2">
      <c r="A3654">
        <v>3648</v>
      </c>
      <c r="B3654">
        <v>0.71338068749573991</v>
      </c>
    </row>
    <row r="3655" spans="1:2" x14ac:dyDescent="0.2">
      <c r="A3655">
        <v>3649</v>
      </c>
      <c r="B3655">
        <v>0.86820255460829288</v>
      </c>
    </row>
    <row r="3656" spans="1:2" x14ac:dyDescent="0.2">
      <c r="A3656">
        <v>3650</v>
      </c>
      <c r="B3656">
        <v>0.20138271865240664</v>
      </c>
    </row>
    <row r="3657" spans="1:2" x14ac:dyDescent="0.2">
      <c r="A3657">
        <v>3651</v>
      </c>
      <c r="B3657">
        <v>0.53748150129424266</v>
      </c>
    </row>
    <row r="3658" spans="1:2" x14ac:dyDescent="0.2">
      <c r="A3658">
        <v>3652</v>
      </c>
      <c r="B3658">
        <v>0.67769619227088052</v>
      </c>
    </row>
    <row r="3659" spans="1:2" x14ac:dyDescent="0.2">
      <c r="A3659">
        <v>3653</v>
      </c>
      <c r="B3659">
        <v>0.93830157624983834</v>
      </c>
    </row>
    <row r="3660" spans="1:2" x14ac:dyDescent="0.2">
      <c r="A3660">
        <v>3654</v>
      </c>
      <c r="B3660">
        <v>0.73421621014279403</v>
      </c>
    </row>
    <row r="3661" spans="1:2" x14ac:dyDescent="0.2">
      <c r="A3661">
        <v>3655</v>
      </c>
      <c r="B3661">
        <v>0.49227718533535647</v>
      </c>
    </row>
    <row r="3662" spans="1:2" x14ac:dyDescent="0.2">
      <c r="A3662">
        <v>3656</v>
      </c>
      <c r="B3662">
        <v>7.9876141911850884E-2</v>
      </c>
    </row>
    <row r="3663" spans="1:2" x14ac:dyDescent="0.2">
      <c r="A3663">
        <v>3657</v>
      </c>
      <c r="B3663">
        <v>0.27766888873686579</v>
      </c>
    </row>
    <row r="3664" spans="1:2" x14ac:dyDescent="0.2">
      <c r="A3664">
        <v>3658</v>
      </c>
      <c r="B3664">
        <v>0.32104805826490135</v>
      </c>
    </row>
    <row r="3665" spans="1:2" x14ac:dyDescent="0.2">
      <c r="A3665">
        <v>3659</v>
      </c>
      <c r="B3665">
        <v>0.40941461970327764</v>
      </c>
    </row>
    <row r="3666" spans="1:2" x14ac:dyDescent="0.2">
      <c r="A3666">
        <v>3660</v>
      </c>
      <c r="B3666">
        <v>0.13582424608032051</v>
      </c>
    </row>
    <row r="3667" spans="1:2" x14ac:dyDescent="0.2">
      <c r="A3667">
        <v>3661</v>
      </c>
      <c r="B3667">
        <v>0.41465442043707235</v>
      </c>
    </row>
    <row r="3668" spans="1:2" x14ac:dyDescent="0.2">
      <c r="A3668">
        <v>3662</v>
      </c>
      <c r="B3668">
        <v>0.40658866327790055</v>
      </c>
    </row>
    <row r="3669" spans="1:2" x14ac:dyDescent="0.2">
      <c r="A3669">
        <v>3663</v>
      </c>
      <c r="B3669">
        <v>0.33268814215064768</v>
      </c>
    </row>
    <row r="3670" spans="1:2" x14ac:dyDescent="0.2">
      <c r="A3670">
        <v>3664</v>
      </c>
      <c r="B3670">
        <v>0.22940494616599749</v>
      </c>
    </row>
    <row r="3671" spans="1:2" x14ac:dyDescent="0.2">
      <c r="A3671">
        <v>3665</v>
      </c>
      <c r="B3671">
        <v>9.5357301440145648E-2</v>
      </c>
    </row>
    <row r="3672" spans="1:2" x14ac:dyDescent="0.2">
      <c r="A3672">
        <v>3666</v>
      </c>
      <c r="B3672">
        <v>0.99877781715969638</v>
      </c>
    </row>
    <row r="3673" spans="1:2" x14ac:dyDescent="0.2">
      <c r="A3673">
        <v>3667</v>
      </c>
      <c r="B3673">
        <v>0.7849060619745013</v>
      </c>
    </row>
    <row r="3674" spans="1:2" x14ac:dyDescent="0.2">
      <c r="A3674">
        <v>3668</v>
      </c>
      <c r="B3674">
        <v>0.20758367256697952</v>
      </c>
    </row>
    <row r="3675" spans="1:2" x14ac:dyDescent="0.2">
      <c r="A3675">
        <v>3669</v>
      </c>
      <c r="B3675">
        <v>0.30548270715753967</v>
      </c>
    </row>
    <row r="3676" spans="1:2" x14ac:dyDescent="0.2">
      <c r="A3676">
        <v>3670</v>
      </c>
      <c r="B3676">
        <v>0.27065991449492888</v>
      </c>
    </row>
    <row r="3677" spans="1:2" x14ac:dyDescent="0.2">
      <c r="A3677">
        <v>3671</v>
      </c>
      <c r="B3677">
        <v>0.66028083610981381</v>
      </c>
    </row>
    <row r="3678" spans="1:2" x14ac:dyDescent="0.2">
      <c r="A3678">
        <v>3672</v>
      </c>
      <c r="B3678">
        <v>0.45498398488592595</v>
      </c>
    </row>
    <row r="3679" spans="1:2" x14ac:dyDescent="0.2">
      <c r="A3679">
        <v>3673</v>
      </c>
      <c r="B3679">
        <v>0.1914656138089782</v>
      </c>
    </row>
    <row r="3680" spans="1:2" x14ac:dyDescent="0.2">
      <c r="A3680">
        <v>3674</v>
      </c>
      <c r="B3680">
        <v>0.97682347270145409</v>
      </c>
    </row>
    <row r="3681" spans="1:2" x14ac:dyDescent="0.2">
      <c r="A3681">
        <v>3675</v>
      </c>
      <c r="B3681">
        <v>0.11323958280498203</v>
      </c>
    </row>
    <row r="3682" spans="1:2" x14ac:dyDescent="0.2">
      <c r="A3682">
        <v>3676</v>
      </c>
      <c r="B3682">
        <v>0.25817383048244458</v>
      </c>
    </row>
    <row r="3683" spans="1:2" x14ac:dyDescent="0.2">
      <c r="A3683">
        <v>3677</v>
      </c>
      <c r="B3683">
        <v>0.47224737198915512</v>
      </c>
    </row>
    <row r="3684" spans="1:2" x14ac:dyDescent="0.2">
      <c r="A3684">
        <v>3678</v>
      </c>
      <c r="B3684">
        <v>0.39128186339362769</v>
      </c>
    </row>
    <row r="3685" spans="1:2" x14ac:dyDescent="0.2">
      <c r="A3685">
        <v>3679</v>
      </c>
      <c r="B3685">
        <v>0.52050141070893652</v>
      </c>
    </row>
    <row r="3686" spans="1:2" x14ac:dyDescent="0.2">
      <c r="A3686">
        <v>3680</v>
      </c>
      <c r="B3686">
        <v>0.42563607418581362</v>
      </c>
    </row>
    <row r="3687" spans="1:2" x14ac:dyDescent="0.2">
      <c r="A3687">
        <v>3681</v>
      </c>
      <c r="B3687">
        <v>4.0400578910492979E-2</v>
      </c>
    </row>
    <row r="3688" spans="1:2" x14ac:dyDescent="0.2">
      <c r="A3688">
        <v>3682</v>
      </c>
      <c r="B3688">
        <v>0.22743002869266682</v>
      </c>
    </row>
    <row r="3689" spans="1:2" x14ac:dyDescent="0.2">
      <c r="A3689">
        <v>3683</v>
      </c>
      <c r="B3689">
        <v>0.20750856964790332</v>
      </c>
    </row>
    <row r="3690" spans="1:2" x14ac:dyDescent="0.2">
      <c r="A3690">
        <v>3684</v>
      </c>
      <c r="B3690">
        <v>5.368771257089533E-2</v>
      </c>
    </row>
    <row r="3691" spans="1:2" x14ac:dyDescent="0.2">
      <c r="A3691">
        <v>3685</v>
      </c>
      <c r="B3691">
        <v>0.34631831480577457</v>
      </c>
    </row>
    <row r="3692" spans="1:2" x14ac:dyDescent="0.2">
      <c r="A3692">
        <v>3686</v>
      </c>
      <c r="B3692">
        <v>0.29769542123171688</v>
      </c>
    </row>
    <row r="3693" spans="1:2" x14ac:dyDescent="0.2">
      <c r="A3693">
        <v>3687</v>
      </c>
      <c r="B3693">
        <v>0.13567907825846115</v>
      </c>
    </row>
    <row r="3694" spans="1:2" x14ac:dyDescent="0.2">
      <c r="A3694">
        <v>3688</v>
      </c>
      <c r="B3694">
        <v>7.9044704643784769E-3</v>
      </c>
    </row>
    <row r="3695" spans="1:2" x14ac:dyDescent="0.2">
      <c r="A3695">
        <v>3689</v>
      </c>
      <c r="B3695">
        <v>0.85356926899297081</v>
      </c>
    </row>
    <row r="3696" spans="1:2" x14ac:dyDescent="0.2">
      <c r="A3696">
        <v>3690</v>
      </c>
      <c r="B3696">
        <v>3.9903419534884521E-2</v>
      </c>
    </row>
    <row r="3697" spans="1:2" x14ac:dyDescent="0.2">
      <c r="A3697">
        <v>3691</v>
      </c>
      <c r="B3697">
        <v>0.35684199354613966</v>
      </c>
    </row>
    <row r="3698" spans="1:2" x14ac:dyDescent="0.2">
      <c r="A3698">
        <v>3692</v>
      </c>
      <c r="B3698">
        <v>0.45170369109360231</v>
      </c>
    </row>
    <row r="3699" spans="1:2" x14ac:dyDescent="0.2">
      <c r="A3699">
        <v>3693</v>
      </c>
      <c r="B3699">
        <v>0.31735368635692907</v>
      </c>
    </row>
    <row r="3700" spans="1:2" x14ac:dyDescent="0.2">
      <c r="A3700">
        <v>3694</v>
      </c>
      <c r="B3700">
        <v>0.70880396852082239</v>
      </c>
    </row>
    <row r="3701" spans="1:2" x14ac:dyDescent="0.2">
      <c r="A3701">
        <v>3695</v>
      </c>
      <c r="B3701">
        <v>0.43553187166180052</v>
      </c>
    </row>
    <row r="3702" spans="1:2" x14ac:dyDescent="0.2">
      <c r="A3702">
        <v>3696</v>
      </c>
      <c r="B3702">
        <v>0.65981061346857639</v>
      </c>
    </row>
    <row r="3703" spans="1:2" x14ac:dyDescent="0.2">
      <c r="A3703">
        <v>3697</v>
      </c>
      <c r="B3703">
        <v>0.22720313407427384</v>
      </c>
    </row>
    <row r="3704" spans="1:2" x14ac:dyDescent="0.2">
      <c r="A3704">
        <v>3698</v>
      </c>
      <c r="B3704">
        <v>0.14093377733038304</v>
      </c>
    </row>
    <row r="3705" spans="1:2" x14ac:dyDescent="0.2">
      <c r="A3705">
        <v>3699</v>
      </c>
      <c r="B3705">
        <v>0.43331692591404714</v>
      </c>
    </row>
    <row r="3706" spans="1:2" x14ac:dyDescent="0.2">
      <c r="A3706">
        <v>3700</v>
      </c>
      <c r="B3706">
        <v>0.31979347759363963</v>
      </c>
    </row>
    <row r="3707" spans="1:2" x14ac:dyDescent="0.2">
      <c r="A3707">
        <v>3701</v>
      </c>
      <c r="B3707">
        <v>0.50143526400622163</v>
      </c>
    </row>
    <row r="3708" spans="1:2" x14ac:dyDescent="0.2">
      <c r="A3708">
        <v>3702</v>
      </c>
      <c r="B3708">
        <v>0.68672258982793299</v>
      </c>
    </row>
    <row r="3709" spans="1:2" x14ac:dyDescent="0.2">
      <c r="A3709">
        <v>3703</v>
      </c>
      <c r="B3709">
        <v>0.21710872840872208</v>
      </c>
    </row>
    <row r="3710" spans="1:2" x14ac:dyDescent="0.2">
      <c r="A3710">
        <v>3704</v>
      </c>
      <c r="B3710">
        <v>0.67401917538502709</v>
      </c>
    </row>
    <row r="3711" spans="1:2" x14ac:dyDescent="0.2">
      <c r="A3711">
        <v>3705</v>
      </c>
      <c r="B3711">
        <v>0.92028119585518187</v>
      </c>
    </row>
    <row r="3712" spans="1:2" x14ac:dyDescent="0.2">
      <c r="A3712">
        <v>3706</v>
      </c>
      <c r="B3712">
        <v>0.51806931488199071</v>
      </c>
    </row>
    <row r="3713" spans="1:2" x14ac:dyDescent="0.2">
      <c r="A3713">
        <v>3707</v>
      </c>
      <c r="B3713">
        <v>0.85262845938519249</v>
      </c>
    </row>
    <row r="3714" spans="1:2" x14ac:dyDescent="0.2">
      <c r="A3714">
        <v>3708</v>
      </c>
      <c r="B3714">
        <v>0.37989139936773664</v>
      </c>
    </row>
    <row r="3715" spans="1:2" x14ac:dyDescent="0.2">
      <c r="A3715">
        <v>3709</v>
      </c>
      <c r="B3715">
        <v>0.4422735960130203</v>
      </c>
    </row>
    <row r="3716" spans="1:2" x14ac:dyDescent="0.2">
      <c r="A3716">
        <v>3710</v>
      </c>
      <c r="B3716">
        <v>0.40014107578143399</v>
      </c>
    </row>
    <row r="3717" spans="1:2" x14ac:dyDescent="0.2">
      <c r="A3717">
        <v>3711</v>
      </c>
      <c r="B3717">
        <v>0.57558406285105945</v>
      </c>
    </row>
    <row r="3718" spans="1:2" x14ac:dyDescent="0.2">
      <c r="A3718">
        <v>3712</v>
      </c>
      <c r="B3718">
        <v>0.16098427517746794</v>
      </c>
    </row>
    <row r="3719" spans="1:2" x14ac:dyDescent="0.2">
      <c r="A3719">
        <v>3713</v>
      </c>
      <c r="B3719">
        <v>0.862542507266297</v>
      </c>
    </row>
    <row r="3720" spans="1:2" x14ac:dyDescent="0.2">
      <c r="A3720">
        <v>3714</v>
      </c>
      <c r="B3720">
        <v>0.1860594255661987</v>
      </c>
    </row>
    <row r="3721" spans="1:2" x14ac:dyDescent="0.2">
      <c r="A3721">
        <v>3715</v>
      </c>
      <c r="B3721">
        <v>0.95744457034448338</v>
      </c>
    </row>
    <row r="3722" spans="1:2" x14ac:dyDescent="0.2">
      <c r="A3722">
        <v>3716</v>
      </c>
      <c r="B3722">
        <v>0.75506919385677218</v>
      </c>
    </row>
    <row r="3723" spans="1:2" x14ac:dyDescent="0.2">
      <c r="A3723">
        <v>3717</v>
      </c>
      <c r="B3723">
        <v>0.11791554351866929</v>
      </c>
    </row>
    <row r="3724" spans="1:2" x14ac:dyDescent="0.2">
      <c r="A3724">
        <v>3718</v>
      </c>
      <c r="B3724">
        <v>0.29593070566149582</v>
      </c>
    </row>
    <row r="3725" spans="1:2" x14ac:dyDescent="0.2">
      <c r="A3725">
        <v>3719</v>
      </c>
      <c r="B3725">
        <v>0.78532570821840275</v>
      </c>
    </row>
    <row r="3726" spans="1:2" x14ac:dyDescent="0.2">
      <c r="A3726">
        <v>3720</v>
      </c>
      <c r="B3726">
        <v>0.80996249158601863</v>
      </c>
    </row>
    <row r="3727" spans="1:2" x14ac:dyDescent="0.2">
      <c r="A3727">
        <v>3721</v>
      </c>
      <c r="B3727">
        <v>0.28544272415020355</v>
      </c>
    </row>
    <row r="3728" spans="1:2" x14ac:dyDescent="0.2">
      <c r="A3728">
        <v>3722</v>
      </c>
      <c r="B3728">
        <v>0.40496021717743724</v>
      </c>
    </row>
    <row r="3729" spans="1:2" x14ac:dyDescent="0.2">
      <c r="A3729">
        <v>3723</v>
      </c>
      <c r="B3729">
        <v>0.38584805172815706</v>
      </c>
    </row>
    <row r="3730" spans="1:2" x14ac:dyDescent="0.2">
      <c r="A3730">
        <v>3724</v>
      </c>
      <c r="B3730">
        <v>0.91055144233591589</v>
      </c>
    </row>
    <row r="3731" spans="1:2" x14ac:dyDescent="0.2">
      <c r="A3731">
        <v>3725</v>
      </c>
      <c r="B3731">
        <v>0.59603607379009216</v>
      </c>
    </row>
    <row r="3732" spans="1:2" x14ac:dyDescent="0.2">
      <c r="A3732">
        <v>3726</v>
      </c>
      <c r="B3732">
        <v>0.52588879541755451</v>
      </c>
    </row>
    <row r="3733" spans="1:2" x14ac:dyDescent="0.2">
      <c r="A3733">
        <v>3727</v>
      </c>
      <c r="B3733">
        <v>0.2122393382393849</v>
      </c>
    </row>
    <row r="3734" spans="1:2" x14ac:dyDescent="0.2">
      <c r="A3734">
        <v>3728</v>
      </c>
      <c r="B3734">
        <v>0.23714254421130032</v>
      </c>
    </row>
    <row r="3735" spans="1:2" x14ac:dyDescent="0.2">
      <c r="A3735">
        <v>3729</v>
      </c>
      <c r="B3735">
        <v>0.29025565028498845</v>
      </c>
    </row>
    <row r="3736" spans="1:2" x14ac:dyDescent="0.2">
      <c r="A3736">
        <v>3730</v>
      </c>
      <c r="B3736">
        <v>0.96119713921656602</v>
      </c>
    </row>
    <row r="3737" spans="1:2" x14ac:dyDescent="0.2">
      <c r="A3737">
        <v>3731</v>
      </c>
      <c r="B3737">
        <v>0.46842646273235966</v>
      </c>
    </row>
    <row r="3738" spans="1:2" x14ac:dyDescent="0.2">
      <c r="A3738">
        <v>3732</v>
      </c>
      <c r="B3738">
        <v>0.36333424485763854</v>
      </c>
    </row>
    <row r="3739" spans="1:2" x14ac:dyDescent="0.2">
      <c r="A3739">
        <v>3733</v>
      </c>
      <c r="B3739">
        <v>0.15391207134150398</v>
      </c>
    </row>
    <row r="3740" spans="1:2" x14ac:dyDescent="0.2">
      <c r="A3740">
        <v>3734</v>
      </c>
      <c r="B3740">
        <v>0.42110184238645509</v>
      </c>
    </row>
    <row r="3741" spans="1:2" x14ac:dyDescent="0.2">
      <c r="A3741">
        <v>3735</v>
      </c>
      <c r="B3741">
        <v>0.61027626521980616</v>
      </c>
    </row>
    <row r="3742" spans="1:2" x14ac:dyDescent="0.2">
      <c r="A3742">
        <v>3736</v>
      </c>
      <c r="B3742">
        <v>0.2371713188449428</v>
      </c>
    </row>
    <row r="3743" spans="1:2" x14ac:dyDescent="0.2">
      <c r="A3743">
        <v>3737</v>
      </c>
      <c r="B3743">
        <v>0.49192357227179284</v>
      </c>
    </row>
    <row r="3744" spans="1:2" x14ac:dyDescent="0.2">
      <c r="A3744">
        <v>3738</v>
      </c>
      <c r="B3744">
        <v>0.18653521783917759</v>
      </c>
    </row>
    <row r="3745" spans="1:2" x14ac:dyDescent="0.2">
      <c r="A3745">
        <v>3739</v>
      </c>
      <c r="B3745">
        <v>0.52079915477548644</v>
      </c>
    </row>
    <row r="3746" spans="1:2" x14ac:dyDescent="0.2">
      <c r="A3746">
        <v>3740</v>
      </c>
      <c r="B3746">
        <v>0.41997092439214023</v>
      </c>
    </row>
    <row r="3747" spans="1:2" x14ac:dyDescent="0.2">
      <c r="A3747">
        <v>3741</v>
      </c>
      <c r="B3747">
        <v>0.98641310760657319</v>
      </c>
    </row>
    <row r="3748" spans="1:2" x14ac:dyDescent="0.2">
      <c r="A3748">
        <v>3742</v>
      </c>
      <c r="B3748">
        <v>0.57466926602629487</v>
      </c>
    </row>
    <row r="3749" spans="1:2" x14ac:dyDescent="0.2">
      <c r="A3749">
        <v>3743</v>
      </c>
      <c r="B3749">
        <v>0.62025932024609909</v>
      </c>
    </row>
    <row r="3750" spans="1:2" x14ac:dyDescent="0.2">
      <c r="A3750">
        <v>3744</v>
      </c>
      <c r="B3750">
        <v>0.60425534155096816</v>
      </c>
    </row>
    <row r="3751" spans="1:2" x14ac:dyDescent="0.2">
      <c r="A3751">
        <v>3745</v>
      </c>
      <c r="B3751">
        <v>0.73353430087419869</v>
      </c>
    </row>
    <row r="3752" spans="1:2" x14ac:dyDescent="0.2">
      <c r="A3752">
        <v>3746</v>
      </c>
      <c r="B3752">
        <v>0.82317769817614328</v>
      </c>
    </row>
    <row r="3753" spans="1:2" x14ac:dyDescent="0.2">
      <c r="A3753">
        <v>3747</v>
      </c>
      <c r="B3753">
        <v>0.11181152571371922</v>
      </c>
    </row>
    <row r="3754" spans="1:2" x14ac:dyDescent="0.2">
      <c r="A3754">
        <v>3748</v>
      </c>
      <c r="B3754">
        <v>0.15485279702286103</v>
      </c>
    </row>
    <row r="3755" spans="1:2" x14ac:dyDescent="0.2">
      <c r="A3755">
        <v>3749</v>
      </c>
      <c r="B3755">
        <v>0.90788069740656008</v>
      </c>
    </row>
    <row r="3756" spans="1:2" x14ac:dyDescent="0.2">
      <c r="A3756">
        <v>3750</v>
      </c>
      <c r="B3756">
        <v>0.72181548613498459</v>
      </c>
    </row>
    <row r="3757" spans="1:2" x14ac:dyDescent="0.2">
      <c r="A3757">
        <v>3751</v>
      </c>
      <c r="B3757">
        <v>0.65139896743328207</v>
      </c>
    </row>
    <row r="3758" spans="1:2" x14ac:dyDescent="0.2">
      <c r="A3758">
        <v>3752</v>
      </c>
      <c r="B3758">
        <v>0.92327038026939057</v>
      </c>
    </row>
    <row r="3759" spans="1:2" x14ac:dyDescent="0.2">
      <c r="A3759">
        <v>3753</v>
      </c>
      <c r="B3759">
        <v>0.14866048777490348</v>
      </c>
    </row>
    <row r="3760" spans="1:2" x14ac:dyDescent="0.2">
      <c r="A3760">
        <v>3754</v>
      </c>
      <c r="B3760">
        <v>0.20242798198192846</v>
      </c>
    </row>
    <row r="3761" spans="1:2" x14ac:dyDescent="0.2">
      <c r="A3761">
        <v>3755</v>
      </c>
      <c r="B3761">
        <v>0.54513557337963314</v>
      </c>
    </row>
    <row r="3762" spans="1:2" x14ac:dyDescent="0.2">
      <c r="A3762">
        <v>3756</v>
      </c>
      <c r="B3762">
        <v>0.25034214202447724</v>
      </c>
    </row>
    <row r="3763" spans="1:2" x14ac:dyDescent="0.2">
      <c r="A3763">
        <v>3757</v>
      </c>
      <c r="B3763">
        <v>0.24849175388517331</v>
      </c>
    </row>
    <row r="3764" spans="1:2" x14ac:dyDescent="0.2">
      <c r="A3764">
        <v>3758</v>
      </c>
      <c r="B3764">
        <v>0.98639085004035487</v>
      </c>
    </row>
    <row r="3765" spans="1:2" x14ac:dyDescent="0.2">
      <c r="A3765">
        <v>3759</v>
      </c>
      <c r="B3765">
        <v>0.19336368342328525</v>
      </c>
    </row>
    <row r="3766" spans="1:2" x14ac:dyDescent="0.2">
      <c r="A3766">
        <v>3760</v>
      </c>
      <c r="B3766">
        <v>0.70590342787138483</v>
      </c>
    </row>
    <row r="3767" spans="1:2" x14ac:dyDescent="0.2">
      <c r="A3767">
        <v>3761</v>
      </c>
      <c r="B3767">
        <v>0.5124124554256565</v>
      </c>
    </row>
    <row r="3768" spans="1:2" x14ac:dyDescent="0.2">
      <c r="A3768">
        <v>3762</v>
      </c>
      <c r="B3768">
        <v>0.478767998393407</v>
      </c>
    </row>
    <row r="3769" spans="1:2" x14ac:dyDescent="0.2">
      <c r="A3769">
        <v>3763</v>
      </c>
      <c r="B3769">
        <v>0.18411631682327556</v>
      </c>
    </row>
    <row r="3770" spans="1:2" x14ac:dyDescent="0.2">
      <c r="A3770">
        <v>3764</v>
      </c>
      <c r="B3770">
        <v>0.1288239677665669</v>
      </c>
    </row>
    <row r="3771" spans="1:2" x14ac:dyDescent="0.2">
      <c r="A3771">
        <v>3765</v>
      </c>
      <c r="B3771">
        <v>0.88140883041787388</v>
      </c>
    </row>
    <row r="3772" spans="1:2" x14ac:dyDescent="0.2">
      <c r="A3772">
        <v>3766</v>
      </c>
      <c r="B3772">
        <v>0.33061885577362993</v>
      </c>
    </row>
    <row r="3773" spans="1:2" x14ac:dyDescent="0.2">
      <c r="A3773">
        <v>3767</v>
      </c>
      <c r="B3773">
        <v>0.35103235930710952</v>
      </c>
    </row>
    <row r="3774" spans="1:2" x14ac:dyDescent="0.2">
      <c r="A3774">
        <v>3768</v>
      </c>
      <c r="B3774">
        <v>0.72458618844255362</v>
      </c>
    </row>
    <row r="3775" spans="1:2" x14ac:dyDescent="0.2">
      <c r="A3775">
        <v>3769</v>
      </c>
      <c r="B3775">
        <v>0.41436397492698129</v>
      </c>
    </row>
    <row r="3776" spans="1:2" x14ac:dyDescent="0.2">
      <c r="A3776">
        <v>3770</v>
      </c>
      <c r="B3776">
        <v>0.81166954149058779</v>
      </c>
    </row>
    <row r="3777" spans="1:2" x14ac:dyDescent="0.2">
      <c r="A3777">
        <v>3771</v>
      </c>
      <c r="B3777">
        <v>0.29303746756207749</v>
      </c>
    </row>
    <row r="3778" spans="1:2" x14ac:dyDescent="0.2">
      <c r="A3778">
        <v>3772</v>
      </c>
      <c r="B3778">
        <v>0.22408360133322514</v>
      </c>
    </row>
    <row r="3779" spans="1:2" x14ac:dyDescent="0.2">
      <c r="A3779">
        <v>3773</v>
      </c>
      <c r="B3779">
        <v>0.68026534952237028</v>
      </c>
    </row>
    <row r="3780" spans="1:2" x14ac:dyDescent="0.2">
      <c r="A3780">
        <v>3774</v>
      </c>
      <c r="B3780">
        <v>0.13028722399964787</v>
      </c>
    </row>
    <row r="3781" spans="1:2" x14ac:dyDescent="0.2">
      <c r="A3781">
        <v>3775</v>
      </c>
      <c r="B3781">
        <v>0.17657397621148696</v>
      </c>
    </row>
    <row r="3782" spans="1:2" x14ac:dyDescent="0.2">
      <c r="A3782">
        <v>3776</v>
      </c>
      <c r="B3782">
        <v>1.3949478810289406E-2</v>
      </c>
    </row>
    <row r="3783" spans="1:2" x14ac:dyDescent="0.2">
      <c r="A3783">
        <v>3777</v>
      </c>
      <c r="B3783">
        <v>0.27634119194614037</v>
      </c>
    </row>
    <row r="3784" spans="1:2" x14ac:dyDescent="0.2">
      <c r="A3784">
        <v>3778</v>
      </c>
      <c r="B3784">
        <v>0.81731328824580218</v>
      </c>
    </row>
    <row r="3785" spans="1:2" x14ac:dyDescent="0.2">
      <c r="A3785">
        <v>3779</v>
      </c>
      <c r="B3785">
        <v>0.74060091383367543</v>
      </c>
    </row>
    <row r="3786" spans="1:2" x14ac:dyDescent="0.2">
      <c r="A3786">
        <v>3780</v>
      </c>
      <c r="B3786">
        <v>0.95574593115228013</v>
      </c>
    </row>
    <row r="3787" spans="1:2" x14ac:dyDescent="0.2">
      <c r="A3787">
        <v>3781</v>
      </c>
      <c r="B3787">
        <v>0.14272278681481887</v>
      </c>
    </row>
    <row r="3788" spans="1:2" x14ac:dyDescent="0.2">
      <c r="A3788">
        <v>3782</v>
      </c>
      <c r="B3788">
        <v>0.43657964598529542</v>
      </c>
    </row>
    <row r="3789" spans="1:2" x14ac:dyDescent="0.2">
      <c r="A3789">
        <v>3783</v>
      </c>
      <c r="B3789">
        <v>0.12336003465263468</v>
      </c>
    </row>
    <row r="3790" spans="1:2" x14ac:dyDescent="0.2">
      <c r="A3790">
        <v>3784</v>
      </c>
      <c r="B3790">
        <v>0.70185109205747875</v>
      </c>
    </row>
    <row r="3791" spans="1:2" x14ac:dyDescent="0.2">
      <c r="A3791">
        <v>3785</v>
      </c>
      <c r="B3791">
        <v>0.57176490074229969</v>
      </c>
    </row>
    <row r="3792" spans="1:2" x14ac:dyDescent="0.2">
      <c r="A3792">
        <v>3786</v>
      </c>
      <c r="B3792">
        <v>0.86070335821840838</v>
      </c>
    </row>
    <row r="3793" spans="1:2" x14ac:dyDescent="0.2">
      <c r="A3793">
        <v>3787</v>
      </c>
      <c r="B3793">
        <v>6.3992878838194045E-2</v>
      </c>
    </row>
    <row r="3794" spans="1:2" x14ac:dyDescent="0.2">
      <c r="A3794">
        <v>3788</v>
      </c>
      <c r="B3794">
        <v>0.50879689614394397</v>
      </c>
    </row>
    <row r="3795" spans="1:2" x14ac:dyDescent="0.2">
      <c r="A3795">
        <v>3789</v>
      </c>
      <c r="B3795">
        <v>0.16456801128458753</v>
      </c>
    </row>
    <row r="3796" spans="1:2" x14ac:dyDescent="0.2">
      <c r="A3796">
        <v>3790</v>
      </c>
      <c r="B3796">
        <v>0.16021855280973107</v>
      </c>
    </row>
    <row r="3797" spans="1:2" x14ac:dyDescent="0.2">
      <c r="A3797">
        <v>3791</v>
      </c>
      <c r="B3797">
        <v>0.58159685167975417</v>
      </c>
    </row>
    <row r="3798" spans="1:2" x14ac:dyDescent="0.2">
      <c r="A3798">
        <v>3792</v>
      </c>
      <c r="B3798">
        <v>0.26955357432080918</v>
      </c>
    </row>
    <row r="3799" spans="1:2" x14ac:dyDescent="0.2">
      <c r="A3799">
        <v>3793</v>
      </c>
      <c r="B3799">
        <v>0.21791708500748197</v>
      </c>
    </row>
    <row r="3800" spans="1:2" x14ac:dyDescent="0.2">
      <c r="A3800">
        <v>3794</v>
      </c>
      <c r="B3800">
        <v>0.32526417509329641</v>
      </c>
    </row>
    <row r="3801" spans="1:2" x14ac:dyDescent="0.2">
      <c r="A3801">
        <v>3795</v>
      </c>
      <c r="B3801">
        <v>0.36031697033376031</v>
      </c>
    </row>
    <row r="3802" spans="1:2" x14ac:dyDescent="0.2">
      <c r="A3802">
        <v>3796</v>
      </c>
      <c r="B3802">
        <v>0.46136159462365889</v>
      </c>
    </row>
    <row r="3803" spans="1:2" x14ac:dyDescent="0.2">
      <c r="A3803">
        <v>3797</v>
      </c>
      <c r="B3803">
        <v>0.42230961202273798</v>
      </c>
    </row>
    <row r="3804" spans="1:2" x14ac:dyDescent="0.2">
      <c r="A3804">
        <v>3798</v>
      </c>
      <c r="B3804">
        <v>0.74580784263957045</v>
      </c>
    </row>
    <row r="3805" spans="1:2" x14ac:dyDescent="0.2">
      <c r="A3805">
        <v>3799</v>
      </c>
      <c r="B3805">
        <v>0.81075545886420075</v>
      </c>
    </row>
    <row r="3806" spans="1:2" x14ac:dyDescent="0.2">
      <c r="A3806">
        <v>3800</v>
      </c>
      <c r="B3806">
        <v>0.76463425632238446</v>
      </c>
    </row>
    <row r="3807" spans="1:2" x14ac:dyDescent="0.2">
      <c r="A3807">
        <v>3801</v>
      </c>
      <c r="B3807">
        <v>0.13824597859783094</v>
      </c>
    </row>
    <row r="3808" spans="1:2" x14ac:dyDescent="0.2">
      <c r="A3808">
        <v>3802</v>
      </c>
      <c r="B3808">
        <v>0.64122850333896375</v>
      </c>
    </row>
    <row r="3809" spans="1:2" x14ac:dyDescent="0.2">
      <c r="A3809">
        <v>3803</v>
      </c>
      <c r="B3809">
        <v>0.52242947295920927</v>
      </c>
    </row>
    <row r="3810" spans="1:2" x14ac:dyDescent="0.2">
      <c r="A3810">
        <v>3804</v>
      </c>
      <c r="B3810">
        <v>0.62239715085069358</v>
      </c>
    </row>
    <row r="3811" spans="1:2" x14ac:dyDescent="0.2">
      <c r="A3811">
        <v>3805</v>
      </c>
      <c r="B3811">
        <v>0.42666097941910008</v>
      </c>
    </row>
    <row r="3812" spans="1:2" x14ac:dyDescent="0.2">
      <c r="A3812">
        <v>3806</v>
      </c>
      <c r="B3812">
        <v>0.217114447175351</v>
      </c>
    </row>
    <row r="3813" spans="1:2" x14ac:dyDescent="0.2">
      <c r="A3813">
        <v>3807</v>
      </c>
      <c r="B3813">
        <v>0.45158196742151357</v>
      </c>
    </row>
    <row r="3814" spans="1:2" x14ac:dyDescent="0.2">
      <c r="A3814">
        <v>3808</v>
      </c>
      <c r="B3814">
        <v>0.96473202894774468</v>
      </c>
    </row>
    <row r="3815" spans="1:2" x14ac:dyDescent="0.2">
      <c r="A3815">
        <v>3809</v>
      </c>
      <c r="B3815">
        <v>0.40635584466975139</v>
      </c>
    </row>
    <row r="3816" spans="1:2" x14ac:dyDescent="0.2">
      <c r="A3816">
        <v>3810</v>
      </c>
      <c r="B3816">
        <v>0.51905767385627244</v>
      </c>
    </row>
    <row r="3817" spans="1:2" x14ac:dyDescent="0.2">
      <c r="A3817">
        <v>3811</v>
      </c>
      <c r="B3817">
        <v>0.56742963223392762</v>
      </c>
    </row>
    <row r="3818" spans="1:2" x14ac:dyDescent="0.2">
      <c r="A3818">
        <v>3812</v>
      </c>
      <c r="B3818">
        <v>0.18086680376294084</v>
      </c>
    </row>
    <row r="3819" spans="1:2" x14ac:dyDescent="0.2">
      <c r="A3819">
        <v>3813</v>
      </c>
      <c r="B3819">
        <v>0.1553639440490634</v>
      </c>
    </row>
    <row r="3820" spans="1:2" x14ac:dyDescent="0.2">
      <c r="A3820">
        <v>3814</v>
      </c>
      <c r="B3820">
        <v>0.28359171116859205</v>
      </c>
    </row>
    <row r="3821" spans="1:2" x14ac:dyDescent="0.2">
      <c r="A3821">
        <v>3815</v>
      </c>
      <c r="B3821">
        <v>0.40003256389452035</v>
      </c>
    </row>
    <row r="3822" spans="1:2" x14ac:dyDescent="0.2">
      <c r="A3822">
        <v>3816</v>
      </c>
      <c r="B3822">
        <v>0.35747390736762563</v>
      </c>
    </row>
    <row r="3823" spans="1:2" x14ac:dyDescent="0.2">
      <c r="A3823">
        <v>3817</v>
      </c>
      <c r="B3823">
        <v>0.33813700430468097</v>
      </c>
    </row>
    <row r="3824" spans="1:2" x14ac:dyDescent="0.2">
      <c r="A3824">
        <v>3818</v>
      </c>
      <c r="B3824">
        <v>0.6016050813966064</v>
      </c>
    </row>
    <row r="3825" spans="1:2" x14ac:dyDescent="0.2">
      <c r="A3825">
        <v>3819</v>
      </c>
      <c r="B3825">
        <v>0.21578650545505207</v>
      </c>
    </row>
    <row r="3826" spans="1:2" x14ac:dyDescent="0.2">
      <c r="A3826">
        <v>3820</v>
      </c>
      <c r="B3826">
        <v>0.52610226852803943</v>
      </c>
    </row>
    <row r="3827" spans="1:2" x14ac:dyDescent="0.2">
      <c r="A3827">
        <v>3821</v>
      </c>
      <c r="B3827">
        <v>0.25178560080444223</v>
      </c>
    </row>
    <row r="3828" spans="1:2" x14ac:dyDescent="0.2">
      <c r="A3828">
        <v>3822</v>
      </c>
      <c r="B3828">
        <v>0.47902685139306045</v>
      </c>
    </row>
    <row r="3829" spans="1:2" x14ac:dyDescent="0.2">
      <c r="A3829">
        <v>3823</v>
      </c>
      <c r="B3829">
        <v>0.32552592964939209</v>
      </c>
    </row>
    <row r="3830" spans="1:2" x14ac:dyDescent="0.2">
      <c r="A3830">
        <v>3824</v>
      </c>
      <c r="B3830">
        <v>0.9048713044347938</v>
      </c>
    </row>
    <row r="3831" spans="1:2" x14ac:dyDescent="0.2">
      <c r="A3831">
        <v>3825</v>
      </c>
      <c r="B3831">
        <v>0.82413677993446521</v>
      </c>
    </row>
    <row r="3832" spans="1:2" x14ac:dyDescent="0.2">
      <c r="A3832">
        <v>3826</v>
      </c>
      <c r="B3832">
        <v>0.73625495748464009</v>
      </c>
    </row>
    <row r="3833" spans="1:2" x14ac:dyDescent="0.2">
      <c r="A3833">
        <v>3827</v>
      </c>
      <c r="B3833">
        <v>0.19674627034057546</v>
      </c>
    </row>
    <row r="3834" spans="1:2" x14ac:dyDescent="0.2">
      <c r="A3834">
        <v>3828</v>
      </c>
      <c r="B3834">
        <v>0.8757544596710084</v>
      </c>
    </row>
    <row r="3835" spans="1:2" x14ac:dyDescent="0.2">
      <c r="A3835">
        <v>3829</v>
      </c>
      <c r="B3835">
        <v>0.15102660628716846</v>
      </c>
    </row>
    <row r="3836" spans="1:2" x14ac:dyDescent="0.2">
      <c r="A3836">
        <v>3830</v>
      </c>
      <c r="B3836">
        <v>0.17577028019991869</v>
      </c>
    </row>
    <row r="3837" spans="1:2" x14ac:dyDescent="0.2">
      <c r="A3837">
        <v>3831</v>
      </c>
      <c r="B3837">
        <v>0.8554701599852238</v>
      </c>
    </row>
    <row r="3838" spans="1:2" x14ac:dyDescent="0.2">
      <c r="A3838">
        <v>3832</v>
      </c>
      <c r="B3838">
        <v>0.62771876736540166</v>
      </c>
    </row>
    <row r="3839" spans="1:2" x14ac:dyDescent="0.2">
      <c r="A3839">
        <v>3833</v>
      </c>
      <c r="B3839">
        <v>0.33302195624235753</v>
      </c>
    </row>
    <row r="3840" spans="1:2" x14ac:dyDescent="0.2">
      <c r="A3840">
        <v>3834</v>
      </c>
      <c r="B3840">
        <v>0.80879962456011556</v>
      </c>
    </row>
    <row r="3841" spans="1:2" x14ac:dyDescent="0.2">
      <c r="A3841">
        <v>3835</v>
      </c>
      <c r="B3841">
        <v>0.74622628284059578</v>
      </c>
    </row>
    <row r="3842" spans="1:2" x14ac:dyDescent="0.2">
      <c r="A3842">
        <v>3836</v>
      </c>
      <c r="B3842">
        <v>0.1310597054204562</v>
      </c>
    </row>
    <row r="3843" spans="1:2" x14ac:dyDescent="0.2">
      <c r="A3843">
        <v>3837</v>
      </c>
      <c r="B3843">
        <v>0.88293326305610875</v>
      </c>
    </row>
    <row r="3844" spans="1:2" x14ac:dyDescent="0.2">
      <c r="A3844">
        <v>3838</v>
      </c>
      <c r="B3844">
        <v>0.41671519192967998</v>
      </c>
    </row>
    <row r="3845" spans="1:2" x14ac:dyDescent="0.2">
      <c r="A3845">
        <v>3839</v>
      </c>
      <c r="B3845">
        <v>0.21484497149977089</v>
      </c>
    </row>
    <row r="3846" spans="1:2" x14ac:dyDescent="0.2">
      <c r="A3846">
        <v>3840</v>
      </c>
      <c r="B3846">
        <v>0.99292924055779141</v>
      </c>
    </row>
    <row r="3847" spans="1:2" x14ac:dyDescent="0.2">
      <c r="A3847">
        <v>3841</v>
      </c>
      <c r="B3847">
        <v>0.22998689514171189</v>
      </c>
    </row>
    <row r="3848" spans="1:2" x14ac:dyDescent="0.2">
      <c r="A3848">
        <v>3842</v>
      </c>
      <c r="B3848">
        <v>0.32306320353647611</v>
      </c>
    </row>
    <row r="3849" spans="1:2" x14ac:dyDescent="0.2">
      <c r="A3849">
        <v>3843</v>
      </c>
      <c r="B3849">
        <v>0.43704069453985517</v>
      </c>
    </row>
    <row r="3850" spans="1:2" x14ac:dyDescent="0.2">
      <c r="A3850">
        <v>3844</v>
      </c>
      <c r="B3850">
        <v>0.10407001626522505</v>
      </c>
    </row>
    <row r="3851" spans="1:2" x14ac:dyDescent="0.2">
      <c r="A3851">
        <v>3845</v>
      </c>
      <c r="B3851">
        <v>6.6016234273139518E-2</v>
      </c>
    </row>
    <row r="3852" spans="1:2" x14ac:dyDescent="0.2">
      <c r="A3852">
        <v>3846</v>
      </c>
      <c r="B3852">
        <v>3.0285630985788181E-2</v>
      </c>
    </row>
    <row r="3853" spans="1:2" x14ac:dyDescent="0.2">
      <c r="A3853">
        <v>3847</v>
      </c>
      <c r="B3853">
        <v>0.54625630199070918</v>
      </c>
    </row>
    <row r="3854" spans="1:2" x14ac:dyDescent="0.2">
      <c r="A3854">
        <v>3848</v>
      </c>
      <c r="B3854">
        <v>0.88185014641090076</v>
      </c>
    </row>
    <row r="3855" spans="1:2" x14ac:dyDescent="0.2">
      <c r="A3855">
        <v>3849</v>
      </c>
      <c r="B3855">
        <v>0.89543200243076637</v>
      </c>
    </row>
    <row r="3856" spans="1:2" x14ac:dyDescent="0.2">
      <c r="A3856">
        <v>3850</v>
      </c>
      <c r="B3856">
        <v>0.86058627908061336</v>
      </c>
    </row>
    <row r="3857" spans="1:2" x14ac:dyDescent="0.2">
      <c r="A3857">
        <v>3851</v>
      </c>
      <c r="B3857">
        <v>0.79282282562022699</v>
      </c>
    </row>
    <row r="3858" spans="1:2" x14ac:dyDescent="0.2">
      <c r="A3858">
        <v>3852</v>
      </c>
      <c r="B3858">
        <v>0.97703608005720444</v>
      </c>
    </row>
    <row r="3859" spans="1:2" x14ac:dyDescent="0.2">
      <c r="A3859">
        <v>3853</v>
      </c>
      <c r="B3859">
        <v>0.60716951408939202</v>
      </c>
    </row>
    <row r="3860" spans="1:2" x14ac:dyDescent="0.2">
      <c r="A3860">
        <v>3854</v>
      </c>
      <c r="B3860">
        <v>0.84800225981575261</v>
      </c>
    </row>
    <row r="3861" spans="1:2" x14ac:dyDescent="0.2">
      <c r="A3861">
        <v>3855</v>
      </c>
      <c r="B3861">
        <v>0.66144582699217103</v>
      </c>
    </row>
    <row r="3862" spans="1:2" x14ac:dyDescent="0.2">
      <c r="A3862">
        <v>3856</v>
      </c>
      <c r="B3862">
        <v>0.14616818609419024</v>
      </c>
    </row>
    <row r="3863" spans="1:2" x14ac:dyDescent="0.2">
      <c r="A3863">
        <v>3857</v>
      </c>
      <c r="B3863">
        <v>0.5241089961451606</v>
      </c>
    </row>
    <row r="3864" spans="1:2" x14ac:dyDescent="0.2">
      <c r="A3864">
        <v>3858</v>
      </c>
      <c r="B3864">
        <v>0.70538345471927688</v>
      </c>
    </row>
    <row r="3865" spans="1:2" x14ac:dyDescent="0.2">
      <c r="A3865">
        <v>3859</v>
      </c>
      <c r="B3865">
        <v>0.13272570467311384</v>
      </c>
    </row>
    <row r="3866" spans="1:2" x14ac:dyDescent="0.2">
      <c r="A3866">
        <v>3860</v>
      </c>
      <c r="B3866">
        <v>0.71452958908816211</v>
      </c>
    </row>
    <row r="3867" spans="1:2" x14ac:dyDescent="0.2">
      <c r="A3867">
        <v>3861</v>
      </c>
      <c r="B3867">
        <v>0.49629362769372332</v>
      </c>
    </row>
    <row r="3868" spans="1:2" x14ac:dyDescent="0.2">
      <c r="A3868">
        <v>3862</v>
      </c>
      <c r="B3868">
        <v>0.93579090956400923</v>
      </c>
    </row>
    <row r="3869" spans="1:2" x14ac:dyDescent="0.2">
      <c r="A3869">
        <v>3863</v>
      </c>
      <c r="B3869">
        <v>0.28179386395218375</v>
      </c>
    </row>
    <row r="3870" spans="1:2" x14ac:dyDescent="0.2">
      <c r="A3870">
        <v>3864</v>
      </c>
      <c r="B3870">
        <v>0.60034435106400619</v>
      </c>
    </row>
    <row r="3871" spans="1:2" x14ac:dyDescent="0.2">
      <c r="A3871">
        <v>3865</v>
      </c>
      <c r="B3871">
        <v>0.51276975451826201</v>
      </c>
    </row>
    <row r="3872" spans="1:2" x14ac:dyDescent="0.2">
      <c r="A3872">
        <v>3866</v>
      </c>
      <c r="B3872">
        <v>0.25692804400979696</v>
      </c>
    </row>
    <row r="3873" spans="1:2" x14ac:dyDescent="0.2">
      <c r="A3873">
        <v>3867</v>
      </c>
      <c r="B3873">
        <v>0.64735125840924557</v>
      </c>
    </row>
    <row r="3874" spans="1:2" x14ac:dyDescent="0.2">
      <c r="A3874">
        <v>3868</v>
      </c>
      <c r="B3874">
        <v>0.54151047994521939</v>
      </c>
    </row>
    <row r="3875" spans="1:2" x14ac:dyDescent="0.2">
      <c r="A3875">
        <v>3869</v>
      </c>
      <c r="B3875">
        <v>0.43429655517342469</v>
      </c>
    </row>
    <row r="3876" spans="1:2" x14ac:dyDescent="0.2">
      <c r="A3876">
        <v>3870</v>
      </c>
      <c r="B3876">
        <v>0.2807102896493221</v>
      </c>
    </row>
    <row r="3877" spans="1:2" x14ac:dyDescent="0.2">
      <c r="A3877">
        <v>3871</v>
      </c>
      <c r="B3877">
        <v>0.76273507695474241</v>
      </c>
    </row>
    <row r="3878" spans="1:2" x14ac:dyDescent="0.2">
      <c r="A3878">
        <v>3872</v>
      </c>
      <c r="B3878">
        <v>0.41536359880512819</v>
      </c>
    </row>
    <row r="3879" spans="1:2" x14ac:dyDescent="0.2">
      <c r="A3879">
        <v>3873</v>
      </c>
      <c r="B3879">
        <v>0.69421607665687224</v>
      </c>
    </row>
    <row r="3880" spans="1:2" x14ac:dyDescent="0.2">
      <c r="A3880">
        <v>3874</v>
      </c>
      <c r="B3880">
        <v>8.3147175384295946E-2</v>
      </c>
    </row>
    <row r="3881" spans="1:2" x14ac:dyDescent="0.2">
      <c r="A3881">
        <v>3875</v>
      </c>
      <c r="B3881">
        <v>0.32546212011516551</v>
      </c>
    </row>
    <row r="3882" spans="1:2" x14ac:dyDescent="0.2">
      <c r="A3882">
        <v>3876</v>
      </c>
      <c r="B3882">
        <v>2.1654482824005505E-2</v>
      </c>
    </row>
    <row r="3883" spans="1:2" x14ac:dyDescent="0.2">
      <c r="A3883">
        <v>3877</v>
      </c>
      <c r="B3883">
        <v>0.92991333345822169</v>
      </c>
    </row>
    <row r="3884" spans="1:2" x14ac:dyDescent="0.2">
      <c r="A3884">
        <v>3878</v>
      </c>
      <c r="B3884">
        <v>0.41984467869243092</v>
      </c>
    </row>
    <row r="3885" spans="1:2" x14ac:dyDescent="0.2">
      <c r="A3885">
        <v>3879</v>
      </c>
      <c r="B3885">
        <v>0.5839380412651819</v>
      </c>
    </row>
    <row r="3886" spans="1:2" x14ac:dyDescent="0.2">
      <c r="A3886">
        <v>3880</v>
      </c>
      <c r="B3886">
        <v>0.19443147569957708</v>
      </c>
    </row>
    <row r="3887" spans="1:2" x14ac:dyDescent="0.2">
      <c r="A3887">
        <v>3881</v>
      </c>
      <c r="B3887">
        <v>0.40661647984630356</v>
      </c>
    </row>
    <row r="3888" spans="1:2" x14ac:dyDescent="0.2">
      <c r="A3888">
        <v>3882</v>
      </c>
      <c r="B3888">
        <v>0.52273739145349885</v>
      </c>
    </row>
    <row r="3889" spans="1:2" x14ac:dyDescent="0.2">
      <c r="A3889">
        <v>3883</v>
      </c>
      <c r="B3889">
        <v>0.75108427727435412</v>
      </c>
    </row>
    <row r="3890" spans="1:2" x14ac:dyDescent="0.2">
      <c r="A3890">
        <v>3884</v>
      </c>
      <c r="B3890">
        <v>0.98139106393606412</v>
      </c>
    </row>
    <row r="3891" spans="1:2" x14ac:dyDescent="0.2">
      <c r="A3891">
        <v>3885</v>
      </c>
      <c r="B3891">
        <v>0.17658186195758829</v>
      </c>
    </row>
    <row r="3892" spans="1:2" x14ac:dyDescent="0.2">
      <c r="A3892">
        <v>3886</v>
      </c>
      <c r="B3892">
        <v>0.12024305888188203</v>
      </c>
    </row>
    <row r="3893" spans="1:2" x14ac:dyDescent="0.2">
      <c r="A3893">
        <v>3887</v>
      </c>
      <c r="B3893">
        <v>0.82451074525644774</v>
      </c>
    </row>
    <row r="3894" spans="1:2" x14ac:dyDescent="0.2">
      <c r="A3894">
        <v>3888</v>
      </c>
      <c r="B3894">
        <v>0.81417094839489101</v>
      </c>
    </row>
    <row r="3895" spans="1:2" x14ac:dyDescent="0.2">
      <c r="A3895">
        <v>3889</v>
      </c>
      <c r="B3895">
        <v>0.48701605128725589</v>
      </c>
    </row>
    <row r="3896" spans="1:2" x14ac:dyDescent="0.2">
      <c r="A3896">
        <v>3890</v>
      </c>
      <c r="B3896">
        <v>0.75967971809080281</v>
      </c>
    </row>
    <row r="3897" spans="1:2" x14ac:dyDescent="0.2">
      <c r="A3897">
        <v>3891</v>
      </c>
      <c r="B3897">
        <v>0.83280581982138546</v>
      </c>
    </row>
    <row r="3898" spans="1:2" x14ac:dyDescent="0.2">
      <c r="A3898">
        <v>3892</v>
      </c>
      <c r="B3898">
        <v>0.43072929269134852</v>
      </c>
    </row>
    <row r="3899" spans="1:2" x14ac:dyDescent="0.2">
      <c r="A3899">
        <v>3893</v>
      </c>
      <c r="B3899">
        <v>9.1789319476592857E-2</v>
      </c>
    </row>
    <row r="3900" spans="1:2" x14ac:dyDescent="0.2">
      <c r="A3900">
        <v>3894</v>
      </c>
      <c r="B3900">
        <v>0.24717038171413219</v>
      </c>
    </row>
    <row r="3901" spans="1:2" x14ac:dyDescent="0.2">
      <c r="A3901">
        <v>3895</v>
      </c>
      <c r="B3901">
        <v>0.31669981299816119</v>
      </c>
    </row>
    <row r="3902" spans="1:2" x14ac:dyDescent="0.2">
      <c r="A3902">
        <v>3896</v>
      </c>
      <c r="B3902">
        <v>0.89849346610774572</v>
      </c>
    </row>
    <row r="3903" spans="1:2" x14ac:dyDescent="0.2">
      <c r="A3903">
        <v>3897</v>
      </c>
      <c r="B3903">
        <v>0.86285217607769038</v>
      </c>
    </row>
    <row r="3904" spans="1:2" x14ac:dyDescent="0.2">
      <c r="A3904">
        <v>3898</v>
      </c>
      <c r="B3904">
        <v>0.86072715969897629</v>
      </c>
    </row>
    <row r="3905" spans="1:2" x14ac:dyDescent="0.2">
      <c r="A3905">
        <v>3899</v>
      </c>
      <c r="B3905">
        <v>0.55560190741274174</v>
      </c>
    </row>
    <row r="3906" spans="1:2" x14ac:dyDescent="0.2">
      <c r="A3906">
        <v>3900</v>
      </c>
      <c r="B3906">
        <v>0.77246439755792751</v>
      </c>
    </row>
    <row r="3907" spans="1:2" x14ac:dyDescent="0.2">
      <c r="A3907">
        <v>3901</v>
      </c>
      <c r="B3907">
        <v>2.9735872038291422E-2</v>
      </c>
    </row>
    <row r="3908" spans="1:2" x14ac:dyDescent="0.2">
      <c r="A3908">
        <v>3902</v>
      </c>
      <c r="B3908">
        <v>0.52851800816089545</v>
      </c>
    </row>
    <row r="3909" spans="1:2" x14ac:dyDescent="0.2">
      <c r="A3909">
        <v>3903</v>
      </c>
      <c r="B3909">
        <v>0.1480349836039262</v>
      </c>
    </row>
    <row r="3910" spans="1:2" x14ac:dyDescent="0.2">
      <c r="A3910">
        <v>3904</v>
      </c>
      <c r="B3910">
        <v>0.1540153671162644</v>
      </c>
    </row>
    <row r="3911" spans="1:2" x14ac:dyDescent="0.2">
      <c r="A3911">
        <v>3905</v>
      </c>
      <c r="B3911">
        <v>0.56668817594547416</v>
      </c>
    </row>
    <row r="3912" spans="1:2" x14ac:dyDescent="0.2">
      <c r="A3912">
        <v>3906</v>
      </c>
      <c r="B3912">
        <v>0.5757302524408463</v>
      </c>
    </row>
    <row r="3913" spans="1:2" x14ac:dyDescent="0.2">
      <c r="A3913">
        <v>3907</v>
      </c>
      <c r="B3913">
        <v>0.45814895643074627</v>
      </c>
    </row>
    <row r="3914" spans="1:2" x14ac:dyDescent="0.2">
      <c r="A3914">
        <v>3908</v>
      </c>
      <c r="B3914">
        <v>0.89714976401241053</v>
      </c>
    </row>
    <row r="3915" spans="1:2" x14ac:dyDescent="0.2">
      <c r="A3915">
        <v>3909</v>
      </c>
      <c r="B3915">
        <v>0.66692873610114389</v>
      </c>
    </row>
    <row r="3916" spans="1:2" x14ac:dyDescent="0.2">
      <c r="A3916">
        <v>3910</v>
      </c>
      <c r="B3916">
        <v>0.68373197265595409</v>
      </c>
    </row>
    <row r="3917" spans="1:2" x14ac:dyDescent="0.2">
      <c r="A3917">
        <v>3911</v>
      </c>
      <c r="B3917">
        <v>0.72121674700966387</v>
      </c>
    </row>
    <row r="3918" spans="1:2" x14ac:dyDescent="0.2">
      <c r="A3918">
        <v>3912</v>
      </c>
      <c r="B3918">
        <v>0.6564741080038512</v>
      </c>
    </row>
    <row r="3919" spans="1:2" x14ac:dyDescent="0.2">
      <c r="A3919">
        <v>3913</v>
      </c>
      <c r="B3919">
        <v>4.394871870711381E-2</v>
      </c>
    </row>
    <row r="3920" spans="1:2" x14ac:dyDescent="0.2">
      <c r="A3920">
        <v>3914</v>
      </c>
      <c r="B3920">
        <v>0.37307390555074604</v>
      </c>
    </row>
    <row r="3921" spans="1:2" x14ac:dyDescent="0.2">
      <c r="A3921">
        <v>3915</v>
      </c>
      <c r="B3921">
        <v>3.9048023817808919E-2</v>
      </c>
    </row>
    <row r="3922" spans="1:2" x14ac:dyDescent="0.2">
      <c r="A3922">
        <v>3916</v>
      </c>
      <c r="B3922">
        <v>0.68093048000675904</v>
      </c>
    </row>
    <row r="3923" spans="1:2" x14ac:dyDescent="0.2">
      <c r="A3923">
        <v>3917</v>
      </c>
      <c r="B3923">
        <v>6.938994627686057E-2</v>
      </c>
    </row>
    <row r="3924" spans="1:2" x14ac:dyDescent="0.2">
      <c r="A3924">
        <v>3918</v>
      </c>
      <c r="B3924">
        <v>0.52371805125201087</v>
      </c>
    </row>
    <row r="3925" spans="1:2" x14ac:dyDescent="0.2">
      <c r="A3925">
        <v>3919</v>
      </c>
      <c r="B3925">
        <v>0.73661854635688206</v>
      </c>
    </row>
    <row r="3926" spans="1:2" x14ac:dyDescent="0.2">
      <c r="A3926">
        <v>3920</v>
      </c>
      <c r="B3926">
        <v>0.12429404074647676</v>
      </c>
    </row>
    <row r="3927" spans="1:2" x14ac:dyDescent="0.2">
      <c r="A3927">
        <v>3921</v>
      </c>
      <c r="B3927">
        <v>0.49467725400919016</v>
      </c>
    </row>
    <row r="3928" spans="1:2" x14ac:dyDescent="0.2">
      <c r="A3928">
        <v>3922</v>
      </c>
      <c r="B3928">
        <v>9.977366839590962E-2</v>
      </c>
    </row>
    <row r="3929" spans="1:2" x14ac:dyDescent="0.2">
      <c r="A3929">
        <v>3923</v>
      </c>
      <c r="B3929">
        <v>0.91109499776927894</v>
      </c>
    </row>
    <row r="3930" spans="1:2" x14ac:dyDescent="0.2">
      <c r="A3930">
        <v>3924</v>
      </c>
      <c r="B3930">
        <v>0.78440448546407604</v>
      </c>
    </row>
    <row r="3931" spans="1:2" x14ac:dyDescent="0.2">
      <c r="A3931">
        <v>3925</v>
      </c>
      <c r="B3931">
        <v>0.72030072058240147</v>
      </c>
    </row>
    <row r="3932" spans="1:2" x14ac:dyDescent="0.2">
      <c r="A3932">
        <v>3926</v>
      </c>
      <c r="B3932">
        <v>0.55369205522564258</v>
      </c>
    </row>
    <row r="3933" spans="1:2" x14ac:dyDescent="0.2">
      <c r="A3933">
        <v>3927</v>
      </c>
      <c r="B3933">
        <v>0.15558180821118894</v>
      </c>
    </row>
    <row r="3934" spans="1:2" x14ac:dyDescent="0.2">
      <c r="A3934">
        <v>3928</v>
      </c>
      <c r="B3934">
        <v>0.22443393763921593</v>
      </c>
    </row>
    <row r="3935" spans="1:2" x14ac:dyDescent="0.2">
      <c r="A3935">
        <v>3929</v>
      </c>
      <c r="B3935">
        <v>0.92641348399609491</v>
      </c>
    </row>
    <row r="3936" spans="1:2" x14ac:dyDescent="0.2">
      <c r="A3936">
        <v>3930</v>
      </c>
      <c r="B3936">
        <v>0.5862489013407477</v>
      </c>
    </row>
    <row r="3937" spans="1:2" x14ac:dyDescent="0.2">
      <c r="A3937">
        <v>3931</v>
      </c>
      <c r="B3937">
        <v>0.50517244659735816</v>
      </c>
    </row>
    <row r="3938" spans="1:2" x14ac:dyDescent="0.2">
      <c r="A3938">
        <v>3932</v>
      </c>
      <c r="B3938">
        <v>0.30039985737622865</v>
      </c>
    </row>
    <row r="3939" spans="1:2" x14ac:dyDescent="0.2">
      <c r="A3939">
        <v>3933</v>
      </c>
      <c r="B3939">
        <v>0.49460524825724916</v>
      </c>
    </row>
    <row r="3940" spans="1:2" x14ac:dyDescent="0.2">
      <c r="A3940">
        <v>3934</v>
      </c>
      <c r="B3940">
        <v>0.9054141297980498</v>
      </c>
    </row>
    <row r="3941" spans="1:2" x14ac:dyDescent="0.2">
      <c r="A3941">
        <v>3935</v>
      </c>
      <c r="B3941">
        <v>0.68240151082870715</v>
      </c>
    </row>
    <row r="3942" spans="1:2" x14ac:dyDescent="0.2">
      <c r="A3942">
        <v>3936</v>
      </c>
      <c r="B3942">
        <v>0.70582884682332303</v>
      </c>
    </row>
    <row r="3943" spans="1:2" x14ac:dyDescent="0.2">
      <c r="A3943">
        <v>3937</v>
      </c>
      <c r="B3943">
        <v>0.40397419806913337</v>
      </c>
    </row>
    <row r="3944" spans="1:2" x14ac:dyDescent="0.2">
      <c r="A3944">
        <v>3938</v>
      </c>
      <c r="B3944">
        <v>0.9294559441691097</v>
      </c>
    </row>
    <row r="3945" spans="1:2" x14ac:dyDescent="0.2">
      <c r="A3945">
        <v>3939</v>
      </c>
      <c r="B3945">
        <v>2.555466813352214E-2</v>
      </c>
    </row>
    <row r="3946" spans="1:2" x14ac:dyDescent="0.2">
      <c r="A3946">
        <v>3940</v>
      </c>
      <c r="B3946">
        <v>0.8550307773100716</v>
      </c>
    </row>
    <row r="3947" spans="1:2" x14ac:dyDescent="0.2">
      <c r="A3947">
        <v>3941</v>
      </c>
      <c r="B3947">
        <v>0.9488307553764801</v>
      </c>
    </row>
    <row r="3948" spans="1:2" x14ac:dyDescent="0.2">
      <c r="A3948">
        <v>3942</v>
      </c>
      <c r="B3948">
        <v>0.77498441470521784</v>
      </c>
    </row>
    <row r="3949" spans="1:2" x14ac:dyDescent="0.2">
      <c r="A3949">
        <v>3943</v>
      </c>
      <c r="B3949">
        <v>0.90203127772037783</v>
      </c>
    </row>
    <row r="3950" spans="1:2" x14ac:dyDescent="0.2">
      <c r="A3950">
        <v>3944</v>
      </c>
      <c r="B3950">
        <v>0.70075636636806615</v>
      </c>
    </row>
    <row r="3951" spans="1:2" x14ac:dyDescent="0.2">
      <c r="A3951">
        <v>3945</v>
      </c>
      <c r="B3951">
        <v>0.46986393180818664</v>
      </c>
    </row>
    <row r="3952" spans="1:2" x14ac:dyDescent="0.2">
      <c r="A3952">
        <v>3946</v>
      </c>
      <c r="B3952">
        <v>0.34327349106838367</v>
      </c>
    </row>
    <row r="3953" spans="1:2" x14ac:dyDescent="0.2">
      <c r="A3953">
        <v>3947</v>
      </c>
      <c r="B3953">
        <v>0.55189479236513617</v>
      </c>
    </row>
    <row r="3954" spans="1:2" x14ac:dyDescent="0.2">
      <c r="A3954">
        <v>3948</v>
      </c>
      <c r="B3954">
        <v>0.38077547571492787</v>
      </c>
    </row>
    <row r="3955" spans="1:2" x14ac:dyDescent="0.2">
      <c r="A3955">
        <v>3949</v>
      </c>
      <c r="B3955">
        <v>2.3576582021741177E-2</v>
      </c>
    </row>
    <row r="3956" spans="1:2" x14ac:dyDescent="0.2">
      <c r="A3956">
        <v>3950</v>
      </c>
      <c r="B3956">
        <v>0.46819660678267083</v>
      </c>
    </row>
    <row r="3957" spans="1:2" x14ac:dyDescent="0.2">
      <c r="A3957">
        <v>3951</v>
      </c>
      <c r="B3957">
        <v>0.50983671622304227</v>
      </c>
    </row>
    <row r="3958" spans="1:2" x14ac:dyDescent="0.2">
      <c r="A3958">
        <v>3952</v>
      </c>
      <c r="B3958">
        <v>0.81280451737532633</v>
      </c>
    </row>
    <row r="3959" spans="1:2" x14ac:dyDescent="0.2">
      <c r="A3959">
        <v>3953</v>
      </c>
      <c r="B3959">
        <v>0.67599089008501256</v>
      </c>
    </row>
    <row r="3960" spans="1:2" x14ac:dyDescent="0.2">
      <c r="A3960">
        <v>3954</v>
      </c>
      <c r="B3960">
        <v>0.75889896370933929</v>
      </c>
    </row>
    <row r="3961" spans="1:2" x14ac:dyDescent="0.2">
      <c r="A3961">
        <v>3955</v>
      </c>
      <c r="B3961">
        <v>0.88476693758034775</v>
      </c>
    </row>
    <row r="3962" spans="1:2" x14ac:dyDescent="0.2">
      <c r="A3962">
        <v>3956</v>
      </c>
      <c r="B3962">
        <v>0.87277341168428701</v>
      </c>
    </row>
    <row r="3963" spans="1:2" x14ac:dyDescent="0.2">
      <c r="A3963">
        <v>3957</v>
      </c>
      <c r="B3963">
        <v>0.31029889244559106</v>
      </c>
    </row>
    <row r="3964" spans="1:2" x14ac:dyDescent="0.2">
      <c r="A3964">
        <v>3958</v>
      </c>
      <c r="B3964">
        <v>0.42324978424138815</v>
      </c>
    </row>
    <row r="3965" spans="1:2" x14ac:dyDescent="0.2">
      <c r="A3965">
        <v>3959</v>
      </c>
      <c r="B3965">
        <v>0.96511234922872136</v>
      </c>
    </row>
    <row r="3966" spans="1:2" x14ac:dyDescent="0.2">
      <c r="A3966">
        <v>3960</v>
      </c>
      <c r="B3966">
        <v>0.10855954218186015</v>
      </c>
    </row>
    <row r="3967" spans="1:2" x14ac:dyDescent="0.2">
      <c r="A3967">
        <v>3961</v>
      </c>
      <c r="B3967">
        <v>0.39570698691474382</v>
      </c>
    </row>
    <row r="3968" spans="1:2" x14ac:dyDescent="0.2">
      <c r="A3968">
        <v>3962</v>
      </c>
      <c r="B3968">
        <v>0.99388363010287617</v>
      </c>
    </row>
    <row r="3969" spans="1:2" x14ac:dyDescent="0.2">
      <c r="A3969">
        <v>3963</v>
      </c>
      <c r="B3969">
        <v>0.33029006285377582</v>
      </c>
    </row>
    <row r="3970" spans="1:2" x14ac:dyDescent="0.2">
      <c r="A3970">
        <v>3964</v>
      </c>
      <c r="B3970">
        <v>0.80455812038517138</v>
      </c>
    </row>
    <row r="3971" spans="1:2" x14ac:dyDescent="0.2">
      <c r="A3971">
        <v>3965</v>
      </c>
      <c r="B3971">
        <v>0.53795255938771291</v>
      </c>
    </row>
    <row r="3972" spans="1:2" x14ac:dyDescent="0.2">
      <c r="A3972">
        <v>3966</v>
      </c>
      <c r="B3972">
        <v>0.65388117135924784</v>
      </c>
    </row>
    <row r="3973" spans="1:2" x14ac:dyDescent="0.2">
      <c r="A3973">
        <v>3967</v>
      </c>
      <c r="B3973">
        <v>0.87022815251037799</v>
      </c>
    </row>
    <row r="3974" spans="1:2" x14ac:dyDescent="0.2">
      <c r="A3974">
        <v>3968</v>
      </c>
      <c r="B3974">
        <v>0.34375514709696409</v>
      </c>
    </row>
    <row r="3975" spans="1:2" x14ac:dyDescent="0.2">
      <c r="A3975">
        <v>3969</v>
      </c>
      <c r="B3975">
        <v>0.95633912560530099</v>
      </c>
    </row>
    <row r="3976" spans="1:2" x14ac:dyDescent="0.2">
      <c r="A3976">
        <v>3970</v>
      </c>
      <c r="B3976">
        <v>0.89086238700989828</v>
      </c>
    </row>
    <row r="3977" spans="1:2" x14ac:dyDescent="0.2">
      <c r="A3977">
        <v>3971</v>
      </c>
      <c r="B3977">
        <v>0.66022924409110917</v>
      </c>
    </row>
    <row r="3978" spans="1:2" x14ac:dyDescent="0.2">
      <c r="A3978">
        <v>3972</v>
      </c>
      <c r="B3978">
        <v>0.10351404653626839</v>
      </c>
    </row>
    <row r="3979" spans="1:2" x14ac:dyDescent="0.2">
      <c r="A3979">
        <v>3973</v>
      </c>
      <c r="B3979">
        <v>0.91479228070904284</v>
      </c>
    </row>
    <row r="3980" spans="1:2" x14ac:dyDescent="0.2">
      <c r="A3980">
        <v>3974</v>
      </c>
      <c r="B3980">
        <v>2.6708956111538229E-2</v>
      </c>
    </row>
    <row r="3981" spans="1:2" x14ac:dyDescent="0.2">
      <c r="A3981">
        <v>3975</v>
      </c>
      <c r="B3981">
        <v>0.88819029463375976</v>
      </c>
    </row>
    <row r="3982" spans="1:2" x14ac:dyDescent="0.2">
      <c r="A3982">
        <v>3976</v>
      </c>
      <c r="B3982">
        <v>0.66095965478291518</v>
      </c>
    </row>
    <row r="3983" spans="1:2" x14ac:dyDescent="0.2">
      <c r="A3983">
        <v>3977</v>
      </c>
      <c r="B3983">
        <v>0.18304611079432787</v>
      </c>
    </row>
    <row r="3984" spans="1:2" x14ac:dyDescent="0.2">
      <c r="A3984">
        <v>3978</v>
      </c>
      <c r="B3984">
        <v>0.87437863249718284</v>
      </c>
    </row>
    <row r="3985" spans="1:2" x14ac:dyDescent="0.2">
      <c r="A3985">
        <v>3979</v>
      </c>
      <c r="B3985">
        <v>0.50510833323356519</v>
      </c>
    </row>
    <row r="3986" spans="1:2" x14ac:dyDescent="0.2">
      <c r="A3986">
        <v>3980</v>
      </c>
      <c r="B3986">
        <v>0.98981612428835231</v>
      </c>
    </row>
    <row r="3987" spans="1:2" x14ac:dyDescent="0.2">
      <c r="A3987">
        <v>3981</v>
      </c>
      <c r="B3987">
        <v>0.28949348025585209</v>
      </c>
    </row>
    <row r="3988" spans="1:2" x14ac:dyDescent="0.2">
      <c r="A3988">
        <v>3982</v>
      </c>
      <c r="B3988">
        <v>0.65474052410844785</v>
      </c>
    </row>
    <row r="3989" spans="1:2" x14ac:dyDescent="0.2">
      <c r="A3989">
        <v>3983</v>
      </c>
      <c r="B3989">
        <v>0.23663545324415525</v>
      </c>
    </row>
    <row r="3990" spans="1:2" x14ac:dyDescent="0.2">
      <c r="A3990">
        <v>3984</v>
      </c>
      <c r="B3990">
        <v>0.47871599656860842</v>
      </c>
    </row>
    <row r="3991" spans="1:2" x14ac:dyDescent="0.2">
      <c r="A3991">
        <v>3985</v>
      </c>
      <c r="B3991">
        <v>0.76890264132323205</v>
      </c>
    </row>
    <row r="3992" spans="1:2" x14ac:dyDescent="0.2">
      <c r="A3992">
        <v>3986</v>
      </c>
      <c r="B3992">
        <v>0.75949288805356552</v>
      </c>
    </row>
    <row r="3993" spans="1:2" x14ac:dyDescent="0.2">
      <c r="A3993">
        <v>3987</v>
      </c>
      <c r="B3993">
        <v>0.29308041760136916</v>
      </c>
    </row>
    <row r="3994" spans="1:2" x14ac:dyDescent="0.2">
      <c r="A3994">
        <v>3988</v>
      </c>
      <c r="B3994">
        <v>0.49950592783132775</v>
      </c>
    </row>
    <row r="3995" spans="1:2" x14ac:dyDescent="0.2">
      <c r="A3995">
        <v>3989</v>
      </c>
      <c r="B3995">
        <v>0.250467653857818</v>
      </c>
    </row>
    <row r="3996" spans="1:2" x14ac:dyDescent="0.2">
      <c r="A3996">
        <v>3990</v>
      </c>
      <c r="B3996">
        <v>0.51820125664360273</v>
      </c>
    </row>
    <row r="3997" spans="1:2" x14ac:dyDescent="0.2">
      <c r="A3997">
        <v>3991</v>
      </c>
      <c r="B3997">
        <v>0.2807670216925604</v>
      </c>
    </row>
    <row r="3998" spans="1:2" x14ac:dyDescent="0.2">
      <c r="A3998">
        <v>3992</v>
      </c>
      <c r="B3998">
        <v>0.32806918443842936</v>
      </c>
    </row>
    <row r="3999" spans="1:2" x14ac:dyDescent="0.2">
      <c r="A3999">
        <v>3993</v>
      </c>
      <c r="B3999">
        <v>0.62532319375817214</v>
      </c>
    </row>
    <row r="4000" spans="1:2" x14ac:dyDescent="0.2">
      <c r="A4000">
        <v>3994</v>
      </c>
      <c r="B4000">
        <v>0.23850068878782293</v>
      </c>
    </row>
    <row r="4001" spans="1:2" x14ac:dyDescent="0.2">
      <c r="A4001">
        <v>3995</v>
      </c>
      <c r="B4001">
        <v>0.80264998946280686</v>
      </c>
    </row>
    <row r="4002" spans="1:2" x14ac:dyDescent="0.2">
      <c r="A4002">
        <v>3996</v>
      </c>
      <c r="B4002">
        <v>8.5518644055829096E-2</v>
      </c>
    </row>
    <row r="4003" spans="1:2" x14ac:dyDescent="0.2">
      <c r="A4003">
        <v>3997</v>
      </c>
      <c r="B4003">
        <v>0.34528145944794086</v>
      </c>
    </row>
    <row r="4004" spans="1:2" x14ac:dyDescent="0.2">
      <c r="A4004">
        <v>3998</v>
      </c>
      <c r="B4004">
        <v>0.51566330697791596</v>
      </c>
    </row>
    <row r="4005" spans="1:2" x14ac:dyDescent="0.2">
      <c r="A4005">
        <v>3999</v>
      </c>
      <c r="B4005">
        <v>0.57020118620369298</v>
      </c>
    </row>
    <row r="4006" spans="1:2" x14ac:dyDescent="0.2">
      <c r="A4006">
        <v>4000</v>
      </c>
      <c r="B4006">
        <v>0.36513351088632284</v>
      </c>
    </row>
    <row r="4007" spans="1:2" x14ac:dyDescent="0.2">
      <c r="A4007">
        <v>4001</v>
      </c>
      <c r="B4007">
        <v>0.89387460905056881</v>
      </c>
    </row>
    <row r="4008" spans="1:2" x14ac:dyDescent="0.2">
      <c r="A4008">
        <v>4002</v>
      </c>
      <c r="B4008">
        <v>0.15612778731726074</v>
      </c>
    </row>
    <row r="4009" spans="1:2" x14ac:dyDescent="0.2">
      <c r="A4009">
        <v>4003</v>
      </c>
      <c r="B4009">
        <v>0.35179862854770738</v>
      </c>
    </row>
    <row r="4010" spans="1:2" x14ac:dyDescent="0.2">
      <c r="A4010">
        <v>4004</v>
      </c>
      <c r="B4010">
        <v>0.34811563540255019</v>
      </c>
    </row>
    <row r="4011" spans="1:2" x14ac:dyDescent="0.2">
      <c r="A4011">
        <v>4005</v>
      </c>
      <c r="B4011">
        <v>0.95568835172217981</v>
      </c>
    </row>
    <row r="4012" spans="1:2" x14ac:dyDescent="0.2">
      <c r="A4012">
        <v>4006</v>
      </c>
      <c r="B4012">
        <v>0.95453066104895556</v>
      </c>
    </row>
    <row r="4013" spans="1:2" x14ac:dyDescent="0.2">
      <c r="A4013">
        <v>4007</v>
      </c>
      <c r="B4013">
        <v>0.86777186118711147</v>
      </c>
    </row>
    <row r="4014" spans="1:2" x14ac:dyDescent="0.2">
      <c r="A4014">
        <v>4008</v>
      </c>
      <c r="B4014">
        <v>0.26168875792904966</v>
      </c>
    </row>
    <row r="4015" spans="1:2" x14ac:dyDescent="0.2">
      <c r="A4015">
        <v>4009</v>
      </c>
      <c r="B4015">
        <v>0.18513081077411264</v>
      </c>
    </row>
    <row r="4016" spans="1:2" x14ac:dyDescent="0.2">
      <c r="A4016">
        <v>4010</v>
      </c>
      <c r="B4016">
        <v>0.69322856721228709</v>
      </c>
    </row>
    <row r="4017" spans="1:2" x14ac:dyDescent="0.2">
      <c r="A4017">
        <v>4011</v>
      </c>
      <c r="B4017">
        <v>0.63857079710036058</v>
      </c>
    </row>
    <row r="4018" spans="1:2" x14ac:dyDescent="0.2">
      <c r="A4018">
        <v>4012</v>
      </c>
      <c r="B4018">
        <v>0.72151908968982637</v>
      </c>
    </row>
    <row r="4019" spans="1:2" x14ac:dyDescent="0.2">
      <c r="A4019">
        <v>4013</v>
      </c>
      <c r="B4019">
        <v>0.47282970598988894</v>
      </c>
    </row>
    <row r="4020" spans="1:2" x14ac:dyDescent="0.2">
      <c r="A4020">
        <v>4014</v>
      </c>
      <c r="B4020">
        <v>0.17478365004532836</v>
      </c>
    </row>
    <row r="4021" spans="1:2" x14ac:dyDescent="0.2">
      <c r="A4021">
        <v>4015</v>
      </c>
      <c r="B4021">
        <v>0.79296290375520306</v>
      </c>
    </row>
    <row r="4022" spans="1:2" x14ac:dyDescent="0.2">
      <c r="A4022">
        <v>4016</v>
      </c>
      <c r="B4022">
        <v>0.77562889528145518</v>
      </c>
    </row>
    <row r="4023" spans="1:2" x14ac:dyDescent="0.2">
      <c r="A4023">
        <v>4017</v>
      </c>
      <c r="B4023">
        <v>0.66533207962067631</v>
      </c>
    </row>
    <row r="4024" spans="1:2" x14ac:dyDescent="0.2">
      <c r="A4024">
        <v>4018</v>
      </c>
      <c r="B4024">
        <v>0.24709537436283757</v>
      </c>
    </row>
    <row r="4025" spans="1:2" x14ac:dyDescent="0.2">
      <c r="A4025">
        <v>4019</v>
      </c>
      <c r="B4025">
        <v>0.6773857366949293</v>
      </c>
    </row>
    <row r="4026" spans="1:2" x14ac:dyDescent="0.2">
      <c r="A4026">
        <v>4020</v>
      </c>
      <c r="B4026">
        <v>0.18884112431383893</v>
      </c>
    </row>
    <row r="4027" spans="1:2" x14ac:dyDescent="0.2">
      <c r="A4027">
        <v>4021</v>
      </c>
      <c r="B4027">
        <v>0.55374965837838819</v>
      </c>
    </row>
    <row r="4028" spans="1:2" x14ac:dyDescent="0.2">
      <c r="A4028">
        <v>4022</v>
      </c>
      <c r="B4028">
        <v>0.39418860181737259</v>
      </c>
    </row>
    <row r="4029" spans="1:2" x14ac:dyDescent="0.2">
      <c r="A4029">
        <v>4023</v>
      </c>
      <c r="B4029">
        <v>0.51971428749312587</v>
      </c>
    </row>
    <row r="4030" spans="1:2" x14ac:dyDescent="0.2">
      <c r="A4030">
        <v>4024</v>
      </c>
      <c r="B4030">
        <v>0.76044626225875689</v>
      </c>
    </row>
    <row r="4031" spans="1:2" x14ac:dyDescent="0.2">
      <c r="A4031">
        <v>4025</v>
      </c>
      <c r="B4031">
        <v>0.11550230702602093</v>
      </c>
    </row>
    <row r="4032" spans="1:2" x14ac:dyDescent="0.2">
      <c r="A4032">
        <v>4026</v>
      </c>
      <c r="B4032">
        <v>0.46182374612864374</v>
      </c>
    </row>
    <row r="4033" spans="1:2" x14ac:dyDescent="0.2">
      <c r="A4033">
        <v>4027</v>
      </c>
      <c r="B4033">
        <v>0.72594228651379422</v>
      </c>
    </row>
    <row r="4034" spans="1:2" x14ac:dyDescent="0.2">
      <c r="A4034">
        <v>4028</v>
      </c>
      <c r="B4034">
        <v>0.60976036317165483</v>
      </c>
    </row>
    <row r="4035" spans="1:2" x14ac:dyDescent="0.2">
      <c r="A4035">
        <v>4029</v>
      </c>
      <c r="B4035">
        <v>0.10923741536029674</v>
      </c>
    </row>
    <row r="4036" spans="1:2" x14ac:dyDescent="0.2">
      <c r="A4036">
        <v>4030</v>
      </c>
      <c r="B4036">
        <v>0.76643819464983243</v>
      </c>
    </row>
    <row r="4037" spans="1:2" x14ac:dyDescent="0.2">
      <c r="A4037">
        <v>4031</v>
      </c>
      <c r="B4037">
        <v>0.91911455808407783</v>
      </c>
    </row>
    <row r="4038" spans="1:2" x14ac:dyDescent="0.2">
      <c r="A4038">
        <v>4032</v>
      </c>
      <c r="B4038">
        <v>2.6181336006171674E-2</v>
      </c>
    </row>
    <row r="4039" spans="1:2" x14ac:dyDescent="0.2">
      <c r="A4039">
        <v>4033</v>
      </c>
      <c r="B4039">
        <v>0.20244721411042554</v>
      </c>
    </row>
    <row r="4040" spans="1:2" x14ac:dyDescent="0.2">
      <c r="A4040">
        <v>4034</v>
      </c>
      <c r="B4040">
        <v>0.64713622709278495</v>
      </c>
    </row>
    <row r="4041" spans="1:2" x14ac:dyDescent="0.2">
      <c r="A4041">
        <v>4035</v>
      </c>
      <c r="B4041">
        <v>5.4392369872058532E-2</v>
      </c>
    </row>
    <row r="4042" spans="1:2" x14ac:dyDescent="0.2">
      <c r="A4042">
        <v>4036</v>
      </c>
      <c r="B4042">
        <v>0.20088417821190885</v>
      </c>
    </row>
    <row r="4043" spans="1:2" x14ac:dyDescent="0.2">
      <c r="A4043">
        <v>4037</v>
      </c>
      <c r="B4043">
        <v>0.69066264882186257</v>
      </c>
    </row>
    <row r="4044" spans="1:2" x14ac:dyDescent="0.2">
      <c r="A4044">
        <v>4038</v>
      </c>
      <c r="B4044">
        <v>9.9082925174846403E-2</v>
      </c>
    </row>
    <row r="4045" spans="1:2" x14ac:dyDescent="0.2">
      <c r="A4045">
        <v>4039</v>
      </c>
      <c r="B4045">
        <v>0.2400839887523174</v>
      </c>
    </row>
    <row r="4046" spans="1:2" x14ac:dyDescent="0.2">
      <c r="A4046">
        <v>4040</v>
      </c>
      <c r="B4046">
        <v>0.50571411511295528</v>
      </c>
    </row>
    <row r="4047" spans="1:2" x14ac:dyDescent="0.2">
      <c r="A4047">
        <v>4041</v>
      </c>
      <c r="B4047">
        <v>0.6623216179932202</v>
      </c>
    </row>
    <row r="4048" spans="1:2" x14ac:dyDescent="0.2">
      <c r="A4048">
        <v>4042</v>
      </c>
      <c r="B4048">
        <v>0.84862239985996957</v>
      </c>
    </row>
    <row r="4049" spans="1:2" x14ac:dyDescent="0.2">
      <c r="A4049">
        <v>4043</v>
      </c>
      <c r="B4049">
        <v>0.11772883972401504</v>
      </c>
    </row>
    <row r="4050" spans="1:2" x14ac:dyDescent="0.2">
      <c r="A4050">
        <v>4044</v>
      </c>
      <c r="B4050">
        <v>1.1642483235909218E-2</v>
      </c>
    </row>
    <row r="4051" spans="1:2" x14ac:dyDescent="0.2">
      <c r="A4051">
        <v>4045</v>
      </c>
      <c r="B4051">
        <v>0.57999495837972626</v>
      </c>
    </row>
    <row r="4052" spans="1:2" x14ac:dyDescent="0.2">
      <c r="A4052">
        <v>4046</v>
      </c>
      <c r="B4052">
        <v>0.44825538849846092</v>
      </c>
    </row>
    <row r="4053" spans="1:2" x14ac:dyDescent="0.2">
      <c r="A4053">
        <v>4047</v>
      </c>
      <c r="B4053">
        <v>0.14974377918375004</v>
      </c>
    </row>
    <row r="4054" spans="1:2" x14ac:dyDescent="0.2">
      <c r="A4054">
        <v>4048</v>
      </c>
      <c r="B4054">
        <v>0.15802364271929714</v>
      </c>
    </row>
    <row r="4055" spans="1:2" x14ac:dyDescent="0.2">
      <c r="A4055">
        <v>4049</v>
      </c>
      <c r="B4055">
        <v>0.45332219229931858</v>
      </c>
    </row>
    <row r="4056" spans="1:2" x14ac:dyDescent="0.2">
      <c r="A4056">
        <v>4050</v>
      </c>
      <c r="B4056">
        <v>0.67109808629483314</v>
      </c>
    </row>
    <row r="4057" spans="1:2" x14ac:dyDescent="0.2">
      <c r="A4057">
        <v>4051</v>
      </c>
      <c r="B4057">
        <v>0.46383365792955655</v>
      </c>
    </row>
    <row r="4058" spans="1:2" x14ac:dyDescent="0.2">
      <c r="A4058">
        <v>4052</v>
      </c>
      <c r="B4058">
        <v>2.6023574726255161E-2</v>
      </c>
    </row>
    <row r="4059" spans="1:2" x14ac:dyDescent="0.2">
      <c r="A4059">
        <v>4053</v>
      </c>
      <c r="B4059">
        <v>0.99328913286118503</v>
      </c>
    </row>
    <row r="4060" spans="1:2" x14ac:dyDescent="0.2">
      <c r="A4060">
        <v>4054</v>
      </c>
      <c r="B4060">
        <v>0.58199532502252294</v>
      </c>
    </row>
    <row r="4061" spans="1:2" x14ac:dyDescent="0.2">
      <c r="A4061">
        <v>4055</v>
      </c>
      <c r="B4061">
        <v>0.70688063538437373</v>
      </c>
    </row>
    <row r="4062" spans="1:2" x14ac:dyDescent="0.2">
      <c r="A4062">
        <v>4056</v>
      </c>
      <c r="B4062">
        <v>5.2739472216209782E-2</v>
      </c>
    </row>
    <row r="4063" spans="1:2" x14ac:dyDescent="0.2">
      <c r="A4063">
        <v>4057</v>
      </c>
      <c r="B4063">
        <v>0.13947716931018317</v>
      </c>
    </row>
    <row r="4064" spans="1:2" x14ac:dyDescent="0.2">
      <c r="A4064">
        <v>4058</v>
      </c>
      <c r="B4064">
        <v>0.61384019088803288</v>
      </c>
    </row>
    <row r="4065" spans="1:2" x14ac:dyDescent="0.2">
      <c r="A4065">
        <v>4059</v>
      </c>
      <c r="B4065">
        <v>0.42551127676111666</v>
      </c>
    </row>
    <row r="4066" spans="1:2" x14ac:dyDescent="0.2">
      <c r="A4066">
        <v>4060</v>
      </c>
      <c r="B4066">
        <v>0.70847817081827713</v>
      </c>
    </row>
    <row r="4067" spans="1:2" x14ac:dyDescent="0.2">
      <c r="A4067">
        <v>4061</v>
      </c>
      <c r="B4067">
        <v>0.1178144774189972</v>
      </c>
    </row>
    <row r="4068" spans="1:2" x14ac:dyDescent="0.2">
      <c r="A4068">
        <v>4062</v>
      </c>
      <c r="B4068">
        <v>0.85332488126375494</v>
      </c>
    </row>
    <row r="4069" spans="1:2" x14ac:dyDescent="0.2">
      <c r="A4069">
        <v>4063</v>
      </c>
      <c r="B4069">
        <v>0.51254210240990095</v>
      </c>
    </row>
    <row r="4070" spans="1:2" x14ac:dyDescent="0.2">
      <c r="A4070">
        <v>4064</v>
      </c>
      <c r="B4070">
        <v>0.71469094917133558</v>
      </c>
    </row>
    <row r="4071" spans="1:2" x14ac:dyDescent="0.2">
      <c r="A4071">
        <v>4065</v>
      </c>
      <c r="B4071">
        <v>6.9531306015420347E-2</v>
      </c>
    </row>
    <row r="4072" spans="1:2" x14ac:dyDescent="0.2">
      <c r="A4072">
        <v>4066</v>
      </c>
      <c r="B4072">
        <v>0.61643672443299713</v>
      </c>
    </row>
    <row r="4073" spans="1:2" x14ac:dyDescent="0.2">
      <c r="A4073">
        <v>4067</v>
      </c>
      <c r="B4073">
        <v>0.80725809403114912</v>
      </c>
    </row>
    <row r="4074" spans="1:2" x14ac:dyDescent="0.2">
      <c r="A4074">
        <v>4068</v>
      </c>
      <c r="B4074">
        <v>0.97800298553630471</v>
      </c>
    </row>
    <row r="4075" spans="1:2" x14ac:dyDescent="0.2">
      <c r="A4075">
        <v>4069</v>
      </c>
      <c r="B4075">
        <v>7.1742241299989074E-2</v>
      </c>
    </row>
    <row r="4076" spans="1:2" x14ac:dyDescent="0.2">
      <c r="A4076">
        <v>4070</v>
      </c>
      <c r="B4076">
        <v>0.85818426048846819</v>
      </c>
    </row>
    <row r="4077" spans="1:2" x14ac:dyDescent="0.2">
      <c r="A4077">
        <v>4071</v>
      </c>
      <c r="B4077">
        <v>0.1957806559342733</v>
      </c>
    </row>
    <row r="4078" spans="1:2" x14ac:dyDescent="0.2">
      <c r="A4078">
        <v>4072</v>
      </c>
      <c r="B4078">
        <v>0.97913957265195162</v>
      </c>
    </row>
    <row r="4079" spans="1:2" x14ac:dyDescent="0.2">
      <c r="A4079">
        <v>4073</v>
      </c>
      <c r="B4079">
        <v>0.69296257502679615</v>
      </c>
    </row>
    <row r="4080" spans="1:2" x14ac:dyDescent="0.2">
      <c r="A4080">
        <v>4074</v>
      </c>
      <c r="B4080">
        <v>0.26405476318694732</v>
      </c>
    </row>
    <row r="4081" spans="1:2" x14ac:dyDescent="0.2">
      <c r="A4081">
        <v>4075</v>
      </c>
      <c r="B4081">
        <v>0.85483510406012841</v>
      </c>
    </row>
    <row r="4082" spans="1:2" x14ac:dyDescent="0.2">
      <c r="A4082">
        <v>4076</v>
      </c>
      <c r="B4082">
        <v>0.72294017651118025</v>
      </c>
    </row>
    <row r="4083" spans="1:2" x14ac:dyDescent="0.2">
      <c r="A4083">
        <v>4077</v>
      </c>
      <c r="B4083">
        <v>0.20439184550320322</v>
      </c>
    </row>
    <row r="4084" spans="1:2" x14ac:dyDescent="0.2">
      <c r="A4084">
        <v>4078</v>
      </c>
      <c r="B4084">
        <v>0.47575037630500949</v>
      </c>
    </row>
    <row r="4085" spans="1:2" x14ac:dyDescent="0.2">
      <c r="A4085">
        <v>4079</v>
      </c>
      <c r="B4085">
        <v>0.58744161381332149</v>
      </c>
    </row>
    <row r="4086" spans="1:2" x14ac:dyDescent="0.2">
      <c r="A4086">
        <v>4080</v>
      </c>
      <c r="B4086">
        <v>0.90867063987513874</v>
      </c>
    </row>
    <row r="4087" spans="1:2" x14ac:dyDescent="0.2">
      <c r="A4087">
        <v>4081</v>
      </c>
      <c r="B4087">
        <v>0.93317760739344702</v>
      </c>
    </row>
    <row r="4088" spans="1:2" x14ac:dyDescent="0.2">
      <c r="A4088">
        <v>4082</v>
      </c>
      <c r="B4088">
        <v>4.8495672981204718E-3</v>
      </c>
    </row>
    <row r="4089" spans="1:2" x14ac:dyDescent="0.2">
      <c r="A4089">
        <v>4083</v>
      </c>
      <c r="B4089">
        <v>6.0250287863697904E-2</v>
      </c>
    </row>
    <row r="4090" spans="1:2" x14ac:dyDescent="0.2">
      <c r="A4090">
        <v>4084</v>
      </c>
      <c r="B4090">
        <v>0.79783805425204002</v>
      </c>
    </row>
    <row r="4091" spans="1:2" x14ac:dyDescent="0.2">
      <c r="A4091">
        <v>4085</v>
      </c>
      <c r="B4091">
        <v>0.25351054863074551</v>
      </c>
    </row>
    <row r="4092" spans="1:2" x14ac:dyDescent="0.2">
      <c r="A4092">
        <v>4086</v>
      </c>
      <c r="B4092">
        <v>0.60364691201623244</v>
      </c>
    </row>
    <row r="4093" spans="1:2" x14ac:dyDescent="0.2">
      <c r="A4093">
        <v>4087</v>
      </c>
      <c r="B4093">
        <v>0.21274836754510962</v>
      </c>
    </row>
    <row r="4094" spans="1:2" x14ac:dyDescent="0.2">
      <c r="A4094">
        <v>4088</v>
      </c>
      <c r="B4094">
        <v>0.67123678581813739</v>
      </c>
    </row>
    <row r="4095" spans="1:2" x14ac:dyDescent="0.2">
      <c r="A4095">
        <v>4089</v>
      </c>
      <c r="B4095">
        <v>0.28880037241533008</v>
      </c>
    </row>
    <row r="4096" spans="1:2" x14ac:dyDescent="0.2">
      <c r="A4096">
        <v>4090</v>
      </c>
      <c r="B4096">
        <v>0.81027624919317032</v>
      </c>
    </row>
    <row r="4097" spans="1:2" x14ac:dyDescent="0.2">
      <c r="A4097">
        <v>4091</v>
      </c>
      <c r="B4097">
        <v>0.19702491662704191</v>
      </c>
    </row>
    <row r="4098" spans="1:2" x14ac:dyDescent="0.2">
      <c r="A4098">
        <v>4092</v>
      </c>
      <c r="B4098">
        <v>6.4885980695400192E-2</v>
      </c>
    </row>
    <row r="4099" spans="1:2" x14ac:dyDescent="0.2">
      <c r="A4099">
        <v>4093</v>
      </c>
      <c r="B4099">
        <v>5.4527449269087147E-2</v>
      </c>
    </row>
    <row r="4100" spans="1:2" x14ac:dyDescent="0.2">
      <c r="A4100">
        <v>4094</v>
      </c>
      <c r="B4100">
        <v>0.90633694885355853</v>
      </c>
    </row>
    <row r="4101" spans="1:2" x14ac:dyDescent="0.2">
      <c r="A4101">
        <v>4095</v>
      </c>
      <c r="B4101">
        <v>0.70221260205463465</v>
      </c>
    </row>
    <row r="4102" spans="1:2" x14ac:dyDescent="0.2">
      <c r="A4102">
        <v>4096</v>
      </c>
      <c r="B4102">
        <v>0.92146920112079955</v>
      </c>
    </row>
    <row r="4103" spans="1:2" x14ac:dyDescent="0.2">
      <c r="A4103">
        <v>4097</v>
      </c>
      <c r="B4103">
        <v>2.7796218758051605E-2</v>
      </c>
    </row>
    <row r="4104" spans="1:2" x14ac:dyDescent="0.2">
      <c r="A4104">
        <v>4098</v>
      </c>
      <c r="B4104">
        <v>2.6869634702746836E-2</v>
      </c>
    </row>
    <row r="4105" spans="1:2" x14ac:dyDescent="0.2">
      <c r="A4105">
        <v>4099</v>
      </c>
      <c r="B4105">
        <v>0.39716973042571968</v>
      </c>
    </row>
    <row r="4106" spans="1:2" x14ac:dyDescent="0.2">
      <c r="A4106">
        <v>4100</v>
      </c>
      <c r="B4106">
        <v>0.76340841165467421</v>
      </c>
    </row>
    <row r="4107" spans="1:2" x14ac:dyDescent="0.2">
      <c r="A4107">
        <v>4101</v>
      </c>
      <c r="B4107">
        <v>0.46881528976865794</v>
      </c>
    </row>
    <row r="4108" spans="1:2" x14ac:dyDescent="0.2">
      <c r="A4108">
        <v>4102</v>
      </c>
      <c r="B4108">
        <v>0.62902381869901081</v>
      </c>
    </row>
    <row r="4109" spans="1:2" x14ac:dyDescent="0.2">
      <c r="A4109">
        <v>4103</v>
      </c>
      <c r="B4109">
        <v>8.6213129683112788E-2</v>
      </c>
    </row>
    <row r="4110" spans="1:2" x14ac:dyDescent="0.2">
      <c r="A4110">
        <v>4104</v>
      </c>
      <c r="B4110">
        <v>0.75164718113796958</v>
      </c>
    </row>
    <row r="4111" spans="1:2" x14ac:dyDescent="0.2">
      <c r="A4111">
        <v>4105</v>
      </c>
      <c r="B4111">
        <v>0.60622219602102467</v>
      </c>
    </row>
    <row r="4112" spans="1:2" x14ac:dyDescent="0.2">
      <c r="A4112">
        <v>4106</v>
      </c>
      <c r="B4112">
        <v>0.45369197602022138</v>
      </c>
    </row>
    <row r="4113" spans="1:2" x14ac:dyDescent="0.2">
      <c r="A4113">
        <v>4107</v>
      </c>
      <c r="B4113">
        <v>0.81396526496792321</v>
      </c>
    </row>
    <row r="4114" spans="1:2" x14ac:dyDescent="0.2">
      <c r="A4114">
        <v>4108</v>
      </c>
      <c r="B4114">
        <v>0.11127001965389482</v>
      </c>
    </row>
    <row r="4115" spans="1:2" x14ac:dyDescent="0.2">
      <c r="A4115">
        <v>4109</v>
      </c>
      <c r="B4115">
        <v>0.95550025759954071</v>
      </c>
    </row>
    <row r="4116" spans="1:2" x14ac:dyDescent="0.2">
      <c r="A4116">
        <v>4110</v>
      </c>
      <c r="B4116">
        <v>0.3948171929549007</v>
      </c>
    </row>
    <row r="4117" spans="1:2" x14ac:dyDescent="0.2">
      <c r="A4117">
        <v>4111</v>
      </c>
      <c r="B4117">
        <v>0.87884652307379507</v>
      </c>
    </row>
    <row r="4118" spans="1:2" x14ac:dyDescent="0.2">
      <c r="A4118">
        <v>4112</v>
      </c>
      <c r="B4118">
        <v>0.87300443702043173</v>
      </c>
    </row>
    <row r="4119" spans="1:2" x14ac:dyDescent="0.2">
      <c r="A4119">
        <v>4113</v>
      </c>
      <c r="B4119">
        <v>0.85893532015118568</v>
      </c>
    </row>
    <row r="4120" spans="1:2" x14ac:dyDescent="0.2">
      <c r="A4120">
        <v>4114</v>
      </c>
      <c r="B4120">
        <v>5.11503368240529E-2</v>
      </c>
    </row>
    <row r="4121" spans="1:2" x14ac:dyDescent="0.2">
      <c r="A4121">
        <v>4115</v>
      </c>
      <c r="B4121">
        <v>9.4275393137231545E-2</v>
      </c>
    </row>
    <row r="4122" spans="1:2" x14ac:dyDescent="0.2">
      <c r="A4122">
        <v>4116</v>
      </c>
      <c r="B4122">
        <v>0.67641841104447442</v>
      </c>
    </row>
    <row r="4123" spans="1:2" x14ac:dyDescent="0.2">
      <c r="A4123">
        <v>4117</v>
      </c>
      <c r="B4123">
        <v>0.18858613207847919</v>
      </c>
    </row>
    <row r="4124" spans="1:2" x14ac:dyDescent="0.2">
      <c r="A4124">
        <v>4118</v>
      </c>
      <c r="B4124">
        <v>0.84174331854470685</v>
      </c>
    </row>
    <row r="4125" spans="1:2" x14ac:dyDescent="0.2">
      <c r="A4125">
        <v>4119</v>
      </c>
      <c r="B4125">
        <v>0.65804641589423607</v>
      </c>
    </row>
    <row r="4126" spans="1:2" x14ac:dyDescent="0.2">
      <c r="A4126">
        <v>4120</v>
      </c>
      <c r="B4126">
        <v>7.2941569382561577E-2</v>
      </c>
    </row>
    <row r="4127" spans="1:2" x14ac:dyDescent="0.2">
      <c r="A4127">
        <v>4121</v>
      </c>
      <c r="B4127">
        <v>0.99362619441043309</v>
      </c>
    </row>
    <row r="4128" spans="1:2" x14ac:dyDescent="0.2">
      <c r="A4128">
        <v>4122</v>
      </c>
      <c r="B4128">
        <v>0.3437515071338193</v>
      </c>
    </row>
    <row r="4129" spans="1:2" x14ac:dyDescent="0.2">
      <c r="A4129">
        <v>4123</v>
      </c>
      <c r="B4129">
        <v>1.2631669260312006E-2</v>
      </c>
    </row>
    <row r="4130" spans="1:2" x14ac:dyDescent="0.2">
      <c r="A4130">
        <v>4124</v>
      </c>
      <c r="B4130">
        <v>0.95022274778347005</v>
      </c>
    </row>
    <row r="4131" spans="1:2" x14ac:dyDescent="0.2">
      <c r="A4131">
        <v>4125</v>
      </c>
      <c r="B4131">
        <v>0.16211569487540378</v>
      </c>
    </row>
    <row r="4132" spans="1:2" x14ac:dyDescent="0.2">
      <c r="A4132">
        <v>4126</v>
      </c>
      <c r="B4132">
        <v>0.78844684189919911</v>
      </c>
    </row>
    <row r="4133" spans="1:2" x14ac:dyDescent="0.2">
      <c r="A4133">
        <v>4127</v>
      </c>
      <c r="B4133">
        <v>0.32034113378709683</v>
      </c>
    </row>
    <row r="4134" spans="1:2" x14ac:dyDescent="0.2">
      <c r="A4134">
        <v>4128</v>
      </c>
      <c r="B4134">
        <v>0.37607787226635692</v>
      </c>
    </row>
    <row r="4135" spans="1:2" x14ac:dyDescent="0.2">
      <c r="A4135">
        <v>4129</v>
      </c>
      <c r="B4135">
        <v>0.27224246110006589</v>
      </c>
    </row>
    <row r="4136" spans="1:2" x14ac:dyDescent="0.2">
      <c r="A4136">
        <v>4130</v>
      </c>
      <c r="B4136">
        <v>4.8321868103428089E-3</v>
      </c>
    </row>
    <row r="4137" spans="1:2" x14ac:dyDescent="0.2">
      <c r="A4137">
        <v>4131</v>
      </c>
      <c r="B4137">
        <v>0.14866041302030164</v>
      </c>
    </row>
    <row r="4138" spans="1:2" x14ac:dyDescent="0.2">
      <c r="A4138">
        <v>4132</v>
      </c>
      <c r="B4138">
        <v>0.7099013159358486</v>
      </c>
    </row>
    <row r="4139" spans="1:2" x14ac:dyDescent="0.2">
      <c r="A4139">
        <v>4133</v>
      </c>
      <c r="B4139">
        <v>0.48233472837130298</v>
      </c>
    </row>
    <row r="4140" spans="1:2" x14ac:dyDescent="0.2">
      <c r="A4140">
        <v>4134</v>
      </c>
      <c r="B4140">
        <v>0.42609292385610986</v>
      </c>
    </row>
    <row r="4141" spans="1:2" x14ac:dyDescent="0.2">
      <c r="A4141">
        <v>4135</v>
      </c>
      <c r="B4141">
        <v>0.15967357109702718</v>
      </c>
    </row>
    <row r="4142" spans="1:2" x14ac:dyDescent="0.2">
      <c r="A4142">
        <v>4136</v>
      </c>
      <c r="B4142">
        <v>0.423753003254007</v>
      </c>
    </row>
    <row r="4143" spans="1:2" x14ac:dyDescent="0.2">
      <c r="A4143">
        <v>4137</v>
      </c>
      <c r="B4143">
        <v>0.31951982375049426</v>
      </c>
    </row>
    <row r="4144" spans="1:2" x14ac:dyDescent="0.2">
      <c r="A4144">
        <v>4138</v>
      </c>
      <c r="B4144">
        <v>0.31418891844087649</v>
      </c>
    </row>
    <row r="4145" spans="1:2" x14ac:dyDescent="0.2">
      <c r="A4145">
        <v>4139</v>
      </c>
      <c r="B4145">
        <v>0.96478851336595561</v>
      </c>
    </row>
    <row r="4146" spans="1:2" x14ac:dyDescent="0.2">
      <c r="A4146">
        <v>4140</v>
      </c>
      <c r="B4146">
        <v>0.60503846438802222</v>
      </c>
    </row>
    <row r="4147" spans="1:2" x14ac:dyDescent="0.2">
      <c r="A4147">
        <v>4141</v>
      </c>
      <c r="B4147">
        <v>0.95128080385675617</v>
      </c>
    </row>
    <row r="4148" spans="1:2" x14ac:dyDescent="0.2">
      <c r="A4148">
        <v>4142</v>
      </c>
      <c r="B4148">
        <v>0.47146737968388619</v>
      </c>
    </row>
    <row r="4149" spans="1:2" x14ac:dyDescent="0.2">
      <c r="A4149">
        <v>4143</v>
      </c>
      <c r="B4149">
        <v>0.68923334934037739</v>
      </c>
    </row>
    <row r="4150" spans="1:2" x14ac:dyDescent="0.2">
      <c r="A4150">
        <v>4144</v>
      </c>
      <c r="B4150">
        <v>0.58099865400521478</v>
      </c>
    </row>
    <row r="4151" spans="1:2" x14ac:dyDescent="0.2">
      <c r="A4151">
        <v>4145</v>
      </c>
      <c r="B4151">
        <v>0.7255352662416843</v>
      </c>
    </row>
    <row r="4152" spans="1:2" x14ac:dyDescent="0.2">
      <c r="A4152">
        <v>4146</v>
      </c>
      <c r="B4152">
        <v>0.51819938126187881</v>
      </c>
    </row>
    <row r="4153" spans="1:2" x14ac:dyDescent="0.2">
      <c r="A4153">
        <v>4147</v>
      </c>
      <c r="B4153">
        <v>0.5570155167135088</v>
      </c>
    </row>
    <row r="4154" spans="1:2" x14ac:dyDescent="0.2">
      <c r="A4154">
        <v>4148</v>
      </c>
      <c r="B4154">
        <v>0.73168903498110671</v>
      </c>
    </row>
    <row r="4155" spans="1:2" x14ac:dyDescent="0.2">
      <c r="A4155">
        <v>4149</v>
      </c>
      <c r="B4155">
        <v>0.14373564472796529</v>
      </c>
    </row>
    <row r="4156" spans="1:2" x14ac:dyDescent="0.2">
      <c r="A4156">
        <v>4150</v>
      </c>
      <c r="B4156">
        <v>0.27172899920791127</v>
      </c>
    </row>
    <row r="4157" spans="1:2" x14ac:dyDescent="0.2">
      <c r="A4157">
        <v>4151</v>
      </c>
      <c r="B4157">
        <v>0.92786745773051138</v>
      </c>
    </row>
    <row r="4158" spans="1:2" x14ac:dyDescent="0.2">
      <c r="A4158">
        <v>4152</v>
      </c>
      <c r="B4158">
        <v>0.98019286201951317</v>
      </c>
    </row>
    <row r="4159" spans="1:2" x14ac:dyDescent="0.2">
      <c r="A4159">
        <v>4153</v>
      </c>
      <c r="B4159">
        <v>0.66133896885713794</v>
      </c>
    </row>
    <row r="4160" spans="1:2" x14ac:dyDescent="0.2">
      <c r="A4160">
        <v>4154</v>
      </c>
      <c r="B4160">
        <v>0.6516181431267446</v>
      </c>
    </row>
    <row r="4161" spans="1:2" x14ac:dyDescent="0.2">
      <c r="A4161">
        <v>4155</v>
      </c>
      <c r="B4161">
        <v>0.25808343292605496</v>
      </c>
    </row>
    <row r="4162" spans="1:2" x14ac:dyDescent="0.2">
      <c r="A4162">
        <v>4156</v>
      </c>
      <c r="B4162">
        <v>0.31017485650738885</v>
      </c>
    </row>
    <row r="4163" spans="1:2" x14ac:dyDescent="0.2">
      <c r="A4163">
        <v>4157</v>
      </c>
      <c r="B4163">
        <v>0.23930988675723597</v>
      </c>
    </row>
    <row r="4164" spans="1:2" x14ac:dyDescent="0.2">
      <c r="A4164">
        <v>4158</v>
      </c>
      <c r="B4164">
        <v>0.98347213385408216</v>
      </c>
    </row>
    <row r="4165" spans="1:2" x14ac:dyDescent="0.2">
      <c r="A4165">
        <v>4159</v>
      </c>
      <c r="B4165">
        <v>0.9414775275992211</v>
      </c>
    </row>
    <row r="4166" spans="1:2" x14ac:dyDescent="0.2">
      <c r="A4166">
        <v>4160</v>
      </c>
      <c r="B4166">
        <v>0.41964344346993621</v>
      </c>
    </row>
    <row r="4167" spans="1:2" x14ac:dyDescent="0.2">
      <c r="A4167">
        <v>4161</v>
      </c>
      <c r="B4167">
        <v>0.82494947431435162</v>
      </c>
    </row>
    <row r="4168" spans="1:2" x14ac:dyDescent="0.2">
      <c r="A4168">
        <v>4162</v>
      </c>
      <c r="B4168">
        <v>0.7771307146898343</v>
      </c>
    </row>
    <row r="4169" spans="1:2" x14ac:dyDescent="0.2">
      <c r="A4169">
        <v>4163</v>
      </c>
      <c r="B4169">
        <v>0.1035382584529152</v>
      </c>
    </row>
    <row r="4170" spans="1:2" x14ac:dyDescent="0.2">
      <c r="A4170">
        <v>4164</v>
      </c>
      <c r="B4170">
        <v>0.41503038751435006</v>
      </c>
    </row>
    <row r="4171" spans="1:2" x14ac:dyDescent="0.2">
      <c r="A4171">
        <v>4165</v>
      </c>
      <c r="B4171">
        <v>0.71743401510981841</v>
      </c>
    </row>
    <row r="4172" spans="1:2" x14ac:dyDescent="0.2">
      <c r="A4172">
        <v>4166</v>
      </c>
      <c r="B4172">
        <v>0.6277497997722763</v>
      </c>
    </row>
    <row r="4173" spans="1:2" x14ac:dyDescent="0.2">
      <c r="A4173">
        <v>4167</v>
      </c>
      <c r="B4173">
        <v>0.52694431917226348</v>
      </c>
    </row>
    <row r="4174" spans="1:2" x14ac:dyDescent="0.2">
      <c r="A4174">
        <v>4168</v>
      </c>
      <c r="B4174">
        <v>0.78432243318215578</v>
      </c>
    </row>
    <row r="4175" spans="1:2" x14ac:dyDescent="0.2">
      <c r="A4175">
        <v>4169</v>
      </c>
      <c r="B4175">
        <v>0.62753369819533078</v>
      </c>
    </row>
    <row r="4176" spans="1:2" x14ac:dyDescent="0.2">
      <c r="A4176">
        <v>4170</v>
      </c>
      <c r="B4176">
        <v>0.69821787649988099</v>
      </c>
    </row>
    <row r="4177" spans="1:2" x14ac:dyDescent="0.2">
      <c r="A4177">
        <v>4171</v>
      </c>
      <c r="B4177">
        <v>0.79117410820510525</v>
      </c>
    </row>
    <row r="4178" spans="1:2" x14ac:dyDescent="0.2">
      <c r="A4178">
        <v>4172</v>
      </c>
      <c r="B4178">
        <v>0.59494965638231534</v>
      </c>
    </row>
    <row r="4179" spans="1:2" x14ac:dyDescent="0.2">
      <c r="A4179">
        <v>4173</v>
      </c>
      <c r="B4179">
        <v>0.5490172717411923</v>
      </c>
    </row>
    <row r="4180" spans="1:2" x14ac:dyDescent="0.2">
      <c r="A4180">
        <v>4174</v>
      </c>
      <c r="B4180">
        <v>0.27609516825869329</v>
      </c>
    </row>
    <row r="4181" spans="1:2" x14ac:dyDescent="0.2">
      <c r="A4181">
        <v>4175</v>
      </c>
      <c r="B4181">
        <v>0.56526997399241163</v>
      </c>
    </row>
    <row r="4182" spans="1:2" x14ac:dyDescent="0.2">
      <c r="A4182">
        <v>4176</v>
      </c>
      <c r="B4182">
        <v>0.42074709252286646</v>
      </c>
    </row>
    <row r="4183" spans="1:2" x14ac:dyDescent="0.2">
      <c r="A4183">
        <v>4177</v>
      </c>
      <c r="B4183">
        <v>0.90558799481305385</v>
      </c>
    </row>
    <row r="4184" spans="1:2" x14ac:dyDescent="0.2">
      <c r="A4184">
        <v>4178</v>
      </c>
      <c r="B4184">
        <v>0.70930061176493153</v>
      </c>
    </row>
    <row r="4185" spans="1:2" x14ac:dyDescent="0.2">
      <c r="A4185">
        <v>4179</v>
      </c>
      <c r="B4185">
        <v>0.30099970807880172</v>
      </c>
    </row>
    <row r="4186" spans="1:2" x14ac:dyDescent="0.2">
      <c r="A4186">
        <v>4180</v>
      </c>
      <c r="B4186">
        <v>0.15595759612345272</v>
      </c>
    </row>
    <row r="4187" spans="1:2" x14ac:dyDescent="0.2">
      <c r="A4187">
        <v>4181</v>
      </c>
      <c r="B4187">
        <v>0.1212827537086153</v>
      </c>
    </row>
    <row r="4188" spans="1:2" x14ac:dyDescent="0.2">
      <c r="A4188">
        <v>4182</v>
      </c>
      <c r="B4188">
        <v>0.58175551719981855</v>
      </c>
    </row>
    <row r="4189" spans="1:2" x14ac:dyDescent="0.2">
      <c r="A4189">
        <v>4183</v>
      </c>
      <c r="B4189">
        <v>0.42078784549053982</v>
      </c>
    </row>
    <row r="4190" spans="1:2" x14ac:dyDescent="0.2">
      <c r="A4190">
        <v>4184</v>
      </c>
      <c r="B4190">
        <v>0.72071457287943441</v>
      </c>
    </row>
    <row r="4191" spans="1:2" x14ac:dyDescent="0.2">
      <c r="A4191">
        <v>4185</v>
      </c>
      <c r="B4191">
        <v>0.70770280572715705</v>
      </c>
    </row>
    <row r="4192" spans="1:2" x14ac:dyDescent="0.2">
      <c r="A4192">
        <v>4186</v>
      </c>
      <c r="B4192">
        <v>0.60285248436778593</v>
      </c>
    </row>
    <row r="4193" spans="1:2" x14ac:dyDescent="0.2">
      <c r="A4193">
        <v>4187</v>
      </c>
      <c r="B4193">
        <v>0.1740679519958741</v>
      </c>
    </row>
    <row r="4194" spans="1:2" x14ac:dyDescent="0.2">
      <c r="A4194">
        <v>4188</v>
      </c>
      <c r="B4194">
        <v>0.84120879638985779</v>
      </c>
    </row>
    <row r="4195" spans="1:2" x14ac:dyDescent="0.2">
      <c r="A4195">
        <v>4189</v>
      </c>
      <c r="B4195">
        <v>0.50287157957547912</v>
      </c>
    </row>
    <row r="4196" spans="1:2" x14ac:dyDescent="0.2">
      <c r="A4196">
        <v>4190</v>
      </c>
      <c r="B4196">
        <v>0.30077313225066482</v>
      </c>
    </row>
    <row r="4197" spans="1:2" x14ac:dyDescent="0.2">
      <c r="A4197">
        <v>4191</v>
      </c>
      <c r="B4197">
        <v>0.26559315267270567</v>
      </c>
    </row>
    <row r="4198" spans="1:2" x14ac:dyDescent="0.2">
      <c r="A4198">
        <v>4192</v>
      </c>
      <c r="B4198">
        <v>0.25171496883441991</v>
      </c>
    </row>
    <row r="4199" spans="1:2" x14ac:dyDescent="0.2">
      <c r="A4199">
        <v>4193</v>
      </c>
      <c r="B4199">
        <v>0.61812008226435677</v>
      </c>
    </row>
    <row r="4200" spans="1:2" x14ac:dyDescent="0.2">
      <c r="A4200">
        <v>4194</v>
      </c>
      <c r="B4200">
        <v>0.68444670599757962</v>
      </c>
    </row>
    <row r="4201" spans="1:2" x14ac:dyDescent="0.2">
      <c r="A4201">
        <v>4195</v>
      </c>
      <c r="B4201">
        <v>0.71561777416938521</v>
      </c>
    </row>
    <row r="4202" spans="1:2" x14ac:dyDescent="0.2">
      <c r="A4202">
        <v>4196</v>
      </c>
      <c r="B4202">
        <v>0.86109604499703651</v>
      </c>
    </row>
    <row r="4203" spans="1:2" x14ac:dyDescent="0.2">
      <c r="A4203">
        <v>4197</v>
      </c>
      <c r="B4203">
        <v>0.95854287348924549</v>
      </c>
    </row>
    <row r="4204" spans="1:2" x14ac:dyDescent="0.2">
      <c r="A4204">
        <v>4198</v>
      </c>
      <c r="B4204">
        <v>0.24675789559791594</v>
      </c>
    </row>
    <row r="4205" spans="1:2" x14ac:dyDescent="0.2">
      <c r="A4205">
        <v>4199</v>
      </c>
      <c r="B4205">
        <v>0.66491543962959021</v>
      </c>
    </row>
    <row r="4206" spans="1:2" x14ac:dyDescent="0.2">
      <c r="A4206">
        <v>4200</v>
      </c>
      <c r="B4206">
        <v>0.40139371437968008</v>
      </c>
    </row>
    <row r="4207" spans="1:2" x14ac:dyDescent="0.2">
      <c r="A4207">
        <v>4201</v>
      </c>
      <c r="B4207">
        <v>0.41903627251310283</v>
      </c>
    </row>
    <row r="4208" spans="1:2" x14ac:dyDescent="0.2">
      <c r="A4208">
        <v>4202</v>
      </c>
      <c r="B4208">
        <v>4.7543574078233841E-2</v>
      </c>
    </row>
    <row r="4209" spans="1:2" x14ac:dyDescent="0.2">
      <c r="A4209">
        <v>4203</v>
      </c>
      <c r="B4209">
        <v>0.60408247763114575</v>
      </c>
    </row>
    <row r="4210" spans="1:2" x14ac:dyDescent="0.2">
      <c r="A4210">
        <v>4204</v>
      </c>
      <c r="B4210">
        <v>0.59960922864397781</v>
      </c>
    </row>
    <row r="4211" spans="1:2" x14ac:dyDescent="0.2">
      <c r="A4211">
        <v>4205</v>
      </c>
      <c r="B4211">
        <v>0.46031575565763339</v>
      </c>
    </row>
    <row r="4212" spans="1:2" x14ac:dyDescent="0.2">
      <c r="A4212">
        <v>4206</v>
      </c>
      <c r="B4212">
        <v>0.44610347477424328</v>
      </c>
    </row>
    <row r="4213" spans="1:2" x14ac:dyDescent="0.2">
      <c r="A4213">
        <v>4207</v>
      </c>
      <c r="B4213">
        <v>0.13239727735643136</v>
      </c>
    </row>
    <row r="4214" spans="1:2" x14ac:dyDescent="0.2">
      <c r="A4214">
        <v>4208</v>
      </c>
      <c r="B4214">
        <v>0.72730328914400055</v>
      </c>
    </row>
    <row r="4215" spans="1:2" x14ac:dyDescent="0.2">
      <c r="A4215">
        <v>4209</v>
      </c>
      <c r="B4215">
        <v>0.39153451471993128</v>
      </c>
    </row>
    <row r="4216" spans="1:2" x14ac:dyDescent="0.2">
      <c r="A4216">
        <v>4210</v>
      </c>
      <c r="B4216">
        <v>5.7980119850732148E-2</v>
      </c>
    </row>
    <row r="4217" spans="1:2" x14ac:dyDescent="0.2">
      <c r="A4217">
        <v>4211</v>
      </c>
      <c r="B4217">
        <v>0.35428500534971907</v>
      </c>
    </row>
    <row r="4218" spans="1:2" x14ac:dyDescent="0.2">
      <c r="A4218">
        <v>4212</v>
      </c>
      <c r="B4218">
        <v>0.80187238706751285</v>
      </c>
    </row>
    <row r="4219" spans="1:2" x14ac:dyDescent="0.2">
      <c r="A4219">
        <v>4213</v>
      </c>
      <c r="B4219">
        <v>9.618964501124827E-2</v>
      </c>
    </row>
    <row r="4220" spans="1:2" x14ac:dyDescent="0.2">
      <c r="A4220">
        <v>4214</v>
      </c>
      <c r="B4220">
        <v>0.79290261538018458</v>
      </c>
    </row>
    <row r="4221" spans="1:2" x14ac:dyDescent="0.2">
      <c r="A4221">
        <v>4215</v>
      </c>
      <c r="B4221">
        <v>8.7601377958860471E-2</v>
      </c>
    </row>
    <row r="4222" spans="1:2" x14ac:dyDescent="0.2">
      <c r="A4222">
        <v>4216</v>
      </c>
      <c r="B4222">
        <v>0.12347302492613421</v>
      </c>
    </row>
    <row r="4223" spans="1:2" x14ac:dyDescent="0.2">
      <c r="A4223">
        <v>4217</v>
      </c>
      <c r="B4223">
        <v>8.4512599316557524E-2</v>
      </c>
    </row>
    <row r="4224" spans="1:2" x14ac:dyDescent="0.2">
      <c r="A4224">
        <v>4218</v>
      </c>
      <c r="B4224">
        <v>0.32863324623498547</v>
      </c>
    </row>
    <row r="4225" spans="1:2" x14ac:dyDescent="0.2">
      <c r="A4225">
        <v>4219</v>
      </c>
      <c r="B4225">
        <v>0.94653986486280994</v>
      </c>
    </row>
    <row r="4226" spans="1:2" x14ac:dyDescent="0.2">
      <c r="A4226">
        <v>4220</v>
      </c>
      <c r="B4226">
        <v>0.9171173800285608</v>
      </c>
    </row>
    <row r="4227" spans="1:2" x14ac:dyDescent="0.2">
      <c r="A4227">
        <v>4221</v>
      </c>
      <c r="B4227">
        <v>0.93397003152431357</v>
      </c>
    </row>
    <row r="4228" spans="1:2" x14ac:dyDescent="0.2">
      <c r="A4228">
        <v>4222</v>
      </c>
      <c r="B4228">
        <v>0.38460720283047511</v>
      </c>
    </row>
    <row r="4229" spans="1:2" x14ac:dyDescent="0.2">
      <c r="A4229">
        <v>4223</v>
      </c>
      <c r="B4229">
        <v>0.96645445243367378</v>
      </c>
    </row>
    <row r="4230" spans="1:2" x14ac:dyDescent="0.2">
      <c r="A4230">
        <v>4224</v>
      </c>
      <c r="B4230">
        <v>0.3757791748864634</v>
      </c>
    </row>
    <row r="4231" spans="1:2" x14ac:dyDescent="0.2">
      <c r="A4231">
        <v>4225</v>
      </c>
      <c r="B4231">
        <v>0.3990465770500552</v>
      </c>
    </row>
    <row r="4232" spans="1:2" x14ac:dyDescent="0.2">
      <c r="A4232">
        <v>4226</v>
      </c>
      <c r="B4232">
        <v>4.1174505453074328E-2</v>
      </c>
    </row>
    <row r="4233" spans="1:2" x14ac:dyDescent="0.2">
      <c r="A4233">
        <v>4227</v>
      </c>
      <c r="B4233">
        <v>0.93046607699435036</v>
      </c>
    </row>
    <row r="4234" spans="1:2" x14ac:dyDescent="0.2">
      <c r="A4234">
        <v>4228</v>
      </c>
      <c r="B4234">
        <v>0.31111534358453519</v>
      </c>
    </row>
    <row r="4235" spans="1:2" x14ac:dyDescent="0.2">
      <c r="A4235">
        <v>4229</v>
      </c>
      <c r="B4235">
        <v>0.41505921916966482</v>
      </c>
    </row>
    <row r="4236" spans="1:2" x14ac:dyDescent="0.2">
      <c r="A4236">
        <v>4230</v>
      </c>
      <c r="B4236">
        <v>0.15682239585623914</v>
      </c>
    </row>
    <row r="4237" spans="1:2" x14ac:dyDescent="0.2">
      <c r="A4237">
        <v>4231</v>
      </c>
      <c r="B4237">
        <v>0.47289436065190438</v>
      </c>
    </row>
    <row r="4238" spans="1:2" x14ac:dyDescent="0.2">
      <c r="A4238">
        <v>4232</v>
      </c>
      <c r="B4238">
        <v>0.71624839137954166</v>
      </c>
    </row>
    <row r="4239" spans="1:2" x14ac:dyDescent="0.2">
      <c r="A4239">
        <v>4233</v>
      </c>
      <c r="B4239">
        <v>0.64161136247944273</v>
      </c>
    </row>
    <row r="4240" spans="1:2" x14ac:dyDescent="0.2">
      <c r="A4240">
        <v>4234</v>
      </c>
      <c r="B4240">
        <v>0.72979520519777241</v>
      </c>
    </row>
    <row r="4241" spans="1:2" x14ac:dyDescent="0.2">
      <c r="A4241">
        <v>4235</v>
      </c>
      <c r="B4241">
        <v>0.43154336892354239</v>
      </c>
    </row>
    <row r="4242" spans="1:2" x14ac:dyDescent="0.2">
      <c r="A4242">
        <v>4236</v>
      </c>
      <c r="B4242">
        <v>1.3271444289678636E-2</v>
      </c>
    </row>
    <row r="4243" spans="1:2" x14ac:dyDescent="0.2">
      <c r="A4243">
        <v>4237</v>
      </c>
      <c r="B4243">
        <v>0.6718678397314054</v>
      </c>
    </row>
    <row r="4244" spans="1:2" x14ac:dyDescent="0.2">
      <c r="A4244">
        <v>4238</v>
      </c>
      <c r="B4244">
        <v>0.8880729674478347</v>
      </c>
    </row>
    <row r="4245" spans="1:2" x14ac:dyDescent="0.2">
      <c r="A4245">
        <v>4239</v>
      </c>
      <c r="B4245">
        <v>0.89882233040062054</v>
      </c>
    </row>
    <row r="4246" spans="1:2" x14ac:dyDescent="0.2">
      <c r="A4246">
        <v>4240</v>
      </c>
      <c r="B4246">
        <v>0.84217320210462621</v>
      </c>
    </row>
    <row r="4247" spans="1:2" x14ac:dyDescent="0.2">
      <c r="A4247">
        <v>4241</v>
      </c>
      <c r="B4247">
        <v>0.82871787009358522</v>
      </c>
    </row>
    <row r="4248" spans="1:2" x14ac:dyDescent="0.2">
      <c r="A4248">
        <v>4242</v>
      </c>
      <c r="B4248">
        <v>0.48349792770729494</v>
      </c>
    </row>
    <row r="4249" spans="1:2" x14ac:dyDescent="0.2">
      <c r="A4249">
        <v>4243</v>
      </c>
      <c r="B4249">
        <v>6.8534659324491765E-2</v>
      </c>
    </row>
    <row r="4250" spans="1:2" x14ac:dyDescent="0.2">
      <c r="A4250">
        <v>4244</v>
      </c>
      <c r="B4250">
        <v>0.8018208885004493</v>
      </c>
    </row>
    <row r="4251" spans="1:2" x14ac:dyDescent="0.2">
      <c r="A4251">
        <v>4245</v>
      </c>
      <c r="B4251">
        <v>0.73898644019343196</v>
      </c>
    </row>
    <row r="4252" spans="1:2" x14ac:dyDescent="0.2">
      <c r="A4252">
        <v>4246</v>
      </c>
      <c r="B4252">
        <v>0.28188237399408189</v>
      </c>
    </row>
    <row r="4253" spans="1:2" x14ac:dyDescent="0.2">
      <c r="A4253">
        <v>4247</v>
      </c>
      <c r="B4253">
        <v>0.99827811294349955</v>
      </c>
    </row>
    <row r="4254" spans="1:2" x14ac:dyDescent="0.2">
      <c r="A4254">
        <v>4248</v>
      </c>
      <c r="B4254">
        <v>0.57216509777463698</v>
      </c>
    </row>
    <row r="4255" spans="1:2" x14ac:dyDescent="0.2">
      <c r="A4255">
        <v>4249</v>
      </c>
      <c r="B4255">
        <v>0.55606646283480687</v>
      </c>
    </row>
    <row r="4256" spans="1:2" x14ac:dyDescent="0.2">
      <c r="A4256">
        <v>4250</v>
      </c>
      <c r="B4256">
        <v>0.80579377371976979</v>
      </c>
    </row>
    <row r="4257" spans="1:2" x14ac:dyDescent="0.2">
      <c r="A4257">
        <v>4251</v>
      </c>
      <c r="B4257">
        <v>0.8848215261233654</v>
      </c>
    </row>
    <row r="4258" spans="1:2" x14ac:dyDescent="0.2">
      <c r="A4258">
        <v>4252</v>
      </c>
      <c r="B4258">
        <v>0.52065882305140465</v>
      </c>
    </row>
    <row r="4259" spans="1:2" x14ac:dyDescent="0.2">
      <c r="A4259">
        <v>4253</v>
      </c>
      <c r="B4259">
        <v>0.7621991379315981</v>
      </c>
    </row>
    <row r="4260" spans="1:2" x14ac:dyDescent="0.2">
      <c r="A4260">
        <v>4254</v>
      </c>
      <c r="B4260">
        <v>0.40921554124073634</v>
      </c>
    </row>
    <row r="4261" spans="1:2" x14ac:dyDescent="0.2">
      <c r="A4261">
        <v>4255</v>
      </c>
      <c r="B4261">
        <v>0.5295445309579665</v>
      </c>
    </row>
    <row r="4262" spans="1:2" x14ac:dyDescent="0.2">
      <c r="A4262">
        <v>4256</v>
      </c>
      <c r="B4262">
        <v>1.680644190444236E-2</v>
      </c>
    </row>
    <row r="4263" spans="1:2" x14ac:dyDescent="0.2">
      <c r="A4263">
        <v>4257</v>
      </c>
      <c r="B4263">
        <v>0.28644912857889659</v>
      </c>
    </row>
    <row r="4264" spans="1:2" x14ac:dyDescent="0.2">
      <c r="A4264">
        <v>4258</v>
      </c>
      <c r="B4264">
        <v>0.72141065155238449</v>
      </c>
    </row>
    <row r="4265" spans="1:2" x14ac:dyDescent="0.2">
      <c r="A4265">
        <v>4259</v>
      </c>
      <c r="B4265">
        <v>0.45232022061796229</v>
      </c>
    </row>
    <row r="4266" spans="1:2" x14ac:dyDescent="0.2">
      <c r="A4266">
        <v>4260</v>
      </c>
      <c r="B4266">
        <v>0.49206324166057425</v>
      </c>
    </row>
    <row r="4267" spans="1:2" x14ac:dyDescent="0.2">
      <c r="A4267">
        <v>4261</v>
      </c>
      <c r="B4267">
        <v>0.66476641859073138</v>
      </c>
    </row>
    <row r="4268" spans="1:2" x14ac:dyDescent="0.2">
      <c r="A4268">
        <v>4262</v>
      </c>
      <c r="B4268">
        <v>0.91167439399368833</v>
      </c>
    </row>
    <row r="4269" spans="1:2" x14ac:dyDescent="0.2">
      <c r="A4269">
        <v>4263</v>
      </c>
      <c r="B4269">
        <v>0.31740180452564715</v>
      </c>
    </row>
    <row r="4270" spans="1:2" x14ac:dyDescent="0.2">
      <c r="A4270">
        <v>4264</v>
      </c>
      <c r="B4270">
        <v>0.41666956832119673</v>
      </c>
    </row>
    <row r="4271" spans="1:2" x14ac:dyDescent="0.2">
      <c r="A4271">
        <v>4265</v>
      </c>
      <c r="B4271">
        <v>0.3483960508649484</v>
      </c>
    </row>
    <row r="4272" spans="1:2" x14ac:dyDescent="0.2">
      <c r="A4272">
        <v>4266</v>
      </c>
      <c r="B4272">
        <v>0.87664292590939608</v>
      </c>
    </row>
    <row r="4273" spans="1:2" x14ac:dyDescent="0.2">
      <c r="A4273">
        <v>4267</v>
      </c>
      <c r="B4273">
        <v>0.1607201409546074</v>
      </c>
    </row>
    <row r="4274" spans="1:2" x14ac:dyDescent="0.2">
      <c r="A4274">
        <v>4268</v>
      </c>
      <c r="B4274">
        <v>0.35866682180241938</v>
      </c>
    </row>
    <row r="4275" spans="1:2" x14ac:dyDescent="0.2">
      <c r="A4275">
        <v>4269</v>
      </c>
      <c r="B4275">
        <v>0.54414373224982659</v>
      </c>
    </row>
    <row r="4276" spans="1:2" x14ac:dyDescent="0.2">
      <c r="A4276">
        <v>4270</v>
      </c>
      <c r="B4276">
        <v>0.67886913969386864</v>
      </c>
    </row>
    <row r="4277" spans="1:2" x14ac:dyDescent="0.2">
      <c r="A4277">
        <v>4271</v>
      </c>
      <c r="B4277">
        <v>0.60853620238042716</v>
      </c>
    </row>
    <row r="4278" spans="1:2" x14ac:dyDescent="0.2">
      <c r="A4278">
        <v>4272</v>
      </c>
      <c r="B4278">
        <v>0.4680548121361684</v>
      </c>
    </row>
    <row r="4279" spans="1:2" x14ac:dyDescent="0.2">
      <c r="A4279">
        <v>4273</v>
      </c>
      <c r="B4279">
        <v>0.93593754094219928</v>
      </c>
    </row>
    <row r="4280" spans="1:2" x14ac:dyDescent="0.2">
      <c r="A4280">
        <v>4274</v>
      </c>
      <c r="B4280">
        <v>4.2423432802728422E-2</v>
      </c>
    </row>
    <row r="4281" spans="1:2" x14ac:dyDescent="0.2">
      <c r="A4281">
        <v>4275</v>
      </c>
      <c r="B4281">
        <v>0.27038874817526048</v>
      </c>
    </row>
    <row r="4282" spans="1:2" x14ac:dyDescent="0.2">
      <c r="A4282">
        <v>4276</v>
      </c>
      <c r="B4282">
        <v>6.4263439303752889E-2</v>
      </c>
    </row>
    <row r="4283" spans="1:2" x14ac:dyDescent="0.2">
      <c r="A4283">
        <v>4277</v>
      </c>
      <c r="B4283">
        <v>0.44149767171507182</v>
      </c>
    </row>
    <row r="4284" spans="1:2" x14ac:dyDescent="0.2">
      <c r="A4284">
        <v>4278</v>
      </c>
      <c r="B4284">
        <v>0.61038844192708064</v>
      </c>
    </row>
    <row r="4285" spans="1:2" x14ac:dyDescent="0.2">
      <c r="A4285">
        <v>4279</v>
      </c>
      <c r="B4285">
        <v>0.37843985115513068</v>
      </c>
    </row>
    <row r="4286" spans="1:2" x14ac:dyDescent="0.2">
      <c r="A4286">
        <v>4280</v>
      </c>
      <c r="B4286">
        <v>0.45092030717249143</v>
      </c>
    </row>
    <row r="4287" spans="1:2" x14ac:dyDescent="0.2">
      <c r="A4287">
        <v>4281</v>
      </c>
      <c r="B4287">
        <v>0.8524886827370538</v>
      </c>
    </row>
    <row r="4288" spans="1:2" x14ac:dyDescent="0.2">
      <c r="A4288">
        <v>4282</v>
      </c>
      <c r="B4288">
        <v>0.40533296838840671</v>
      </c>
    </row>
    <row r="4289" spans="1:2" x14ac:dyDescent="0.2">
      <c r="A4289">
        <v>4283</v>
      </c>
      <c r="B4289">
        <v>0.2281670153790093</v>
      </c>
    </row>
    <row r="4290" spans="1:2" x14ac:dyDescent="0.2">
      <c r="A4290">
        <v>4284</v>
      </c>
      <c r="B4290">
        <v>0.22487474531353424</v>
      </c>
    </row>
    <row r="4291" spans="1:2" x14ac:dyDescent="0.2">
      <c r="A4291">
        <v>4285</v>
      </c>
      <c r="B4291">
        <v>0.16453871682897403</v>
      </c>
    </row>
    <row r="4292" spans="1:2" x14ac:dyDescent="0.2">
      <c r="A4292">
        <v>4286</v>
      </c>
      <c r="B4292">
        <v>0.67116541623024573</v>
      </c>
    </row>
    <row r="4293" spans="1:2" x14ac:dyDescent="0.2">
      <c r="A4293">
        <v>4287</v>
      </c>
      <c r="B4293">
        <v>0.80122177350710566</v>
      </c>
    </row>
    <row r="4294" spans="1:2" x14ac:dyDescent="0.2">
      <c r="A4294">
        <v>4288</v>
      </c>
      <c r="B4294">
        <v>0.56549518213490779</v>
      </c>
    </row>
    <row r="4295" spans="1:2" x14ac:dyDescent="0.2">
      <c r="A4295">
        <v>4289</v>
      </c>
      <c r="B4295">
        <v>0.65530115142397161</v>
      </c>
    </row>
    <row r="4296" spans="1:2" x14ac:dyDescent="0.2">
      <c r="A4296">
        <v>4290</v>
      </c>
      <c r="B4296">
        <v>5.198981552327131E-2</v>
      </c>
    </row>
    <row r="4297" spans="1:2" x14ac:dyDescent="0.2">
      <c r="A4297">
        <v>4291</v>
      </c>
      <c r="B4297">
        <v>0.32731484551553791</v>
      </c>
    </row>
    <row r="4298" spans="1:2" x14ac:dyDescent="0.2">
      <c r="A4298">
        <v>4292</v>
      </c>
      <c r="B4298">
        <v>0.90923826009676223</v>
      </c>
    </row>
    <row r="4299" spans="1:2" x14ac:dyDescent="0.2">
      <c r="A4299">
        <v>4293</v>
      </c>
      <c r="B4299">
        <v>0.62032510227770421</v>
      </c>
    </row>
    <row r="4300" spans="1:2" x14ac:dyDescent="0.2">
      <c r="A4300">
        <v>4294</v>
      </c>
      <c r="B4300">
        <v>0.37216950746347155</v>
      </c>
    </row>
    <row r="4301" spans="1:2" x14ac:dyDescent="0.2">
      <c r="A4301">
        <v>4295</v>
      </c>
      <c r="B4301">
        <v>0.72419570279756063</v>
      </c>
    </row>
    <row r="4302" spans="1:2" x14ac:dyDescent="0.2">
      <c r="A4302">
        <v>4296</v>
      </c>
      <c r="B4302">
        <v>0.36700169993372422</v>
      </c>
    </row>
    <row r="4303" spans="1:2" x14ac:dyDescent="0.2">
      <c r="A4303">
        <v>4297</v>
      </c>
      <c r="B4303">
        <v>0.78390308276342713</v>
      </c>
    </row>
    <row r="4304" spans="1:2" x14ac:dyDescent="0.2">
      <c r="A4304">
        <v>4298</v>
      </c>
      <c r="B4304">
        <v>0.48332558603673981</v>
      </c>
    </row>
    <row r="4305" spans="1:2" x14ac:dyDescent="0.2">
      <c r="A4305">
        <v>4299</v>
      </c>
      <c r="B4305">
        <v>0.1643287940645547</v>
      </c>
    </row>
    <row r="4306" spans="1:2" x14ac:dyDescent="0.2">
      <c r="A4306">
        <v>4300</v>
      </c>
      <c r="B4306">
        <v>0.84150151915905569</v>
      </c>
    </row>
    <row r="4307" spans="1:2" x14ac:dyDescent="0.2">
      <c r="A4307">
        <v>4301</v>
      </c>
      <c r="B4307">
        <v>1.5575822305116005E-2</v>
      </c>
    </row>
    <row r="4308" spans="1:2" x14ac:dyDescent="0.2">
      <c r="A4308">
        <v>4302</v>
      </c>
      <c r="B4308">
        <v>0.9428606558499294</v>
      </c>
    </row>
    <row r="4309" spans="1:2" x14ac:dyDescent="0.2">
      <c r="A4309">
        <v>4303</v>
      </c>
      <c r="B4309">
        <v>3.1423025088142431E-2</v>
      </c>
    </row>
    <row r="4310" spans="1:2" x14ac:dyDescent="0.2">
      <c r="A4310">
        <v>4304</v>
      </c>
      <c r="B4310">
        <v>0.57506636336735484</v>
      </c>
    </row>
    <row r="4311" spans="1:2" x14ac:dyDescent="0.2">
      <c r="A4311">
        <v>4305</v>
      </c>
      <c r="B4311">
        <v>0.12221995919359063</v>
      </c>
    </row>
    <row r="4312" spans="1:2" x14ac:dyDescent="0.2">
      <c r="A4312">
        <v>4306</v>
      </c>
      <c r="B4312">
        <v>0.11818110987147135</v>
      </c>
    </row>
    <row r="4313" spans="1:2" x14ac:dyDescent="0.2">
      <c r="A4313">
        <v>4307</v>
      </c>
      <c r="B4313">
        <v>0.71780849426168036</v>
      </c>
    </row>
    <row r="4314" spans="1:2" x14ac:dyDescent="0.2">
      <c r="A4314">
        <v>4308</v>
      </c>
      <c r="B4314">
        <v>0.47778573735410734</v>
      </c>
    </row>
    <row r="4315" spans="1:2" x14ac:dyDescent="0.2">
      <c r="A4315">
        <v>4309</v>
      </c>
      <c r="B4315">
        <v>0.50171008361708613</v>
      </c>
    </row>
    <row r="4316" spans="1:2" x14ac:dyDescent="0.2">
      <c r="A4316">
        <v>4310</v>
      </c>
      <c r="B4316">
        <v>0.64357899381088346</v>
      </c>
    </row>
    <row r="4317" spans="1:2" x14ac:dyDescent="0.2">
      <c r="A4317">
        <v>4311</v>
      </c>
      <c r="B4317">
        <v>0.35136458918061064</v>
      </c>
    </row>
    <row r="4318" spans="1:2" x14ac:dyDescent="0.2">
      <c r="A4318">
        <v>4312</v>
      </c>
      <c r="B4318">
        <v>0.14377206794486463</v>
      </c>
    </row>
    <row r="4319" spans="1:2" x14ac:dyDescent="0.2">
      <c r="A4319">
        <v>4313</v>
      </c>
      <c r="B4319">
        <v>0.96724432844278596</v>
      </c>
    </row>
    <row r="4320" spans="1:2" x14ac:dyDescent="0.2">
      <c r="A4320">
        <v>4314</v>
      </c>
      <c r="B4320">
        <v>0.84711406257519883</v>
      </c>
    </row>
    <row r="4321" spans="1:2" x14ac:dyDescent="0.2">
      <c r="A4321">
        <v>4315</v>
      </c>
      <c r="B4321">
        <v>0.77478611069091063</v>
      </c>
    </row>
    <row r="4322" spans="1:2" x14ac:dyDescent="0.2">
      <c r="A4322">
        <v>4316</v>
      </c>
      <c r="B4322">
        <v>0.76261127181624366</v>
      </c>
    </row>
    <row r="4323" spans="1:2" x14ac:dyDescent="0.2">
      <c r="A4323">
        <v>4317</v>
      </c>
      <c r="B4323">
        <v>0.87010919110874296</v>
      </c>
    </row>
    <row r="4324" spans="1:2" x14ac:dyDescent="0.2">
      <c r="A4324">
        <v>4318</v>
      </c>
      <c r="B4324">
        <v>0.78717958353519368</v>
      </c>
    </row>
    <row r="4325" spans="1:2" x14ac:dyDescent="0.2">
      <c r="A4325">
        <v>4319</v>
      </c>
      <c r="B4325">
        <v>0.65162538488301092</v>
      </c>
    </row>
    <row r="4326" spans="1:2" x14ac:dyDescent="0.2">
      <c r="A4326">
        <v>4320</v>
      </c>
      <c r="B4326">
        <v>0.92551704777973076</v>
      </c>
    </row>
    <row r="4327" spans="1:2" x14ac:dyDescent="0.2">
      <c r="A4327">
        <v>4321</v>
      </c>
      <c r="B4327">
        <v>0.85834668095954036</v>
      </c>
    </row>
    <row r="4328" spans="1:2" x14ac:dyDescent="0.2">
      <c r="A4328">
        <v>4322</v>
      </c>
      <c r="B4328">
        <v>0.44651737288553384</v>
      </c>
    </row>
    <row r="4329" spans="1:2" x14ac:dyDescent="0.2">
      <c r="A4329">
        <v>4323</v>
      </c>
      <c r="B4329">
        <v>0.30500333598123441</v>
      </c>
    </row>
    <row r="4330" spans="1:2" x14ac:dyDescent="0.2">
      <c r="A4330">
        <v>4324</v>
      </c>
      <c r="B4330">
        <v>0.80762052812501151</v>
      </c>
    </row>
    <row r="4331" spans="1:2" x14ac:dyDescent="0.2">
      <c r="A4331">
        <v>4325</v>
      </c>
      <c r="B4331">
        <v>0.31279451594956187</v>
      </c>
    </row>
    <row r="4332" spans="1:2" x14ac:dyDescent="0.2">
      <c r="A4332">
        <v>4326</v>
      </c>
      <c r="B4332">
        <v>0.53083784254874278</v>
      </c>
    </row>
    <row r="4333" spans="1:2" x14ac:dyDescent="0.2">
      <c r="A4333">
        <v>4327</v>
      </c>
      <c r="B4333">
        <v>0.19553428874495538</v>
      </c>
    </row>
    <row r="4334" spans="1:2" x14ac:dyDescent="0.2">
      <c r="A4334">
        <v>4328</v>
      </c>
      <c r="B4334">
        <v>0.96091206464150825</v>
      </c>
    </row>
    <row r="4335" spans="1:2" x14ac:dyDescent="0.2">
      <c r="A4335">
        <v>4329</v>
      </c>
      <c r="B4335">
        <v>0.49549226957013925</v>
      </c>
    </row>
    <row r="4336" spans="1:2" x14ac:dyDescent="0.2">
      <c r="A4336">
        <v>4330</v>
      </c>
      <c r="B4336">
        <v>0.65918538360474666</v>
      </c>
    </row>
    <row r="4337" spans="1:2" x14ac:dyDescent="0.2">
      <c r="A4337">
        <v>4331</v>
      </c>
      <c r="B4337">
        <v>0.56286907317348345</v>
      </c>
    </row>
    <row r="4338" spans="1:2" x14ac:dyDescent="0.2">
      <c r="A4338">
        <v>4332</v>
      </c>
      <c r="B4338">
        <v>0.59053876962577412</v>
      </c>
    </row>
    <row r="4339" spans="1:2" x14ac:dyDescent="0.2">
      <c r="A4339">
        <v>4333</v>
      </c>
      <c r="B4339">
        <v>0.76868957043071739</v>
      </c>
    </row>
    <row r="4340" spans="1:2" x14ac:dyDescent="0.2">
      <c r="A4340">
        <v>4334</v>
      </c>
      <c r="B4340">
        <v>0.18071710303518673</v>
      </c>
    </row>
    <row r="4341" spans="1:2" x14ac:dyDescent="0.2">
      <c r="A4341">
        <v>4335</v>
      </c>
      <c r="B4341">
        <v>0.87125460474467742</v>
      </c>
    </row>
    <row r="4342" spans="1:2" x14ac:dyDescent="0.2">
      <c r="A4342">
        <v>4336</v>
      </c>
      <c r="B4342">
        <v>0.39137516268578065</v>
      </c>
    </row>
    <row r="4343" spans="1:2" x14ac:dyDescent="0.2">
      <c r="A4343">
        <v>4337</v>
      </c>
      <c r="B4343">
        <v>0.29191887515399251</v>
      </c>
    </row>
    <row r="4344" spans="1:2" x14ac:dyDescent="0.2">
      <c r="A4344">
        <v>4338</v>
      </c>
      <c r="B4344">
        <v>8.7996340567576992E-2</v>
      </c>
    </row>
    <row r="4345" spans="1:2" x14ac:dyDescent="0.2">
      <c r="A4345">
        <v>4339</v>
      </c>
      <c r="B4345">
        <v>0.39754421151438302</v>
      </c>
    </row>
    <row r="4346" spans="1:2" x14ac:dyDescent="0.2">
      <c r="A4346">
        <v>4340</v>
      </c>
      <c r="B4346">
        <v>0.77754237908770862</v>
      </c>
    </row>
    <row r="4347" spans="1:2" x14ac:dyDescent="0.2">
      <c r="A4347">
        <v>4341</v>
      </c>
      <c r="B4347">
        <v>0.79707978013288294</v>
      </c>
    </row>
    <row r="4348" spans="1:2" x14ac:dyDescent="0.2">
      <c r="A4348">
        <v>4342</v>
      </c>
      <c r="B4348">
        <v>0.22886231665780954</v>
      </c>
    </row>
    <row r="4349" spans="1:2" x14ac:dyDescent="0.2">
      <c r="A4349">
        <v>4343</v>
      </c>
      <c r="B4349">
        <v>0.95257994928817635</v>
      </c>
    </row>
    <row r="4350" spans="1:2" x14ac:dyDescent="0.2">
      <c r="A4350">
        <v>4344</v>
      </c>
      <c r="B4350">
        <v>0.83599248770723067</v>
      </c>
    </row>
    <row r="4351" spans="1:2" x14ac:dyDescent="0.2">
      <c r="A4351">
        <v>4345</v>
      </c>
      <c r="B4351">
        <v>0.51656415838402536</v>
      </c>
    </row>
    <row r="4352" spans="1:2" x14ac:dyDescent="0.2">
      <c r="A4352">
        <v>4346</v>
      </c>
      <c r="B4352">
        <v>9.9747695028168826E-2</v>
      </c>
    </row>
    <row r="4353" spans="1:2" x14ac:dyDescent="0.2">
      <c r="A4353">
        <v>4347</v>
      </c>
      <c r="B4353">
        <v>0.4453339221511069</v>
      </c>
    </row>
    <row r="4354" spans="1:2" x14ac:dyDescent="0.2">
      <c r="A4354">
        <v>4348</v>
      </c>
      <c r="B4354">
        <v>0.32823484664909564</v>
      </c>
    </row>
    <row r="4355" spans="1:2" x14ac:dyDescent="0.2">
      <c r="A4355">
        <v>4349</v>
      </c>
      <c r="B4355">
        <v>0.14612898614807424</v>
      </c>
    </row>
    <row r="4356" spans="1:2" x14ac:dyDescent="0.2">
      <c r="A4356">
        <v>4350</v>
      </c>
      <c r="B4356">
        <v>1.7005806737108053E-2</v>
      </c>
    </row>
    <row r="4357" spans="1:2" x14ac:dyDescent="0.2">
      <c r="A4357">
        <v>4351</v>
      </c>
      <c r="B4357">
        <v>0.18136520572109693</v>
      </c>
    </row>
    <row r="4358" spans="1:2" x14ac:dyDescent="0.2">
      <c r="A4358">
        <v>4352</v>
      </c>
      <c r="B4358">
        <v>0.80075550757063596</v>
      </c>
    </row>
    <row r="4359" spans="1:2" x14ac:dyDescent="0.2">
      <c r="A4359">
        <v>4353</v>
      </c>
      <c r="B4359">
        <v>0.25446832421890708</v>
      </c>
    </row>
    <row r="4360" spans="1:2" x14ac:dyDescent="0.2">
      <c r="A4360">
        <v>4354</v>
      </c>
      <c r="B4360">
        <v>0.43764448511385534</v>
      </c>
    </row>
    <row r="4361" spans="1:2" x14ac:dyDescent="0.2">
      <c r="A4361">
        <v>4355</v>
      </c>
      <c r="B4361">
        <v>0.56864889299315113</v>
      </c>
    </row>
    <row r="4362" spans="1:2" x14ac:dyDescent="0.2">
      <c r="A4362">
        <v>4356</v>
      </c>
      <c r="B4362">
        <v>0.10813340517592884</v>
      </c>
    </row>
    <row r="4363" spans="1:2" x14ac:dyDescent="0.2">
      <c r="A4363">
        <v>4357</v>
      </c>
      <c r="B4363">
        <v>0.62824182449969401</v>
      </c>
    </row>
    <row r="4364" spans="1:2" x14ac:dyDescent="0.2">
      <c r="A4364">
        <v>4358</v>
      </c>
      <c r="B4364">
        <v>0.24192424628697595</v>
      </c>
    </row>
    <row r="4365" spans="1:2" x14ac:dyDescent="0.2">
      <c r="A4365">
        <v>4359</v>
      </c>
      <c r="B4365">
        <v>0.5406982150771753</v>
      </c>
    </row>
    <row r="4366" spans="1:2" x14ac:dyDescent="0.2">
      <c r="A4366">
        <v>4360</v>
      </c>
      <c r="B4366">
        <v>0.26858779348862616</v>
      </c>
    </row>
    <row r="4367" spans="1:2" x14ac:dyDescent="0.2">
      <c r="A4367">
        <v>4361</v>
      </c>
      <c r="B4367">
        <v>0.72025278008661431</v>
      </c>
    </row>
    <row r="4368" spans="1:2" x14ac:dyDescent="0.2">
      <c r="A4368">
        <v>4362</v>
      </c>
      <c r="B4368">
        <v>0.31841355912327018</v>
      </c>
    </row>
    <row r="4369" spans="1:2" x14ac:dyDescent="0.2">
      <c r="A4369">
        <v>4363</v>
      </c>
      <c r="B4369">
        <v>0.33147052066354032</v>
      </c>
    </row>
    <row r="4370" spans="1:2" x14ac:dyDescent="0.2">
      <c r="A4370">
        <v>4364</v>
      </c>
      <c r="B4370">
        <v>0.84551968857348503</v>
      </c>
    </row>
    <row r="4371" spans="1:2" x14ac:dyDescent="0.2">
      <c r="A4371">
        <v>4365</v>
      </c>
      <c r="B4371">
        <v>0.14213531944256186</v>
      </c>
    </row>
    <row r="4372" spans="1:2" x14ac:dyDescent="0.2">
      <c r="A4372">
        <v>4366</v>
      </c>
      <c r="B4372">
        <v>0.88349575061234509</v>
      </c>
    </row>
    <row r="4373" spans="1:2" x14ac:dyDescent="0.2">
      <c r="A4373">
        <v>4367</v>
      </c>
      <c r="B4373">
        <v>0.86011001211976079</v>
      </c>
    </row>
    <row r="4374" spans="1:2" x14ac:dyDescent="0.2">
      <c r="A4374">
        <v>4368</v>
      </c>
      <c r="B4374">
        <v>0.21713499311624329</v>
      </c>
    </row>
    <row r="4375" spans="1:2" x14ac:dyDescent="0.2">
      <c r="A4375">
        <v>4369</v>
      </c>
      <c r="B4375">
        <v>0.87476517934101261</v>
      </c>
    </row>
    <row r="4376" spans="1:2" x14ac:dyDescent="0.2">
      <c r="A4376">
        <v>4370</v>
      </c>
      <c r="B4376">
        <v>0.99826676181413931</v>
      </c>
    </row>
    <row r="4377" spans="1:2" x14ac:dyDescent="0.2">
      <c r="A4377">
        <v>4371</v>
      </c>
      <c r="B4377">
        <v>0.93981222974348866</v>
      </c>
    </row>
    <row r="4378" spans="1:2" x14ac:dyDescent="0.2">
      <c r="A4378">
        <v>4372</v>
      </c>
      <c r="B4378">
        <v>0.42604433290112964</v>
      </c>
    </row>
    <row r="4379" spans="1:2" x14ac:dyDescent="0.2">
      <c r="A4379">
        <v>4373</v>
      </c>
      <c r="B4379">
        <v>0.69399130633200912</v>
      </c>
    </row>
    <row r="4380" spans="1:2" x14ac:dyDescent="0.2">
      <c r="A4380">
        <v>4374</v>
      </c>
      <c r="B4380">
        <v>0.65318433186632163</v>
      </c>
    </row>
    <row r="4381" spans="1:2" x14ac:dyDescent="0.2">
      <c r="A4381">
        <v>4375</v>
      </c>
      <c r="B4381">
        <v>0.17279011466771799</v>
      </c>
    </row>
    <row r="4382" spans="1:2" x14ac:dyDescent="0.2">
      <c r="A4382">
        <v>4376</v>
      </c>
      <c r="B4382">
        <v>0.79539626687565945</v>
      </c>
    </row>
    <row r="4383" spans="1:2" x14ac:dyDescent="0.2">
      <c r="A4383">
        <v>4377</v>
      </c>
      <c r="B4383">
        <v>0.41205507882337755</v>
      </c>
    </row>
    <row r="4384" spans="1:2" x14ac:dyDescent="0.2">
      <c r="A4384">
        <v>4378</v>
      </c>
      <c r="B4384">
        <v>0.7989376054723748</v>
      </c>
    </row>
    <row r="4385" spans="1:2" x14ac:dyDescent="0.2">
      <c r="A4385">
        <v>4379</v>
      </c>
      <c r="B4385">
        <v>7.2306006318629601E-2</v>
      </c>
    </row>
    <row r="4386" spans="1:2" x14ac:dyDescent="0.2">
      <c r="A4386">
        <v>4380</v>
      </c>
      <c r="B4386">
        <v>0.50447197105489117</v>
      </c>
    </row>
    <row r="4387" spans="1:2" x14ac:dyDescent="0.2">
      <c r="A4387">
        <v>4381</v>
      </c>
      <c r="B4387">
        <v>0.39406758682987919</v>
      </c>
    </row>
    <row r="4388" spans="1:2" x14ac:dyDescent="0.2">
      <c r="A4388">
        <v>4382</v>
      </c>
      <c r="B4388">
        <v>0.49088799863682053</v>
      </c>
    </row>
    <row r="4389" spans="1:2" x14ac:dyDescent="0.2">
      <c r="A4389">
        <v>4383</v>
      </c>
      <c r="B4389">
        <v>0.24815802171994739</v>
      </c>
    </row>
    <row r="4390" spans="1:2" x14ac:dyDescent="0.2">
      <c r="A4390">
        <v>4384</v>
      </c>
      <c r="B4390">
        <v>0.78700178121293463</v>
      </c>
    </row>
    <row r="4391" spans="1:2" x14ac:dyDescent="0.2">
      <c r="A4391">
        <v>4385</v>
      </c>
      <c r="B4391">
        <v>0.80079910522035025</v>
      </c>
    </row>
    <row r="4392" spans="1:2" x14ac:dyDescent="0.2">
      <c r="A4392">
        <v>4386</v>
      </c>
      <c r="B4392">
        <v>0.36272232222182632</v>
      </c>
    </row>
    <row r="4393" spans="1:2" x14ac:dyDescent="0.2">
      <c r="A4393">
        <v>4387</v>
      </c>
      <c r="B4393">
        <v>0.72838892991158466</v>
      </c>
    </row>
    <row r="4394" spans="1:2" x14ac:dyDescent="0.2">
      <c r="A4394">
        <v>4388</v>
      </c>
      <c r="B4394">
        <v>0.51928539968676513</v>
      </c>
    </row>
    <row r="4395" spans="1:2" x14ac:dyDescent="0.2">
      <c r="A4395">
        <v>4389</v>
      </c>
      <c r="B4395">
        <v>0.58008484018611695</v>
      </c>
    </row>
    <row r="4396" spans="1:2" x14ac:dyDescent="0.2">
      <c r="A4396">
        <v>4390</v>
      </c>
      <c r="B4396">
        <v>0.93145253036514752</v>
      </c>
    </row>
    <row r="4397" spans="1:2" x14ac:dyDescent="0.2">
      <c r="A4397">
        <v>4391</v>
      </c>
      <c r="B4397">
        <v>0.94300388320468842</v>
      </c>
    </row>
    <row r="4398" spans="1:2" x14ac:dyDescent="0.2">
      <c r="A4398">
        <v>4392</v>
      </c>
      <c r="B4398">
        <v>0.16968402180345599</v>
      </c>
    </row>
    <row r="4399" spans="1:2" x14ac:dyDescent="0.2">
      <c r="A4399">
        <v>4393</v>
      </c>
      <c r="B4399">
        <v>0.32950645919559063</v>
      </c>
    </row>
    <row r="4400" spans="1:2" x14ac:dyDescent="0.2">
      <c r="A4400">
        <v>4394</v>
      </c>
      <c r="B4400">
        <v>0.30286222221162185</v>
      </c>
    </row>
    <row r="4401" spans="1:2" x14ac:dyDescent="0.2">
      <c r="A4401">
        <v>4395</v>
      </c>
      <c r="B4401">
        <v>0.18679559980935823</v>
      </c>
    </row>
    <row r="4402" spans="1:2" x14ac:dyDescent="0.2">
      <c r="A4402">
        <v>4396</v>
      </c>
      <c r="B4402">
        <v>0.62881977098849884</v>
      </c>
    </row>
    <row r="4403" spans="1:2" x14ac:dyDescent="0.2">
      <c r="A4403">
        <v>4397</v>
      </c>
      <c r="B4403">
        <v>0.81960673874996837</v>
      </c>
    </row>
    <row r="4404" spans="1:2" x14ac:dyDescent="0.2">
      <c r="A4404">
        <v>4398</v>
      </c>
      <c r="B4404">
        <v>0.7143264131579915</v>
      </c>
    </row>
    <row r="4405" spans="1:2" x14ac:dyDescent="0.2">
      <c r="A4405">
        <v>4399</v>
      </c>
      <c r="B4405">
        <v>0.41050083168224827</v>
      </c>
    </row>
    <row r="4406" spans="1:2" x14ac:dyDescent="0.2">
      <c r="A4406">
        <v>4400</v>
      </c>
      <c r="B4406">
        <v>0.73777731191008999</v>
      </c>
    </row>
    <row r="4407" spans="1:2" x14ac:dyDescent="0.2">
      <c r="A4407">
        <v>4401</v>
      </c>
      <c r="B4407">
        <v>0.8816679873833998</v>
      </c>
    </row>
    <row r="4408" spans="1:2" x14ac:dyDescent="0.2">
      <c r="A4408">
        <v>4402</v>
      </c>
      <c r="B4408">
        <v>0.21065887588269683</v>
      </c>
    </row>
    <row r="4409" spans="1:2" x14ac:dyDescent="0.2">
      <c r="A4409">
        <v>4403</v>
      </c>
      <c r="B4409">
        <v>0.35810495393403408</v>
      </c>
    </row>
    <row r="4410" spans="1:2" x14ac:dyDescent="0.2">
      <c r="A4410">
        <v>4404</v>
      </c>
      <c r="B4410">
        <v>0.31571351014387561</v>
      </c>
    </row>
    <row r="4411" spans="1:2" x14ac:dyDescent="0.2">
      <c r="A4411">
        <v>4405</v>
      </c>
      <c r="B4411">
        <v>0.72275731391382114</v>
      </c>
    </row>
    <row r="4412" spans="1:2" x14ac:dyDescent="0.2">
      <c r="A4412">
        <v>4406</v>
      </c>
      <c r="B4412">
        <v>0.20101005903765889</v>
      </c>
    </row>
    <row r="4413" spans="1:2" x14ac:dyDescent="0.2">
      <c r="A4413">
        <v>4407</v>
      </c>
      <c r="B4413">
        <v>0.605809647072026</v>
      </c>
    </row>
    <row r="4414" spans="1:2" x14ac:dyDescent="0.2">
      <c r="A4414">
        <v>4408</v>
      </c>
      <c r="B4414">
        <v>0.59104031231455312</v>
      </c>
    </row>
    <row r="4415" spans="1:2" x14ac:dyDescent="0.2">
      <c r="A4415">
        <v>4409</v>
      </c>
      <c r="B4415">
        <v>0.37730776396668331</v>
      </c>
    </row>
    <row r="4416" spans="1:2" x14ac:dyDescent="0.2">
      <c r="A4416">
        <v>4410</v>
      </c>
      <c r="B4416">
        <v>0.97673778069289408</v>
      </c>
    </row>
    <row r="4417" spans="1:2" x14ac:dyDescent="0.2">
      <c r="A4417">
        <v>4411</v>
      </c>
      <c r="B4417">
        <v>0.88002943981891812</v>
      </c>
    </row>
    <row r="4418" spans="1:2" x14ac:dyDescent="0.2">
      <c r="A4418">
        <v>4412</v>
      </c>
      <c r="B4418">
        <v>0.29644134978777781</v>
      </c>
    </row>
    <row r="4419" spans="1:2" x14ac:dyDescent="0.2">
      <c r="A4419">
        <v>4413</v>
      </c>
      <c r="B4419">
        <v>0.14352392938024738</v>
      </c>
    </row>
    <row r="4420" spans="1:2" x14ac:dyDescent="0.2">
      <c r="A4420">
        <v>4414</v>
      </c>
      <c r="B4420">
        <v>0.86014494139333553</v>
      </c>
    </row>
    <row r="4421" spans="1:2" x14ac:dyDescent="0.2">
      <c r="A4421">
        <v>4415</v>
      </c>
      <c r="B4421">
        <v>0.16749151412018282</v>
      </c>
    </row>
    <row r="4422" spans="1:2" x14ac:dyDescent="0.2">
      <c r="A4422">
        <v>4416</v>
      </c>
      <c r="B4422">
        <v>0.87366604097244938</v>
      </c>
    </row>
    <row r="4423" spans="1:2" x14ac:dyDescent="0.2">
      <c r="A4423">
        <v>4417</v>
      </c>
      <c r="B4423">
        <v>0.89811524712440927</v>
      </c>
    </row>
    <row r="4424" spans="1:2" x14ac:dyDescent="0.2">
      <c r="A4424">
        <v>4418</v>
      </c>
      <c r="B4424">
        <v>5.9359513526257568E-2</v>
      </c>
    </row>
    <row r="4425" spans="1:2" x14ac:dyDescent="0.2">
      <c r="A4425">
        <v>4419</v>
      </c>
      <c r="B4425">
        <v>0.26235302838504404</v>
      </c>
    </row>
    <row r="4426" spans="1:2" x14ac:dyDescent="0.2">
      <c r="A4426">
        <v>4420</v>
      </c>
      <c r="B4426">
        <v>0.68824082557354749</v>
      </c>
    </row>
    <row r="4427" spans="1:2" x14ac:dyDescent="0.2">
      <c r="A4427">
        <v>4421</v>
      </c>
      <c r="B4427">
        <v>0.84117870512846438</v>
      </c>
    </row>
    <row r="4428" spans="1:2" x14ac:dyDescent="0.2">
      <c r="A4428">
        <v>4422</v>
      </c>
      <c r="B4428">
        <v>0.61187548110110468</v>
      </c>
    </row>
    <row r="4429" spans="1:2" x14ac:dyDescent="0.2">
      <c r="A4429">
        <v>4423</v>
      </c>
      <c r="B4429">
        <v>0.53022737544472753</v>
      </c>
    </row>
    <row r="4430" spans="1:2" x14ac:dyDescent="0.2">
      <c r="A4430">
        <v>4424</v>
      </c>
      <c r="B4430">
        <v>0.62981314545291911</v>
      </c>
    </row>
    <row r="4431" spans="1:2" x14ac:dyDescent="0.2">
      <c r="A4431">
        <v>4425</v>
      </c>
      <c r="B4431">
        <v>0.69792821673862215</v>
      </c>
    </row>
    <row r="4432" spans="1:2" x14ac:dyDescent="0.2">
      <c r="A4432">
        <v>4426</v>
      </c>
      <c r="B4432">
        <v>0.71723233124442309</v>
      </c>
    </row>
    <row r="4433" spans="1:2" x14ac:dyDescent="0.2">
      <c r="A4433">
        <v>4427</v>
      </c>
      <c r="B4433">
        <v>0.49290768853191802</v>
      </c>
    </row>
    <row r="4434" spans="1:2" x14ac:dyDescent="0.2">
      <c r="A4434">
        <v>4428</v>
      </c>
      <c r="B4434">
        <v>0.97937921451540511</v>
      </c>
    </row>
    <row r="4435" spans="1:2" x14ac:dyDescent="0.2">
      <c r="A4435">
        <v>4429</v>
      </c>
      <c r="B4435">
        <v>0.14713576838593923</v>
      </c>
    </row>
    <row r="4436" spans="1:2" x14ac:dyDescent="0.2">
      <c r="A4436">
        <v>4430</v>
      </c>
      <c r="B4436">
        <v>0.90283158907180427</v>
      </c>
    </row>
    <row r="4437" spans="1:2" x14ac:dyDescent="0.2">
      <c r="A4437">
        <v>4431</v>
      </c>
      <c r="B4437">
        <v>0.27456575526866134</v>
      </c>
    </row>
    <row r="4438" spans="1:2" x14ac:dyDescent="0.2">
      <c r="A4438">
        <v>4432</v>
      </c>
      <c r="B4438">
        <v>0.24947492927730286</v>
      </c>
    </row>
    <row r="4439" spans="1:2" x14ac:dyDescent="0.2">
      <c r="A4439">
        <v>4433</v>
      </c>
      <c r="B4439">
        <v>0.75570554574622173</v>
      </c>
    </row>
    <row r="4440" spans="1:2" x14ac:dyDescent="0.2">
      <c r="A4440">
        <v>4434</v>
      </c>
      <c r="B4440">
        <v>0.62318812091167641</v>
      </c>
    </row>
    <row r="4441" spans="1:2" x14ac:dyDescent="0.2">
      <c r="A4441">
        <v>4435</v>
      </c>
      <c r="B4441">
        <v>0.92673480892715032</v>
      </c>
    </row>
    <row r="4442" spans="1:2" x14ac:dyDescent="0.2">
      <c r="A4442">
        <v>4436</v>
      </c>
      <c r="B4442">
        <v>0.33285744069684031</v>
      </c>
    </row>
    <row r="4443" spans="1:2" x14ac:dyDescent="0.2">
      <c r="A4443">
        <v>4437</v>
      </c>
      <c r="B4443">
        <v>0.92343075797477858</v>
      </c>
    </row>
    <row r="4444" spans="1:2" x14ac:dyDescent="0.2">
      <c r="A4444">
        <v>4438</v>
      </c>
      <c r="B4444">
        <v>0.52237949830150343</v>
      </c>
    </row>
    <row r="4445" spans="1:2" x14ac:dyDescent="0.2">
      <c r="A4445">
        <v>4439</v>
      </c>
      <c r="B4445">
        <v>0.3884219069821444</v>
      </c>
    </row>
    <row r="4446" spans="1:2" x14ac:dyDescent="0.2">
      <c r="A4446">
        <v>4440</v>
      </c>
      <c r="B4446">
        <v>0.85654762144664565</v>
      </c>
    </row>
    <row r="4447" spans="1:2" x14ac:dyDescent="0.2">
      <c r="A4447">
        <v>4441</v>
      </c>
      <c r="B4447">
        <v>0.76758733710362848</v>
      </c>
    </row>
    <row r="4448" spans="1:2" x14ac:dyDescent="0.2">
      <c r="A4448">
        <v>4442</v>
      </c>
      <c r="B4448">
        <v>0.5756567244351033</v>
      </c>
    </row>
    <row r="4449" spans="1:2" x14ac:dyDescent="0.2">
      <c r="A4449">
        <v>4443</v>
      </c>
      <c r="B4449">
        <v>0.36670059916630326</v>
      </c>
    </row>
    <row r="4450" spans="1:2" x14ac:dyDescent="0.2">
      <c r="A4450">
        <v>4444</v>
      </c>
      <c r="B4450">
        <v>0.61685424084135843</v>
      </c>
    </row>
    <row r="4451" spans="1:2" x14ac:dyDescent="0.2">
      <c r="A4451">
        <v>4445</v>
      </c>
      <c r="B4451">
        <v>0.82464909453453861</v>
      </c>
    </row>
    <row r="4452" spans="1:2" x14ac:dyDescent="0.2">
      <c r="A4452">
        <v>4446</v>
      </c>
      <c r="B4452">
        <v>0.30881784001404444</v>
      </c>
    </row>
    <row r="4453" spans="1:2" x14ac:dyDescent="0.2">
      <c r="A4453">
        <v>4447</v>
      </c>
      <c r="B4453">
        <v>0.69766041158223147</v>
      </c>
    </row>
    <row r="4454" spans="1:2" x14ac:dyDescent="0.2">
      <c r="A4454">
        <v>4448</v>
      </c>
      <c r="B4454">
        <v>0.96811278980497306</v>
      </c>
    </row>
    <row r="4455" spans="1:2" x14ac:dyDescent="0.2">
      <c r="A4455">
        <v>4449</v>
      </c>
      <c r="B4455">
        <v>0.33138936542528752</v>
      </c>
    </row>
    <row r="4456" spans="1:2" x14ac:dyDescent="0.2">
      <c r="A4456">
        <v>4450</v>
      </c>
      <c r="B4456">
        <v>2.9429199007408813E-2</v>
      </c>
    </row>
    <row r="4457" spans="1:2" x14ac:dyDescent="0.2">
      <c r="A4457">
        <v>4451</v>
      </c>
      <c r="B4457">
        <v>0.7430899350161021</v>
      </c>
    </row>
    <row r="4458" spans="1:2" x14ac:dyDescent="0.2">
      <c r="A4458">
        <v>4452</v>
      </c>
      <c r="B4458">
        <v>0.29461272492433055</v>
      </c>
    </row>
    <row r="4459" spans="1:2" x14ac:dyDescent="0.2">
      <c r="A4459">
        <v>4453</v>
      </c>
      <c r="B4459">
        <v>0.89302954366573672</v>
      </c>
    </row>
    <row r="4460" spans="1:2" x14ac:dyDescent="0.2">
      <c r="A4460">
        <v>4454</v>
      </c>
      <c r="B4460">
        <v>0.47288781408588387</v>
      </c>
    </row>
    <row r="4461" spans="1:2" x14ac:dyDescent="0.2">
      <c r="A4461">
        <v>4455</v>
      </c>
      <c r="B4461">
        <v>0.55526789710553526</v>
      </c>
    </row>
    <row r="4462" spans="1:2" x14ac:dyDescent="0.2">
      <c r="A4462">
        <v>4456</v>
      </c>
      <c r="B4462">
        <v>0.93502692324971015</v>
      </c>
    </row>
    <row r="4463" spans="1:2" x14ac:dyDescent="0.2">
      <c r="A4463">
        <v>4457</v>
      </c>
      <c r="B4463">
        <v>0.99263380793682476</v>
      </c>
    </row>
    <row r="4464" spans="1:2" x14ac:dyDescent="0.2">
      <c r="A4464">
        <v>4458</v>
      </c>
      <c r="B4464">
        <v>0.28886804870671701</v>
      </c>
    </row>
    <row r="4465" spans="1:2" x14ac:dyDescent="0.2">
      <c r="A4465">
        <v>4459</v>
      </c>
      <c r="B4465">
        <v>0.47693138276173108</v>
      </c>
    </row>
    <row r="4466" spans="1:2" x14ac:dyDescent="0.2">
      <c r="A4466">
        <v>4460</v>
      </c>
      <c r="B4466">
        <v>0.30896839041729163</v>
      </c>
    </row>
    <row r="4467" spans="1:2" x14ac:dyDescent="0.2">
      <c r="A4467">
        <v>4461</v>
      </c>
      <c r="B4467">
        <v>0.43458594099603465</v>
      </c>
    </row>
    <row r="4468" spans="1:2" x14ac:dyDescent="0.2">
      <c r="A4468">
        <v>4462</v>
      </c>
      <c r="B4468">
        <v>0.41756750382954289</v>
      </c>
    </row>
    <row r="4469" spans="1:2" x14ac:dyDescent="0.2">
      <c r="A4469">
        <v>4463</v>
      </c>
      <c r="B4469">
        <v>0.78248009535659935</v>
      </c>
    </row>
    <row r="4470" spans="1:2" x14ac:dyDescent="0.2">
      <c r="A4470">
        <v>4464</v>
      </c>
      <c r="B4470">
        <v>0.28881013950513668</v>
      </c>
    </row>
    <row r="4471" spans="1:2" x14ac:dyDescent="0.2">
      <c r="A4471">
        <v>4465</v>
      </c>
      <c r="B4471">
        <v>0.75103551150396075</v>
      </c>
    </row>
    <row r="4472" spans="1:2" x14ac:dyDescent="0.2">
      <c r="A4472">
        <v>4466</v>
      </c>
      <c r="B4472">
        <v>0.54094464833933142</v>
      </c>
    </row>
    <row r="4473" spans="1:2" x14ac:dyDescent="0.2">
      <c r="A4473">
        <v>4467</v>
      </c>
      <c r="B4473">
        <v>0.12985100243439829</v>
      </c>
    </row>
    <row r="4474" spans="1:2" x14ac:dyDescent="0.2">
      <c r="A4474">
        <v>4468</v>
      </c>
      <c r="B4474">
        <v>0.18406109913985846</v>
      </c>
    </row>
    <row r="4475" spans="1:2" x14ac:dyDescent="0.2">
      <c r="A4475">
        <v>4469</v>
      </c>
      <c r="B4475">
        <v>0.68542433052361873</v>
      </c>
    </row>
    <row r="4476" spans="1:2" x14ac:dyDescent="0.2">
      <c r="A4476">
        <v>4470</v>
      </c>
      <c r="B4476">
        <v>0.22815137841654098</v>
      </c>
    </row>
    <row r="4477" spans="1:2" x14ac:dyDescent="0.2">
      <c r="A4477">
        <v>4471</v>
      </c>
      <c r="B4477">
        <v>0.94015551650110074</v>
      </c>
    </row>
    <row r="4478" spans="1:2" x14ac:dyDescent="0.2">
      <c r="A4478">
        <v>4472</v>
      </c>
      <c r="B4478">
        <v>0.37598547692999085</v>
      </c>
    </row>
    <row r="4479" spans="1:2" x14ac:dyDescent="0.2">
      <c r="A4479">
        <v>4473</v>
      </c>
      <c r="B4479">
        <v>0.92965705908629304</v>
      </c>
    </row>
    <row r="4480" spans="1:2" x14ac:dyDescent="0.2">
      <c r="A4480">
        <v>4474</v>
      </c>
      <c r="B4480">
        <v>3.0819104029926492E-2</v>
      </c>
    </row>
    <row r="4481" spans="1:2" x14ac:dyDescent="0.2">
      <c r="A4481">
        <v>4475</v>
      </c>
      <c r="B4481">
        <v>0.68825227807781775</v>
      </c>
    </row>
    <row r="4482" spans="1:2" x14ac:dyDescent="0.2">
      <c r="A4482">
        <v>4476</v>
      </c>
      <c r="B4482">
        <v>0.30595646965943268</v>
      </c>
    </row>
    <row r="4483" spans="1:2" x14ac:dyDescent="0.2">
      <c r="A4483">
        <v>4477</v>
      </c>
      <c r="B4483">
        <v>0.37076747968346491</v>
      </c>
    </row>
    <row r="4484" spans="1:2" x14ac:dyDescent="0.2">
      <c r="A4484">
        <v>4478</v>
      </c>
      <c r="B4484">
        <v>0.25333774853280522</v>
      </c>
    </row>
    <row r="4485" spans="1:2" x14ac:dyDescent="0.2">
      <c r="A4485">
        <v>4479</v>
      </c>
      <c r="B4485">
        <v>0.466349615007569</v>
      </c>
    </row>
    <row r="4486" spans="1:2" x14ac:dyDescent="0.2">
      <c r="A4486">
        <v>4480</v>
      </c>
      <c r="B4486">
        <v>0.96644781240108957</v>
      </c>
    </row>
    <row r="4487" spans="1:2" x14ac:dyDescent="0.2">
      <c r="A4487">
        <v>4481</v>
      </c>
      <c r="B4487">
        <v>0.66111026401858186</v>
      </c>
    </row>
    <row r="4488" spans="1:2" x14ac:dyDescent="0.2">
      <c r="A4488">
        <v>4482</v>
      </c>
      <c r="B4488">
        <v>0.8091476384973203</v>
      </c>
    </row>
    <row r="4489" spans="1:2" x14ac:dyDescent="0.2">
      <c r="A4489">
        <v>4483</v>
      </c>
      <c r="B4489">
        <v>9.3989755993106883E-3</v>
      </c>
    </row>
    <row r="4490" spans="1:2" x14ac:dyDescent="0.2">
      <c r="A4490">
        <v>4484</v>
      </c>
      <c r="B4490">
        <v>0.13932076479519417</v>
      </c>
    </row>
    <row r="4491" spans="1:2" x14ac:dyDescent="0.2">
      <c r="A4491">
        <v>4485</v>
      </c>
      <c r="B4491">
        <v>0.42934263131284778</v>
      </c>
    </row>
    <row r="4492" spans="1:2" x14ac:dyDescent="0.2">
      <c r="A4492">
        <v>4486</v>
      </c>
      <c r="B4492">
        <v>0.3859670179175495</v>
      </c>
    </row>
    <row r="4493" spans="1:2" x14ac:dyDescent="0.2">
      <c r="A4493">
        <v>4487</v>
      </c>
      <c r="B4493">
        <v>0.94823415328242711</v>
      </c>
    </row>
    <row r="4494" spans="1:2" x14ac:dyDescent="0.2">
      <c r="A4494">
        <v>4488</v>
      </c>
      <c r="B4494">
        <v>0.61740178786118793</v>
      </c>
    </row>
    <row r="4495" spans="1:2" x14ac:dyDescent="0.2">
      <c r="A4495">
        <v>4489</v>
      </c>
      <c r="B4495">
        <v>0.93350765429727522</v>
      </c>
    </row>
    <row r="4496" spans="1:2" x14ac:dyDescent="0.2">
      <c r="A4496">
        <v>4490</v>
      </c>
      <c r="B4496">
        <v>0.22987600377767559</v>
      </c>
    </row>
    <row r="4497" spans="1:2" x14ac:dyDescent="0.2">
      <c r="A4497">
        <v>4491</v>
      </c>
      <c r="B4497">
        <v>0.34313702014790615</v>
      </c>
    </row>
    <row r="4498" spans="1:2" x14ac:dyDescent="0.2">
      <c r="A4498">
        <v>4492</v>
      </c>
      <c r="B4498">
        <v>0.4454813330001528</v>
      </c>
    </row>
    <row r="4499" spans="1:2" x14ac:dyDescent="0.2">
      <c r="A4499">
        <v>4493</v>
      </c>
      <c r="B4499">
        <v>0.17856557599372591</v>
      </c>
    </row>
    <row r="4500" spans="1:2" x14ac:dyDescent="0.2">
      <c r="A4500">
        <v>4494</v>
      </c>
      <c r="B4500">
        <v>0.18372262613751988</v>
      </c>
    </row>
    <row r="4501" spans="1:2" x14ac:dyDescent="0.2">
      <c r="A4501">
        <v>4495</v>
      </c>
      <c r="B4501">
        <v>0.27488601201689766</v>
      </c>
    </row>
    <row r="4502" spans="1:2" x14ac:dyDescent="0.2">
      <c r="A4502">
        <v>4496</v>
      </c>
      <c r="B4502">
        <v>0.30303590803739167</v>
      </c>
    </row>
    <row r="4503" spans="1:2" x14ac:dyDescent="0.2">
      <c r="A4503">
        <v>4497</v>
      </c>
      <c r="B4503">
        <v>9.2937456538266683E-2</v>
      </c>
    </row>
    <row r="4504" spans="1:2" x14ac:dyDescent="0.2">
      <c r="A4504">
        <v>4498</v>
      </c>
      <c r="B4504">
        <v>0.7873227664243706</v>
      </c>
    </row>
    <row r="4505" spans="1:2" x14ac:dyDescent="0.2">
      <c r="A4505">
        <v>4499</v>
      </c>
      <c r="B4505">
        <v>0.1884055807683449</v>
      </c>
    </row>
    <row r="4506" spans="1:2" x14ac:dyDescent="0.2">
      <c r="A4506">
        <v>4500</v>
      </c>
      <c r="B4506">
        <v>0.97660262875229409</v>
      </c>
    </row>
    <row r="4507" spans="1:2" x14ac:dyDescent="0.2">
      <c r="A4507">
        <v>4501</v>
      </c>
      <c r="B4507">
        <v>0.83767233645364558</v>
      </c>
    </row>
    <row r="4508" spans="1:2" x14ac:dyDescent="0.2">
      <c r="A4508">
        <v>4502</v>
      </c>
      <c r="B4508">
        <v>0.83872706892769033</v>
      </c>
    </row>
    <row r="4509" spans="1:2" x14ac:dyDescent="0.2">
      <c r="A4509">
        <v>4503</v>
      </c>
      <c r="B4509">
        <v>0.70760436809887084</v>
      </c>
    </row>
    <row r="4510" spans="1:2" x14ac:dyDescent="0.2">
      <c r="A4510">
        <v>4504</v>
      </c>
      <c r="B4510">
        <v>0.99327743397639434</v>
      </c>
    </row>
    <row r="4511" spans="1:2" x14ac:dyDescent="0.2">
      <c r="A4511">
        <v>4505</v>
      </c>
      <c r="B4511">
        <v>0.61214667174007964</v>
      </c>
    </row>
    <row r="4512" spans="1:2" x14ac:dyDescent="0.2">
      <c r="A4512">
        <v>4506</v>
      </c>
      <c r="B4512">
        <v>0.9706669378414059</v>
      </c>
    </row>
    <row r="4513" spans="1:2" x14ac:dyDescent="0.2">
      <c r="A4513">
        <v>4507</v>
      </c>
      <c r="B4513">
        <v>0.17098614965215064</v>
      </c>
    </row>
    <row r="4514" spans="1:2" x14ac:dyDescent="0.2">
      <c r="A4514">
        <v>4508</v>
      </c>
      <c r="B4514">
        <v>0.98634539259355414</v>
      </c>
    </row>
    <row r="4515" spans="1:2" x14ac:dyDescent="0.2">
      <c r="A4515">
        <v>4509</v>
      </c>
      <c r="B4515">
        <v>0.67465838691529545</v>
      </c>
    </row>
    <row r="4516" spans="1:2" x14ac:dyDescent="0.2">
      <c r="A4516">
        <v>4510</v>
      </c>
      <c r="B4516">
        <v>0.94002210361961713</v>
      </c>
    </row>
    <row r="4517" spans="1:2" x14ac:dyDescent="0.2">
      <c r="A4517">
        <v>4511</v>
      </c>
      <c r="B4517">
        <v>0.67405325828808949</v>
      </c>
    </row>
    <row r="4518" spans="1:2" x14ac:dyDescent="0.2">
      <c r="A4518">
        <v>4512</v>
      </c>
      <c r="B4518">
        <v>0.94974557708023943</v>
      </c>
    </row>
    <row r="4519" spans="1:2" x14ac:dyDescent="0.2">
      <c r="A4519">
        <v>4513</v>
      </c>
      <c r="B4519">
        <v>0.44779236240255094</v>
      </c>
    </row>
    <row r="4520" spans="1:2" x14ac:dyDescent="0.2">
      <c r="A4520">
        <v>4514</v>
      </c>
      <c r="B4520">
        <v>0.67874440118828505</v>
      </c>
    </row>
    <row r="4521" spans="1:2" x14ac:dyDescent="0.2">
      <c r="A4521">
        <v>4515</v>
      </c>
      <c r="B4521">
        <v>0.24942202935561408</v>
      </c>
    </row>
    <row r="4522" spans="1:2" x14ac:dyDescent="0.2">
      <c r="A4522">
        <v>4516</v>
      </c>
      <c r="B4522">
        <v>0.40580946662657025</v>
      </c>
    </row>
    <row r="4523" spans="1:2" x14ac:dyDescent="0.2">
      <c r="A4523">
        <v>4517</v>
      </c>
      <c r="B4523">
        <v>0.1984355107825635</v>
      </c>
    </row>
    <row r="4524" spans="1:2" x14ac:dyDescent="0.2">
      <c r="A4524">
        <v>4518</v>
      </c>
      <c r="B4524">
        <v>0.75673702077146399</v>
      </c>
    </row>
    <row r="4525" spans="1:2" x14ac:dyDescent="0.2">
      <c r="A4525">
        <v>4519</v>
      </c>
      <c r="B4525">
        <v>0.67518569238349135</v>
      </c>
    </row>
    <row r="4526" spans="1:2" x14ac:dyDescent="0.2">
      <c r="A4526">
        <v>4520</v>
      </c>
      <c r="B4526">
        <v>0.89921830460560315</v>
      </c>
    </row>
    <row r="4527" spans="1:2" x14ac:dyDescent="0.2">
      <c r="A4527">
        <v>4521</v>
      </c>
      <c r="B4527">
        <v>0.97152566113667849</v>
      </c>
    </row>
    <row r="4528" spans="1:2" x14ac:dyDescent="0.2">
      <c r="A4528">
        <v>4522</v>
      </c>
      <c r="B4528">
        <v>0.63468469645075243</v>
      </c>
    </row>
    <row r="4529" spans="1:2" x14ac:dyDescent="0.2">
      <c r="A4529">
        <v>4523</v>
      </c>
      <c r="B4529">
        <v>0.65217702034257685</v>
      </c>
    </row>
    <row r="4530" spans="1:2" x14ac:dyDescent="0.2">
      <c r="A4530">
        <v>4524</v>
      </c>
      <c r="B4530">
        <v>0.57771963938967741</v>
      </c>
    </row>
    <row r="4531" spans="1:2" x14ac:dyDescent="0.2">
      <c r="A4531">
        <v>4525</v>
      </c>
      <c r="B4531">
        <v>0.482439614286994</v>
      </c>
    </row>
    <row r="4532" spans="1:2" x14ac:dyDescent="0.2">
      <c r="A4532">
        <v>4526</v>
      </c>
      <c r="B4532">
        <v>0.84001500984583455</v>
      </c>
    </row>
    <row r="4533" spans="1:2" x14ac:dyDescent="0.2">
      <c r="A4533">
        <v>4527</v>
      </c>
      <c r="B4533">
        <v>0.38932893507696786</v>
      </c>
    </row>
    <row r="4534" spans="1:2" x14ac:dyDescent="0.2">
      <c r="A4534">
        <v>4528</v>
      </c>
      <c r="B4534">
        <v>0.904470484383885</v>
      </c>
    </row>
    <row r="4535" spans="1:2" x14ac:dyDescent="0.2">
      <c r="A4535">
        <v>4529</v>
      </c>
      <c r="B4535">
        <v>0.27087760562987595</v>
      </c>
    </row>
    <row r="4536" spans="1:2" x14ac:dyDescent="0.2">
      <c r="A4536">
        <v>4530</v>
      </c>
      <c r="B4536">
        <v>0.88278821150157583</v>
      </c>
    </row>
    <row r="4537" spans="1:2" x14ac:dyDescent="0.2">
      <c r="A4537">
        <v>4531</v>
      </c>
      <c r="B4537">
        <v>0.98990859150261667</v>
      </c>
    </row>
    <row r="4538" spans="1:2" x14ac:dyDescent="0.2">
      <c r="A4538">
        <v>4532</v>
      </c>
      <c r="B4538">
        <v>0.9146234374338793</v>
      </c>
    </row>
    <row r="4539" spans="1:2" x14ac:dyDescent="0.2">
      <c r="A4539">
        <v>4533</v>
      </c>
      <c r="B4539">
        <v>0.5612114401726821</v>
      </c>
    </row>
    <row r="4540" spans="1:2" x14ac:dyDescent="0.2">
      <c r="A4540">
        <v>4534</v>
      </c>
      <c r="B4540">
        <v>0.97590407359885711</v>
      </c>
    </row>
    <row r="4541" spans="1:2" x14ac:dyDescent="0.2">
      <c r="A4541">
        <v>4535</v>
      </c>
      <c r="B4541">
        <v>0.31236842450633817</v>
      </c>
    </row>
    <row r="4542" spans="1:2" x14ac:dyDescent="0.2">
      <c r="A4542">
        <v>4536</v>
      </c>
      <c r="B4542">
        <v>0.30243979542545985</v>
      </c>
    </row>
    <row r="4543" spans="1:2" x14ac:dyDescent="0.2">
      <c r="A4543">
        <v>4537</v>
      </c>
      <c r="B4543">
        <v>0.73467449877715685</v>
      </c>
    </row>
    <row r="4544" spans="1:2" x14ac:dyDescent="0.2">
      <c r="A4544">
        <v>4538</v>
      </c>
      <c r="B4544">
        <v>0.28165377444773942</v>
      </c>
    </row>
    <row r="4545" spans="1:2" x14ac:dyDescent="0.2">
      <c r="A4545">
        <v>4539</v>
      </c>
      <c r="B4545">
        <v>0.1979517276840439</v>
      </c>
    </row>
    <row r="4546" spans="1:2" x14ac:dyDescent="0.2">
      <c r="A4546">
        <v>4540</v>
      </c>
      <c r="B4546">
        <v>0.30740971601397815</v>
      </c>
    </row>
    <row r="4547" spans="1:2" x14ac:dyDescent="0.2">
      <c r="A4547">
        <v>4541</v>
      </c>
      <c r="B4547">
        <v>0.63015170833472156</v>
      </c>
    </row>
    <row r="4548" spans="1:2" x14ac:dyDescent="0.2">
      <c r="A4548">
        <v>4542</v>
      </c>
      <c r="B4548">
        <v>0.63735445921282252</v>
      </c>
    </row>
    <row r="4549" spans="1:2" x14ac:dyDescent="0.2">
      <c r="A4549">
        <v>4543</v>
      </c>
      <c r="B4549">
        <v>0.24932053849808911</v>
      </c>
    </row>
    <row r="4550" spans="1:2" x14ac:dyDescent="0.2">
      <c r="A4550">
        <v>4544</v>
      </c>
      <c r="B4550">
        <v>0.70171378689476205</v>
      </c>
    </row>
    <row r="4551" spans="1:2" x14ac:dyDescent="0.2">
      <c r="A4551">
        <v>4545</v>
      </c>
      <c r="B4551">
        <v>0.25997015647080912</v>
      </c>
    </row>
    <row r="4552" spans="1:2" x14ac:dyDescent="0.2">
      <c r="A4552">
        <v>4546</v>
      </c>
      <c r="B4552">
        <v>0.53589695831650341</v>
      </c>
    </row>
    <row r="4553" spans="1:2" x14ac:dyDescent="0.2">
      <c r="A4553">
        <v>4547</v>
      </c>
      <c r="B4553">
        <v>0.6414422612776054</v>
      </c>
    </row>
    <row r="4554" spans="1:2" x14ac:dyDescent="0.2">
      <c r="A4554">
        <v>4548</v>
      </c>
      <c r="B4554">
        <v>0.37897797910465403</v>
      </c>
    </row>
    <row r="4555" spans="1:2" x14ac:dyDescent="0.2">
      <c r="A4555">
        <v>4549</v>
      </c>
      <c r="B4555">
        <v>6.0475654514495325E-2</v>
      </c>
    </row>
    <row r="4556" spans="1:2" x14ac:dyDescent="0.2">
      <c r="A4556">
        <v>4550</v>
      </c>
      <c r="B4556">
        <v>3.8072701483005233E-2</v>
      </c>
    </row>
    <row r="4557" spans="1:2" x14ac:dyDescent="0.2">
      <c r="A4557">
        <v>4551</v>
      </c>
      <c r="B4557">
        <v>0.7612451919768648</v>
      </c>
    </row>
    <row r="4558" spans="1:2" x14ac:dyDescent="0.2">
      <c r="A4558">
        <v>4552</v>
      </c>
      <c r="B4558">
        <v>0.89211586374344887</v>
      </c>
    </row>
    <row r="4559" spans="1:2" x14ac:dyDescent="0.2">
      <c r="A4559">
        <v>4553</v>
      </c>
      <c r="B4559">
        <v>0.89243280970276539</v>
      </c>
    </row>
    <row r="4560" spans="1:2" x14ac:dyDescent="0.2">
      <c r="A4560">
        <v>4554</v>
      </c>
      <c r="B4560">
        <v>0.50142171181270423</v>
      </c>
    </row>
    <row r="4561" spans="1:2" x14ac:dyDescent="0.2">
      <c r="A4561">
        <v>4555</v>
      </c>
      <c r="B4561">
        <v>0.8714376608181772</v>
      </c>
    </row>
    <row r="4562" spans="1:2" x14ac:dyDescent="0.2">
      <c r="A4562">
        <v>4556</v>
      </c>
      <c r="B4562">
        <v>0.29828948759763563</v>
      </c>
    </row>
    <row r="4563" spans="1:2" x14ac:dyDescent="0.2">
      <c r="A4563">
        <v>4557</v>
      </c>
      <c r="B4563">
        <v>0.10711148710676777</v>
      </c>
    </row>
    <row r="4564" spans="1:2" x14ac:dyDescent="0.2">
      <c r="A4564">
        <v>4558</v>
      </c>
      <c r="B4564">
        <v>0.25937735435682852</v>
      </c>
    </row>
    <row r="4565" spans="1:2" x14ac:dyDescent="0.2">
      <c r="A4565">
        <v>4559</v>
      </c>
      <c r="B4565">
        <v>0.44437007124549366</v>
      </c>
    </row>
    <row r="4566" spans="1:2" x14ac:dyDescent="0.2">
      <c r="A4566">
        <v>4560</v>
      </c>
      <c r="B4566">
        <v>0.92454293768564855</v>
      </c>
    </row>
    <row r="4567" spans="1:2" x14ac:dyDescent="0.2">
      <c r="A4567">
        <v>4561</v>
      </c>
      <c r="B4567">
        <v>0.21504524226608679</v>
      </c>
    </row>
    <row r="4568" spans="1:2" x14ac:dyDescent="0.2">
      <c r="A4568">
        <v>4562</v>
      </c>
      <c r="B4568">
        <v>5.7679090759084062E-3</v>
      </c>
    </row>
    <row r="4569" spans="1:2" x14ac:dyDescent="0.2">
      <c r="A4569">
        <v>4563</v>
      </c>
      <c r="B4569">
        <v>0.98277259143432849</v>
      </c>
    </row>
    <row r="4570" spans="1:2" x14ac:dyDescent="0.2">
      <c r="A4570">
        <v>4564</v>
      </c>
      <c r="B4570">
        <v>0.58192724776281302</v>
      </c>
    </row>
    <row r="4571" spans="1:2" x14ac:dyDescent="0.2">
      <c r="A4571">
        <v>4565</v>
      </c>
      <c r="B4571">
        <v>0.86589319202067749</v>
      </c>
    </row>
    <row r="4572" spans="1:2" x14ac:dyDescent="0.2">
      <c r="A4572">
        <v>4566</v>
      </c>
      <c r="B4572">
        <v>0.95995024019720154</v>
      </c>
    </row>
    <row r="4573" spans="1:2" x14ac:dyDescent="0.2">
      <c r="A4573">
        <v>4567</v>
      </c>
      <c r="B4573">
        <v>0.36547117010504804</v>
      </c>
    </row>
    <row r="4574" spans="1:2" x14ac:dyDescent="0.2">
      <c r="A4574">
        <v>4568</v>
      </c>
      <c r="B4574">
        <v>3.2448998197152856E-2</v>
      </c>
    </row>
    <row r="4575" spans="1:2" x14ac:dyDescent="0.2">
      <c r="A4575">
        <v>4569</v>
      </c>
      <c r="B4575">
        <v>0.74343610214935985</v>
      </c>
    </row>
    <row r="4576" spans="1:2" x14ac:dyDescent="0.2">
      <c r="A4576">
        <v>4570</v>
      </c>
      <c r="B4576">
        <v>0.14251439026109114</v>
      </c>
    </row>
    <row r="4577" spans="1:2" x14ac:dyDescent="0.2">
      <c r="A4577">
        <v>4571</v>
      </c>
      <c r="B4577">
        <v>0.51279596938721328</v>
      </c>
    </row>
    <row r="4578" spans="1:2" x14ac:dyDescent="0.2">
      <c r="A4578">
        <v>4572</v>
      </c>
      <c r="B4578">
        <v>0.77740890111465244</v>
      </c>
    </row>
    <row r="4579" spans="1:2" x14ac:dyDescent="0.2">
      <c r="A4579">
        <v>4573</v>
      </c>
      <c r="B4579">
        <v>0.55028957439923354</v>
      </c>
    </row>
    <row r="4580" spans="1:2" x14ac:dyDescent="0.2">
      <c r="A4580">
        <v>4574</v>
      </c>
      <c r="B4580">
        <v>0.45250504707564332</v>
      </c>
    </row>
    <row r="4581" spans="1:2" x14ac:dyDescent="0.2">
      <c r="A4581">
        <v>4575</v>
      </c>
      <c r="B4581">
        <v>0.87854864800800136</v>
      </c>
    </row>
    <row r="4582" spans="1:2" x14ac:dyDescent="0.2">
      <c r="A4582">
        <v>4576</v>
      </c>
      <c r="B4582">
        <v>0.52080517755964106</v>
      </c>
    </row>
    <row r="4583" spans="1:2" x14ac:dyDescent="0.2">
      <c r="A4583">
        <v>4577</v>
      </c>
      <c r="B4583">
        <v>0.82744106588569699</v>
      </c>
    </row>
    <row r="4584" spans="1:2" x14ac:dyDescent="0.2">
      <c r="A4584">
        <v>4578</v>
      </c>
      <c r="B4584">
        <v>0.56685616377832482</v>
      </c>
    </row>
    <row r="4585" spans="1:2" x14ac:dyDescent="0.2">
      <c r="A4585">
        <v>4579</v>
      </c>
      <c r="B4585">
        <v>0.89190328308464517</v>
      </c>
    </row>
    <row r="4586" spans="1:2" x14ac:dyDescent="0.2">
      <c r="A4586">
        <v>4580</v>
      </c>
      <c r="B4586">
        <v>0.93881998379049203</v>
      </c>
    </row>
    <row r="4587" spans="1:2" x14ac:dyDescent="0.2">
      <c r="A4587">
        <v>4581</v>
      </c>
      <c r="B4587">
        <v>0.4503559002270261</v>
      </c>
    </row>
    <row r="4588" spans="1:2" x14ac:dyDescent="0.2">
      <c r="A4588">
        <v>4582</v>
      </c>
      <c r="B4588">
        <v>0.80803114447023783</v>
      </c>
    </row>
    <row r="4589" spans="1:2" x14ac:dyDescent="0.2">
      <c r="A4589">
        <v>4583</v>
      </c>
      <c r="B4589">
        <v>0.81429503799452974</v>
      </c>
    </row>
    <row r="4590" spans="1:2" x14ac:dyDescent="0.2">
      <c r="A4590">
        <v>4584</v>
      </c>
      <c r="B4590">
        <v>0.4028111190053294</v>
      </c>
    </row>
    <row r="4591" spans="1:2" x14ac:dyDescent="0.2">
      <c r="A4591">
        <v>4585</v>
      </c>
      <c r="B4591">
        <v>0.39723219992890135</v>
      </c>
    </row>
    <row r="4592" spans="1:2" x14ac:dyDescent="0.2">
      <c r="A4592">
        <v>4586</v>
      </c>
      <c r="B4592">
        <v>0.88133726205400909</v>
      </c>
    </row>
    <row r="4593" spans="1:2" x14ac:dyDescent="0.2">
      <c r="A4593">
        <v>4587</v>
      </c>
      <c r="B4593">
        <v>0.50451330514091552</v>
      </c>
    </row>
    <row r="4594" spans="1:2" x14ac:dyDescent="0.2">
      <c r="A4594">
        <v>4588</v>
      </c>
      <c r="B4594">
        <v>0.1270729368591007</v>
      </c>
    </row>
    <row r="4595" spans="1:2" x14ac:dyDescent="0.2">
      <c r="A4595">
        <v>4589</v>
      </c>
      <c r="B4595">
        <v>0.79203911108573399</v>
      </c>
    </row>
    <row r="4596" spans="1:2" x14ac:dyDescent="0.2">
      <c r="A4596">
        <v>4590</v>
      </c>
      <c r="B4596">
        <v>0.89651308775108174</v>
      </c>
    </row>
    <row r="4597" spans="1:2" x14ac:dyDescent="0.2">
      <c r="A4597">
        <v>4591</v>
      </c>
      <c r="B4597">
        <v>8.2139253310568927E-2</v>
      </c>
    </row>
    <row r="4598" spans="1:2" x14ac:dyDescent="0.2">
      <c r="A4598">
        <v>4592</v>
      </c>
      <c r="B4598">
        <v>0.30411915979565807</v>
      </c>
    </row>
    <row r="4599" spans="1:2" x14ac:dyDescent="0.2">
      <c r="A4599">
        <v>4593</v>
      </c>
      <c r="B4599">
        <v>0.10990610738379647</v>
      </c>
    </row>
    <row r="4600" spans="1:2" x14ac:dyDescent="0.2">
      <c r="A4600">
        <v>4594</v>
      </c>
      <c r="B4600">
        <v>0.31773530991969701</v>
      </c>
    </row>
    <row r="4601" spans="1:2" x14ac:dyDescent="0.2">
      <c r="A4601">
        <v>4595</v>
      </c>
      <c r="B4601">
        <v>0.77086405536884239</v>
      </c>
    </row>
    <row r="4602" spans="1:2" x14ac:dyDescent="0.2">
      <c r="A4602">
        <v>4596</v>
      </c>
      <c r="B4602">
        <v>0.5339957920972711</v>
      </c>
    </row>
    <row r="4603" spans="1:2" x14ac:dyDescent="0.2">
      <c r="A4603">
        <v>4597</v>
      </c>
      <c r="B4603">
        <v>0.19464371909781064</v>
      </c>
    </row>
    <row r="4604" spans="1:2" x14ac:dyDescent="0.2">
      <c r="A4604">
        <v>4598</v>
      </c>
      <c r="B4604">
        <v>1.1041914715062995E-2</v>
      </c>
    </row>
    <row r="4605" spans="1:2" x14ac:dyDescent="0.2">
      <c r="A4605">
        <v>4599</v>
      </c>
      <c r="B4605">
        <v>0.20191335617194828</v>
      </c>
    </row>
    <row r="4606" spans="1:2" x14ac:dyDescent="0.2">
      <c r="A4606">
        <v>4600</v>
      </c>
      <c r="B4606">
        <v>9.5759678204217158E-2</v>
      </c>
    </row>
    <row r="4607" spans="1:2" x14ac:dyDescent="0.2">
      <c r="A4607">
        <v>4601</v>
      </c>
      <c r="B4607">
        <v>0.57088151791540354</v>
      </c>
    </row>
    <row r="4608" spans="1:2" x14ac:dyDescent="0.2">
      <c r="A4608">
        <v>4602</v>
      </c>
      <c r="B4608">
        <v>0.33762803525986274</v>
      </c>
    </row>
    <row r="4609" spans="1:2" x14ac:dyDescent="0.2">
      <c r="A4609">
        <v>4603</v>
      </c>
      <c r="B4609">
        <v>0.10620062087344184</v>
      </c>
    </row>
    <row r="4610" spans="1:2" x14ac:dyDescent="0.2">
      <c r="A4610">
        <v>4604</v>
      </c>
      <c r="B4610">
        <v>0.60870813991092465</v>
      </c>
    </row>
    <row r="4611" spans="1:2" x14ac:dyDescent="0.2">
      <c r="A4611">
        <v>4605</v>
      </c>
      <c r="B4611">
        <v>0.56075839597184596</v>
      </c>
    </row>
    <row r="4612" spans="1:2" x14ac:dyDescent="0.2">
      <c r="A4612">
        <v>4606</v>
      </c>
      <c r="B4612">
        <v>0.69300977758897209</v>
      </c>
    </row>
    <row r="4613" spans="1:2" x14ac:dyDescent="0.2">
      <c r="A4613">
        <v>4607</v>
      </c>
      <c r="B4613">
        <v>0.85099097006366275</v>
      </c>
    </row>
    <row r="4614" spans="1:2" x14ac:dyDescent="0.2">
      <c r="A4614">
        <v>4608</v>
      </c>
      <c r="B4614">
        <v>0.4788693097741451</v>
      </c>
    </row>
    <row r="4615" spans="1:2" x14ac:dyDescent="0.2">
      <c r="A4615">
        <v>4609</v>
      </c>
      <c r="B4615">
        <v>0.29666892838786363</v>
      </c>
    </row>
    <row r="4616" spans="1:2" x14ac:dyDescent="0.2">
      <c r="A4616">
        <v>4610</v>
      </c>
      <c r="B4616">
        <v>0.22662866917654489</v>
      </c>
    </row>
    <row r="4617" spans="1:2" x14ac:dyDescent="0.2">
      <c r="A4617">
        <v>4611</v>
      </c>
      <c r="B4617">
        <v>0.98932786506469372</v>
      </c>
    </row>
    <row r="4618" spans="1:2" x14ac:dyDescent="0.2">
      <c r="A4618">
        <v>4612</v>
      </c>
      <c r="B4618">
        <v>0.64422785221727963</v>
      </c>
    </row>
    <row r="4619" spans="1:2" x14ac:dyDescent="0.2">
      <c r="A4619">
        <v>4613</v>
      </c>
      <c r="B4619">
        <v>0.36615233865014396</v>
      </c>
    </row>
    <row r="4620" spans="1:2" x14ac:dyDescent="0.2">
      <c r="A4620">
        <v>4614</v>
      </c>
      <c r="B4620">
        <v>0.60666288845134575</v>
      </c>
    </row>
    <row r="4621" spans="1:2" x14ac:dyDescent="0.2">
      <c r="A4621">
        <v>4615</v>
      </c>
      <c r="B4621">
        <v>0.53512821191264093</v>
      </c>
    </row>
    <row r="4622" spans="1:2" x14ac:dyDescent="0.2">
      <c r="A4622">
        <v>4616</v>
      </c>
      <c r="B4622">
        <v>0.28697761002640132</v>
      </c>
    </row>
    <row r="4623" spans="1:2" x14ac:dyDescent="0.2">
      <c r="A4623">
        <v>4617</v>
      </c>
      <c r="B4623">
        <v>0.21553258590352342</v>
      </c>
    </row>
    <row r="4624" spans="1:2" x14ac:dyDescent="0.2">
      <c r="A4624">
        <v>4618</v>
      </c>
      <c r="B4624">
        <v>0.7638112936865229</v>
      </c>
    </row>
    <row r="4625" spans="1:2" x14ac:dyDescent="0.2">
      <c r="A4625">
        <v>4619</v>
      </c>
      <c r="B4625">
        <v>0.64332795004492238</v>
      </c>
    </row>
    <row r="4626" spans="1:2" x14ac:dyDescent="0.2">
      <c r="A4626">
        <v>4620</v>
      </c>
      <c r="B4626">
        <v>0.24660419072848494</v>
      </c>
    </row>
    <row r="4627" spans="1:2" x14ac:dyDescent="0.2">
      <c r="A4627">
        <v>4621</v>
      </c>
      <c r="B4627">
        <v>0.86172604518198326</v>
      </c>
    </row>
    <row r="4628" spans="1:2" x14ac:dyDescent="0.2">
      <c r="A4628">
        <v>4622</v>
      </c>
      <c r="B4628">
        <v>0.64315839639698635</v>
      </c>
    </row>
    <row r="4629" spans="1:2" x14ac:dyDescent="0.2">
      <c r="A4629">
        <v>4623</v>
      </c>
      <c r="B4629">
        <v>0.15050303372677709</v>
      </c>
    </row>
    <row r="4630" spans="1:2" x14ac:dyDescent="0.2">
      <c r="A4630">
        <v>4624</v>
      </c>
      <c r="B4630">
        <v>0.58549872924594859</v>
      </c>
    </row>
    <row r="4631" spans="1:2" x14ac:dyDescent="0.2">
      <c r="A4631">
        <v>4625</v>
      </c>
      <c r="B4631">
        <v>5.9545696296434025E-2</v>
      </c>
    </row>
    <row r="4632" spans="1:2" x14ac:dyDescent="0.2">
      <c r="A4632">
        <v>4626</v>
      </c>
      <c r="B4632">
        <v>0.93233421148614981</v>
      </c>
    </row>
    <row r="4633" spans="1:2" x14ac:dyDescent="0.2">
      <c r="A4633">
        <v>4627</v>
      </c>
      <c r="B4633">
        <v>0.11817680948068665</v>
      </c>
    </row>
    <row r="4634" spans="1:2" x14ac:dyDescent="0.2">
      <c r="A4634">
        <v>4628</v>
      </c>
      <c r="B4634">
        <v>0.47632009456249114</v>
      </c>
    </row>
    <row r="4635" spans="1:2" x14ac:dyDescent="0.2">
      <c r="A4635">
        <v>4629</v>
      </c>
      <c r="B4635">
        <v>0.22068362437371636</v>
      </c>
    </row>
    <row r="4636" spans="1:2" x14ac:dyDescent="0.2">
      <c r="A4636">
        <v>4630</v>
      </c>
      <c r="B4636">
        <v>0.62179912739942911</v>
      </c>
    </row>
    <row r="4637" spans="1:2" x14ac:dyDescent="0.2">
      <c r="A4637">
        <v>4631</v>
      </c>
      <c r="B4637">
        <v>0.33020479871623309</v>
      </c>
    </row>
    <row r="4638" spans="1:2" x14ac:dyDescent="0.2">
      <c r="A4638">
        <v>4632</v>
      </c>
      <c r="B4638">
        <v>0.26292150509146106</v>
      </c>
    </row>
    <row r="4639" spans="1:2" x14ac:dyDescent="0.2">
      <c r="A4639">
        <v>4633</v>
      </c>
      <c r="B4639">
        <v>0.26787535414359054</v>
      </c>
    </row>
    <row r="4640" spans="1:2" x14ac:dyDescent="0.2">
      <c r="A4640">
        <v>4634</v>
      </c>
      <c r="B4640">
        <v>0.75837147127113846</v>
      </c>
    </row>
    <row r="4641" spans="1:2" x14ac:dyDescent="0.2">
      <c r="A4641">
        <v>4635</v>
      </c>
      <c r="B4641">
        <v>5.3762184473475694E-2</v>
      </c>
    </row>
    <row r="4642" spans="1:2" x14ac:dyDescent="0.2">
      <c r="A4642">
        <v>4636</v>
      </c>
      <c r="B4642">
        <v>0.38111023550115919</v>
      </c>
    </row>
    <row r="4643" spans="1:2" x14ac:dyDescent="0.2">
      <c r="A4643">
        <v>4637</v>
      </c>
      <c r="B4643">
        <v>0.71107422449982005</v>
      </c>
    </row>
    <row r="4644" spans="1:2" x14ac:dyDescent="0.2">
      <c r="A4644">
        <v>4638</v>
      </c>
      <c r="B4644">
        <v>0.35131403568192143</v>
      </c>
    </row>
    <row r="4645" spans="1:2" x14ac:dyDescent="0.2">
      <c r="A4645">
        <v>4639</v>
      </c>
      <c r="B4645">
        <v>3.6695046499787165E-2</v>
      </c>
    </row>
    <row r="4646" spans="1:2" x14ac:dyDescent="0.2">
      <c r="A4646">
        <v>4640</v>
      </c>
      <c r="B4646">
        <v>0.79586530114466947</v>
      </c>
    </row>
    <row r="4647" spans="1:2" x14ac:dyDescent="0.2">
      <c r="A4647">
        <v>4641</v>
      </c>
      <c r="B4647">
        <v>0.29171253682046794</v>
      </c>
    </row>
    <row r="4648" spans="1:2" x14ac:dyDescent="0.2">
      <c r="A4648">
        <v>4642</v>
      </c>
      <c r="B4648">
        <v>0.27784634237613737</v>
      </c>
    </row>
    <row r="4649" spans="1:2" x14ac:dyDescent="0.2">
      <c r="A4649">
        <v>4643</v>
      </c>
      <c r="B4649">
        <v>8.1928221121235656E-2</v>
      </c>
    </row>
    <row r="4650" spans="1:2" x14ac:dyDescent="0.2">
      <c r="A4650">
        <v>4644</v>
      </c>
      <c r="B4650">
        <v>0.23003391211713609</v>
      </c>
    </row>
    <row r="4651" spans="1:2" x14ac:dyDescent="0.2">
      <c r="A4651">
        <v>4645</v>
      </c>
      <c r="B4651">
        <v>0.74538893227618552</v>
      </c>
    </row>
    <row r="4652" spans="1:2" x14ac:dyDescent="0.2">
      <c r="A4652">
        <v>4646</v>
      </c>
      <c r="B4652">
        <v>0.62802252598383013</v>
      </c>
    </row>
    <row r="4653" spans="1:2" x14ac:dyDescent="0.2">
      <c r="A4653">
        <v>4647</v>
      </c>
      <c r="B4653">
        <v>0.46905268021978919</v>
      </c>
    </row>
    <row r="4654" spans="1:2" x14ac:dyDescent="0.2">
      <c r="A4654">
        <v>4648</v>
      </c>
      <c r="B4654">
        <v>0.46752707482081479</v>
      </c>
    </row>
    <row r="4655" spans="1:2" x14ac:dyDescent="0.2">
      <c r="A4655">
        <v>4649</v>
      </c>
      <c r="B4655">
        <v>2.585905985625514E-2</v>
      </c>
    </row>
    <row r="4656" spans="1:2" x14ac:dyDescent="0.2">
      <c r="A4656">
        <v>4650</v>
      </c>
      <c r="B4656">
        <v>9.282145197302194E-2</v>
      </c>
    </row>
    <row r="4657" spans="1:2" x14ac:dyDescent="0.2">
      <c r="A4657">
        <v>4651</v>
      </c>
      <c r="B4657">
        <v>0.79181129584609511</v>
      </c>
    </row>
    <row r="4658" spans="1:2" x14ac:dyDescent="0.2">
      <c r="A4658">
        <v>4652</v>
      </c>
      <c r="B4658">
        <v>0.83248005356537469</v>
      </c>
    </row>
    <row r="4659" spans="1:2" x14ac:dyDescent="0.2">
      <c r="A4659">
        <v>4653</v>
      </c>
      <c r="B4659">
        <v>0.47399429621198041</v>
      </c>
    </row>
    <row r="4660" spans="1:2" x14ac:dyDescent="0.2">
      <c r="A4660">
        <v>4654</v>
      </c>
      <c r="B4660">
        <v>0.95778278947920459</v>
      </c>
    </row>
    <row r="4661" spans="1:2" x14ac:dyDescent="0.2">
      <c r="A4661">
        <v>4655</v>
      </c>
      <c r="B4661">
        <v>0.14677162533366295</v>
      </c>
    </row>
    <row r="4662" spans="1:2" x14ac:dyDescent="0.2">
      <c r="A4662">
        <v>4656</v>
      </c>
      <c r="B4662">
        <v>0.33980207667851214</v>
      </c>
    </row>
    <row r="4663" spans="1:2" x14ac:dyDescent="0.2">
      <c r="A4663">
        <v>4657</v>
      </c>
      <c r="B4663">
        <v>0.46406320712635585</v>
      </c>
    </row>
    <row r="4664" spans="1:2" x14ac:dyDescent="0.2">
      <c r="A4664">
        <v>4658</v>
      </c>
      <c r="B4664">
        <v>0.2429864783758976</v>
      </c>
    </row>
    <row r="4665" spans="1:2" x14ac:dyDescent="0.2">
      <c r="A4665">
        <v>4659</v>
      </c>
      <c r="B4665">
        <v>0.87605173203932596</v>
      </c>
    </row>
    <row r="4666" spans="1:2" x14ac:dyDescent="0.2">
      <c r="A4666">
        <v>4660</v>
      </c>
      <c r="B4666">
        <v>0.93221481960118247</v>
      </c>
    </row>
    <row r="4667" spans="1:2" x14ac:dyDescent="0.2">
      <c r="A4667">
        <v>4661</v>
      </c>
      <c r="B4667">
        <v>0.75326686026009859</v>
      </c>
    </row>
    <row r="4668" spans="1:2" x14ac:dyDescent="0.2">
      <c r="A4668">
        <v>4662</v>
      </c>
      <c r="B4668">
        <v>0.90198318465223803</v>
      </c>
    </row>
    <row r="4669" spans="1:2" x14ac:dyDescent="0.2">
      <c r="A4669">
        <v>4663</v>
      </c>
      <c r="B4669">
        <v>0.29775320838727926</v>
      </c>
    </row>
    <row r="4670" spans="1:2" x14ac:dyDescent="0.2">
      <c r="A4670">
        <v>4664</v>
      </c>
      <c r="B4670">
        <v>0.14779320668669271</v>
      </c>
    </row>
    <row r="4671" spans="1:2" x14ac:dyDescent="0.2">
      <c r="A4671">
        <v>4665</v>
      </c>
      <c r="B4671">
        <v>0.71792766134351782</v>
      </c>
    </row>
    <row r="4672" spans="1:2" x14ac:dyDescent="0.2">
      <c r="A4672">
        <v>4666</v>
      </c>
      <c r="B4672">
        <v>0.74478020257150279</v>
      </c>
    </row>
    <row r="4673" spans="1:2" x14ac:dyDescent="0.2">
      <c r="A4673">
        <v>4667</v>
      </c>
      <c r="B4673">
        <v>0.49378744343476388</v>
      </c>
    </row>
    <row r="4674" spans="1:2" x14ac:dyDescent="0.2">
      <c r="A4674">
        <v>4668</v>
      </c>
      <c r="B4674">
        <v>2.1619424027152778E-3</v>
      </c>
    </row>
    <row r="4675" spans="1:2" x14ac:dyDescent="0.2">
      <c r="A4675">
        <v>4669</v>
      </c>
      <c r="B4675">
        <v>0.45191202095718641</v>
      </c>
    </row>
    <row r="4676" spans="1:2" x14ac:dyDescent="0.2">
      <c r="A4676">
        <v>4670</v>
      </c>
      <c r="B4676">
        <v>0.2436724930606996</v>
      </c>
    </row>
    <row r="4677" spans="1:2" x14ac:dyDescent="0.2">
      <c r="A4677">
        <v>4671</v>
      </c>
      <c r="B4677">
        <v>0.46798388842471317</v>
      </c>
    </row>
    <row r="4678" spans="1:2" x14ac:dyDescent="0.2">
      <c r="A4678">
        <v>4672</v>
      </c>
      <c r="B4678">
        <v>0.19434392021159708</v>
      </c>
    </row>
    <row r="4679" spans="1:2" x14ac:dyDescent="0.2">
      <c r="A4679">
        <v>4673</v>
      </c>
      <c r="B4679">
        <v>0.28551482019910168</v>
      </c>
    </row>
    <row r="4680" spans="1:2" x14ac:dyDescent="0.2">
      <c r="A4680">
        <v>4674</v>
      </c>
      <c r="B4680">
        <v>0.23788804294557242</v>
      </c>
    </row>
    <row r="4681" spans="1:2" x14ac:dyDescent="0.2">
      <c r="A4681">
        <v>4675</v>
      </c>
      <c r="B4681">
        <v>0.50061713957837395</v>
      </c>
    </row>
    <row r="4682" spans="1:2" x14ac:dyDescent="0.2">
      <c r="A4682">
        <v>4676</v>
      </c>
      <c r="B4682">
        <v>0.96110508759835078</v>
      </c>
    </row>
    <row r="4683" spans="1:2" x14ac:dyDescent="0.2">
      <c r="A4683">
        <v>4677</v>
      </c>
      <c r="B4683">
        <v>0.21854486700947906</v>
      </c>
    </row>
    <row r="4684" spans="1:2" x14ac:dyDescent="0.2">
      <c r="A4684">
        <v>4678</v>
      </c>
      <c r="B4684">
        <v>8.2814670196634799E-2</v>
      </c>
    </row>
    <row r="4685" spans="1:2" x14ac:dyDescent="0.2">
      <c r="A4685">
        <v>4679</v>
      </c>
      <c r="B4685">
        <v>0.79577577728562188</v>
      </c>
    </row>
    <row r="4686" spans="1:2" x14ac:dyDescent="0.2">
      <c r="A4686">
        <v>4680</v>
      </c>
      <c r="B4686">
        <v>0.7551783972730276</v>
      </c>
    </row>
    <row r="4687" spans="1:2" x14ac:dyDescent="0.2">
      <c r="A4687">
        <v>4681</v>
      </c>
      <c r="B4687">
        <v>0.9210565228811981</v>
      </c>
    </row>
    <row r="4688" spans="1:2" x14ac:dyDescent="0.2">
      <c r="A4688">
        <v>4682</v>
      </c>
      <c r="B4688">
        <v>0.51033075317206888</v>
      </c>
    </row>
    <row r="4689" spans="1:2" x14ac:dyDescent="0.2">
      <c r="A4689">
        <v>4683</v>
      </c>
      <c r="B4689">
        <v>0.4667737477462266</v>
      </c>
    </row>
    <row r="4690" spans="1:2" x14ac:dyDescent="0.2">
      <c r="A4690">
        <v>4684</v>
      </c>
      <c r="B4690">
        <v>0.57307386065870047</v>
      </c>
    </row>
    <row r="4691" spans="1:2" x14ac:dyDescent="0.2">
      <c r="A4691">
        <v>4685</v>
      </c>
      <c r="B4691">
        <v>0.62394166408388552</v>
      </c>
    </row>
    <row r="4692" spans="1:2" x14ac:dyDescent="0.2">
      <c r="A4692">
        <v>4686</v>
      </c>
      <c r="B4692">
        <v>0.18953608297912272</v>
      </c>
    </row>
    <row r="4693" spans="1:2" x14ac:dyDescent="0.2">
      <c r="A4693">
        <v>4687</v>
      </c>
      <c r="B4693">
        <v>4.8184188185808274E-2</v>
      </c>
    </row>
    <row r="4694" spans="1:2" x14ac:dyDescent="0.2">
      <c r="A4694">
        <v>4688</v>
      </c>
      <c r="B4694">
        <v>0.17411712310905647</v>
      </c>
    </row>
    <row r="4695" spans="1:2" x14ac:dyDescent="0.2">
      <c r="A4695">
        <v>4689</v>
      </c>
      <c r="B4695">
        <v>0.33105467819115397</v>
      </c>
    </row>
    <row r="4696" spans="1:2" x14ac:dyDescent="0.2">
      <c r="A4696">
        <v>4690</v>
      </c>
      <c r="B4696">
        <v>0.43640138734474487</v>
      </c>
    </row>
    <row r="4697" spans="1:2" x14ac:dyDescent="0.2">
      <c r="A4697">
        <v>4691</v>
      </c>
      <c r="B4697">
        <v>0.46994565056723503</v>
      </c>
    </row>
    <row r="4698" spans="1:2" x14ac:dyDescent="0.2">
      <c r="A4698">
        <v>4692</v>
      </c>
      <c r="B4698">
        <v>0.48478582600800435</v>
      </c>
    </row>
    <row r="4699" spans="1:2" x14ac:dyDescent="0.2">
      <c r="A4699">
        <v>4693</v>
      </c>
      <c r="B4699">
        <v>0.64398496339960853</v>
      </c>
    </row>
    <row r="4700" spans="1:2" x14ac:dyDescent="0.2">
      <c r="A4700">
        <v>4694</v>
      </c>
      <c r="B4700">
        <v>0.58296998614174711</v>
      </c>
    </row>
    <row r="4701" spans="1:2" x14ac:dyDescent="0.2">
      <c r="A4701">
        <v>4695</v>
      </c>
      <c r="B4701">
        <v>0.19620130300096716</v>
      </c>
    </row>
    <row r="4702" spans="1:2" x14ac:dyDescent="0.2">
      <c r="A4702">
        <v>4696</v>
      </c>
      <c r="B4702">
        <v>0.7264136689381242</v>
      </c>
    </row>
    <row r="4703" spans="1:2" x14ac:dyDescent="0.2">
      <c r="A4703">
        <v>4697</v>
      </c>
      <c r="B4703">
        <v>0.1126756481037493</v>
      </c>
    </row>
    <row r="4704" spans="1:2" x14ac:dyDescent="0.2">
      <c r="A4704">
        <v>4698</v>
      </c>
      <c r="B4704">
        <v>0.26003140111931866</v>
      </c>
    </row>
    <row r="4705" spans="1:2" x14ac:dyDescent="0.2">
      <c r="A4705">
        <v>4699</v>
      </c>
      <c r="B4705">
        <v>0.76104163754234366</v>
      </c>
    </row>
    <row r="4706" spans="1:2" x14ac:dyDescent="0.2">
      <c r="A4706">
        <v>4700</v>
      </c>
      <c r="B4706">
        <v>0.11038955479911605</v>
      </c>
    </row>
    <row r="4707" spans="1:2" x14ac:dyDescent="0.2">
      <c r="A4707">
        <v>4701</v>
      </c>
      <c r="B4707">
        <v>0.91833770336227927</v>
      </c>
    </row>
    <row r="4708" spans="1:2" x14ac:dyDescent="0.2">
      <c r="A4708">
        <v>4702</v>
      </c>
      <c r="B4708">
        <v>0.72530744125278379</v>
      </c>
    </row>
    <row r="4709" spans="1:2" x14ac:dyDescent="0.2">
      <c r="A4709">
        <v>4703</v>
      </c>
      <c r="B4709">
        <v>0.98687074929170771</v>
      </c>
    </row>
    <row r="4710" spans="1:2" x14ac:dyDescent="0.2">
      <c r="A4710">
        <v>4704</v>
      </c>
      <c r="B4710">
        <v>0.4669896747354445</v>
      </c>
    </row>
    <row r="4711" spans="1:2" x14ac:dyDescent="0.2">
      <c r="A4711">
        <v>4705</v>
      </c>
      <c r="B4711">
        <v>0.45438734284603344</v>
      </c>
    </row>
    <row r="4712" spans="1:2" x14ac:dyDescent="0.2">
      <c r="A4712">
        <v>4706</v>
      </c>
      <c r="B4712">
        <v>0.93477951936749737</v>
      </c>
    </row>
    <row r="4713" spans="1:2" x14ac:dyDescent="0.2">
      <c r="A4713">
        <v>4707</v>
      </c>
      <c r="B4713">
        <v>0.17214257776540132</v>
      </c>
    </row>
    <row r="4714" spans="1:2" x14ac:dyDescent="0.2">
      <c r="A4714">
        <v>4708</v>
      </c>
      <c r="B4714">
        <v>1.0606546517607063E-2</v>
      </c>
    </row>
    <row r="4715" spans="1:2" x14ac:dyDescent="0.2">
      <c r="A4715">
        <v>4709</v>
      </c>
      <c r="B4715">
        <v>0.661993559750927</v>
      </c>
    </row>
    <row r="4716" spans="1:2" x14ac:dyDescent="0.2">
      <c r="A4716">
        <v>4710</v>
      </c>
      <c r="B4716">
        <v>7.5968262238886752E-2</v>
      </c>
    </row>
    <row r="4717" spans="1:2" x14ac:dyDescent="0.2">
      <c r="A4717">
        <v>4711</v>
      </c>
      <c r="B4717">
        <v>0.87285370278892671</v>
      </c>
    </row>
    <row r="4718" spans="1:2" x14ac:dyDescent="0.2">
      <c r="A4718">
        <v>4712</v>
      </c>
      <c r="B4718">
        <v>0.49131624891566339</v>
      </c>
    </row>
    <row r="4719" spans="1:2" x14ac:dyDescent="0.2">
      <c r="A4719">
        <v>4713</v>
      </c>
      <c r="B4719">
        <v>0.93127796889904102</v>
      </c>
    </row>
    <row r="4720" spans="1:2" x14ac:dyDescent="0.2">
      <c r="A4720">
        <v>4714</v>
      </c>
      <c r="B4720">
        <v>0.5288170730984173</v>
      </c>
    </row>
    <row r="4721" spans="1:2" x14ac:dyDescent="0.2">
      <c r="A4721">
        <v>4715</v>
      </c>
      <c r="B4721">
        <v>0.19729762977818355</v>
      </c>
    </row>
    <row r="4722" spans="1:2" x14ac:dyDescent="0.2">
      <c r="A4722">
        <v>4716</v>
      </c>
      <c r="B4722">
        <v>0.50921508219983924</v>
      </c>
    </row>
    <row r="4723" spans="1:2" x14ac:dyDescent="0.2">
      <c r="A4723">
        <v>4717</v>
      </c>
      <c r="B4723">
        <v>0.69773720742880285</v>
      </c>
    </row>
    <row r="4724" spans="1:2" x14ac:dyDescent="0.2">
      <c r="A4724">
        <v>4718</v>
      </c>
      <c r="B4724">
        <v>0.89564480819317238</v>
      </c>
    </row>
    <row r="4725" spans="1:2" x14ac:dyDescent="0.2">
      <c r="A4725">
        <v>4719</v>
      </c>
      <c r="B4725">
        <v>0.15505037741068273</v>
      </c>
    </row>
    <row r="4726" spans="1:2" x14ac:dyDescent="0.2">
      <c r="A4726">
        <v>4720</v>
      </c>
      <c r="B4726">
        <v>0.9629115069659645</v>
      </c>
    </row>
    <row r="4727" spans="1:2" x14ac:dyDescent="0.2">
      <c r="A4727">
        <v>4721</v>
      </c>
      <c r="B4727">
        <v>0.25411439013333981</v>
      </c>
    </row>
    <row r="4728" spans="1:2" x14ac:dyDescent="0.2">
      <c r="A4728">
        <v>4722</v>
      </c>
      <c r="B4728">
        <v>0.27451000366037481</v>
      </c>
    </row>
    <row r="4729" spans="1:2" x14ac:dyDescent="0.2">
      <c r="A4729">
        <v>4723</v>
      </c>
      <c r="B4729">
        <v>0.7191341920775387</v>
      </c>
    </row>
    <row r="4730" spans="1:2" x14ac:dyDescent="0.2">
      <c r="A4730">
        <v>4724</v>
      </c>
      <c r="B4730">
        <v>0.12082363565990673</v>
      </c>
    </row>
    <row r="4731" spans="1:2" x14ac:dyDescent="0.2">
      <c r="A4731">
        <v>4725</v>
      </c>
      <c r="B4731">
        <v>0.91946027839467492</v>
      </c>
    </row>
    <row r="4732" spans="1:2" x14ac:dyDescent="0.2">
      <c r="A4732">
        <v>4726</v>
      </c>
      <c r="B4732">
        <v>0.68683066370833024</v>
      </c>
    </row>
    <row r="4733" spans="1:2" x14ac:dyDescent="0.2">
      <c r="A4733">
        <v>4727</v>
      </c>
      <c r="B4733">
        <v>0.44455313768663773</v>
      </c>
    </row>
    <row r="4734" spans="1:2" x14ac:dyDescent="0.2">
      <c r="A4734">
        <v>4728</v>
      </c>
      <c r="B4734">
        <v>0.22848178376980244</v>
      </c>
    </row>
    <row r="4735" spans="1:2" x14ac:dyDescent="0.2">
      <c r="A4735">
        <v>4729</v>
      </c>
      <c r="B4735">
        <v>5.8626785112070867E-2</v>
      </c>
    </row>
    <row r="4736" spans="1:2" x14ac:dyDescent="0.2">
      <c r="A4736">
        <v>4730</v>
      </c>
      <c r="B4736">
        <v>0.75266410704653308</v>
      </c>
    </row>
    <row r="4737" spans="1:2" x14ac:dyDescent="0.2">
      <c r="A4737">
        <v>4731</v>
      </c>
      <c r="B4737">
        <v>0.13196890490251145</v>
      </c>
    </row>
    <row r="4738" spans="1:2" x14ac:dyDescent="0.2">
      <c r="A4738">
        <v>4732</v>
      </c>
      <c r="B4738">
        <v>0.30488038593157751</v>
      </c>
    </row>
    <row r="4739" spans="1:2" x14ac:dyDescent="0.2">
      <c r="A4739">
        <v>4733</v>
      </c>
      <c r="B4739">
        <v>0.35590884816299861</v>
      </c>
    </row>
    <row r="4740" spans="1:2" x14ac:dyDescent="0.2">
      <c r="A4740">
        <v>4734</v>
      </c>
      <c r="B4740">
        <v>8.5577452443389324E-2</v>
      </c>
    </row>
    <row r="4741" spans="1:2" x14ac:dyDescent="0.2">
      <c r="A4741">
        <v>4735</v>
      </c>
      <c r="B4741">
        <v>0.38792055111480339</v>
      </c>
    </row>
    <row r="4742" spans="1:2" x14ac:dyDescent="0.2">
      <c r="A4742">
        <v>4736</v>
      </c>
      <c r="B4742">
        <v>0.7540586806748184</v>
      </c>
    </row>
    <row r="4743" spans="1:2" x14ac:dyDescent="0.2">
      <c r="A4743">
        <v>4737</v>
      </c>
      <c r="B4743">
        <v>0.68390313895196675</v>
      </c>
    </row>
    <row r="4744" spans="1:2" x14ac:dyDescent="0.2">
      <c r="A4744">
        <v>4738</v>
      </c>
      <c r="B4744">
        <v>0.75863792171957856</v>
      </c>
    </row>
    <row r="4745" spans="1:2" x14ac:dyDescent="0.2">
      <c r="A4745">
        <v>4739</v>
      </c>
      <c r="B4745">
        <v>0.57596214726816775</v>
      </c>
    </row>
    <row r="4746" spans="1:2" x14ac:dyDescent="0.2">
      <c r="A4746">
        <v>4740</v>
      </c>
      <c r="B4746">
        <v>0.34406046265644097</v>
      </c>
    </row>
    <row r="4747" spans="1:2" x14ac:dyDescent="0.2">
      <c r="A4747">
        <v>4741</v>
      </c>
      <c r="B4747">
        <v>0.83549250788008678</v>
      </c>
    </row>
    <row r="4748" spans="1:2" x14ac:dyDescent="0.2">
      <c r="A4748">
        <v>4742</v>
      </c>
      <c r="B4748">
        <v>0.23280043281437623</v>
      </c>
    </row>
    <row r="4749" spans="1:2" x14ac:dyDescent="0.2">
      <c r="A4749">
        <v>4743</v>
      </c>
      <c r="B4749">
        <v>0.11996860448505553</v>
      </c>
    </row>
    <row r="4750" spans="1:2" x14ac:dyDescent="0.2">
      <c r="A4750">
        <v>4744</v>
      </c>
      <c r="B4750">
        <v>0.26718961483677817</v>
      </c>
    </row>
    <row r="4751" spans="1:2" x14ac:dyDescent="0.2">
      <c r="A4751">
        <v>4745</v>
      </c>
      <c r="B4751">
        <v>0.35634421311400244</v>
      </c>
    </row>
    <row r="4752" spans="1:2" x14ac:dyDescent="0.2">
      <c r="A4752">
        <v>4746</v>
      </c>
      <c r="B4752">
        <v>0.17157664042366205</v>
      </c>
    </row>
    <row r="4753" spans="1:2" x14ac:dyDescent="0.2">
      <c r="A4753">
        <v>4747</v>
      </c>
      <c r="B4753">
        <v>0.37499768789647181</v>
      </c>
    </row>
    <row r="4754" spans="1:2" x14ac:dyDescent="0.2">
      <c r="A4754">
        <v>4748</v>
      </c>
      <c r="B4754">
        <v>0.70800831494236405</v>
      </c>
    </row>
    <row r="4755" spans="1:2" x14ac:dyDescent="0.2">
      <c r="A4755">
        <v>4749</v>
      </c>
      <c r="B4755">
        <v>6.9496308315508792E-2</v>
      </c>
    </row>
    <row r="4756" spans="1:2" x14ac:dyDescent="0.2">
      <c r="A4756">
        <v>4750</v>
      </c>
      <c r="B4756">
        <v>0.25583873944348123</v>
      </c>
    </row>
    <row r="4757" spans="1:2" x14ac:dyDescent="0.2">
      <c r="A4757">
        <v>4751</v>
      </c>
      <c r="B4757">
        <v>0.5652617728580045</v>
      </c>
    </row>
    <row r="4758" spans="1:2" x14ac:dyDescent="0.2">
      <c r="A4758">
        <v>4752</v>
      </c>
      <c r="B4758">
        <v>0.31976024887143439</v>
      </c>
    </row>
    <row r="4759" spans="1:2" x14ac:dyDescent="0.2">
      <c r="A4759">
        <v>4753</v>
      </c>
      <c r="B4759">
        <v>0.24621847256419183</v>
      </c>
    </row>
    <row r="4760" spans="1:2" x14ac:dyDescent="0.2">
      <c r="A4760">
        <v>4754</v>
      </c>
      <c r="B4760">
        <v>1.0372393488047971E-2</v>
      </c>
    </row>
    <row r="4761" spans="1:2" x14ac:dyDescent="0.2">
      <c r="A4761">
        <v>4755</v>
      </c>
      <c r="B4761">
        <v>0.70166584996987058</v>
      </c>
    </row>
    <row r="4762" spans="1:2" x14ac:dyDescent="0.2">
      <c r="A4762">
        <v>4756</v>
      </c>
      <c r="B4762">
        <v>0.28494706246444557</v>
      </c>
    </row>
    <row r="4763" spans="1:2" x14ac:dyDescent="0.2">
      <c r="A4763">
        <v>4757</v>
      </c>
      <c r="B4763">
        <v>0.41015207018588584</v>
      </c>
    </row>
    <row r="4764" spans="1:2" x14ac:dyDescent="0.2">
      <c r="A4764">
        <v>4758</v>
      </c>
      <c r="B4764">
        <v>0.85679278658720714</v>
      </c>
    </row>
    <row r="4765" spans="1:2" x14ac:dyDescent="0.2">
      <c r="A4765">
        <v>4759</v>
      </c>
      <c r="B4765">
        <v>0.27546056187455337</v>
      </c>
    </row>
    <row r="4766" spans="1:2" x14ac:dyDescent="0.2">
      <c r="A4766">
        <v>4760</v>
      </c>
      <c r="B4766">
        <v>0.13363121029750835</v>
      </c>
    </row>
    <row r="4767" spans="1:2" x14ac:dyDescent="0.2">
      <c r="A4767">
        <v>4761</v>
      </c>
      <c r="B4767">
        <v>0.15314665657333149</v>
      </c>
    </row>
    <row r="4768" spans="1:2" x14ac:dyDescent="0.2">
      <c r="A4768">
        <v>4762</v>
      </c>
      <c r="B4768">
        <v>0.89548991669168099</v>
      </c>
    </row>
    <row r="4769" spans="1:2" x14ac:dyDescent="0.2">
      <c r="A4769">
        <v>4763</v>
      </c>
      <c r="B4769">
        <v>0.75690925698879796</v>
      </c>
    </row>
    <row r="4770" spans="1:2" x14ac:dyDescent="0.2">
      <c r="A4770">
        <v>4764</v>
      </c>
      <c r="B4770">
        <v>0.98050407074087431</v>
      </c>
    </row>
    <row r="4771" spans="1:2" x14ac:dyDescent="0.2">
      <c r="A4771">
        <v>4765</v>
      </c>
      <c r="B4771">
        <v>0.1231852073188654</v>
      </c>
    </row>
    <row r="4772" spans="1:2" x14ac:dyDescent="0.2">
      <c r="A4772">
        <v>4766</v>
      </c>
      <c r="B4772">
        <v>0.7894050510355044</v>
      </c>
    </row>
    <row r="4773" spans="1:2" x14ac:dyDescent="0.2">
      <c r="A4773">
        <v>4767</v>
      </c>
      <c r="B4773">
        <v>0.33026178992128497</v>
      </c>
    </row>
    <row r="4774" spans="1:2" x14ac:dyDescent="0.2">
      <c r="A4774">
        <v>4768</v>
      </c>
      <c r="B4774">
        <v>0.61680412818685271</v>
      </c>
    </row>
    <row r="4775" spans="1:2" x14ac:dyDescent="0.2">
      <c r="A4775">
        <v>4769</v>
      </c>
      <c r="B4775">
        <v>0.15958769104203585</v>
      </c>
    </row>
    <row r="4776" spans="1:2" x14ac:dyDescent="0.2">
      <c r="A4776">
        <v>4770</v>
      </c>
      <c r="B4776">
        <v>0.96915265324356925</v>
      </c>
    </row>
    <row r="4777" spans="1:2" x14ac:dyDescent="0.2">
      <c r="A4777">
        <v>4771</v>
      </c>
      <c r="B4777">
        <v>0.34173903505353365</v>
      </c>
    </row>
    <row r="4778" spans="1:2" x14ac:dyDescent="0.2">
      <c r="A4778">
        <v>4772</v>
      </c>
      <c r="B4778">
        <v>0.77085001222093896</v>
      </c>
    </row>
    <row r="4779" spans="1:2" x14ac:dyDescent="0.2">
      <c r="A4779">
        <v>4773</v>
      </c>
      <c r="B4779">
        <v>0.73986855986696942</v>
      </c>
    </row>
    <row r="4780" spans="1:2" x14ac:dyDescent="0.2">
      <c r="A4780">
        <v>4774</v>
      </c>
      <c r="B4780">
        <v>0.83679887949971488</v>
      </c>
    </row>
    <row r="4781" spans="1:2" x14ac:dyDescent="0.2">
      <c r="A4781">
        <v>4775</v>
      </c>
      <c r="B4781">
        <v>0.83581412982683889</v>
      </c>
    </row>
    <row r="4782" spans="1:2" x14ac:dyDescent="0.2">
      <c r="A4782">
        <v>4776</v>
      </c>
      <c r="B4782">
        <v>0.54946307090767177</v>
      </c>
    </row>
    <row r="4783" spans="1:2" x14ac:dyDescent="0.2">
      <c r="A4783">
        <v>4777</v>
      </c>
      <c r="B4783">
        <v>0.42200154726254369</v>
      </c>
    </row>
    <row r="4784" spans="1:2" x14ac:dyDescent="0.2">
      <c r="A4784">
        <v>4778</v>
      </c>
      <c r="B4784">
        <v>0.3943768657134602</v>
      </c>
    </row>
    <row r="4785" spans="1:2" x14ac:dyDescent="0.2">
      <c r="A4785">
        <v>4779</v>
      </c>
      <c r="B4785">
        <v>0.46069164298893817</v>
      </c>
    </row>
    <row r="4786" spans="1:2" x14ac:dyDescent="0.2">
      <c r="A4786">
        <v>4780</v>
      </c>
      <c r="B4786">
        <v>0.76854174890683191</v>
      </c>
    </row>
    <row r="4787" spans="1:2" x14ac:dyDescent="0.2">
      <c r="A4787">
        <v>4781</v>
      </c>
      <c r="B4787">
        <v>0.73438573095593396</v>
      </c>
    </row>
    <row r="4788" spans="1:2" x14ac:dyDescent="0.2">
      <c r="A4788">
        <v>4782</v>
      </c>
      <c r="B4788">
        <v>0.62616554396032031</v>
      </c>
    </row>
    <row r="4789" spans="1:2" x14ac:dyDescent="0.2">
      <c r="A4789">
        <v>4783</v>
      </c>
      <c r="B4789">
        <v>4.3916996826743881E-3</v>
      </c>
    </row>
    <row r="4790" spans="1:2" x14ac:dyDescent="0.2">
      <c r="A4790">
        <v>4784</v>
      </c>
      <c r="B4790">
        <v>0.15702106377719161</v>
      </c>
    </row>
    <row r="4791" spans="1:2" x14ac:dyDescent="0.2">
      <c r="A4791">
        <v>4785</v>
      </c>
      <c r="B4791">
        <v>0.11220802403610064</v>
      </c>
    </row>
    <row r="4792" spans="1:2" x14ac:dyDescent="0.2">
      <c r="A4792">
        <v>4786</v>
      </c>
      <c r="B4792">
        <v>0.25545437749212596</v>
      </c>
    </row>
    <row r="4793" spans="1:2" x14ac:dyDescent="0.2">
      <c r="A4793">
        <v>4787</v>
      </c>
      <c r="B4793">
        <v>0.32457953573203491</v>
      </c>
    </row>
    <row r="4794" spans="1:2" x14ac:dyDescent="0.2">
      <c r="A4794">
        <v>4788</v>
      </c>
      <c r="B4794">
        <v>0.21245175010491346</v>
      </c>
    </row>
    <row r="4795" spans="1:2" x14ac:dyDescent="0.2">
      <c r="A4795">
        <v>4789</v>
      </c>
      <c r="B4795">
        <v>0.9715765973270496</v>
      </c>
    </row>
    <row r="4796" spans="1:2" x14ac:dyDescent="0.2">
      <c r="A4796">
        <v>4790</v>
      </c>
      <c r="B4796">
        <v>0.50227465442848662</v>
      </c>
    </row>
    <row r="4797" spans="1:2" x14ac:dyDescent="0.2">
      <c r="A4797">
        <v>4791</v>
      </c>
      <c r="B4797">
        <v>0.10935390024783997</v>
      </c>
    </row>
    <row r="4798" spans="1:2" x14ac:dyDescent="0.2">
      <c r="A4798">
        <v>4792</v>
      </c>
      <c r="B4798">
        <v>0.54881273695481891</v>
      </c>
    </row>
    <row r="4799" spans="1:2" x14ac:dyDescent="0.2">
      <c r="A4799">
        <v>4793</v>
      </c>
      <c r="B4799">
        <v>0.30013599370384803</v>
      </c>
    </row>
    <row r="4800" spans="1:2" x14ac:dyDescent="0.2">
      <c r="A4800">
        <v>4794</v>
      </c>
      <c r="B4800">
        <v>0.22730234933548221</v>
      </c>
    </row>
    <row r="4801" spans="1:2" x14ac:dyDescent="0.2">
      <c r="A4801">
        <v>4795</v>
      </c>
      <c r="B4801">
        <v>0.48954493014682665</v>
      </c>
    </row>
    <row r="4802" spans="1:2" x14ac:dyDescent="0.2">
      <c r="A4802">
        <v>4796</v>
      </c>
      <c r="B4802">
        <v>0.23349020668780041</v>
      </c>
    </row>
    <row r="4803" spans="1:2" x14ac:dyDescent="0.2">
      <c r="A4803">
        <v>4797</v>
      </c>
      <c r="B4803">
        <v>1.2983328141960793E-2</v>
      </c>
    </row>
    <row r="4804" spans="1:2" x14ac:dyDescent="0.2">
      <c r="A4804">
        <v>4798</v>
      </c>
      <c r="B4804">
        <v>0.85453613719690658</v>
      </c>
    </row>
    <row r="4805" spans="1:2" x14ac:dyDescent="0.2">
      <c r="A4805">
        <v>4799</v>
      </c>
      <c r="B4805">
        <v>0.44923718804514567</v>
      </c>
    </row>
    <row r="4806" spans="1:2" x14ac:dyDescent="0.2">
      <c r="A4806">
        <v>4800</v>
      </c>
      <c r="B4806">
        <v>0.68156444771180247</v>
      </c>
    </row>
    <row r="4807" spans="1:2" x14ac:dyDescent="0.2">
      <c r="A4807">
        <v>4801</v>
      </c>
      <c r="B4807">
        <v>0.18772439784278261</v>
      </c>
    </row>
    <row r="4808" spans="1:2" x14ac:dyDescent="0.2">
      <c r="A4808">
        <v>4802</v>
      </c>
      <c r="B4808">
        <v>0.13102768835681078</v>
      </c>
    </row>
    <row r="4809" spans="1:2" x14ac:dyDescent="0.2">
      <c r="A4809">
        <v>4803</v>
      </c>
      <c r="B4809">
        <v>4.1482510921418192E-2</v>
      </c>
    </row>
    <row r="4810" spans="1:2" x14ac:dyDescent="0.2">
      <c r="A4810">
        <v>4804</v>
      </c>
      <c r="B4810">
        <v>0.6253899691847089</v>
      </c>
    </row>
    <row r="4811" spans="1:2" x14ac:dyDescent="0.2">
      <c r="A4811">
        <v>4805</v>
      </c>
      <c r="B4811">
        <v>0.72115580843353289</v>
      </c>
    </row>
    <row r="4812" spans="1:2" x14ac:dyDescent="0.2">
      <c r="A4812">
        <v>4806</v>
      </c>
      <c r="B4812">
        <v>0.23657329681812655</v>
      </c>
    </row>
    <row r="4813" spans="1:2" x14ac:dyDescent="0.2">
      <c r="A4813">
        <v>4807</v>
      </c>
      <c r="B4813">
        <v>0.25824429169530738</v>
      </c>
    </row>
    <row r="4814" spans="1:2" x14ac:dyDescent="0.2">
      <c r="A4814">
        <v>4808</v>
      </c>
      <c r="B4814">
        <v>0.73311075693113237</v>
      </c>
    </row>
    <row r="4815" spans="1:2" x14ac:dyDescent="0.2">
      <c r="A4815">
        <v>4809</v>
      </c>
      <c r="B4815">
        <v>0.57917658825481177</v>
      </c>
    </row>
    <row r="4816" spans="1:2" x14ac:dyDescent="0.2">
      <c r="A4816">
        <v>4810</v>
      </c>
      <c r="B4816">
        <v>0.45966991057172857</v>
      </c>
    </row>
    <row r="4817" spans="1:2" x14ac:dyDescent="0.2">
      <c r="A4817">
        <v>4811</v>
      </c>
      <c r="B4817">
        <v>0.90658473542342932</v>
      </c>
    </row>
    <row r="4818" spans="1:2" x14ac:dyDescent="0.2">
      <c r="A4818">
        <v>4812</v>
      </c>
      <c r="B4818">
        <v>0.38758751384753665</v>
      </c>
    </row>
    <row r="4819" spans="1:2" x14ac:dyDescent="0.2">
      <c r="A4819">
        <v>4813</v>
      </c>
      <c r="B4819">
        <v>0.62814863606479154</v>
      </c>
    </row>
    <row r="4820" spans="1:2" x14ac:dyDescent="0.2">
      <c r="A4820">
        <v>4814</v>
      </c>
      <c r="B4820">
        <v>0.49479072227661702</v>
      </c>
    </row>
    <row r="4821" spans="1:2" x14ac:dyDescent="0.2">
      <c r="A4821">
        <v>4815</v>
      </c>
      <c r="B4821">
        <v>0.74348355585019688</v>
      </c>
    </row>
    <row r="4822" spans="1:2" x14ac:dyDescent="0.2">
      <c r="A4822">
        <v>4816</v>
      </c>
      <c r="B4822">
        <v>3.2018038626086875E-2</v>
      </c>
    </row>
    <row r="4823" spans="1:2" x14ac:dyDescent="0.2">
      <c r="A4823">
        <v>4817</v>
      </c>
      <c r="B4823">
        <v>0.76283793357328511</v>
      </c>
    </row>
    <row r="4824" spans="1:2" x14ac:dyDescent="0.2">
      <c r="A4824">
        <v>4818</v>
      </c>
      <c r="B4824">
        <v>0.85575112169527079</v>
      </c>
    </row>
    <row r="4825" spans="1:2" x14ac:dyDescent="0.2">
      <c r="A4825">
        <v>4819</v>
      </c>
      <c r="B4825">
        <v>0.32456249720927111</v>
      </c>
    </row>
    <row r="4826" spans="1:2" x14ac:dyDescent="0.2">
      <c r="A4826">
        <v>4820</v>
      </c>
      <c r="B4826">
        <v>0.94461061402639634</v>
      </c>
    </row>
    <row r="4827" spans="1:2" x14ac:dyDescent="0.2">
      <c r="A4827">
        <v>4821</v>
      </c>
      <c r="B4827">
        <v>0.10526203341676821</v>
      </c>
    </row>
    <row r="4828" spans="1:2" x14ac:dyDescent="0.2">
      <c r="A4828">
        <v>4822</v>
      </c>
      <c r="B4828">
        <v>0.73849004167119014</v>
      </c>
    </row>
    <row r="4829" spans="1:2" x14ac:dyDescent="0.2">
      <c r="A4829">
        <v>4823</v>
      </c>
      <c r="B4829">
        <v>0.8502919965236484</v>
      </c>
    </row>
    <row r="4830" spans="1:2" x14ac:dyDescent="0.2">
      <c r="A4830">
        <v>4824</v>
      </c>
      <c r="B4830">
        <v>0.78841392126206444</v>
      </c>
    </row>
    <row r="4831" spans="1:2" x14ac:dyDescent="0.2">
      <c r="A4831">
        <v>4825</v>
      </c>
      <c r="B4831">
        <v>0.95280433005284138</v>
      </c>
    </row>
    <row r="4832" spans="1:2" x14ac:dyDescent="0.2">
      <c r="A4832">
        <v>4826</v>
      </c>
      <c r="B4832">
        <v>0.79230053681412349</v>
      </c>
    </row>
    <row r="4833" spans="1:2" x14ac:dyDescent="0.2">
      <c r="A4833">
        <v>4827</v>
      </c>
      <c r="B4833">
        <v>0.726110156551381</v>
      </c>
    </row>
    <row r="4834" spans="1:2" x14ac:dyDescent="0.2">
      <c r="A4834">
        <v>4828</v>
      </c>
      <c r="B4834">
        <v>0.1545321012076204</v>
      </c>
    </row>
    <row r="4835" spans="1:2" x14ac:dyDescent="0.2">
      <c r="A4835">
        <v>4829</v>
      </c>
      <c r="B4835">
        <v>0.45636333020113495</v>
      </c>
    </row>
    <row r="4836" spans="1:2" x14ac:dyDescent="0.2">
      <c r="A4836">
        <v>4830</v>
      </c>
      <c r="B4836">
        <v>0.90058617764235516</v>
      </c>
    </row>
    <row r="4837" spans="1:2" x14ac:dyDescent="0.2">
      <c r="A4837">
        <v>4831</v>
      </c>
      <c r="B4837">
        <v>0.61748607981528747</v>
      </c>
    </row>
    <row r="4838" spans="1:2" x14ac:dyDescent="0.2">
      <c r="A4838">
        <v>4832</v>
      </c>
      <c r="B4838">
        <v>0.78723860219670561</v>
      </c>
    </row>
    <row r="4839" spans="1:2" x14ac:dyDescent="0.2">
      <c r="A4839">
        <v>4833</v>
      </c>
      <c r="B4839">
        <v>0.22277540398282325</v>
      </c>
    </row>
    <row r="4840" spans="1:2" x14ac:dyDescent="0.2">
      <c r="A4840">
        <v>4834</v>
      </c>
      <c r="B4840">
        <v>0.98728447923483809</v>
      </c>
    </row>
    <row r="4841" spans="1:2" x14ac:dyDescent="0.2">
      <c r="A4841">
        <v>4835</v>
      </c>
      <c r="B4841">
        <v>8.281644314456138E-2</v>
      </c>
    </row>
    <row r="4842" spans="1:2" x14ac:dyDescent="0.2">
      <c r="A4842">
        <v>4836</v>
      </c>
      <c r="B4842">
        <v>0.93949320380633394</v>
      </c>
    </row>
    <row r="4843" spans="1:2" x14ac:dyDescent="0.2">
      <c r="A4843">
        <v>4837</v>
      </c>
      <c r="B4843">
        <v>0.51967660629236956</v>
      </c>
    </row>
    <row r="4844" spans="1:2" x14ac:dyDescent="0.2">
      <c r="A4844">
        <v>4838</v>
      </c>
      <c r="B4844">
        <v>0.30884374011681659</v>
      </c>
    </row>
    <row r="4845" spans="1:2" x14ac:dyDescent="0.2">
      <c r="A4845">
        <v>4839</v>
      </c>
      <c r="B4845">
        <v>0.84479160047545721</v>
      </c>
    </row>
    <row r="4846" spans="1:2" x14ac:dyDescent="0.2">
      <c r="A4846">
        <v>4840</v>
      </c>
      <c r="B4846">
        <v>0.98596814719319492</v>
      </c>
    </row>
    <row r="4847" spans="1:2" x14ac:dyDescent="0.2">
      <c r="A4847">
        <v>4841</v>
      </c>
      <c r="B4847">
        <v>3.1032099783919076E-2</v>
      </c>
    </row>
    <row r="4848" spans="1:2" x14ac:dyDescent="0.2">
      <c r="A4848">
        <v>4842</v>
      </c>
      <c r="B4848">
        <v>0.30037203545114777</v>
      </c>
    </row>
    <row r="4849" spans="1:2" x14ac:dyDescent="0.2">
      <c r="A4849">
        <v>4843</v>
      </c>
      <c r="B4849">
        <v>0.7117502293408513</v>
      </c>
    </row>
    <row r="4850" spans="1:2" x14ac:dyDescent="0.2">
      <c r="A4850">
        <v>4844</v>
      </c>
      <c r="B4850">
        <v>0.54696526814519464</v>
      </c>
    </row>
    <row r="4851" spans="1:2" x14ac:dyDescent="0.2">
      <c r="A4851">
        <v>4845</v>
      </c>
      <c r="B4851">
        <v>0.32621704816520103</v>
      </c>
    </row>
    <row r="4852" spans="1:2" x14ac:dyDescent="0.2">
      <c r="A4852">
        <v>4846</v>
      </c>
      <c r="B4852">
        <v>0.31983427554047883</v>
      </c>
    </row>
    <row r="4853" spans="1:2" x14ac:dyDescent="0.2">
      <c r="A4853">
        <v>4847</v>
      </c>
      <c r="B4853">
        <v>0.69191660050872406</v>
      </c>
    </row>
    <row r="4854" spans="1:2" x14ac:dyDescent="0.2">
      <c r="A4854">
        <v>4848</v>
      </c>
      <c r="B4854">
        <v>0.54427381203617264</v>
      </c>
    </row>
    <row r="4855" spans="1:2" x14ac:dyDescent="0.2">
      <c r="A4855">
        <v>4849</v>
      </c>
      <c r="B4855">
        <v>0.15995859650746114</v>
      </c>
    </row>
    <row r="4856" spans="1:2" x14ac:dyDescent="0.2">
      <c r="A4856">
        <v>4850</v>
      </c>
      <c r="B4856">
        <v>0.57077873449619287</v>
      </c>
    </row>
    <row r="4857" spans="1:2" x14ac:dyDescent="0.2">
      <c r="A4857">
        <v>4851</v>
      </c>
      <c r="B4857">
        <v>0.47638036105022774</v>
      </c>
    </row>
    <row r="4858" spans="1:2" x14ac:dyDescent="0.2">
      <c r="A4858">
        <v>4852</v>
      </c>
      <c r="B4858">
        <v>0.51686672657872124</v>
      </c>
    </row>
    <row r="4859" spans="1:2" x14ac:dyDescent="0.2">
      <c r="A4859">
        <v>4853</v>
      </c>
      <c r="B4859">
        <v>0.7477824294007086</v>
      </c>
    </row>
    <row r="4860" spans="1:2" x14ac:dyDescent="0.2">
      <c r="A4860">
        <v>4854</v>
      </c>
      <c r="B4860">
        <v>0.5823086450844247</v>
      </c>
    </row>
    <row r="4861" spans="1:2" x14ac:dyDescent="0.2">
      <c r="A4861">
        <v>4855</v>
      </c>
      <c r="B4861">
        <v>0.3499940374731858</v>
      </c>
    </row>
    <row r="4862" spans="1:2" x14ac:dyDescent="0.2">
      <c r="A4862">
        <v>4856</v>
      </c>
      <c r="B4862">
        <v>0.21586619501348936</v>
      </c>
    </row>
    <row r="4863" spans="1:2" x14ac:dyDescent="0.2">
      <c r="A4863">
        <v>4857</v>
      </c>
      <c r="B4863">
        <v>0.26811524993954716</v>
      </c>
    </row>
    <row r="4864" spans="1:2" x14ac:dyDescent="0.2">
      <c r="A4864">
        <v>4858</v>
      </c>
      <c r="B4864">
        <v>0.74758105250670637</v>
      </c>
    </row>
    <row r="4865" spans="1:2" x14ac:dyDescent="0.2">
      <c r="A4865">
        <v>4859</v>
      </c>
      <c r="B4865">
        <v>0.70466566508719686</v>
      </c>
    </row>
    <row r="4866" spans="1:2" x14ac:dyDescent="0.2">
      <c r="A4866">
        <v>4860</v>
      </c>
      <c r="B4866">
        <v>0.79323025845374073</v>
      </c>
    </row>
    <row r="4867" spans="1:2" x14ac:dyDescent="0.2">
      <c r="A4867">
        <v>4861</v>
      </c>
      <c r="B4867">
        <v>0.69882776682834014</v>
      </c>
    </row>
    <row r="4868" spans="1:2" x14ac:dyDescent="0.2">
      <c r="A4868">
        <v>4862</v>
      </c>
      <c r="B4868">
        <v>0.88783155483685627</v>
      </c>
    </row>
    <row r="4869" spans="1:2" x14ac:dyDescent="0.2">
      <c r="A4869">
        <v>4863</v>
      </c>
      <c r="B4869">
        <v>0.58446515243221908</v>
      </c>
    </row>
    <row r="4870" spans="1:2" x14ac:dyDescent="0.2">
      <c r="A4870">
        <v>4864</v>
      </c>
      <c r="B4870">
        <v>0.65371835973088621</v>
      </c>
    </row>
    <row r="4871" spans="1:2" x14ac:dyDescent="0.2">
      <c r="A4871">
        <v>4865</v>
      </c>
      <c r="B4871">
        <v>0.76091975162114989</v>
      </c>
    </row>
    <row r="4872" spans="1:2" x14ac:dyDescent="0.2">
      <c r="A4872">
        <v>4866</v>
      </c>
      <c r="B4872">
        <v>0.10619492002481301</v>
      </c>
    </row>
    <row r="4873" spans="1:2" x14ac:dyDescent="0.2">
      <c r="A4873">
        <v>4867</v>
      </c>
      <c r="B4873">
        <v>8.8058822798043779E-2</v>
      </c>
    </row>
    <row r="4874" spans="1:2" x14ac:dyDescent="0.2">
      <c r="A4874">
        <v>4868</v>
      </c>
      <c r="B4874">
        <v>0.36733857703555373</v>
      </c>
    </row>
    <row r="4875" spans="1:2" x14ac:dyDescent="0.2">
      <c r="A4875">
        <v>4869</v>
      </c>
      <c r="B4875">
        <v>1.9306394621976031E-2</v>
      </c>
    </row>
    <row r="4876" spans="1:2" x14ac:dyDescent="0.2">
      <c r="A4876">
        <v>4870</v>
      </c>
      <c r="B4876">
        <v>0.89153797464056372</v>
      </c>
    </row>
    <row r="4877" spans="1:2" x14ac:dyDescent="0.2">
      <c r="A4877">
        <v>4871</v>
      </c>
      <c r="B4877">
        <v>0.77014522894202819</v>
      </c>
    </row>
    <row r="4878" spans="1:2" x14ac:dyDescent="0.2">
      <c r="A4878">
        <v>4872</v>
      </c>
      <c r="B4878">
        <v>9.6359896214598617E-2</v>
      </c>
    </row>
    <row r="4879" spans="1:2" x14ac:dyDescent="0.2">
      <c r="A4879">
        <v>4873</v>
      </c>
      <c r="B4879">
        <v>0.75896758357444627</v>
      </c>
    </row>
    <row r="4880" spans="1:2" x14ac:dyDescent="0.2">
      <c r="A4880">
        <v>4874</v>
      </c>
      <c r="B4880">
        <v>5.7088653902391262E-2</v>
      </c>
    </row>
    <row r="4881" spans="1:2" x14ac:dyDescent="0.2">
      <c r="A4881">
        <v>4875</v>
      </c>
      <c r="B4881">
        <v>0.32612451082721372</v>
      </c>
    </row>
    <row r="4882" spans="1:2" x14ac:dyDescent="0.2">
      <c r="A4882">
        <v>4876</v>
      </c>
      <c r="B4882">
        <v>0.45066264516829313</v>
      </c>
    </row>
    <row r="4883" spans="1:2" x14ac:dyDescent="0.2">
      <c r="A4883">
        <v>4877</v>
      </c>
      <c r="B4883">
        <v>0.57329732045849213</v>
      </c>
    </row>
    <row r="4884" spans="1:2" x14ac:dyDescent="0.2">
      <c r="A4884">
        <v>4878</v>
      </c>
      <c r="B4884">
        <v>0.76465851610559876</v>
      </c>
    </row>
    <row r="4885" spans="1:2" x14ac:dyDescent="0.2">
      <c r="A4885">
        <v>4879</v>
      </c>
      <c r="B4885">
        <v>0.66679365397802226</v>
      </c>
    </row>
    <row r="4886" spans="1:2" x14ac:dyDescent="0.2">
      <c r="A4886">
        <v>4880</v>
      </c>
      <c r="B4886">
        <v>0.29923385877593933</v>
      </c>
    </row>
    <row r="4887" spans="1:2" x14ac:dyDescent="0.2">
      <c r="A4887">
        <v>4881</v>
      </c>
      <c r="B4887">
        <v>0.31861151435979973</v>
      </c>
    </row>
    <row r="4888" spans="1:2" x14ac:dyDescent="0.2">
      <c r="A4888">
        <v>4882</v>
      </c>
      <c r="B4888">
        <v>0.90298646957232287</v>
      </c>
    </row>
    <row r="4889" spans="1:2" x14ac:dyDescent="0.2">
      <c r="A4889">
        <v>4883</v>
      </c>
      <c r="B4889">
        <v>0.42397760042484633</v>
      </c>
    </row>
    <row r="4890" spans="1:2" x14ac:dyDescent="0.2">
      <c r="A4890">
        <v>4884</v>
      </c>
      <c r="B4890">
        <v>0.38896705494595718</v>
      </c>
    </row>
    <row r="4891" spans="1:2" x14ac:dyDescent="0.2">
      <c r="A4891">
        <v>4885</v>
      </c>
      <c r="B4891">
        <v>0.8604916387937509</v>
      </c>
    </row>
    <row r="4892" spans="1:2" x14ac:dyDescent="0.2">
      <c r="A4892">
        <v>4886</v>
      </c>
      <c r="B4892">
        <v>0.35963380725653393</v>
      </c>
    </row>
    <row r="4893" spans="1:2" x14ac:dyDescent="0.2">
      <c r="A4893">
        <v>4887</v>
      </c>
      <c r="B4893">
        <v>0.52042377394482198</v>
      </c>
    </row>
    <row r="4894" spans="1:2" x14ac:dyDescent="0.2">
      <c r="A4894">
        <v>4888</v>
      </c>
      <c r="B4894">
        <v>0.31701721259083016</v>
      </c>
    </row>
    <row r="4895" spans="1:2" x14ac:dyDescent="0.2">
      <c r="A4895">
        <v>4889</v>
      </c>
      <c r="B4895">
        <v>0.31853660503945047</v>
      </c>
    </row>
    <row r="4896" spans="1:2" x14ac:dyDescent="0.2">
      <c r="A4896">
        <v>4890</v>
      </c>
      <c r="B4896">
        <v>0.88806173527999732</v>
      </c>
    </row>
    <row r="4897" spans="1:2" x14ac:dyDescent="0.2">
      <c r="A4897">
        <v>4891</v>
      </c>
      <c r="B4897">
        <v>0.71434470567579622</v>
      </c>
    </row>
    <row r="4898" spans="1:2" x14ac:dyDescent="0.2">
      <c r="A4898">
        <v>4892</v>
      </c>
      <c r="B4898">
        <v>7.2190403110756529E-2</v>
      </c>
    </row>
    <row r="4899" spans="1:2" x14ac:dyDescent="0.2">
      <c r="A4899">
        <v>4893</v>
      </c>
      <c r="B4899">
        <v>0.4921674876166855</v>
      </c>
    </row>
    <row r="4900" spans="1:2" x14ac:dyDescent="0.2">
      <c r="A4900">
        <v>4894</v>
      </c>
      <c r="B4900">
        <v>0.48527583601126656</v>
      </c>
    </row>
    <row r="4901" spans="1:2" x14ac:dyDescent="0.2">
      <c r="A4901">
        <v>4895</v>
      </c>
      <c r="B4901">
        <v>9.1251154688320235E-2</v>
      </c>
    </row>
    <row r="4902" spans="1:2" x14ac:dyDescent="0.2">
      <c r="A4902">
        <v>4896</v>
      </c>
      <c r="B4902">
        <v>0.75651754575468122</v>
      </c>
    </row>
    <row r="4903" spans="1:2" x14ac:dyDescent="0.2">
      <c r="A4903">
        <v>4897</v>
      </c>
      <c r="B4903">
        <v>0.96128966828633922</v>
      </c>
    </row>
    <row r="4904" spans="1:2" x14ac:dyDescent="0.2">
      <c r="A4904">
        <v>4898</v>
      </c>
      <c r="B4904">
        <v>0.77641194700243465</v>
      </c>
    </row>
    <row r="4905" spans="1:2" x14ac:dyDescent="0.2">
      <c r="A4905">
        <v>4899</v>
      </c>
      <c r="B4905">
        <v>6.4587814551235079E-2</v>
      </c>
    </row>
    <row r="4906" spans="1:2" x14ac:dyDescent="0.2">
      <c r="A4906">
        <v>4900</v>
      </c>
      <c r="B4906">
        <v>0.59216423384879346</v>
      </c>
    </row>
    <row r="4907" spans="1:2" x14ac:dyDescent="0.2">
      <c r="A4907">
        <v>4901</v>
      </c>
      <c r="B4907">
        <v>0.15582151406612865</v>
      </c>
    </row>
    <row r="4908" spans="1:2" x14ac:dyDescent="0.2">
      <c r="A4908">
        <v>4902</v>
      </c>
      <c r="B4908">
        <v>0.7962017265145318</v>
      </c>
    </row>
    <row r="4909" spans="1:2" x14ac:dyDescent="0.2">
      <c r="A4909">
        <v>4903</v>
      </c>
      <c r="B4909">
        <v>0.6019425876033303</v>
      </c>
    </row>
    <row r="4910" spans="1:2" x14ac:dyDescent="0.2">
      <c r="A4910">
        <v>4904</v>
      </c>
      <c r="B4910">
        <v>0.33977461562587163</v>
      </c>
    </row>
    <row r="4911" spans="1:2" x14ac:dyDescent="0.2">
      <c r="A4911">
        <v>4905</v>
      </c>
      <c r="B4911">
        <v>0.94743480235146749</v>
      </c>
    </row>
    <row r="4912" spans="1:2" x14ac:dyDescent="0.2">
      <c r="A4912">
        <v>4906</v>
      </c>
      <c r="B4912">
        <v>0.1239089740350634</v>
      </c>
    </row>
    <row r="4913" spans="1:2" x14ac:dyDescent="0.2">
      <c r="A4913">
        <v>4907</v>
      </c>
      <c r="B4913">
        <v>0.92153371986511556</v>
      </c>
    </row>
    <row r="4914" spans="1:2" x14ac:dyDescent="0.2">
      <c r="A4914">
        <v>4908</v>
      </c>
      <c r="B4914">
        <v>0.51065547475340733</v>
      </c>
    </row>
    <row r="4915" spans="1:2" x14ac:dyDescent="0.2">
      <c r="A4915">
        <v>4909</v>
      </c>
      <c r="B4915">
        <v>0.72240750918593422</v>
      </c>
    </row>
    <row r="4916" spans="1:2" x14ac:dyDescent="0.2">
      <c r="A4916">
        <v>4910</v>
      </c>
      <c r="B4916">
        <v>0.14767145242774871</v>
      </c>
    </row>
    <row r="4917" spans="1:2" x14ac:dyDescent="0.2">
      <c r="A4917">
        <v>4911</v>
      </c>
      <c r="B4917">
        <v>0.89081273782839387</v>
      </c>
    </row>
    <row r="4918" spans="1:2" x14ac:dyDescent="0.2">
      <c r="A4918">
        <v>4912</v>
      </c>
      <c r="B4918">
        <v>0.6408866555443038</v>
      </c>
    </row>
    <row r="4919" spans="1:2" x14ac:dyDescent="0.2">
      <c r="A4919">
        <v>4913</v>
      </c>
      <c r="B4919">
        <v>0.56293786177436933</v>
      </c>
    </row>
    <row r="4920" spans="1:2" x14ac:dyDescent="0.2">
      <c r="A4920">
        <v>4914</v>
      </c>
      <c r="B4920">
        <v>0.49346670711993978</v>
      </c>
    </row>
    <row r="4921" spans="1:2" x14ac:dyDescent="0.2">
      <c r="A4921">
        <v>4915</v>
      </c>
      <c r="B4921">
        <v>0.90068520798471985</v>
      </c>
    </row>
    <row r="4922" spans="1:2" x14ac:dyDescent="0.2">
      <c r="A4922">
        <v>4916</v>
      </c>
      <c r="B4922">
        <v>0.45927283842493327</v>
      </c>
    </row>
    <row r="4923" spans="1:2" x14ac:dyDescent="0.2">
      <c r="A4923">
        <v>4917</v>
      </c>
      <c r="B4923">
        <v>4.5473311939383976E-2</v>
      </c>
    </row>
    <row r="4924" spans="1:2" x14ac:dyDescent="0.2">
      <c r="A4924">
        <v>4918</v>
      </c>
      <c r="B4924">
        <v>0.6697915993401744</v>
      </c>
    </row>
    <row r="4925" spans="1:2" x14ac:dyDescent="0.2">
      <c r="A4925">
        <v>4919</v>
      </c>
      <c r="B4925">
        <v>0.89686598561658626</v>
      </c>
    </row>
    <row r="4926" spans="1:2" x14ac:dyDescent="0.2">
      <c r="A4926">
        <v>4920</v>
      </c>
      <c r="B4926">
        <v>0.47256636195311408</v>
      </c>
    </row>
    <row r="4927" spans="1:2" x14ac:dyDescent="0.2">
      <c r="A4927">
        <v>4921</v>
      </c>
      <c r="B4927">
        <v>0.79270927498651222</v>
      </c>
    </row>
    <row r="4928" spans="1:2" x14ac:dyDescent="0.2">
      <c r="A4928">
        <v>4922</v>
      </c>
      <c r="B4928">
        <v>0.79433039295551799</v>
      </c>
    </row>
    <row r="4929" spans="1:2" x14ac:dyDescent="0.2">
      <c r="A4929">
        <v>4923</v>
      </c>
      <c r="B4929">
        <v>0.9192467180882109</v>
      </c>
    </row>
    <row r="4930" spans="1:2" x14ac:dyDescent="0.2">
      <c r="A4930">
        <v>4924</v>
      </c>
      <c r="B4930">
        <v>8.1341497460325596E-2</v>
      </c>
    </row>
    <row r="4931" spans="1:2" x14ac:dyDescent="0.2">
      <c r="A4931">
        <v>4925</v>
      </c>
      <c r="B4931">
        <v>0.30667219898135745</v>
      </c>
    </row>
    <row r="4932" spans="1:2" x14ac:dyDescent="0.2">
      <c r="A4932">
        <v>4926</v>
      </c>
      <c r="B4932">
        <v>5.2142651428766285E-2</v>
      </c>
    </row>
    <row r="4933" spans="1:2" x14ac:dyDescent="0.2">
      <c r="A4933">
        <v>4927</v>
      </c>
      <c r="B4933">
        <v>8.6163417748735371E-2</v>
      </c>
    </row>
    <row r="4934" spans="1:2" x14ac:dyDescent="0.2">
      <c r="A4934">
        <v>4928</v>
      </c>
      <c r="B4934">
        <v>0.15711951272446434</v>
      </c>
    </row>
    <row r="4935" spans="1:2" x14ac:dyDescent="0.2">
      <c r="A4935">
        <v>4929</v>
      </c>
      <c r="B4935">
        <v>0.76713174799622297</v>
      </c>
    </row>
    <row r="4936" spans="1:2" x14ac:dyDescent="0.2">
      <c r="A4936">
        <v>4930</v>
      </c>
      <c r="B4936">
        <v>0.69363118776924904</v>
      </c>
    </row>
    <row r="4937" spans="1:2" x14ac:dyDescent="0.2">
      <c r="A4937">
        <v>4931</v>
      </c>
      <c r="B4937">
        <v>0.57282196866895085</v>
      </c>
    </row>
    <row r="4938" spans="1:2" x14ac:dyDescent="0.2">
      <c r="A4938">
        <v>4932</v>
      </c>
      <c r="B4938">
        <v>0.25509184731725909</v>
      </c>
    </row>
    <row r="4939" spans="1:2" x14ac:dyDescent="0.2">
      <c r="A4939">
        <v>4933</v>
      </c>
      <c r="B4939">
        <v>0.7316130683432599</v>
      </c>
    </row>
    <row r="4940" spans="1:2" x14ac:dyDescent="0.2">
      <c r="A4940">
        <v>4934</v>
      </c>
      <c r="B4940">
        <v>0.84144160030472281</v>
      </c>
    </row>
    <row r="4941" spans="1:2" x14ac:dyDescent="0.2">
      <c r="A4941">
        <v>4935</v>
      </c>
      <c r="B4941">
        <v>0.61489297138737353</v>
      </c>
    </row>
    <row r="4942" spans="1:2" x14ac:dyDescent="0.2">
      <c r="A4942">
        <v>4936</v>
      </c>
      <c r="B4942">
        <v>0.15085484058543941</v>
      </c>
    </row>
    <row r="4943" spans="1:2" x14ac:dyDescent="0.2">
      <c r="A4943">
        <v>4937</v>
      </c>
      <c r="B4943">
        <v>0.68753160812055414</v>
      </c>
    </row>
    <row r="4944" spans="1:2" x14ac:dyDescent="0.2">
      <c r="A4944">
        <v>4938</v>
      </c>
      <c r="B4944">
        <v>0.14728553889456653</v>
      </c>
    </row>
    <row r="4945" spans="1:2" x14ac:dyDescent="0.2">
      <c r="A4945">
        <v>4939</v>
      </c>
      <c r="B4945">
        <v>0.12042365157911716</v>
      </c>
    </row>
    <row r="4946" spans="1:2" x14ac:dyDescent="0.2">
      <c r="A4946">
        <v>4940</v>
      </c>
      <c r="B4946">
        <v>0.93001199527361345</v>
      </c>
    </row>
    <row r="4947" spans="1:2" x14ac:dyDescent="0.2">
      <c r="A4947">
        <v>4941</v>
      </c>
      <c r="B4947">
        <v>0.80290700136331938</v>
      </c>
    </row>
    <row r="4948" spans="1:2" x14ac:dyDescent="0.2">
      <c r="A4948">
        <v>4942</v>
      </c>
      <c r="B4948">
        <v>0.34455910158438985</v>
      </c>
    </row>
    <row r="4949" spans="1:2" x14ac:dyDescent="0.2">
      <c r="A4949">
        <v>4943</v>
      </c>
      <c r="B4949">
        <v>0.7493111728464229</v>
      </c>
    </row>
    <row r="4950" spans="1:2" x14ac:dyDescent="0.2">
      <c r="A4950">
        <v>4944</v>
      </c>
      <c r="B4950">
        <v>0.93048152602779477</v>
      </c>
    </row>
    <row r="4951" spans="1:2" x14ac:dyDescent="0.2">
      <c r="A4951">
        <v>4945</v>
      </c>
      <c r="B4951">
        <v>0.31246386675090176</v>
      </c>
    </row>
    <row r="4952" spans="1:2" x14ac:dyDescent="0.2">
      <c r="A4952">
        <v>4946</v>
      </c>
      <c r="B4952">
        <v>0.19986136728052639</v>
      </c>
    </row>
    <row r="4953" spans="1:2" x14ac:dyDescent="0.2">
      <c r="A4953">
        <v>4947</v>
      </c>
      <c r="B4953">
        <v>3.4972101887632778E-2</v>
      </c>
    </row>
    <row r="4954" spans="1:2" x14ac:dyDescent="0.2">
      <c r="A4954">
        <v>4948</v>
      </c>
      <c r="B4954">
        <v>0.16909669120346182</v>
      </c>
    </row>
    <row r="4955" spans="1:2" x14ac:dyDescent="0.2">
      <c r="A4955">
        <v>4949</v>
      </c>
      <c r="B4955">
        <v>0.40071168879638852</v>
      </c>
    </row>
    <row r="4956" spans="1:2" x14ac:dyDescent="0.2">
      <c r="A4956">
        <v>4950</v>
      </c>
      <c r="B4956">
        <v>0.8289554429043271</v>
      </c>
    </row>
    <row r="4957" spans="1:2" x14ac:dyDescent="0.2">
      <c r="A4957">
        <v>4951</v>
      </c>
      <c r="B4957">
        <v>0.68081754395231309</v>
      </c>
    </row>
    <row r="4958" spans="1:2" x14ac:dyDescent="0.2">
      <c r="A4958">
        <v>4952</v>
      </c>
      <c r="B4958">
        <v>0.32047225708772742</v>
      </c>
    </row>
    <row r="4959" spans="1:2" x14ac:dyDescent="0.2">
      <c r="A4959">
        <v>4953</v>
      </c>
      <c r="B4959">
        <v>0.64852663803399468</v>
      </c>
    </row>
    <row r="4960" spans="1:2" x14ac:dyDescent="0.2">
      <c r="A4960">
        <v>4954</v>
      </c>
      <c r="B4960">
        <v>0.46037775847415574</v>
      </c>
    </row>
    <row r="4961" spans="1:2" x14ac:dyDescent="0.2">
      <c r="A4961">
        <v>4955</v>
      </c>
      <c r="B4961">
        <v>0.33287164547957016</v>
      </c>
    </row>
    <row r="4962" spans="1:2" x14ac:dyDescent="0.2">
      <c r="A4962">
        <v>4956</v>
      </c>
      <c r="B4962">
        <v>0.93589192455711234</v>
      </c>
    </row>
    <row r="4963" spans="1:2" x14ac:dyDescent="0.2">
      <c r="A4963">
        <v>4957</v>
      </c>
      <c r="B4963">
        <v>0.51216656591350695</v>
      </c>
    </row>
    <row r="4964" spans="1:2" x14ac:dyDescent="0.2">
      <c r="A4964">
        <v>4958</v>
      </c>
      <c r="B4964">
        <v>0.68388447974326561</v>
      </c>
    </row>
    <row r="4965" spans="1:2" x14ac:dyDescent="0.2">
      <c r="A4965">
        <v>4959</v>
      </c>
      <c r="B4965">
        <v>0.82670060280759949</v>
      </c>
    </row>
    <row r="4966" spans="1:2" x14ac:dyDescent="0.2">
      <c r="A4966">
        <v>4960</v>
      </c>
      <c r="B4966">
        <v>0.84791174015745208</v>
      </c>
    </row>
    <row r="4967" spans="1:2" x14ac:dyDescent="0.2">
      <c r="A4967">
        <v>4961</v>
      </c>
      <c r="B4967">
        <v>0.77481787502548849</v>
      </c>
    </row>
    <row r="4968" spans="1:2" x14ac:dyDescent="0.2">
      <c r="A4968">
        <v>4962</v>
      </c>
      <c r="B4968">
        <v>0.80628679152954164</v>
      </c>
    </row>
    <row r="4969" spans="1:2" x14ac:dyDescent="0.2">
      <c r="A4969">
        <v>4963</v>
      </c>
      <c r="B4969">
        <v>9.1707040404337747E-2</v>
      </c>
    </row>
    <row r="4970" spans="1:2" x14ac:dyDescent="0.2">
      <c r="A4970">
        <v>4964</v>
      </c>
      <c r="B4970">
        <v>0.50710550397887566</v>
      </c>
    </row>
    <row r="4971" spans="1:2" x14ac:dyDescent="0.2">
      <c r="A4971">
        <v>4965</v>
      </c>
      <c r="B4971">
        <v>0.54903826748910434</v>
      </c>
    </row>
    <row r="4972" spans="1:2" x14ac:dyDescent="0.2">
      <c r="A4972">
        <v>4966</v>
      </c>
      <c r="B4972">
        <v>9.7651466659071651E-2</v>
      </c>
    </row>
    <row r="4973" spans="1:2" x14ac:dyDescent="0.2">
      <c r="A4973">
        <v>4967</v>
      </c>
      <c r="B4973">
        <v>9.7849855908826999E-4</v>
      </c>
    </row>
    <row r="4974" spans="1:2" x14ac:dyDescent="0.2">
      <c r="A4974">
        <v>4968</v>
      </c>
      <c r="B4974">
        <v>0.94802612508620099</v>
      </c>
    </row>
    <row r="4975" spans="1:2" x14ac:dyDescent="0.2">
      <c r="A4975">
        <v>4969</v>
      </c>
      <c r="B4975">
        <v>0.39805749695667436</v>
      </c>
    </row>
    <row r="4976" spans="1:2" x14ac:dyDescent="0.2">
      <c r="A4976">
        <v>4970</v>
      </c>
      <c r="B4976">
        <v>0.57383277790863674</v>
      </c>
    </row>
    <row r="4977" spans="1:2" x14ac:dyDescent="0.2">
      <c r="A4977">
        <v>4971</v>
      </c>
      <c r="B4977">
        <v>0.78587626447915093</v>
      </c>
    </row>
    <row r="4978" spans="1:2" x14ac:dyDescent="0.2">
      <c r="A4978">
        <v>4972</v>
      </c>
      <c r="B4978">
        <v>0.10401278932327729</v>
      </c>
    </row>
    <row r="4979" spans="1:2" x14ac:dyDescent="0.2">
      <c r="A4979">
        <v>4973</v>
      </c>
      <c r="B4979">
        <v>0.87864476172995976</v>
      </c>
    </row>
    <row r="4980" spans="1:2" x14ac:dyDescent="0.2">
      <c r="A4980">
        <v>4974</v>
      </c>
      <c r="B4980">
        <v>0.95458314898196328</v>
      </c>
    </row>
    <row r="4981" spans="1:2" x14ac:dyDescent="0.2">
      <c r="A4981">
        <v>4975</v>
      </c>
      <c r="B4981">
        <v>0.15344652329619046</v>
      </c>
    </row>
    <row r="4982" spans="1:2" x14ac:dyDescent="0.2">
      <c r="A4982">
        <v>4976</v>
      </c>
      <c r="B4982">
        <v>0.33629229961421203</v>
      </c>
    </row>
    <row r="4983" spans="1:2" x14ac:dyDescent="0.2">
      <c r="A4983">
        <v>4977</v>
      </c>
      <c r="B4983">
        <v>0.31588793387806613</v>
      </c>
    </row>
    <row r="4984" spans="1:2" x14ac:dyDescent="0.2">
      <c r="A4984">
        <v>4978</v>
      </c>
      <c r="B4984">
        <v>0.65639889384357453</v>
      </c>
    </row>
    <row r="4985" spans="1:2" x14ac:dyDescent="0.2">
      <c r="A4985">
        <v>4979</v>
      </c>
      <c r="B4985">
        <v>0.19654507746494809</v>
      </c>
    </row>
    <row r="4986" spans="1:2" x14ac:dyDescent="0.2">
      <c r="A4986">
        <v>4980</v>
      </c>
      <c r="B4986">
        <v>0.61114410799693264</v>
      </c>
    </row>
    <row r="4987" spans="1:2" x14ac:dyDescent="0.2">
      <c r="A4987">
        <v>4981</v>
      </c>
      <c r="B4987">
        <v>0.17594856451269081</v>
      </c>
    </row>
    <row r="4988" spans="1:2" x14ac:dyDescent="0.2">
      <c r="A4988">
        <v>4982</v>
      </c>
      <c r="B4988">
        <v>0.56567961378575571</v>
      </c>
    </row>
    <row r="4989" spans="1:2" x14ac:dyDescent="0.2">
      <c r="A4989">
        <v>4983</v>
      </c>
      <c r="B4989">
        <v>5.3823693781520521E-2</v>
      </c>
    </row>
    <row r="4990" spans="1:2" x14ac:dyDescent="0.2">
      <c r="A4990">
        <v>4984</v>
      </c>
      <c r="B4990">
        <v>0.80061143804301904</v>
      </c>
    </row>
    <row r="4991" spans="1:2" x14ac:dyDescent="0.2">
      <c r="A4991">
        <v>4985</v>
      </c>
      <c r="B4991">
        <v>1.0945284620949902E-2</v>
      </c>
    </row>
    <row r="4992" spans="1:2" x14ac:dyDescent="0.2">
      <c r="A4992">
        <v>4986</v>
      </c>
      <c r="B4992">
        <v>0.33695163412288864</v>
      </c>
    </row>
    <row r="4993" spans="1:2" x14ac:dyDescent="0.2">
      <c r="A4993">
        <v>4987</v>
      </c>
      <c r="B4993">
        <v>0.58897297650951363</v>
      </c>
    </row>
    <row r="4994" spans="1:2" x14ac:dyDescent="0.2">
      <c r="A4994">
        <v>4988</v>
      </c>
      <c r="B4994">
        <v>0.10505455599584335</v>
      </c>
    </row>
    <row r="4995" spans="1:2" x14ac:dyDescent="0.2">
      <c r="A4995">
        <v>4989</v>
      </c>
      <c r="B4995">
        <v>0.54212908796096559</v>
      </c>
    </row>
    <row r="4996" spans="1:2" x14ac:dyDescent="0.2">
      <c r="A4996">
        <v>4990</v>
      </c>
      <c r="B4996">
        <v>0.6750998177661226</v>
      </c>
    </row>
    <row r="4997" spans="1:2" x14ac:dyDescent="0.2">
      <c r="A4997">
        <v>4991</v>
      </c>
      <c r="B4997">
        <v>0.27559230249892963</v>
      </c>
    </row>
    <row r="4998" spans="1:2" x14ac:dyDescent="0.2">
      <c r="A4998">
        <v>4992</v>
      </c>
      <c r="B4998">
        <v>0.48441675277250718</v>
      </c>
    </row>
    <row r="4999" spans="1:2" x14ac:dyDescent="0.2">
      <c r="A4999">
        <v>4993</v>
      </c>
      <c r="B4999">
        <v>0.29784309276221654</v>
      </c>
    </row>
    <row r="5000" spans="1:2" x14ac:dyDescent="0.2">
      <c r="A5000">
        <v>4994</v>
      </c>
      <c r="B5000">
        <v>6.1511527326546966E-2</v>
      </c>
    </row>
    <row r="5001" spans="1:2" x14ac:dyDescent="0.2">
      <c r="A5001">
        <v>4995</v>
      </c>
      <c r="B5001">
        <v>0.65015711257376452</v>
      </c>
    </row>
    <row r="5002" spans="1:2" x14ac:dyDescent="0.2">
      <c r="A5002">
        <v>4996</v>
      </c>
      <c r="B5002">
        <v>0.12876626607977892</v>
      </c>
    </row>
    <row r="5003" spans="1:2" x14ac:dyDescent="0.2">
      <c r="A5003">
        <v>4997</v>
      </c>
      <c r="B5003">
        <v>0.79393487274592822</v>
      </c>
    </row>
    <row r="5004" spans="1:2" x14ac:dyDescent="0.2">
      <c r="A5004">
        <v>4998</v>
      </c>
      <c r="B5004">
        <v>0.68610248909112648</v>
      </c>
    </row>
    <row r="5005" spans="1:2" x14ac:dyDescent="0.2">
      <c r="A5005">
        <v>4999</v>
      </c>
      <c r="B5005">
        <v>0.77580876113909158</v>
      </c>
    </row>
    <row r="5006" spans="1:2" x14ac:dyDescent="0.2">
      <c r="A5006">
        <v>5000</v>
      </c>
      <c r="B5006">
        <v>0.63354680926618501</v>
      </c>
    </row>
    <row r="5007" spans="1:2" x14ac:dyDescent="0.2">
      <c r="A5007">
        <v>5001</v>
      </c>
      <c r="B5007">
        <v>0.94878417408783422</v>
      </c>
    </row>
    <row r="5008" spans="1:2" x14ac:dyDescent="0.2">
      <c r="A5008">
        <v>5002</v>
      </c>
      <c r="B5008">
        <v>0.31310935278441909</v>
      </c>
    </row>
    <row r="5009" spans="1:2" x14ac:dyDescent="0.2">
      <c r="A5009">
        <v>5003</v>
      </c>
      <c r="B5009">
        <v>0.47712953183125695</v>
      </c>
    </row>
    <row r="5010" spans="1:2" x14ac:dyDescent="0.2">
      <c r="A5010">
        <v>5004</v>
      </c>
      <c r="B5010">
        <v>0.35315080053413783</v>
      </c>
    </row>
    <row r="5011" spans="1:2" x14ac:dyDescent="0.2">
      <c r="A5011">
        <v>5005</v>
      </c>
      <c r="B5011">
        <v>9.7571669282228268E-2</v>
      </c>
    </row>
    <row r="5012" spans="1:2" x14ac:dyDescent="0.2">
      <c r="A5012">
        <v>5006</v>
      </c>
      <c r="B5012">
        <v>0.2103898730827678</v>
      </c>
    </row>
    <row r="5013" spans="1:2" x14ac:dyDescent="0.2">
      <c r="A5013">
        <v>5007</v>
      </c>
      <c r="B5013">
        <v>4.717296766337209E-2</v>
      </c>
    </row>
    <row r="5014" spans="1:2" x14ac:dyDescent="0.2">
      <c r="A5014">
        <v>5008</v>
      </c>
      <c r="B5014">
        <v>0.43440671133144393</v>
      </c>
    </row>
    <row r="5015" spans="1:2" x14ac:dyDescent="0.2">
      <c r="A5015">
        <v>5009</v>
      </c>
      <c r="B5015">
        <v>0.69810600767276643</v>
      </c>
    </row>
    <row r="5016" spans="1:2" x14ac:dyDescent="0.2">
      <c r="A5016">
        <v>5010</v>
      </c>
      <c r="B5016">
        <v>0.7634936067598197</v>
      </c>
    </row>
    <row r="5017" spans="1:2" x14ac:dyDescent="0.2">
      <c r="A5017">
        <v>5011</v>
      </c>
      <c r="B5017">
        <v>0.61909578850347236</v>
      </c>
    </row>
    <row r="5018" spans="1:2" x14ac:dyDescent="0.2">
      <c r="A5018">
        <v>5012</v>
      </c>
      <c r="B5018">
        <v>0.6754369846409144</v>
      </c>
    </row>
    <row r="5019" spans="1:2" x14ac:dyDescent="0.2">
      <c r="A5019">
        <v>5013</v>
      </c>
      <c r="B5019">
        <v>0.88294135408914953</v>
      </c>
    </row>
    <row r="5020" spans="1:2" x14ac:dyDescent="0.2">
      <c r="A5020">
        <v>5014</v>
      </c>
      <c r="B5020">
        <v>0.75667395516417979</v>
      </c>
    </row>
    <row r="5021" spans="1:2" x14ac:dyDescent="0.2">
      <c r="A5021">
        <v>5015</v>
      </c>
      <c r="B5021">
        <v>0.83433537980768913</v>
      </c>
    </row>
    <row r="5022" spans="1:2" x14ac:dyDescent="0.2">
      <c r="A5022">
        <v>5016</v>
      </c>
      <c r="B5022">
        <v>0.13431857299432992</v>
      </c>
    </row>
    <row r="5023" spans="1:2" x14ac:dyDescent="0.2">
      <c r="A5023">
        <v>5017</v>
      </c>
      <c r="B5023">
        <v>1.8473924588515711E-2</v>
      </c>
    </row>
    <row r="5024" spans="1:2" x14ac:dyDescent="0.2">
      <c r="A5024">
        <v>5018</v>
      </c>
      <c r="B5024">
        <v>0.89916808037460605</v>
      </c>
    </row>
    <row r="5025" spans="1:2" x14ac:dyDescent="0.2">
      <c r="A5025">
        <v>5019</v>
      </c>
      <c r="B5025">
        <v>3.2331734743201279E-2</v>
      </c>
    </row>
    <row r="5026" spans="1:2" x14ac:dyDescent="0.2">
      <c r="A5026">
        <v>5020</v>
      </c>
      <c r="B5026">
        <v>0.11988884278986567</v>
      </c>
    </row>
    <row r="5027" spans="1:2" x14ac:dyDescent="0.2">
      <c r="A5027">
        <v>5021</v>
      </c>
      <c r="B5027">
        <v>0.93258232793640305</v>
      </c>
    </row>
    <row r="5028" spans="1:2" x14ac:dyDescent="0.2">
      <c r="A5028">
        <v>5022</v>
      </c>
      <c r="B5028">
        <v>0.70672064551067093</v>
      </c>
    </row>
    <row r="5029" spans="1:2" x14ac:dyDescent="0.2">
      <c r="A5029">
        <v>5023</v>
      </c>
      <c r="B5029">
        <v>4.14689180967861E-2</v>
      </c>
    </row>
    <row r="5030" spans="1:2" x14ac:dyDescent="0.2">
      <c r="A5030">
        <v>5024</v>
      </c>
      <c r="B5030">
        <v>0.18329146296981536</v>
      </c>
    </row>
    <row r="5031" spans="1:2" x14ac:dyDescent="0.2">
      <c r="A5031">
        <v>5025</v>
      </c>
      <c r="B5031">
        <v>0.85267848673433844</v>
      </c>
    </row>
    <row r="5032" spans="1:2" x14ac:dyDescent="0.2">
      <c r="A5032">
        <v>5026</v>
      </c>
      <c r="B5032">
        <v>0.59064256311856544</v>
      </c>
    </row>
    <row r="5033" spans="1:2" x14ac:dyDescent="0.2">
      <c r="A5033">
        <v>5027</v>
      </c>
      <c r="B5033">
        <v>0.61231173175519971</v>
      </c>
    </row>
    <row r="5034" spans="1:2" x14ac:dyDescent="0.2">
      <c r="A5034">
        <v>5028</v>
      </c>
      <c r="B5034">
        <v>0.59084637639153315</v>
      </c>
    </row>
    <row r="5035" spans="1:2" x14ac:dyDescent="0.2">
      <c r="A5035">
        <v>5029</v>
      </c>
      <c r="B5035">
        <v>0.54352254342207151</v>
      </c>
    </row>
    <row r="5036" spans="1:2" x14ac:dyDescent="0.2">
      <c r="A5036">
        <v>5030</v>
      </c>
      <c r="B5036">
        <v>0.76753186202680779</v>
      </c>
    </row>
    <row r="5037" spans="1:2" x14ac:dyDescent="0.2">
      <c r="A5037">
        <v>5031</v>
      </c>
      <c r="B5037">
        <v>0.27708262378905801</v>
      </c>
    </row>
    <row r="5038" spans="1:2" x14ac:dyDescent="0.2">
      <c r="A5038">
        <v>5032</v>
      </c>
      <c r="B5038">
        <v>0.36748954778310661</v>
      </c>
    </row>
    <row r="5039" spans="1:2" x14ac:dyDescent="0.2">
      <c r="A5039">
        <v>5033</v>
      </c>
      <c r="B5039">
        <v>0.10747760822251817</v>
      </c>
    </row>
    <row r="5040" spans="1:2" x14ac:dyDescent="0.2">
      <c r="A5040">
        <v>5034</v>
      </c>
      <c r="B5040">
        <v>0.60074725874520085</v>
      </c>
    </row>
    <row r="5041" spans="1:2" x14ac:dyDescent="0.2">
      <c r="A5041">
        <v>5035</v>
      </c>
      <c r="B5041">
        <v>0.5391823913543462</v>
      </c>
    </row>
    <row r="5042" spans="1:2" x14ac:dyDescent="0.2">
      <c r="A5042">
        <v>5036</v>
      </c>
      <c r="B5042">
        <v>0.53961356884415901</v>
      </c>
    </row>
    <row r="5043" spans="1:2" x14ac:dyDescent="0.2">
      <c r="A5043">
        <v>5037</v>
      </c>
      <c r="B5043">
        <v>0.85695076364223621</v>
      </c>
    </row>
    <row r="5044" spans="1:2" x14ac:dyDescent="0.2">
      <c r="A5044">
        <v>5038</v>
      </c>
      <c r="B5044">
        <v>0.8241405024240358</v>
      </c>
    </row>
    <row r="5045" spans="1:2" x14ac:dyDescent="0.2">
      <c r="A5045">
        <v>5039</v>
      </c>
      <c r="B5045">
        <v>0.38424495957518201</v>
      </c>
    </row>
    <row r="5046" spans="1:2" x14ac:dyDescent="0.2">
      <c r="A5046">
        <v>5040</v>
      </c>
      <c r="B5046">
        <v>0.59123275706165945</v>
      </c>
    </row>
    <row r="5047" spans="1:2" x14ac:dyDescent="0.2">
      <c r="A5047">
        <v>5041</v>
      </c>
      <c r="B5047">
        <v>0.95497538346264299</v>
      </c>
    </row>
    <row r="5048" spans="1:2" x14ac:dyDescent="0.2">
      <c r="A5048">
        <v>5042</v>
      </c>
      <c r="B5048">
        <v>0.59129967783475179</v>
      </c>
    </row>
    <row r="5049" spans="1:2" x14ac:dyDescent="0.2">
      <c r="A5049">
        <v>5043</v>
      </c>
      <c r="B5049">
        <v>3.3717765278876932E-2</v>
      </c>
    </row>
    <row r="5050" spans="1:2" x14ac:dyDescent="0.2">
      <c r="A5050">
        <v>5044</v>
      </c>
      <c r="B5050">
        <v>0.96654965484106747</v>
      </c>
    </row>
    <row r="5051" spans="1:2" x14ac:dyDescent="0.2">
      <c r="A5051">
        <v>5045</v>
      </c>
      <c r="B5051">
        <v>0.66325171796402349</v>
      </c>
    </row>
    <row r="5052" spans="1:2" x14ac:dyDescent="0.2">
      <c r="A5052">
        <v>5046</v>
      </c>
      <c r="B5052">
        <v>2.0162638643156483E-2</v>
      </c>
    </row>
    <row r="5053" spans="1:2" x14ac:dyDescent="0.2">
      <c r="A5053">
        <v>5047</v>
      </c>
      <c r="B5053">
        <v>0.14766527234982518</v>
      </c>
    </row>
    <row r="5054" spans="1:2" x14ac:dyDescent="0.2">
      <c r="A5054">
        <v>5048</v>
      </c>
      <c r="B5054">
        <v>0.32232303907690729</v>
      </c>
    </row>
    <row r="5055" spans="1:2" x14ac:dyDescent="0.2">
      <c r="A5055">
        <v>5049</v>
      </c>
      <c r="B5055">
        <v>9.790540731008468E-2</v>
      </c>
    </row>
    <row r="5056" spans="1:2" x14ac:dyDescent="0.2">
      <c r="A5056">
        <v>5050</v>
      </c>
      <c r="B5056">
        <v>0.63579968426204059</v>
      </c>
    </row>
    <row r="5057" spans="1:2" x14ac:dyDescent="0.2">
      <c r="A5057">
        <v>5051</v>
      </c>
      <c r="B5057">
        <v>0.87055154031037296</v>
      </c>
    </row>
    <row r="5058" spans="1:2" x14ac:dyDescent="0.2">
      <c r="A5058">
        <v>5052</v>
      </c>
      <c r="B5058">
        <v>0.37462559861149847</v>
      </c>
    </row>
    <row r="5059" spans="1:2" x14ac:dyDescent="0.2">
      <c r="A5059">
        <v>5053</v>
      </c>
      <c r="B5059">
        <v>0.42228339129229642</v>
      </c>
    </row>
    <row r="5060" spans="1:2" x14ac:dyDescent="0.2">
      <c r="A5060">
        <v>5054</v>
      </c>
      <c r="B5060">
        <v>6.7033746700384866E-2</v>
      </c>
    </row>
    <row r="5061" spans="1:2" x14ac:dyDescent="0.2">
      <c r="A5061">
        <v>5055</v>
      </c>
      <c r="B5061">
        <v>0.23750551592041558</v>
      </c>
    </row>
    <row r="5062" spans="1:2" x14ac:dyDescent="0.2">
      <c r="A5062">
        <v>5056</v>
      </c>
      <c r="B5062">
        <v>0.57257326087387761</v>
      </c>
    </row>
    <row r="5063" spans="1:2" x14ac:dyDescent="0.2">
      <c r="A5063">
        <v>5057</v>
      </c>
      <c r="B5063">
        <v>0.40378758870439124</v>
      </c>
    </row>
    <row r="5064" spans="1:2" x14ac:dyDescent="0.2">
      <c r="A5064">
        <v>5058</v>
      </c>
      <c r="B5064">
        <v>0.2613301512048205</v>
      </c>
    </row>
    <row r="5065" spans="1:2" x14ac:dyDescent="0.2">
      <c r="A5065">
        <v>5059</v>
      </c>
      <c r="B5065">
        <v>0.94276654489283895</v>
      </c>
    </row>
    <row r="5066" spans="1:2" x14ac:dyDescent="0.2">
      <c r="A5066">
        <v>5060</v>
      </c>
      <c r="B5066">
        <v>0.31190936380034895</v>
      </c>
    </row>
    <row r="5067" spans="1:2" x14ac:dyDescent="0.2">
      <c r="A5067">
        <v>5061</v>
      </c>
      <c r="B5067">
        <v>0.98071333243122449</v>
      </c>
    </row>
    <row r="5068" spans="1:2" x14ac:dyDescent="0.2">
      <c r="A5068">
        <v>5062</v>
      </c>
      <c r="B5068">
        <v>0.29693220427960809</v>
      </c>
    </row>
    <row r="5069" spans="1:2" x14ac:dyDescent="0.2">
      <c r="A5069">
        <v>5063</v>
      </c>
      <c r="B5069">
        <v>0.82875561937259468</v>
      </c>
    </row>
    <row r="5070" spans="1:2" x14ac:dyDescent="0.2">
      <c r="A5070">
        <v>5064</v>
      </c>
      <c r="B5070">
        <v>0.49707314798594326</v>
      </c>
    </row>
    <row r="5071" spans="1:2" x14ac:dyDescent="0.2">
      <c r="A5071">
        <v>5065</v>
      </c>
      <c r="B5071">
        <v>0.99814242454183144</v>
      </c>
    </row>
    <row r="5072" spans="1:2" x14ac:dyDescent="0.2">
      <c r="A5072">
        <v>5066</v>
      </c>
      <c r="B5072">
        <v>2.4076373754017721E-2</v>
      </c>
    </row>
    <row r="5073" spans="1:2" x14ac:dyDescent="0.2">
      <c r="A5073">
        <v>5067</v>
      </c>
      <c r="B5073">
        <v>0.28528392310500006</v>
      </c>
    </row>
    <row r="5074" spans="1:2" x14ac:dyDescent="0.2">
      <c r="A5074">
        <v>5068</v>
      </c>
      <c r="B5074">
        <v>0.29922890719741158</v>
      </c>
    </row>
    <row r="5075" spans="1:2" x14ac:dyDescent="0.2">
      <c r="A5075">
        <v>5069</v>
      </c>
      <c r="B5075">
        <v>0.73412429206488616</v>
      </c>
    </row>
    <row r="5076" spans="1:2" x14ac:dyDescent="0.2">
      <c r="A5076">
        <v>5070</v>
      </c>
      <c r="B5076">
        <v>0.6233578284726683</v>
      </c>
    </row>
    <row r="5077" spans="1:2" x14ac:dyDescent="0.2">
      <c r="A5077">
        <v>5071</v>
      </c>
      <c r="B5077">
        <v>0.35798720887445912</v>
      </c>
    </row>
    <row r="5078" spans="1:2" x14ac:dyDescent="0.2">
      <c r="A5078">
        <v>5072</v>
      </c>
      <c r="B5078">
        <v>0.24450536937752165</v>
      </c>
    </row>
    <row r="5079" spans="1:2" x14ac:dyDescent="0.2">
      <c r="A5079">
        <v>5073</v>
      </c>
      <c r="B5079">
        <v>0.23470721949862094</v>
      </c>
    </row>
    <row r="5080" spans="1:2" x14ac:dyDescent="0.2">
      <c r="A5080">
        <v>5074</v>
      </c>
      <c r="B5080">
        <v>0.53368738081144895</v>
      </c>
    </row>
    <row r="5081" spans="1:2" x14ac:dyDescent="0.2">
      <c r="A5081">
        <v>5075</v>
      </c>
      <c r="B5081">
        <v>0.88139466512064923</v>
      </c>
    </row>
    <row r="5082" spans="1:2" x14ac:dyDescent="0.2">
      <c r="A5082">
        <v>5076</v>
      </c>
      <c r="B5082">
        <v>0.83154971080218443</v>
      </c>
    </row>
    <row r="5083" spans="1:2" x14ac:dyDescent="0.2">
      <c r="A5083">
        <v>5077</v>
      </c>
      <c r="B5083">
        <v>0.38291499564737508</v>
      </c>
    </row>
    <row r="5084" spans="1:2" x14ac:dyDescent="0.2">
      <c r="A5084">
        <v>5078</v>
      </c>
      <c r="B5084">
        <v>0.78934662755003504</v>
      </c>
    </row>
    <row r="5085" spans="1:2" x14ac:dyDescent="0.2">
      <c r="A5085">
        <v>5079</v>
      </c>
      <c r="B5085">
        <v>0.59642245061699617</v>
      </c>
    </row>
    <row r="5086" spans="1:2" x14ac:dyDescent="0.2">
      <c r="A5086">
        <v>5080</v>
      </c>
      <c r="B5086">
        <v>0.18591853551548976</v>
      </c>
    </row>
    <row r="5087" spans="1:2" x14ac:dyDescent="0.2">
      <c r="A5087">
        <v>5081</v>
      </c>
      <c r="B5087">
        <v>8.8486144269855127E-2</v>
      </c>
    </row>
    <row r="5088" spans="1:2" x14ac:dyDescent="0.2">
      <c r="A5088">
        <v>5082</v>
      </c>
      <c r="B5088">
        <v>0.30879868193534876</v>
      </c>
    </row>
    <row r="5089" spans="1:2" x14ac:dyDescent="0.2">
      <c r="A5089">
        <v>5083</v>
      </c>
      <c r="B5089">
        <v>3.8616541293731488E-2</v>
      </c>
    </row>
    <row r="5090" spans="1:2" x14ac:dyDescent="0.2">
      <c r="A5090">
        <v>5084</v>
      </c>
      <c r="B5090">
        <v>0.12757025081929918</v>
      </c>
    </row>
    <row r="5091" spans="1:2" x14ac:dyDescent="0.2">
      <c r="A5091">
        <v>5085</v>
      </c>
      <c r="B5091">
        <v>1.1054645877687785E-2</v>
      </c>
    </row>
    <row r="5092" spans="1:2" x14ac:dyDescent="0.2">
      <c r="A5092">
        <v>5086</v>
      </c>
      <c r="B5092">
        <v>0.95573462394440012</v>
      </c>
    </row>
    <row r="5093" spans="1:2" x14ac:dyDescent="0.2">
      <c r="A5093">
        <v>5087</v>
      </c>
      <c r="B5093">
        <v>0.8095985742397781</v>
      </c>
    </row>
    <row r="5094" spans="1:2" x14ac:dyDescent="0.2">
      <c r="A5094">
        <v>5088</v>
      </c>
      <c r="B5094">
        <v>0.17284785063148655</v>
      </c>
    </row>
    <row r="5095" spans="1:2" x14ac:dyDescent="0.2">
      <c r="A5095">
        <v>5089</v>
      </c>
      <c r="B5095">
        <v>0.19336471857509863</v>
      </c>
    </row>
    <row r="5096" spans="1:2" x14ac:dyDescent="0.2">
      <c r="A5096">
        <v>5090</v>
      </c>
      <c r="B5096">
        <v>0.40734901650828914</v>
      </c>
    </row>
    <row r="5097" spans="1:2" x14ac:dyDescent="0.2">
      <c r="A5097">
        <v>5091</v>
      </c>
      <c r="B5097">
        <v>0.74993168286488565</v>
      </c>
    </row>
    <row r="5098" spans="1:2" x14ac:dyDescent="0.2">
      <c r="A5098">
        <v>5092</v>
      </c>
      <c r="B5098">
        <v>0.43052226730831167</v>
      </c>
    </row>
    <row r="5099" spans="1:2" x14ac:dyDescent="0.2">
      <c r="A5099">
        <v>5093</v>
      </c>
      <c r="B5099">
        <v>0.87632068107306504</v>
      </c>
    </row>
    <row r="5100" spans="1:2" x14ac:dyDescent="0.2">
      <c r="A5100">
        <v>5094</v>
      </c>
      <c r="B5100">
        <v>0.22315393327853206</v>
      </c>
    </row>
    <row r="5101" spans="1:2" x14ac:dyDescent="0.2">
      <c r="A5101">
        <v>5095</v>
      </c>
      <c r="B5101">
        <v>0.79658267677628714</v>
      </c>
    </row>
    <row r="5102" spans="1:2" x14ac:dyDescent="0.2">
      <c r="A5102">
        <v>5096</v>
      </c>
      <c r="B5102">
        <v>0.25903988310661452</v>
      </c>
    </row>
    <row r="5103" spans="1:2" x14ac:dyDescent="0.2">
      <c r="A5103">
        <v>5097</v>
      </c>
      <c r="B5103">
        <v>0.98971364067547019</v>
      </c>
    </row>
    <row r="5104" spans="1:2" x14ac:dyDescent="0.2">
      <c r="A5104">
        <v>5098</v>
      </c>
      <c r="B5104">
        <v>7.8826430326516261E-2</v>
      </c>
    </row>
    <row r="5105" spans="1:2" x14ac:dyDescent="0.2">
      <c r="A5105">
        <v>5099</v>
      </c>
      <c r="B5105">
        <v>0.12721919407289806</v>
      </c>
    </row>
    <row r="5106" spans="1:2" x14ac:dyDescent="0.2">
      <c r="A5106">
        <v>5100</v>
      </c>
      <c r="B5106">
        <v>0.41048111871916548</v>
      </c>
    </row>
    <row r="5107" spans="1:2" x14ac:dyDescent="0.2">
      <c r="A5107">
        <v>5101</v>
      </c>
      <c r="B5107">
        <v>0.78597611669063416</v>
      </c>
    </row>
    <row r="5108" spans="1:2" x14ac:dyDescent="0.2">
      <c r="A5108">
        <v>5102</v>
      </c>
      <c r="B5108">
        <v>0.87366794295666261</v>
      </c>
    </row>
    <row r="5109" spans="1:2" x14ac:dyDescent="0.2">
      <c r="A5109">
        <v>5103</v>
      </c>
      <c r="B5109">
        <v>1.541044830919347E-2</v>
      </c>
    </row>
    <row r="5110" spans="1:2" x14ac:dyDescent="0.2">
      <c r="A5110">
        <v>5104</v>
      </c>
      <c r="B5110">
        <v>0.55058947103634226</v>
      </c>
    </row>
    <row r="5111" spans="1:2" x14ac:dyDescent="0.2">
      <c r="A5111">
        <v>5105</v>
      </c>
      <c r="B5111">
        <v>0.5464982189664005</v>
      </c>
    </row>
    <row r="5112" spans="1:2" x14ac:dyDescent="0.2">
      <c r="A5112">
        <v>5106</v>
      </c>
      <c r="B5112">
        <v>0.97596489266042241</v>
      </c>
    </row>
    <row r="5113" spans="1:2" x14ac:dyDescent="0.2">
      <c r="A5113">
        <v>5107</v>
      </c>
      <c r="B5113">
        <v>0.86637851849206249</v>
      </c>
    </row>
    <row r="5114" spans="1:2" x14ac:dyDescent="0.2">
      <c r="A5114">
        <v>5108</v>
      </c>
      <c r="B5114">
        <v>0.68626127968684225</v>
      </c>
    </row>
    <row r="5115" spans="1:2" x14ac:dyDescent="0.2">
      <c r="A5115">
        <v>5109</v>
      </c>
      <c r="B5115">
        <v>0.18882470468750079</v>
      </c>
    </row>
    <row r="5116" spans="1:2" x14ac:dyDescent="0.2">
      <c r="A5116">
        <v>5110</v>
      </c>
      <c r="B5116">
        <v>0.70414159111353891</v>
      </c>
    </row>
    <row r="5117" spans="1:2" x14ac:dyDescent="0.2">
      <c r="A5117">
        <v>5111</v>
      </c>
      <c r="B5117">
        <v>0.87268148281062863</v>
      </c>
    </row>
    <row r="5118" spans="1:2" x14ac:dyDescent="0.2">
      <c r="A5118">
        <v>5112</v>
      </c>
      <c r="B5118">
        <v>0.81155864948872869</v>
      </c>
    </row>
    <row r="5119" spans="1:2" x14ac:dyDescent="0.2">
      <c r="A5119">
        <v>5113</v>
      </c>
      <c r="B5119">
        <v>0.47317653338513865</v>
      </c>
    </row>
    <row r="5120" spans="1:2" x14ac:dyDescent="0.2">
      <c r="A5120">
        <v>5114</v>
      </c>
      <c r="B5120">
        <v>0.19786876233507544</v>
      </c>
    </row>
    <row r="5121" spans="1:2" x14ac:dyDescent="0.2">
      <c r="A5121">
        <v>5115</v>
      </c>
      <c r="B5121">
        <v>0.11929161810318822</v>
      </c>
    </row>
    <row r="5122" spans="1:2" x14ac:dyDescent="0.2">
      <c r="A5122">
        <v>5116</v>
      </c>
      <c r="B5122">
        <v>0.50159322973010489</v>
      </c>
    </row>
    <row r="5123" spans="1:2" x14ac:dyDescent="0.2">
      <c r="A5123">
        <v>5117</v>
      </c>
      <c r="B5123">
        <v>0.20064757441020531</v>
      </c>
    </row>
    <row r="5124" spans="1:2" x14ac:dyDescent="0.2">
      <c r="A5124">
        <v>5118</v>
      </c>
      <c r="B5124">
        <v>0.4436045422357584</v>
      </c>
    </row>
    <row r="5125" spans="1:2" x14ac:dyDescent="0.2">
      <c r="A5125">
        <v>5119</v>
      </c>
      <c r="B5125">
        <v>0.50842968934361576</v>
      </c>
    </row>
    <row r="5126" spans="1:2" x14ac:dyDescent="0.2">
      <c r="A5126">
        <v>5120</v>
      </c>
      <c r="B5126">
        <v>0.86418663259792139</v>
      </c>
    </row>
    <row r="5127" spans="1:2" x14ac:dyDescent="0.2">
      <c r="A5127">
        <v>5121</v>
      </c>
      <c r="B5127">
        <v>0.36874866375093407</v>
      </c>
    </row>
    <row r="5128" spans="1:2" x14ac:dyDescent="0.2">
      <c r="A5128">
        <v>5122</v>
      </c>
      <c r="B5128">
        <v>0.90114371235077806</v>
      </c>
    </row>
    <row r="5129" spans="1:2" x14ac:dyDescent="0.2">
      <c r="A5129">
        <v>5123</v>
      </c>
      <c r="B5129">
        <v>0.38167944840333745</v>
      </c>
    </row>
    <row r="5130" spans="1:2" x14ac:dyDescent="0.2">
      <c r="A5130">
        <v>5124</v>
      </c>
      <c r="B5130">
        <v>0.52564124883838559</v>
      </c>
    </row>
    <row r="5131" spans="1:2" x14ac:dyDescent="0.2">
      <c r="A5131">
        <v>5125</v>
      </c>
      <c r="B5131">
        <v>0.48209266525986239</v>
      </c>
    </row>
    <row r="5132" spans="1:2" x14ac:dyDescent="0.2">
      <c r="A5132">
        <v>5126</v>
      </c>
      <c r="B5132">
        <v>0.89271666866502652</v>
      </c>
    </row>
    <row r="5133" spans="1:2" x14ac:dyDescent="0.2">
      <c r="A5133">
        <v>5127</v>
      </c>
      <c r="B5133">
        <v>0.67461451606513023</v>
      </c>
    </row>
    <row r="5134" spans="1:2" x14ac:dyDescent="0.2">
      <c r="A5134">
        <v>5128</v>
      </c>
      <c r="B5134">
        <v>0.55906478701424211</v>
      </c>
    </row>
    <row r="5135" spans="1:2" x14ac:dyDescent="0.2">
      <c r="A5135">
        <v>5129</v>
      </c>
      <c r="B5135">
        <v>0.58072803592719957</v>
      </c>
    </row>
    <row r="5136" spans="1:2" x14ac:dyDescent="0.2">
      <c r="A5136">
        <v>5130</v>
      </c>
      <c r="B5136">
        <v>0.25772025483586247</v>
      </c>
    </row>
    <row r="5137" spans="1:2" x14ac:dyDescent="0.2">
      <c r="A5137">
        <v>5131</v>
      </c>
      <c r="B5137">
        <v>0.94599350346510702</v>
      </c>
    </row>
    <row r="5138" spans="1:2" x14ac:dyDescent="0.2">
      <c r="A5138">
        <v>5132</v>
      </c>
      <c r="B5138">
        <v>0.92645547973401188</v>
      </c>
    </row>
    <row r="5139" spans="1:2" x14ac:dyDescent="0.2">
      <c r="A5139">
        <v>5133</v>
      </c>
      <c r="B5139">
        <v>0.85060798229122192</v>
      </c>
    </row>
    <row r="5140" spans="1:2" x14ac:dyDescent="0.2">
      <c r="A5140">
        <v>5134</v>
      </c>
      <c r="B5140">
        <v>0.37228312035737832</v>
      </c>
    </row>
    <row r="5141" spans="1:2" x14ac:dyDescent="0.2">
      <c r="A5141">
        <v>5135</v>
      </c>
      <c r="B5141">
        <v>0.83384807410489503</v>
      </c>
    </row>
    <row r="5142" spans="1:2" x14ac:dyDescent="0.2">
      <c r="A5142">
        <v>5136</v>
      </c>
      <c r="B5142">
        <v>0.16911557210533568</v>
      </c>
    </row>
    <row r="5143" spans="1:2" x14ac:dyDescent="0.2">
      <c r="A5143">
        <v>5137</v>
      </c>
      <c r="B5143">
        <v>0.77127890822474798</v>
      </c>
    </row>
    <row r="5144" spans="1:2" x14ac:dyDescent="0.2">
      <c r="A5144">
        <v>5138</v>
      </c>
      <c r="B5144">
        <v>2.9032342490274865E-2</v>
      </c>
    </row>
    <row r="5145" spans="1:2" x14ac:dyDescent="0.2">
      <c r="A5145">
        <v>5139</v>
      </c>
      <c r="B5145">
        <v>0.89519985119504142</v>
      </c>
    </row>
    <row r="5146" spans="1:2" x14ac:dyDescent="0.2">
      <c r="A5146">
        <v>5140</v>
      </c>
      <c r="B5146">
        <v>3.4498256683438866E-2</v>
      </c>
    </row>
    <row r="5147" spans="1:2" x14ac:dyDescent="0.2">
      <c r="A5147">
        <v>5141</v>
      </c>
      <c r="B5147">
        <v>0.31465673569165753</v>
      </c>
    </row>
    <row r="5148" spans="1:2" x14ac:dyDescent="0.2">
      <c r="A5148">
        <v>5142</v>
      </c>
      <c r="B5148">
        <v>0.14801836882427755</v>
      </c>
    </row>
    <row r="5149" spans="1:2" x14ac:dyDescent="0.2">
      <c r="A5149">
        <v>5143</v>
      </c>
      <c r="B5149">
        <v>0.77246785904986548</v>
      </c>
    </row>
    <row r="5150" spans="1:2" x14ac:dyDescent="0.2">
      <c r="A5150">
        <v>5144</v>
      </c>
      <c r="B5150">
        <v>0.87488935936315027</v>
      </c>
    </row>
    <row r="5151" spans="1:2" x14ac:dyDescent="0.2">
      <c r="A5151">
        <v>5145</v>
      </c>
      <c r="B5151">
        <v>0.35277618648722431</v>
      </c>
    </row>
    <row r="5152" spans="1:2" x14ac:dyDescent="0.2">
      <c r="A5152">
        <v>5146</v>
      </c>
      <c r="B5152">
        <v>0.49789141572991169</v>
      </c>
    </row>
    <row r="5153" spans="1:2" x14ac:dyDescent="0.2">
      <c r="A5153">
        <v>5147</v>
      </c>
      <c r="B5153">
        <v>0.83981627409161486</v>
      </c>
    </row>
    <row r="5154" spans="1:2" x14ac:dyDescent="0.2">
      <c r="A5154">
        <v>5148</v>
      </c>
      <c r="B5154">
        <v>0.62806260544954029</v>
      </c>
    </row>
    <row r="5155" spans="1:2" x14ac:dyDescent="0.2">
      <c r="A5155">
        <v>5149</v>
      </c>
      <c r="B5155">
        <v>0.49598150755286541</v>
      </c>
    </row>
    <row r="5156" spans="1:2" x14ac:dyDescent="0.2">
      <c r="A5156">
        <v>5150</v>
      </c>
      <c r="B5156">
        <v>0.61892609356940209</v>
      </c>
    </row>
    <row r="5157" spans="1:2" x14ac:dyDescent="0.2">
      <c r="A5157">
        <v>5151</v>
      </c>
      <c r="B5157">
        <v>0.76112822061499497</v>
      </c>
    </row>
    <row r="5158" spans="1:2" x14ac:dyDescent="0.2">
      <c r="A5158">
        <v>5152</v>
      </c>
      <c r="B5158">
        <v>0.99256853746634477</v>
      </c>
    </row>
    <row r="5159" spans="1:2" x14ac:dyDescent="0.2">
      <c r="A5159">
        <v>5153</v>
      </c>
      <c r="B5159">
        <v>0.90489414869844076</v>
      </c>
    </row>
    <row r="5160" spans="1:2" x14ac:dyDescent="0.2">
      <c r="A5160">
        <v>5154</v>
      </c>
      <c r="B5160">
        <v>0.44203794886334036</v>
      </c>
    </row>
    <row r="5161" spans="1:2" x14ac:dyDescent="0.2">
      <c r="A5161">
        <v>5155</v>
      </c>
      <c r="B5161">
        <v>0.71898340855489606</v>
      </c>
    </row>
    <row r="5162" spans="1:2" x14ac:dyDescent="0.2">
      <c r="A5162">
        <v>5156</v>
      </c>
      <c r="B5162">
        <v>0.6211158324686431</v>
      </c>
    </row>
    <row r="5163" spans="1:2" x14ac:dyDescent="0.2">
      <c r="A5163">
        <v>5157</v>
      </c>
      <c r="B5163">
        <v>0.59044696787014628</v>
      </c>
    </row>
    <row r="5164" spans="1:2" x14ac:dyDescent="0.2">
      <c r="A5164">
        <v>5158</v>
      </c>
      <c r="B5164">
        <v>0.69285881116564485</v>
      </c>
    </row>
    <row r="5165" spans="1:2" x14ac:dyDescent="0.2">
      <c r="A5165">
        <v>5159</v>
      </c>
      <c r="B5165">
        <v>0.36257196450209261</v>
      </c>
    </row>
    <row r="5166" spans="1:2" x14ac:dyDescent="0.2">
      <c r="A5166">
        <v>5160</v>
      </c>
      <c r="B5166">
        <v>0.52471185242526774</v>
      </c>
    </row>
    <row r="5167" spans="1:2" x14ac:dyDescent="0.2">
      <c r="A5167">
        <v>5161</v>
      </c>
      <c r="B5167">
        <v>0.86553068513551712</v>
      </c>
    </row>
    <row r="5168" spans="1:2" x14ac:dyDescent="0.2">
      <c r="A5168">
        <v>5162</v>
      </c>
      <c r="B5168">
        <v>0.12059102548861478</v>
      </c>
    </row>
    <row r="5169" spans="1:2" x14ac:dyDescent="0.2">
      <c r="A5169">
        <v>5163</v>
      </c>
      <c r="B5169">
        <v>0.79522952588907858</v>
      </c>
    </row>
    <row r="5170" spans="1:2" x14ac:dyDescent="0.2">
      <c r="A5170">
        <v>5164</v>
      </c>
      <c r="B5170">
        <v>0.35611066911739475</v>
      </c>
    </row>
    <row r="5171" spans="1:2" x14ac:dyDescent="0.2">
      <c r="A5171">
        <v>5165</v>
      </c>
      <c r="B5171">
        <v>0.78141053411204897</v>
      </c>
    </row>
    <row r="5172" spans="1:2" x14ac:dyDescent="0.2">
      <c r="A5172">
        <v>5166</v>
      </c>
      <c r="B5172">
        <v>0.19590468443666997</v>
      </c>
    </row>
    <row r="5173" spans="1:2" x14ac:dyDescent="0.2">
      <c r="A5173">
        <v>5167</v>
      </c>
      <c r="B5173">
        <v>0.8576642450539208</v>
      </c>
    </row>
    <row r="5174" spans="1:2" x14ac:dyDescent="0.2">
      <c r="A5174">
        <v>5168</v>
      </c>
      <c r="B5174">
        <v>0.71215045596972937</v>
      </c>
    </row>
    <row r="5175" spans="1:2" x14ac:dyDescent="0.2">
      <c r="A5175">
        <v>5169</v>
      </c>
      <c r="B5175">
        <v>0.71974921604915409</v>
      </c>
    </row>
    <row r="5176" spans="1:2" x14ac:dyDescent="0.2">
      <c r="A5176">
        <v>5170</v>
      </c>
      <c r="B5176">
        <v>2.4252057842665264E-2</v>
      </c>
    </row>
    <row r="5177" spans="1:2" x14ac:dyDescent="0.2">
      <c r="A5177">
        <v>5171</v>
      </c>
      <c r="B5177">
        <v>0.44838371761300266</v>
      </c>
    </row>
    <row r="5178" spans="1:2" x14ac:dyDescent="0.2">
      <c r="A5178">
        <v>5172</v>
      </c>
      <c r="B5178">
        <v>0.18268965753872779</v>
      </c>
    </row>
    <row r="5179" spans="1:2" x14ac:dyDescent="0.2">
      <c r="A5179">
        <v>5173</v>
      </c>
      <c r="B5179">
        <v>0.2261379772257851</v>
      </c>
    </row>
    <row r="5180" spans="1:2" x14ac:dyDescent="0.2">
      <c r="A5180">
        <v>5174</v>
      </c>
      <c r="B5180">
        <v>0.55156792237006425</v>
      </c>
    </row>
    <row r="5181" spans="1:2" x14ac:dyDescent="0.2">
      <c r="A5181">
        <v>5175</v>
      </c>
      <c r="B5181">
        <v>0.98558112001961806</v>
      </c>
    </row>
    <row r="5182" spans="1:2" x14ac:dyDescent="0.2">
      <c r="A5182">
        <v>5176</v>
      </c>
      <c r="B5182">
        <v>0.26335046687955022</v>
      </c>
    </row>
    <row r="5183" spans="1:2" x14ac:dyDescent="0.2">
      <c r="A5183">
        <v>5177</v>
      </c>
      <c r="B5183">
        <v>0.21289418030661866</v>
      </c>
    </row>
    <row r="5184" spans="1:2" x14ac:dyDescent="0.2">
      <c r="A5184">
        <v>5178</v>
      </c>
      <c r="B5184">
        <v>0.78833858498800602</v>
      </c>
    </row>
    <row r="5185" spans="1:2" x14ac:dyDescent="0.2">
      <c r="A5185">
        <v>5179</v>
      </c>
      <c r="B5185">
        <v>0.85370708714518584</v>
      </c>
    </row>
    <row r="5186" spans="1:2" x14ac:dyDescent="0.2">
      <c r="A5186">
        <v>5180</v>
      </c>
      <c r="B5186">
        <v>0.44082462860666294</v>
      </c>
    </row>
    <row r="5187" spans="1:2" x14ac:dyDescent="0.2">
      <c r="A5187">
        <v>5181</v>
      </c>
      <c r="B5187">
        <v>0.61226060454252951</v>
      </c>
    </row>
    <row r="5188" spans="1:2" x14ac:dyDescent="0.2">
      <c r="A5188">
        <v>5182</v>
      </c>
      <c r="B5188">
        <v>8.9854876123032001E-2</v>
      </c>
    </row>
    <row r="5189" spans="1:2" x14ac:dyDescent="0.2">
      <c r="A5189">
        <v>5183</v>
      </c>
      <c r="B5189">
        <v>0.93239923082424048</v>
      </c>
    </row>
    <row r="5190" spans="1:2" x14ac:dyDescent="0.2">
      <c r="A5190">
        <v>5184</v>
      </c>
      <c r="B5190">
        <v>0.93617490998283581</v>
      </c>
    </row>
    <row r="5191" spans="1:2" x14ac:dyDescent="0.2">
      <c r="A5191">
        <v>5185</v>
      </c>
      <c r="B5191">
        <v>0.99364431654160779</v>
      </c>
    </row>
    <row r="5192" spans="1:2" x14ac:dyDescent="0.2">
      <c r="A5192">
        <v>5186</v>
      </c>
      <c r="B5192">
        <v>0.15083827141189887</v>
      </c>
    </row>
    <row r="5193" spans="1:2" x14ac:dyDescent="0.2">
      <c r="A5193">
        <v>5187</v>
      </c>
      <c r="B5193">
        <v>0.52735729636538786</v>
      </c>
    </row>
    <row r="5194" spans="1:2" x14ac:dyDescent="0.2">
      <c r="A5194">
        <v>5188</v>
      </c>
      <c r="B5194">
        <v>4.6345117423167936E-2</v>
      </c>
    </row>
    <row r="5195" spans="1:2" x14ac:dyDescent="0.2">
      <c r="A5195">
        <v>5189</v>
      </c>
      <c r="B5195">
        <v>9.3445449129564317E-2</v>
      </c>
    </row>
    <row r="5196" spans="1:2" x14ac:dyDescent="0.2">
      <c r="A5196">
        <v>5190</v>
      </c>
      <c r="B5196">
        <v>0.8166611120493491</v>
      </c>
    </row>
    <row r="5197" spans="1:2" x14ac:dyDescent="0.2">
      <c r="A5197">
        <v>5191</v>
      </c>
      <c r="B5197">
        <v>0.82739681241888619</v>
      </c>
    </row>
    <row r="5198" spans="1:2" x14ac:dyDescent="0.2">
      <c r="A5198">
        <v>5192</v>
      </c>
      <c r="B5198">
        <v>0.60042951065753547</v>
      </c>
    </row>
    <row r="5199" spans="1:2" x14ac:dyDescent="0.2">
      <c r="A5199">
        <v>5193</v>
      </c>
      <c r="B5199">
        <v>0.86040164754560566</v>
      </c>
    </row>
    <row r="5200" spans="1:2" x14ac:dyDescent="0.2">
      <c r="A5200">
        <v>5194</v>
      </c>
      <c r="B5200">
        <v>0.14879257690867453</v>
      </c>
    </row>
    <row r="5201" spans="1:2" x14ac:dyDescent="0.2">
      <c r="A5201">
        <v>5195</v>
      </c>
      <c r="B5201">
        <v>0.50147312912427233</v>
      </c>
    </row>
    <row r="5202" spans="1:2" x14ac:dyDescent="0.2">
      <c r="A5202">
        <v>5196</v>
      </c>
      <c r="B5202">
        <v>0.71961086097643279</v>
      </c>
    </row>
    <row r="5203" spans="1:2" x14ac:dyDescent="0.2">
      <c r="A5203">
        <v>5197</v>
      </c>
      <c r="B5203">
        <v>0.7979583042841758</v>
      </c>
    </row>
    <row r="5204" spans="1:2" x14ac:dyDescent="0.2">
      <c r="A5204">
        <v>5198</v>
      </c>
      <c r="B5204">
        <v>0.7400208422178417</v>
      </c>
    </row>
    <row r="5205" spans="1:2" x14ac:dyDescent="0.2">
      <c r="A5205">
        <v>5199</v>
      </c>
      <c r="B5205">
        <v>0.8886978025857305</v>
      </c>
    </row>
    <row r="5206" spans="1:2" x14ac:dyDescent="0.2">
      <c r="A5206">
        <v>5200</v>
      </c>
      <c r="B5206">
        <v>0.91089744838170172</v>
      </c>
    </row>
    <row r="5207" spans="1:2" x14ac:dyDescent="0.2">
      <c r="A5207">
        <v>5201</v>
      </c>
      <c r="B5207">
        <v>0.38564812711827812</v>
      </c>
    </row>
    <row r="5208" spans="1:2" x14ac:dyDescent="0.2">
      <c r="A5208">
        <v>5202</v>
      </c>
      <c r="B5208">
        <v>8.483711867815158E-3</v>
      </c>
    </row>
    <row r="5209" spans="1:2" x14ac:dyDescent="0.2">
      <c r="A5209">
        <v>5203</v>
      </c>
      <c r="B5209">
        <v>0.49270647817252666</v>
      </c>
    </row>
    <row r="5210" spans="1:2" x14ac:dyDescent="0.2">
      <c r="A5210">
        <v>5204</v>
      </c>
      <c r="B5210">
        <v>0.24511977599845913</v>
      </c>
    </row>
    <row r="5211" spans="1:2" x14ac:dyDescent="0.2">
      <c r="A5211">
        <v>5205</v>
      </c>
      <c r="B5211">
        <v>0.15270022083284984</v>
      </c>
    </row>
    <row r="5212" spans="1:2" x14ac:dyDescent="0.2">
      <c r="A5212">
        <v>5206</v>
      </c>
      <c r="B5212">
        <v>0.97511128038241601</v>
      </c>
    </row>
    <row r="5213" spans="1:2" x14ac:dyDescent="0.2">
      <c r="A5213">
        <v>5207</v>
      </c>
      <c r="B5213">
        <v>0.52605026254484055</v>
      </c>
    </row>
    <row r="5214" spans="1:2" x14ac:dyDescent="0.2">
      <c r="A5214">
        <v>5208</v>
      </c>
      <c r="B5214">
        <v>0.41246936905764353</v>
      </c>
    </row>
    <row r="5215" spans="1:2" x14ac:dyDescent="0.2">
      <c r="A5215">
        <v>5209</v>
      </c>
      <c r="B5215">
        <v>0.85650940039559664</v>
      </c>
    </row>
    <row r="5216" spans="1:2" x14ac:dyDescent="0.2">
      <c r="A5216">
        <v>5210</v>
      </c>
      <c r="B5216">
        <v>0.26256897940471813</v>
      </c>
    </row>
    <row r="5217" spans="1:2" x14ac:dyDescent="0.2">
      <c r="A5217">
        <v>5211</v>
      </c>
      <c r="B5217">
        <v>0.81919631886249011</v>
      </c>
    </row>
    <row r="5218" spans="1:2" x14ac:dyDescent="0.2">
      <c r="A5218">
        <v>5212</v>
      </c>
      <c r="B5218">
        <v>0.444733315974564</v>
      </c>
    </row>
    <row r="5219" spans="1:2" x14ac:dyDescent="0.2">
      <c r="A5219">
        <v>5213</v>
      </c>
      <c r="B5219">
        <v>0.81490061508866141</v>
      </c>
    </row>
    <row r="5220" spans="1:2" x14ac:dyDescent="0.2">
      <c r="A5220">
        <v>5214</v>
      </c>
      <c r="B5220">
        <v>0.33254669244390855</v>
      </c>
    </row>
    <row r="5221" spans="1:2" x14ac:dyDescent="0.2">
      <c r="A5221">
        <v>5215</v>
      </c>
      <c r="B5221">
        <v>0.66782456895913977</v>
      </c>
    </row>
    <row r="5222" spans="1:2" x14ac:dyDescent="0.2">
      <c r="A5222">
        <v>5216</v>
      </c>
      <c r="B5222">
        <v>0.51999415375292013</v>
      </c>
    </row>
    <row r="5223" spans="1:2" x14ac:dyDescent="0.2">
      <c r="A5223">
        <v>5217</v>
      </c>
      <c r="B5223">
        <v>0.25877452299593284</v>
      </c>
    </row>
    <row r="5224" spans="1:2" x14ac:dyDescent="0.2">
      <c r="A5224">
        <v>5218</v>
      </c>
      <c r="B5224">
        <v>0.42918435252118181</v>
      </c>
    </row>
    <row r="5225" spans="1:2" x14ac:dyDescent="0.2">
      <c r="A5225">
        <v>5219</v>
      </c>
      <c r="B5225">
        <v>0.93691009015032034</v>
      </c>
    </row>
    <row r="5226" spans="1:2" x14ac:dyDescent="0.2">
      <c r="A5226">
        <v>5220</v>
      </c>
      <c r="B5226">
        <v>4.7472031617703636E-2</v>
      </c>
    </row>
    <row r="5227" spans="1:2" x14ac:dyDescent="0.2">
      <c r="A5227">
        <v>5221</v>
      </c>
      <c r="B5227">
        <v>4.4074263032463534E-2</v>
      </c>
    </row>
    <row r="5228" spans="1:2" x14ac:dyDescent="0.2">
      <c r="A5228">
        <v>5222</v>
      </c>
      <c r="B5228">
        <v>0.91485913273313246</v>
      </c>
    </row>
    <row r="5229" spans="1:2" x14ac:dyDescent="0.2">
      <c r="A5229">
        <v>5223</v>
      </c>
      <c r="B5229">
        <v>0.8582601350696607</v>
      </c>
    </row>
    <row r="5230" spans="1:2" x14ac:dyDescent="0.2">
      <c r="A5230">
        <v>5224</v>
      </c>
      <c r="B5230">
        <v>0.36064475655661632</v>
      </c>
    </row>
    <row r="5231" spans="1:2" x14ac:dyDescent="0.2">
      <c r="A5231">
        <v>5225</v>
      </c>
      <c r="B5231">
        <v>0.87294505001616907</v>
      </c>
    </row>
    <row r="5232" spans="1:2" x14ac:dyDescent="0.2">
      <c r="A5232">
        <v>5226</v>
      </c>
      <c r="B5232">
        <v>0.93185781680503366</v>
      </c>
    </row>
    <row r="5233" spans="1:2" x14ac:dyDescent="0.2">
      <c r="A5233">
        <v>5227</v>
      </c>
      <c r="B5233">
        <v>0.71336056005607329</v>
      </c>
    </row>
    <row r="5234" spans="1:2" x14ac:dyDescent="0.2">
      <c r="A5234">
        <v>5228</v>
      </c>
      <c r="B5234">
        <v>0.43514353995696164</v>
      </c>
    </row>
    <row r="5235" spans="1:2" x14ac:dyDescent="0.2">
      <c r="A5235">
        <v>5229</v>
      </c>
      <c r="B5235">
        <v>0.38160592373737034</v>
      </c>
    </row>
    <row r="5236" spans="1:2" x14ac:dyDescent="0.2">
      <c r="A5236">
        <v>5230</v>
      </c>
      <c r="B5236">
        <v>0.16975779457960283</v>
      </c>
    </row>
    <row r="5237" spans="1:2" x14ac:dyDescent="0.2">
      <c r="A5237">
        <v>5231</v>
      </c>
      <c r="B5237">
        <v>0.84056106980065914</v>
      </c>
    </row>
    <row r="5238" spans="1:2" x14ac:dyDescent="0.2">
      <c r="A5238">
        <v>5232</v>
      </c>
      <c r="B5238">
        <v>0.82365336984713289</v>
      </c>
    </row>
    <row r="5239" spans="1:2" x14ac:dyDescent="0.2">
      <c r="A5239">
        <v>5233</v>
      </c>
      <c r="B5239">
        <v>0.63401652001662046</v>
      </c>
    </row>
    <row r="5240" spans="1:2" x14ac:dyDescent="0.2">
      <c r="A5240">
        <v>5234</v>
      </c>
      <c r="B5240">
        <v>2.2519465290170571E-3</v>
      </c>
    </row>
    <row r="5241" spans="1:2" x14ac:dyDescent="0.2">
      <c r="A5241">
        <v>5235</v>
      </c>
      <c r="B5241">
        <v>0.78771746901303796</v>
      </c>
    </row>
    <row r="5242" spans="1:2" x14ac:dyDescent="0.2">
      <c r="A5242">
        <v>5236</v>
      </c>
      <c r="B5242">
        <v>0.4790798967291735</v>
      </c>
    </row>
    <row r="5243" spans="1:2" x14ac:dyDescent="0.2">
      <c r="A5243">
        <v>5237</v>
      </c>
      <c r="B5243">
        <v>0.18943649554233677</v>
      </c>
    </row>
    <row r="5244" spans="1:2" x14ac:dyDescent="0.2">
      <c r="A5244">
        <v>5238</v>
      </c>
      <c r="B5244">
        <v>0.53027036820017215</v>
      </c>
    </row>
    <row r="5245" spans="1:2" x14ac:dyDescent="0.2">
      <c r="A5245">
        <v>5239</v>
      </c>
      <c r="B5245">
        <v>0.34413090347687691</v>
      </c>
    </row>
    <row r="5246" spans="1:2" x14ac:dyDescent="0.2">
      <c r="A5246">
        <v>5240</v>
      </c>
      <c r="B5246">
        <v>0.3056624261184957</v>
      </c>
    </row>
    <row r="5247" spans="1:2" x14ac:dyDescent="0.2">
      <c r="A5247">
        <v>5241</v>
      </c>
      <c r="B5247">
        <v>0.749018489783287</v>
      </c>
    </row>
    <row r="5248" spans="1:2" x14ac:dyDescent="0.2">
      <c r="A5248">
        <v>5242</v>
      </c>
      <c r="B5248">
        <v>0.52072833127450102</v>
      </c>
    </row>
    <row r="5249" spans="1:2" x14ac:dyDescent="0.2">
      <c r="A5249">
        <v>5243</v>
      </c>
      <c r="B5249">
        <v>7.6931579719054288E-2</v>
      </c>
    </row>
    <row r="5250" spans="1:2" x14ac:dyDescent="0.2">
      <c r="A5250">
        <v>5244</v>
      </c>
      <c r="B5250">
        <v>0.43087996905250681</v>
      </c>
    </row>
    <row r="5251" spans="1:2" x14ac:dyDescent="0.2">
      <c r="A5251">
        <v>5245</v>
      </c>
      <c r="B5251">
        <v>0.86961723361647036</v>
      </c>
    </row>
    <row r="5252" spans="1:2" x14ac:dyDescent="0.2">
      <c r="A5252">
        <v>5246</v>
      </c>
      <c r="B5252">
        <v>0.99914872671134503</v>
      </c>
    </row>
    <row r="5253" spans="1:2" x14ac:dyDescent="0.2">
      <c r="A5253">
        <v>5247</v>
      </c>
      <c r="B5253">
        <v>0.81750689747163519</v>
      </c>
    </row>
    <row r="5254" spans="1:2" x14ac:dyDescent="0.2">
      <c r="A5254">
        <v>5248</v>
      </c>
      <c r="B5254">
        <v>0.30124496426528102</v>
      </c>
    </row>
    <row r="5255" spans="1:2" x14ac:dyDescent="0.2">
      <c r="A5255">
        <v>5249</v>
      </c>
      <c r="B5255">
        <v>7.857777594157267E-2</v>
      </c>
    </row>
    <row r="5256" spans="1:2" x14ac:dyDescent="0.2">
      <c r="A5256">
        <v>5250</v>
      </c>
      <c r="B5256">
        <v>0.34661706369705625</v>
      </c>
    </row>
    <row r="5257" spans="1:2" x14ac:dyDescent="0.2">
      <c r="A5257">
        <v>5251</v>
      </c>
      <c r="B5257">
        <v>0.93210791009318983</v>
      </c>
    </row>
    <row r="5258" spans="1:2" x14ac:dyDescent="0.2">
      <c r="A5258">
        <v>5252</v>
      </c>
      <c r="B5258">
        <v>0.69630718976751216</v>
      </c>
    </row>
    <row r="5259" spans="1:2" x14ac:dyDescent="0.2">
      <c r="A5259">
        <v>5253</v>
      </c>
      <c r="B5259">
        <v>0.75762789118275664</v>
      </c>
    </row>
    <row r="5260" spans="1:2" x14ac:dyDescent="0.2">
      <c r="A5260">
        <v>5254</v>
      </c>
      <c r="B5260">
        <v>0.39036285774761081</v>
      </c>
    </row>
    <row r="5261" spans="1:2" x14ac:dyDescent="0.2">
      <c r="A5261">
        <v>5255</v>
      </c>
      <c r="B5261">
        <v>5.4403747614932718E-2</v>
      </c>
    </row>
    <row r="5262" spans="1:2" x14ac:dyDescent="0.2">
      <c r="A5262">
        <v>5256</v>
      </c>
      <c r="B5262">
        <v>0.99800575273053638</v>
      </c>
    </row>
    <row r="5263" spans="1:2" x14ac:dyDescent="0.2">
      <c r="A5263">
        <v>5257</v>
      </c>
      <c r="B5263">
        <v>0.67524378446719713</v>
      </c>
    </row>
    <row r="5264" spans="1:2" x14ac:dyDescent="0.2">
      <c r="A5264">
        <v>5258</v>
      </c>
      <c r="B5264">
        <v>0.68387998222015989</v>
      </c>
    </row>
    <row r="5265" spans="1:2" x14ac:dyDescent="0.2">
      <c r="A5265">
        <v>5259</v>
      </c>
      <c r="B5265">
        <v>0.29217821127070742</v>
      </c>
    </row>
    <row r="5266" spans="1:2" x14ac:dyDescent="0.2">
      <c r="A5266">
        <v>5260</v>
      </c>
      <c r="B5266">
        <v>0.91919011073605472</v>
      </c>
    </row>
    <row r="5267" spans="1:2" x14ac:dyDescent="0.2">
      <c r="A5267">
        <v>5261</v>
      </c>
      <c r="B5267">
        <v>0.608630570849226</v>
      </c>
    </row>
    <row r="5268" spans="1:2" x14ac:dyDescent="0.2">
      <c r="A5268">
        <v>5262</v>
      </c>
      <c r="B5268">
        <v>9.7463739607527411E-2</v>
      </c>
    </row>
    <row r="5269" spans="1:2" x14ac:dyDescent="0.2">
      <c r="A5269">
        <v>5263</v>
      </c>
      <c r="B5269">
        <v>0.70898940196529936</v>
      </c>
    </row>
    <row r="5270" spans="1:2" x14ac:dyDescent="0.2">
      <c r="A5270">
        <v>5264</v>
      </c>
      <c r="B5270">
        <v>0.38170574579361183</v>
      </c>
    </row>
    <row r="5271" spans="1:2" x14ac:dyDescent="0.2">
      <c r="A5271">
        <v>5265</v>
      </c>
      <c r="B5271">
        <v>0.34326004516620745</v>
      </c>
    </row>
    <row r="5272" spans="1:2" x14ac:dyDescent="0.2">
      <c r="A5272">
        <v>5266</v>
      </c>
      <c r="B5272">
        <v>0.19536567594973886</v>
      </c>
    </row>
    <row r="5273" spans="1:2" x14ac:dyDescent="0.2">
      <c r="A5273">
        <v>5267</v>
      </c>
      <c r="B5273">
        <v>0.46973249001426221</v>
      </c>
    </row>
    <row r="5274" spans="1:2" x14ac:dyDescent="0.2">
      <c r="A5274">
        <v>5268</v>
      </c>
      <c r="B5274">
        <v>0.21855686765676541</v>
      </c>
    </row>
    <row r="5275" spans="1:2" x14ac:dyDescent="0.2">
      <c r="A5275">
        <v>5269</v>
      </c>
      <c r="B5275">
        <v>0.333082732602346</v>
      </c>
    </row>
    <row r="5276" spans="1:2" x14ac:dyDescent="0.2">
      <c r="A5276">
        <v>5270</v>
      </c>
      <c r="B5276">
        <v>0.15056250916217262</v>
      </c>
    </row>
    <row r="5277" spans="1:2" x14ac:dyDescent="0.2">
      <c r="A5277">
        <v>5271</v>
      </c>
      <c r="B5277">
        <v>0.21673814188421248</v>
      </c>
    </row>
    <row r="5278" spans="1:2" x14ac:dyDescent="0.2">
      <c r="A5278">
        <v>5272</v>
      </c>
      <c r="B5278">
        <v>0.16896891797257818</v>
      </c>
    </row>
    <row r="5279" spans="1:2" x14ac:dyDescent="0.2">
      <c r="A5279">
        <v>5273</v>
      </c>
      <c r="B5279">
        <v>0.86906531212898541</v>
      </c>
    </row>
    <row r="5280" spans="1:2" x14ac:dyDescent="0.2">
      <c r="A5280">
        <v>5274</v>
      </c>
      <c r="B5280">
        <v>0.13450953821688549</v>
      </c>
    </row>
    <row r="5281" spans="1:2" x14ac:dyDescent="0.2">
      <c r="A5281">
        <v>5275</v>
      </c>
      <c r="B5281">
        <v>0.43883638265444991</v>
      </c>
    </row>
    <row r="5282" spans="1:2" x14ac:dyDescent="0.2">
      <c r="A5282">
        <v>5276</v>
      </c>
      <c r="B5282">
        <v>0.13403452659163251</v>
      </c>
    </row>
    <row r="5283" spans="1:2" x14ac:dyDescent="0.2">
      <c r="A5283">
        <v>5277</v>
      </c>
      <c r="B5283">
        <v>0.57926454572083685</v>
      </c>
    </row>
    <row r="5284" spans="1:2" x14ac:dyDescent="0.2">
      <c r="A5284">
        <v>5278</v>
      </c>
      <c r="B5284">
        <v>0.40721365172499302</v>
      </c>
    </row>
    <row r="5285" spans="1:2" x14ac:dyDescent="0.2">
      <c r="A5285">
        <v>5279</v>
      </c>
      <c r="B5285">
        <v>0.87860337174895409</v>
      </c>
    </row>
    <row r="5286" spans="1:2" x14ac:dyDescent="0.2">
      <c r="A5286">
        <v>5280</v>
      </c>
      <c r="B5286">
        <v>0.84894664387035967</v>
      </c>
    </row>
    <row r="5287" spans="1:2" x14ac:dyDescent="0.2">
      <c r="A5287">
        <v>5281</v>
      </c>
      <c r="B5287">
        <v>0.95102449720289417</v>
      </c>
    </row>
    <row r="5288" spans="1:2" x14ac:dyDescent="0.2">
      <c r="A5288">
        <v>5282</v>
      </c>
      <c r="B5288">
        <v>0.80751636243265446</v>
      </c>
    </row>
    <row r="5289" spans="1:2" x14ac:dyDescent="0.2">
      <c r="A5289">
        <v>5283</v>
      </c>
      <c r="B5289">
        <v>0.43531931444848482</v>
      </c>
    </row>
    <row r="5290" spans="1:2" x14ac:dyDescent="0.2">
      <c r="A5290">
        <v>5284</v>
      </c>
      <c r="B5290">
        <v>0.25156126807882695</v>
      </c>
    </row>
    <row r="5291" spans="1:2" x14ac:dyDescent="0.2">
      <c r="A5291">
        <v>5285</v>
      </c>
      <c r="B5291">
        <v>0.90980977679420227</v>
      </c>
    </row>
    <row r="5292" spans="1:2" x14ac:dyDescent="0.2">
      <c r="A5292">
        <v>5286</v>
      </c>
      <c r="B5292">
        <v>0.80982013388777363</v>
      </c>
    </row>
    <row r="5293" spans="1:2" x14ac:dyDescent="0.2">
      <c r="A5293">
        <v>5287</v>
      </c>
      <c r="B5293">
        <v>0.48150882144909368</v>
      </c>
    </row>
    <row r="5294" spans="1:2" x14ac:dyDescent="0.2">
      <c r="A5294">
        <v>5288</v>
      </c>
      <c r="B5294">
        <v>0.31546230132772124</v>
      </c>
    </row>
    <row r="5295" spans="1:2" x14ac:dyDescent="0.2">
      <c r="A5295">
        <v>5289</v>
      </c>
      <c r="B5295">
        <v>0.89430738397155207</v>
      </c>
    </row>
    <row r="5296" spans="1:2" x14ac:dyDescent="0.2">
      <c r="A5296">
        <v>5290</v>
      </c>
      <c r="B5296">
        <v>0.81126639566729319</v>
      </c>
    </row>
    <row r="5297" spans="1:2" x14ac:dyDescent="0.2">
      <c r="A5297">
        <v>5291</v>
      </c>
      <c r="B5297">
        <v>0.77424950673833082</v>
      </c>
    </row>
    <row r="5298" spans="1:2" x14ac:dyDescent="0.2">
      <c r="A5298">
        <v>5292</v>
      </c>
      <c r="B5298">
        <v>0.2312220676098492</v>
      </c>
    </row>
    <row r="5299" spans="1:2" x14ac:dyDescent="0.2">
      <c r="A5299">
        <v>5293</v>
      </c>
      <c r="B5299">
        <v>0.98520686627721066</v>
      </c>
    </row>
    <row r="5300" spans="1:2" x14ac:dyDescent="0.2">
      <c r="A5300">
        <v>5294</v>
      </c>
      <c r="B5300">
        <v>0.43238566961017666</v>
      </c>
    </row>
    <row r="5301" spans="1:2" x14ac:dyDescent="0.2">
      <c r="A5301">
        <v>5295</v>
      </c>
      <c r="B5301">
        <v>0.8515278801902928</v>
      </c>
    </row>
    <row r="5302" spans="1:2" x14ac:dyDescent="0.2">
      <c r="A5302">
        <v>5296</v>
      </c>
      <c r="B5302">
        <v>1.6480755151114024E-2</v>
      </c>
    </row>
    <row r="5303" spans="1:2" x14ac:dyDescent="0.2">
      <c r="A5303">
        <v>5297</v>
      </c>
      <c r="B5303">
        <v>0.86290842046788474</v>
      </c>
    </row>
    <row r="5304" spans="1:2" x14ac:dyDescent="0.2">
      <c r="A5304">
        <v>5298</v>
      </c>
      <c r="B5304">
        <v>0.29411298675136655</v>
      </c>
    </row>
    <row r="5305" spans="1:2" x14ac:dyDescent="0.2">
      <c r="A5305">
        <v>5299</v>
      </c>
      <c r="B5305">
        <v>6.8511433912639585E-2</v>
      </c>
    </row>
    <row r="5306" spans="1:2" x14ac:dyDescent="0.2">
      <c r="A5306">
        <v>5300</v>
      </c>
      <c r="B5306">
        <v>5.3603602494955216E-2</v>
      </c>
    </row>
    <row r="5307" spans="1:2" x14ac:dyDescent="0.2">
      <c r="A5307">
        <v>5301</v>
      </c>
      <c r="B5307">
        <v>0.44721931579901564</v>
      </c>
    </row>
    <row r="5308" spans="1:2" x14ac:dyDescent="0.2">
      <c r="A5308">
        <v>5302</v>
      </c>
      <c r="B5308">
        <v>0.95650463058352964</v>
      </c>
    </row>
    <row r="5309" spans="1:2" x14ac:dyDescent="0.2">
      <c r="A5309">
        <v>5303</v>
      </c>
      <c r="B5309">
        <v>0.14103486122652986</v>
      </c>
    </row>
    <row r="5310" spans="1:2" x14ac:dyDescent="0.2">
      <c r="A5310">
        <v>5304</v>
      </c>
      <c r="B5310">
        <v>0.81416919478829453</v>
      </c>
    </row>
    <row r="5311" spans="1:2" x14ac:dyDescent="0.2">
      <c r="A5311">
        <v>5305</v>
      </c>
      <c r="B5311">
        <v>0.30848277600895269</v>
      </c>
    </row>
    <row r="5312" spans="1:2" x14ac:dyDescent="0.2">
      <c r="A5312">
        <v>5306</v>
      </c>
      <c r="B5312">
        <v>0.6796779363655614</v>
      </c>
    </row>
    <row r="5313" spans="1:2" x14ac:dyDescent="0.2">
      <c r="A5313">
        <v>5307</v>
      </c>
      <c r="B5313">
        <v>0.80098868834009762</v>
      </c>
    </row>
    <row r="5314" spans="1:2" x14ac:dyDescent="0.2">
      <c r="A5314">
        <v>5308</v>
      </c>
      <c r="B5314">
        <v>0.12536929220756066</v>
      </c>
    </row>
    <row r="5315" spans="1:2" x14ac:dyDescent="0.2">
      <c r="A5315">
        <v>5309</v>
      </c>
      <c r="B5315">
        <v>0.91836976195366193</v>
      </c>
    </row>
    <row r="5316" spans="1:2" x14ac:dyDescent="0.2">
      <c r="A5316">
        <v>5310</v>
      </c>
      <c r="B5316">
        <v>1.9434957338219316E-2</v>
      </c>
    </row>
    <row r="5317" spans="1:2" x14ac:dyDescent="0.2">
      <c r="A5317">
        <v>5311</v>
      </c>
      <c r="B5317">
        <v>0.97480604628417256</v>
      </c>
    </row>
    <row r="5318" spans="1:2" x14ac:dyDescent="0.2">
      <c r="A5318">
        <v>5312</v>
      </c>
      <c r="B5318">
        <v>0.60415288899010922</v>
      </c>
    </row>
    <row r="5319" spans="1:2" x14ac:dyDescent="0.2">
      <c r="A5319">
        <v>5313</v>
      </c>
      <c r="B5319">
        <v>0.49139164591623696</v>
      </c>
    </row>
    <row r="5320" spans="1:2" x14ac:dyDescent="0.2">
      <c r="A5320">
        <v>5314</v>
      </c>
      <c r="B5320">
        <v>0.57378340292663554</v>
      </c>
    </row>
    <row r="5321" spans="1:2" x14ac:dyDescent="0.2">
      <c r="A5321">
        <v>5315</v>
      </c>
      <c r="B5321">
        <v>0.54970491815895084</v>
      </c>
    </row>
    <row r="5322" spans="1:2" x14ac:dyDescent="0.2">
      <c r="A5322">
        <v>5316</v>
      </c>
      <c r="B5322">
        <v>0.57516239271029523</v>
      </c>
    </row>
    <row r="5323" spans="1:2" x14ac:dyDescent="0.2">
      <c r="A5323">
        <v>5317</v>
      </c>
      <c r="B5323">
        <v>0.57434930636052095</v>
      </c>
    </row>
    <row r="5324" spans="1:2" x14ac:dyDescent="0.2">
      <c r="A5324">
        <v>5318</v>
      </c>
      <c r="B5324">
        <v>0.13018964951740186</v>
      </c>
    </row>
    <row r="5325" spans="1:2" x14ac:dyDescent="0.2">
      <c r="A5325">
        <v>5319</v>
      </c>
      <c r="B5325">
        <v>0.306315744217731</v>
      </c>
    </row>
    <row r="5326" spans="1:2" x14ac:dyDescent="0.2">
      <c r="A5326">
        <v>5320</v>
      </c>
      <c r="B5326">
        <v>0.61972326041282488</v>
      </c>
    </row>
    <row r="5327" spans="1:2" x14ac:dyDescent="0.2">
      <c r="A5327">
        <v>5321</v>
      </c>
      <c r="B5327">
        <v>0.79676718128622415</v>
      </c>
    </row>
    <row r="5328" spans="1:2" x14ac:dyDescent="0.2">
      <c r="A5328">
        <v>5322</v>
      </c>
      <c r="B5328">
        <v>0.58643198495702531</v>
      </c>
    </row>
    <row r="5329" spans="1:2" x14ac:dyDescent="0.2">
      <c r="A5329">
        <v>5323</v>
      </c>
      <c r="B5329">
        <v>0.38259374371050703</v>
      </c>
    </row>
    <row r="5330" spans="1:2" x14ac:dyDescent="0.2">
      <c r="A5330">
        <v>5324</v>
      </c>
      <c r="B5330">
        <v>0.69193094121799181</v>
      </c>
    </row>
    <row r="5331" spans="1:2" x14ac:dyDescent="0.2">
      <c r="A5331">
        <v>5325</v>
      </c>
      <c r="B5331">
        <v>0.54316236528226203</v>
      </c>
    </row>
    <row r="5332" spans="1:2" x14ac:dyDescent="0.2">
      <c r="A5332">
        <v>5326</v>
      </c>
      <c r="B5332">
        <v>0.43521444396650766</v>
      </c>
    </row>
    <row r="5333" spans="1:2" x14ac:dyDescent="0.2">
      <c r="A5333">
        <v>5327</v>
      </c>
      <c r="B5333">
        <v>0.52893510069634853</v>
      </c>
    </row>
    <row r="5334" spans="1:2" x14ac:dyDescent="0.2">
      <c r="A5334">
        <v>5328</v>
      </c>
      <c r="B5334">
        <v>0.53039829018522455</v>
      </c>
    </row>
    <row r="5335" spans="1:2" x14ac:dyDescent="0.2">
      <c r="A5335">
        <v>5329</v>
      </c>
      <c r="B5335">
        <v>0.2331550396604809</v>
      </c>
    </row>
    <row r="5336" spans="1:2" x14ac:dyDescent="0.2">
      <c r="A5336">
        <v>5330</v>
      </c>
      <c r="B5336">
        <v>0.98431175331977616</v>
      </c>
    </row>
    <row r="5337" spans="1:2" x14ac:dyDescent="0.2">
      <c r="A5337">
        <v>5331</v>
      </c>
      <c r="B5337">
        <v>0.6738106277904381</v>
      </c>
    </row>
    <row r="5338" spans="1:2" x14ac:dyDescent="0.2">
      <c r="A5338">
        <v>5332</v>
      </c>
      <c r="B5338">
        <v>0.74726829184108512</v>
      </c>
    </row>
    <row r="5339" spans="1:2" x14ac:dyDescent="0.2">
      <c r="A5339">
        <v>5333</v>
      </c>
      <c r="B5339">
        <v>6.4394328325259265E-2</v>
      </c>
    </row>
    <row r="5340" spans="1:2" x14ac:dyDescent="0.2">
      <c r="A5340">
        <v>5334</v>
      </c>
      <c r="B5340">
        <v>0.31719745751379258</v>
      </c>
    </row>
    <row r="5341" spans="1:2" x14ac:dyDescent="0.2">
      <c r="A5341">
        <v>5335</v>
      </c>
      <c r="B5341">
        <v>0.78400798239974423</v>
      </c>
    </row>
    <row r="5342" spans="1:2" x14ac:dyDescent="0.2">
      <c r="A5342">
        <v>5336</v>
      </c>
      <c r="B5342">
        <v>0.23486683039627909</v>
      </c>
    </row>
    <row r="5343" spans="1:2" x14ac:dyDescent="0.2">
      <c r="A5343">
        <v>5337</v>
      </c>
      <c r="B5343">
        <v>0.79697599241283834</v>
      </c>
    </row>
    <row r="5344" spans="1:2" x14ac:dyDescent="0.2">
      <c r="A5344">
        <v>5338</v>
      </c>
      <c r="B5344">
        <v>0.73698262209885379</v>
      </c>
    </row>
    <row r="5345" spans="1:2" x14ac:dyDescent="0.2">
      <c r="A5345">
        <v>5339</v>
      </c>
      <c r="B5345">
        <v>3.9625930696531864E-3</v>
      </c>
    </row>
    <row r="5346" spans="1:2" x14ac:dyDescent="0.2">
      <c r="A5346">
        <v>5340</v>
      </c>
      <c r="B5346">
        <v>0.91998011823567305</v>
      </c>
    </row>
    <row r="5347" spans="1:2" x14ac:dyDescent="0.2">
      <c r="A5347">
        <v>5341</v>
      </c>
      <c r="B5347">
        <v>2.2246962672771375E-2</v>
      </c>
    </row>
    <row r="5348" spans="1:2" x14ac:dyDescent="0.2">
      <c r="A5348">
        <v>5342</v>
      </c>
      <c r="B5348">
        <v>9.2643899006764618E-2</v>
      </c>
    </row>
    <row r="5349" spans="1:2" x14ac:dyDescent="0.2">
      <c r="A5349">
        <v>5343</v>
      </c>
      <c r="B5349">
        <v>0.2133131432614559</v>
      </c>
    </row>
    <row r="5350" spans="1:2" x14ac:dyDescent="0.2">
      <c r="A5350">
        <v>5344</v>
      </c>
      <c r="B5350">
        <v>0.90497183286471328</v>
      </c>
    </row>
    <row r="5351" spans="1:2" x14ac:dyDescent="0.2">
      <c r="A5351">
        <v>5345</v>
      </c>
      <c r="B5351">
        <v>0.94784096587177846</v>
      </c>
    </row>
    <row r="5352" spans="1:2" x14ac:dyDescent="0.2">
      <c r="A5352">
        <v>5346</v>
      </c>
      <c r="B5352">
        <v>0.14493915715515193</v>
      </c>
    </row>
    <row r="5353" spans="1:2" x14ac:dyDescent="0.2">
      <c r="A5353">
        <v>5347</v>
      </c>
      <c r="B5353">
        <v>0.65458262160111647</v>
      </c>
    </row>
    <row r="5354" spans="1:2" x14ac:dyDescent="0.2">
      <c r="A5354">
        <v>5348</v>
      </c>
      <c r="B5354">
        <v>0.74007016580018214</v>
      </c>
    </row>
    <row r="5355" spans="1:2" x14ac:dyDescent="0.2">
      <c r="A5355">
        <v>5349</v>
      </c>
      <c r="B5355">
        <v>0.52739104553975569</v>
      </c>
    </row>
    <row r="5356" spans="1:2" x14ac:dyDescent="0.2">
      <c r="A5356">
        <v>5350</v>
      </c>
      <c r="B5356">
        <v>0.64983648876853617</v>
      </c>
    </row>
    <row r="5357" spans="1:2" x14ac:dyDescent="0.2">
      <c r="A5357">
        <v>5351</v>
      </c>
      <c r="B5357">
        <v>0.13727448750361559</v>
      </c>
    </row>
    <row r="5358" spans="1:2" x14ac:dyDescent="0.2">
      <c r="A5358">
        <v>5352</v>
      </c>
      <c r="B5358">
        <v>0.18193409332861721</v>
      </c>
    </row>
    <row r="5359" spans="1:2" x14ac:dyDescent="0.2">
      <c r="A5359">
        <v>5353</v>
      </c>
      <c r="B5359">
        <v>0.22478840964329239</v>
      </c>
    </row>
    <row r="5360" spans="1:2" x14ac:dyDescent="0.2">
      <c r="A5360">
        <v>5354</v>
      </c>
      <c r="B5360">
        <v>0.25122441728792821</v>
      </c>
    </row>
    <row r="5361" spans="1:2" x14ac:dyDescent="0.2">
      <c r="A5361">
        <v>5355</v>
      </c>
      <c r="B5361">
        <v>0.99674000373822336</v>
      </c>
    </row>
    <row r="5362" spans="1:2" x14ac:dyDescent="0.2">
      <c r="A5362">
        <v>5356</v>
      </c>
      <c r="B5362">
        <v>0.81651953941325983</v>
      </c>
    </row>
    <row r="5363" spans="1:2" x14ac:dyDescent="0.2">
      <c r="A5363">
        <v>5357</v>
      </c>
      <c r="B5363">
        <v>0.36043725918559599</v>
      </c>
    </row>
    <row r="5364" spans="1:2" x14ac:dyDescent="0.2">
      <c r="A5364">
        <v>5358</v>
      </c>
      <c r="B5364">
        <v>0.26585050221802675</v>
      </c>
    </row>
    <row r="5365" spans="1:2" x14ac:dyDescent="0.2">
      <c r="A5365">
        <v>5359</v>
      </c>
      <c r="B5365">
        <v>0.26725482067215223</v>
      </c>
    </row>
    <row r="5366" spans="1:2" x14ac:dyDescent="0.2">
      <c r="A5366">
        <v>5360</v>
      </c>
      <c r="B5366">
        <v>0.87250292257382633</v>
      </c>
    </row>
    <row r="5367" spans="1:2" x14ac:dyDescent="0.2">
      <c r="A5367">
        <v>5361</v>
      </c>
      <c r="B5367">
        <v>0.16398767283033144</v>
      </c>
    </row>
    <row r="5368" spans="1:2" x14ac:dyDescent="0.2">
      <c r="A5368">
        <v>5362</v>
      </c>
      <c r="B5368">
        <v>0.38097241880817467</v>
      </c>
    </row>
    <row r="5369" spans="1:2" x14ac:dyDescent="0.2">
      <c r="A5369">
        <v>5363</v>
      </c>
      <c r="B5369">
        <v>0.19641476363129162</v>
      </c>
    </row>
    <row r="5370" spans="1:2" x14ac:dyDescent="0.2">
      <c r="A5370">
        <v>5364</v>
      </c>
      <c r="B5370">
        <v>0.22133834771380789</v>
      </c>
    </row>
    <row r="5371" spans="1:2" x14ac:dyDescent="0.2">
      <c r="A5371">
        <v>5365</v>
      </c>
      <c r="B5371">
        <v>0.8798611722702907</v>
      </c>
    </row>
    <row r="5372" spans="1:2" x14ac:dyDescent="0.2">
      <c r="A5372">
        <v>5366</v>
      </c>
      <c r="B5372">
        <v>0.52871209892164162</v>
      </c>
    </row>
    <row r="5373" spans="1:2" x14ac:dyDescent="0.2">
      <c r="A5373">
        <v>5367</v>
      </c>
      <c r="B5373">
        <v>0.32117628449269142</v>
      </c>
    </row>
    <row r="5374" spans="1:2" x14ac:dyDescent="0.2">
      <c r="A5374">
        <v>5368</v>
      </c>
      <c r="B5374">
        <v>0.88066762954694688</v>
      </c>
    </row>
    <row r="5375" spans="1:2" x14ac:dyDescent="0.2">
      <c r="A5375">
        <v>5369</v>
      </c>
      <c r="B5375">
        <v>0.7004955421480189</v>
      </c>
    </row>
    <row r="5376" spans="1:2" x14ac:dyDescent="0.2">
      <c r="A5376">
        <v>5370</v>
      </c>
      <c r="B5376">
        <v>0.549672881472409</v>
      </c>
    </row>
    <row r="5377" spans="1:2" x14ac:dyDescent="0.2">
      <c r="A5377">
        <v>5371</v>
      </c>
      <c r="B5377">
        <v>0.84275636653502251</v>
      </c>
    </row>
    <row r="5378" spans="1:2" x14ac:dyDescent="0.2">
      <c r="A5378">
        <v>5372</v>
      </c>
      <c r="B5378">
        <v>7.435021674335085E-2</v>
      </c>
    </row>
    <row r="5379" spans="1:2" x14ac:dyDescent="0.2">
      <c r="A5379">
        <v>5373</v>
      </c>
      <c r="B5379">
        <v>0.83123261951823324</v>
      </c>
    </row>
    <row r="5380" spans="1:2" x14ac:dyDescent="0.2">
      <c r="A5380">
        <v>5374</v>
      </c>
      <c r="B5380">
        <v>0.84647928886100887</v>
      </c>
    </row>
    <row r="5381" spans="1:2" x14ac:dyDescent="0.2">
      <c r="A5381">
        <v>5375</v>
      </c>
      <c r="B5381">
        <v>0.37725564511763121</v>
      </c>
    </row>
    <row r="5382" spans="1:2" x14ac:dyDescent="0.2">
      <c r="A5382">
        <v>5376</v>
      </c>
      <c r="B5382">
        <v>0.63459022912383578</v>
      </c>
    </row>
    <row r="5383" spans="1:2" x14ac:dyDescent="0.2">
      <c r="A5383">
        <v>5377</v>
      </c>
      <c r="B5383">
        <v>0.5176800619448273</v>
      </c>
    </row>
    <row r="5384" spans="1:2" x14ac:dyDescent="0.2">
      <c r="A5384">
        <v>5378</v>
      </c>
      <c r="B5384">
        <v>0.72507479879207903</v>
      </c>
    </row>
    <row r="5385" spans="1:2" x14ac:dyDescent="0.2">
      <c r="A5385">
        <v>5379</v>
      </c>
      <c r="B5385">
        <v>0.28275032914862785</v>
      </c>
    </row>
    <row r="5386" spans="1:2" x14ac:dyDescent="0.2">
      <c r="A5386">
        <v>5380</v>
      </c>
      <c r="B5386">
        <v>0.27189166891626071</v>
      </c>
    </row>
    <row r="5387" spans="1:2" x14ac:dyDescent="0.2">
      <c r="A5387">
        <v>5381</v>
      </c>
      <c r="B5387">
        <v>0.81915735559882097</v>
      </c>
    </row>
    <row r="5388" spans="1:2" x14ac:dyDescent="0.2">
      <c r="A5388">
        <v>5382</v>
      </c>
      <c r="B5388">
        <v>9.9985723430718099E-2</v>
      </c>
    </row>
    <row r="5389" spans="1:2" x14ac:dyDescent="0.2">
      <c r="A5389">
        <v>5383</v>
      </c>
      <c r="B5389">
        <v>0.39229355475339212</v>
      </c>
    </row>
    <row r="5390" spans="1:2" x14ac:dyDescent="0.2">
      <c r="A5390">
        <v>5384</v>
      </c>
      <c r="B5390">
        <v>0.20686340628659639</v>
      </c>
    </row>
    <row r="5391" spans="1:2" x14ac:dyDescent="0.2">
      <c r="A5391">
        <v>5385</v>
      </c>
      <c r="B5391">
        <v>0.24198949660046121</v>
      </c>
    </row>
    <row r="5392" spans="1:2" x14ac:dyDescent="0.2">
      <c r="A5392">
        <v>5386</v>
      </c>
      <c r="B5392">
        <v>0.97091499471215648</v>
      </c>
    </row>
    <row r="5393" spans="1:2" x14ac:dyDescent="0.2">
      <c r="A5393">
        <v>5387</v>
      </c>
      <c r="B5393">
        <v>0.54250865575487095</v>
      </c>
    </row>
    <row r="5394" spans="1:2" x14ac:dyDescent="0.2">
      <c r="A5394">
        <v>5388</v>
      </c>
      <c r="B5394">
        <v>0.6860086923466252</v>
      </c>
    </row>
    <row r="5395" spans="1:2" x14ac:dyDescent="0.2">
      <c r="A5395">
        <v>5389</v>
      </c>
      <c r="B5395">
        <v>0.70050769229030974</v>
      </c>
    </row>
    <row r="5396" spans="1:2" x14ac:dyDescent="0.2">
      <c r="A5396">
        <v>5390</v>
      </c>
      <c r="B5396">
        <v>2.3447852583727391E-2</v>
      </c>
    </row>
    <row r="5397" spans="1:2" x14ac:dyDescent="0.2">
      <c r="A5397">
        <v>5391</v>
      </c>
      <c r="B5397">
        <v>0.60523559992578313</v>
      </c>
    </row>
    <row r="5398" spans="1:2" x14ac:dyDescent="0.2">
      <c r="A5398">
        <v>5392</v>
      </c>
      <c r="B5398">
        <v>0.50945290017276135</v>
      </c>
    </row>
    <row r="5399" spans="1:2" x14ac:dyDescent="0.2">
      <c r="A5399">
        <v>5393</v>
      </c>
      <c r="B5399">
        <v>0.19433506732462846</v>
      </c>
    </row>
    <row r="5400" spans="1:2" x14ac:dyDescent="0.2">
      <c r="A5400">
        <v>5394</v>
      </c>
      <c r="B5400">
        <v>3.3230020433247298E-2</v>
      </c>
    </row>
    <row r="5401" spans="1:2" x14ac:dyDescent="0.2">
      <c r="A5401">
        <v>5395</v>
      </c>
      <c r="B5401">
        <v>5.4857449552919713E-2</v>
      </c>
    </row>
    <row r="5402" spans="1:2" x14ac:dyDescent="0.2">
      <c r="A5402">
        <v>5396</v>
      </c>
      <c r="B5402">
        <v>0.39812602249513607</v>
      </c>
    </row>
    <row r="5403" spans="1:2" x14ac:dyDescent="0.2">
      <c r="A5403">
        <v>5397</v>
      </c>
      <c r="B5403">
        <v>0.20851140964901427</v>
      </c>
    </row>
    <row r="5404" spans="1:2" x14ac:dyDescent="0.2">
      <c r="A5404">
        <v>5398</v>
      </c>
      <c r="B5404">
        <v>0.2958182061003527</v>
      </c>
    </row>
    <row r="5405" spans="1:2" x14ac:dyDescent="0.2">
      <c r="A5405">
        <v>5399</v>
      </c>
      <c r="B5405">
        <v>9.4155238701500554E-2</v>
      </c>
    </row>
    <row r="5406" spans="1:2" x14ac:dyDescent="0.2">
      <c r="A5406">
        <v>5400</v>
      </c>
      <c r="B5406">
        <v>0.11989030465510142</v>
      </c>
    </row>
    <row r="5407" spans="1:2" x14ac:dyDescent="0.2">
      <c r="A5407">
        <v>5401</v>
      </c>
      <c r="B5407">
        <v>0.14490986319643406</v>
      </c>
    </row>
    <row r="5408" spans="1:2" x14ac:dyDescent="0.2">
      <c r="A5408">
        <v>5402</v>
      </c>
      <c r="B5408">
        <v>1.954689593279435E-2</v>
      </c>
    </row>
    <row r="5409" spans="1:2" x14ac:dyDescent="0.2">
      <c r="A5409">
        <v>5403</v>
      </c>
      <c r="B5409">
        <v>0.20257305664643421</v>
      </c>
    </row>
    <row r="5410" spans="1:2" x14ac:dyDescent="0.2">
      <c r="A5410">
        <v>5404</v>
      </c>
      <c r="B5410">
        <v>0.30301796884246857</v>
      </c>
    </row>
    <row r="5411" spans="1:2" x14ac:dyDescent="0.2">
      <c r="A5411">
        <v>5405</v>
      </c>
      <c r="B5411">
        <v>5.6663965544595629E-2</v>
      </c>
    </row>
    <row r="5412" spans="1:2" x14ac:dyDescent="0.2">
      <c r="A5412">
        <v>5406</v>
      </c>
      <c r="B5412">
        <v>0.26431161788257218</v>
      </c>
    </row>
    <row r="5413" spans="1:2" x14ac:dyDescent="0.2">
      <c r="A5413">
        <v>5407</v>
      </c>
      <c r="B5413">
        <v>0.30014340966380992</v>
      </c>
    </row>
    <row r="5414" spans="1:2" x14ac:dyDescent="0.2">
      <c r="A5414">
        <v>5408</v>
      </c>
      <c r="B5414">
        <v>0.47218955308187172</v>
      </c>
    </row>
    <row r="5415" spans="1:2" x14ac:dyDescent="0.2">
      <c r="A5415">
        <v>5409</v>
      </c>
      <c r="B5415">
        <v>0.29826001406873681</v>
      </c>
    </row>
    <row r="5416" spans="1:2" x14ac:dyDescent="0.2">
      <c r="A5416">
        <v>5410</v>
      </c>
      <c r="B5416">
        <v>0.90624060651996263</v>
      </c>
    </row>
    <row r="5417" spans="1:2" x14ac:dyDescent="0.2">
      <c r="A5417">
        <v>5411</v>
      </c>
      <c r="B5417">
        <v>0.37106788581770545</v>
      </c>
    </row>
    <row r="5418" spans="1:2" x14ac:dyDescent="0.2">
      <c r="A5418">
        <v>5412</v>
      </c>
      <c r="B5418">
        <v>0.39738341716440595</v>
      </c>
    </row>
    <row r="5419" spans="1:2" x14ac:dyDescent="0.2">
      <c r="A5419">
        <v>5413</v>
      </c>
      <c r="B5419">
        <v>0.39885290624010827</v>
      </c>
    </row>
    <row r="5420" spans="1:2" x14ac:dyDescent="0.2">
      <c r="A5420">
        <v>5414</v>
      </c>
      <c r="B5420">
        <v>0.72160592196156681</v>
      </c>
    </row>
    <row r="5421" spans="1:2" x14ac:dyDescent="0.2">
      <c r="A5421">
        <v>5415</v>
      </c>
      <c r="B5421">
        <v>0.25039286282440854</v>
      </c>
    </row>
    <row r="5422" spans="1:2" x14ac:dyDescent="0.2">
      <c r="A5422">
        <v>5416</v>
      </c>
      <c r="B5422">
        <v>0.93461365639071425</v>
      </c>
    </row>
    <row r="5423" spans="1:2" x14ac:dyDescent="0.2">
      <c r="A5423">
        <v>5417</v>
      </c>
      <c r="B5423">
        <v>0.54529260910614763</v>
      </c>
    </row>
    <row r="5424" spans="1:2" x14ac:dyDescent="0.2">
      <c r="A5424">
        <v>5418</v>
      </c>
      <c r="B5424">
        <v>3.5408822741032298E-2</v>
      </c>
    </row>
    <row r="5425" spans="1:2" x14ac:dyDescent="0.2">
      <c r="A5425">
        <v>5419</v>
      </c>
      <c r="B5425">
        <v>0.24106394745982629</v>
      </c>
    </row>
    <row r="5426" spans="1:2" x14ac:dyDescent="0.2">
      <c r="A5426">
        <v>5420</v>
      </c>
      <c r="B5426">
        <v>0.33702620653178628</v>
      </c>
    </row>
    <row r="5427" spans="1:2" x14ac:dyDescent="0.2">
      <c r="A5427">
        <v>5421</v>
      </c>
      <c r="B5427">
        <v>0.4802447901298551</v>
      </c>
    </row>
    <row r="5428" spans="1:2" x14ac:dyDescent="0.2">
      <c r="A5428">
        <v>5422</v>
      </c>
      <c r="B5428">
        <v>0.13600245173647996</v>
      </c>
    </row>
    <row r="5429" spans="1:2" x14ac:dyDescent="0.2">
      <c r="A5429">
        <v>5423</v>
      </c>
      <c r="B5429">
        <v>0.72613932833373362</v>
      </c>
    </row>
    <row r="5430" spans="1:2" x14ac:dyDescent="0.2">
      <c r="A5430">
        <v>5424</v>
      </c>
      <c r="B5430">
        <v>0.79871651898134854</v>
      </c>
    </row>
    <row r="5431" spans="1:2" x14ac:dyDescent="0.2">
      <c r="A5431">
        <v>5425</v>
      </c>
      <c r="B5431">
        <v>0.67562287756841133</v>
      </c>
    </row>
    <row r="5432" spans="1:2" x14ac:dyDescent="0.2">
      <c r="A5432">
        <v>5426</v>
      </c>
      <c r="B5432">
        <v>0.90820033597594341</v>
      </c>
    </row>
    <row r="5433" spans="1:2" x14ac:dyDescent="0.2">
      <c r="A5433">
        <v>5427</v>
      </c>
      <c r="B5433">
        <v>0.84496300041822148</v>
      </c>
    </row>
    <row r="5434" spans="1:2" x14ac:dyDescent="0.2">
      <c r="A5434">
        <v>5428</v>
      </c>
      <c r="B5434">
        <v>0.62603629205927236</v>
      </c>
    </row>
    <row r="5435" spans="1:2" x14ac:dyDescent="0.2">
      <c r="A5435">
        <v>5429</v>
      </c>
      <c r="B5435">
        <v>0.72054708240009591</v>
      </c>
    </row>
    <row r="5436" spans="1:2" x14ac:dyDescent="0.2">
      <c r="A5436">
        <v>5430</v>
      </c>
      <c r="B5436">
        <v>0.41734337703859203</v>
      </c>
    </row>
    <row r="5437" spans="1:2" x14ac:dyDescent="0.2">
      <c r="A5437">
        <v>5431</v>
      </c>
      <c r="B5437">
        <v>0.44449577015163988</v>
      </c>
    </row>
    <row r="5438" spans="1:2" x14ac:dyDescent="0.2">
      <c r="A5438">
        <v>5432</v>
      </c>
      <c r="B5438">
        <v>8.0190446346343203E-3</v>
      </c>
    </row>
    <row r="5439" spans="1:2" x14ac:dyDescent="0.2">
      <c r="A5439">
        <v>5433</v>
      </c>
      <c r="B5439">
        <v>9.8904106589264407E-2</v>
      </c>
    </row>
    <row r="5440" spans="1:2" x14ac:dyDescent="0.2">
      <c r="A5440">
        <v>5434</v>
      </c>
      <c r="B5440">
        <v>0.72339593667452073</v>
      </c>
    </row>
    <row r="5441" spans="1:2" x14ac:dyDescent="0.2">
      <c r="A5441">
        <v>5435</v>
      </c>
      <c r="B5441">
        <v>4.4560487524484826E-2</v>
      </c>
    </row>
    <row r="5442" spans="1:2" x14ac:dyDescent="0.2">
      <c r="A5442">
        <v>5436</v>
      </c>
      <c r="B5442">
        <v>0.50501531179250658</v>
      </c>
    </row>
    <row r="5443" spans="1:2" x14ac:dyDescent="0.2">
      <c r="A5443">
        <v>5437</v>
      </c>
      <c r="B5443">
        <v>0.98439969502426672</v>
      </c>
    </row>
    <row r="5444" spans="1:2" x14ac:dyDescent="0.2">
      <c r="A5444">
        <v>5438</v>
      </c>
      <c r="B5444">
        <v>0.57029786449711051</v>
      </c>
    </row>
    <row r="5445" spans="1:2" x14ac:dyDescent="0.2">
      <c r="A5445">
        <v>5439</v>
      </c>
      <c r="B5445">
        <v>0.27744137084673759</v>
      </c>
    </row>
    <row r="5446" spans="1:2" x14ac:dyDescent="0.2">
      <c r="A5446">
        <v>5440</v>
      </c>
      <c r="B5446">
        <v>0.29812568589847221</v>
      </c>
    </row>
    <row r="5447" spans="1:2" x14ac:dyDescent="0.2">
      <c r="A5447">
        <v>5441</v>
      </c>
      <c r="B5447">
        <v>0.58889110680160717</v>
      </c>
    </row>
    <row r="5448" spans="1:2" x14ac:dyDescent="0.2">
      <c r="A5448">
        <v>5442</v>
      </c>
      <c r="B5448">
        <v>4.4480939261893337E-2</v>
      </c>
    </row>
    <row r="5449" spans="1:2" x14ac:dyDescent="0.2">
      <c r="A5449">
        <v>5443</v>
      </c>
      <c r="B5449">
        <v>0.32635791392772251</v>
      </c>
    </row>
    <row r="5450" spans="1:2" x14ac:dyDescent="0.2">
      <c r="A5450">
        <v>5444</v>
      </c>
      <c r="B5450">
        <v>0.78177625758314262</v>
      </c>
    </row>
    <row r="5451" spans="1:2" x14ac:dyDescent="0.2">
      <c r="A5451">
        <v>5445</v>
      </c>
      <c r="B5451">
        <v>0.84550333760258478</v>
      </c>
    </row>
    <row r="5452" spans="1:2" x14ac:dyDescent="0.2">
      <c r="A5452">
        <v>5446</v>
      </c>
      <c r="B5452">
        <v>0.58404720077084482</v>
      </c>
    </row>
    <row r="5453" spans="1:2" x14ac:dyDescent="0.2">
      <c r="A5453">
        <v>5447</v>
      </c>
      <c r="B5453">
        <v>0.26969826548663944</v>
      </c>
    </row>
    <row r="5454" spans="1:2" x14ac:dyDescent="0.2">
      <c r="A5454">
        <v>5448</v>
      </c>
      <c r="B5454">
        <v>0.935733845741756</v>
      </c>
    </row>
    <row r="5455" spans="1:2" x14ac:dyDescent="0.2">
      <c r="A5455">
        <v>5449</v>
      </c>
      <c r="B5455">
        <v>0.70038989836742693</v>
      </c>
    </row>
    <row r="5456" spans="1:2" x14ac:dyDescent="0.2">
      <c r="A5456">
        <v>5450</v>
      </c>
      <c r="B5456">
        <v>0.44252151797032968</v>
      </c>
    </row>
    <row r="5457" spans="1:2" x14ac:dyDescent="0.2">
      <c r="A5457">
        <v>5451</v>
      </c>
      <c r="B5457">
        <v>0.31707068976333197</v>
      </c>
    </row>
    <row r="5458" spans="1:2" x14ac:dyDescent="0.2">
      <c r="A5458">
        <v>5452</v>
      </c>
      <c r="B5458">
        <v>0.75702857181911054</v>
      </c>
    </row>
    <row r="5459" spans="1:2" x14ac:dyDescent="0.2">
      <c r="A5459">
        <v>5453</v>
      </c>
      <c r="B5459">
        <v>0.38275747771684066</v>
      </c>
    </row>
    <row r="5460" spans="1:2" x14ac:dyDescent="0.2">
      <c r="A5460">
        <v>5454</v>
      </c>
      <c r="B5460">
        <v>0.58350174338195504</v>
      </c>
    </row>
    <row r="5461" spans="1:2" x14ac:dyDescent="0.2">
      <c r="A5461">
        <v>5455</v>
      </c>
      <c r="B5461">
        <v>0.9012787914161714</v>
      </c>
    </row>
    <row r="5462" spans="1:2" x14ac:dyDescent="0.2">
      <c r="A5462">
        <v>5456</v>
      </c>
      <c r="B5462">
        <v>0.20414564293424109</v>
      </c>
    </row>
    <row r="5463" spans="1:2" x14ac:dyDescent="0.2">
      <c r="A5463">
        <v>5457</v>
      </c>
      <c r="B5463">
        <v>0.96598582010405842</v>
      </c>
    </row>
    <row r="5464" spans="1:2" x14ac:dyDescent="0.2">
      <c r="A5464">
        <v>5458</v>
      </c>
      <c r="B5464">
        <v>0.19213823649772621</v>
      </c>
    </row>
    <row r="5465" spans="1:2" x14ac:dyDescent="0.2">
      <c r="A5465">
        <v>5459</v>
      </c>
      <c r="B5465">
        <v>0.36441908061459094</v>
      </c>
    </row>
    <row r="5466" spans="1:2" x14ac:dyDescent="0.2">
      <c r="A5466">
        <v>5460</v>
      </c>
      <c r="B5466">
        <v>0.27314316835444896</v>
      </c>
    </row>
    <row r="5467" spans="1:2" x14ac:dyDescent="0.2">
      <c r="A5467">
        <v>5461</v>
      </c>
      <c r="B5467">
        <v>0.98456679167099515</v>
      </c>
    </row>
    <row r="5468" spans="1:2" x14ac:dyDescent="0.2">
      <c r="A5468">
        <v>5462</v>
      </c>
      <c r="B5468">
        <v>0.16339076856405566</v>
      </c>
    </row>
    <row r="5469" spans="1:2" x14ac:dyDescent="0.2">
      <c r="A5469">
        <v>5463</v>
      </c>
      <c r="B5469">
        <v>0.31669736688308014</v>
      </c>
    </row>
    <row r="5470" spans="1:2" x14ac:dyDescent="0.2">
      <c r="A5470">
        <v>5464</v>
      </c>
      <c r="B5470">
        <v>0.91266740206790575</v>
      </c>
    </row>
    <row r="5471" spans="1:2" x14ac:dyDescent="0.2">
      <c r="A5471">
        <v>5465</v>
      </c>
      <c r="B5471">
        <v>1.4377203311551789E-2</v>
      </c>
    </row>
    <row r="5472" spans="1:2" x14ac:dyDescent="0.2">
      <c r="A5472">
        <v>5466</v>
      </c>
      <c r="B5472">
        <v>0.69208632547556315</v>
      </c>
    </row>
    <row r="5473" spans="1:2" x14ac:dyDescent="0.2">
      <c r="A5473">
        <v>5467</v>
      </c>
      <c r="B5473">
        <v>0.48478653086355639</v>
      </c>
    </row>
    <row r="5474" spans="1:2" x14ac:dyDescent="0.2">
      <c r="A5474">
        <v>5468</v>
      </c>
      <c r="B5474">
        <v>0.5164466129905263</v>
      </c>
    </row>
    <row r="5475" spans="1:2" x14ac:dyDescent="0.2">
      <c r="A5475">
        <v>5469</v>
      </c>
      <c r="B5475">
        <v>0.90853963114199265</v>
      </c>
    </row>
    <row r="5476" spans="1:2" x14ac:dyDescent="0.2">
      <c r="A5476">
        <v>5470</v>
      </c>
      <c r="B5476">
        <v>0.49446947063849689</v>
      </c>
    </row>
    <row r="5477" spans="1:2" x14ac:dyDescent="0.2">
      <c r="A5477">
        <v>5471</v>
      </c>
      <c r="B5477">
        <v>0.76461523430230549</v>
      </c>
    </row>
    <row r="5478" spans="1:2" x14ac:dyDescent="0.2">
      <c r="A5478">
        <v>5472</v>
      </c>
      <c r="B5478">
        <v>0.42583933713580091</v>
      </c>
    </row>
    <row r="5479" spans="1:2" x14ac:dyDescent="0.2">
      <c r="A5479">
        <v>5473</v>
      </c>
      <c r="B5479">
        <v>0.11066929385850743</v>
      </c>
    </row>
    <row r="5480" spans="1:2" x14ac:dyDescent="0.2">
      <c r="A5480">
        <v>5474</v>
      </c>
      <c r="B5480">
        <v>0.39200000599852425</v>
      </c>
    </row>
    <row r="5481" spans="1:2" x14ac:dyDescent="0.2">
      <c r="A5481">
        <v>5475</v>
      </c>
      <c r="B5481">
        <v>0.64132342318424829</v>
      </c>
    </row>
    <row r="5482" spans="1:2" x14ac:dyDescent="0.2">
      <c r="A5482">
        <v>5476</v>
      </c>
      <c r="B5482">
        <v>0.22183538994296759</v>
      </c>
    </row>
    <row r="5483" spans="1:2" x14ac:dyDescent="0.2">
      <c r="A5483">
        <v>5477</v>
      </c>
      <c r="B5483">
        <v>0.55547710899488723</v>
      </c>
    </row>
    <row r="5484" spans="1:2" x14ac:dyDescent="0.2">
      <c r="A5484">
        <v>5478</v>
      </c>
      <c r="B5484">
        <v>0.15985501814202296</v>
      </c>
    </row>
    <row r="5485" spans="1:2" x14ac:dyDescent="0.2">
      <c r="A5485">
        <v>5479</v>
      </c>
      <c r="B5485">
        <v>0.44729970223010573</v>
      </c>
    </row>
    <row r="5486" spans="1:2" x14ac:dyDescent="0.2">
      <c r="A5486">
        <v>5480</v>
      </c>
      <c r="B5486">
        <v>0.82644440742871694</v>
      </c>
    </row>
    <row r="5487" spans="1:2" x14ac:dyDescent="0.2">
      <c r="A5487">
        <v>5481</v>
      </c>
      <c r="B5487">
        <v>0.61249214463682822</v>
      </c>
    </row>
    <row r="5488" spans="1:2" x14ac:dyDescent="0.2">
      <c r="A5488">
        <v>5482</v>
      </c>
      <c r="B5488">
        <v>0.16618976141471853</v>
      </c>
    </row>
    <row r="5489" spans="1:2" x14ac:dyDescent="0.2">
      <c r="A5489">
        <v>5483</v>
      </c>
      <c r="B5489">
        <v>0.99969660278973915</v>
      </c>
    </row>
    <row r="5490" spans="1:2" x14ac:dyDescent="0.2">
      <c r="A5490">
        <v>5484</v>
      </c>
      <c r="B5490">
        <v>0.17870685480413562</v>
      </c>
    </row>
    <row r="5491" spans="1:2" x14ac:dyDescent="0.2">
      <c r="A5491">
        <v>5485</v>
      </c>
      <c r="B5491">
        <v>0.87228905188444184</v>
      </c>
    </row>
    <row r="5492" spans="1:2" x14ac:dyDescent="0.2">
      <c r="A5492">
        <v>5486</v>
      </c>
      <c r="B5492">
        <v>0.85068733743693858</v>
      </c>
    </row>
    <row r="5493" spans="1:2" x14ac:dyDescent="0.2">
      <c r="A5493">
        <v>5487</v>
      </c>
      <c r="B5493">
        <v>0.64110366014380582</v>
      </c>
    </row>
    <row r="5494" spans="1:2" x14ac:dyDescent="0.2">
      <c r="A5494">
        <v>5488</v>
      </c>
      <c r="B5494">
        <v>0.43328489470834353</v>
      </c>
    </row>
    <row r="5495" spans="1:2" x14ac:dyDescent="0.2">
      <c r="A5495">
        <v>5489</v>
      </c>
      <c r="B5495">
        <v>3.8093948973805358E-2</v>
      </c>
    </row>
    <row r="5496" spans="1:2" x14ac:dyDescent="0.2">
      <c r="A5496">
        <v>5490</v>
      </c>
      <c r="B5496">
        <v>0.94473221941726415</v>
      </c>
    </row>
    <row r="5497" spans="1:2" x14ac:dyDescent="0.2">
      <c r="A5497">
        <v>5491</v>
      </c>
      <c r="B5497">
        <v>0.7918643814734394</v>
      </c>
    </row>
    <row r="5498" spans="1:2" x14ac:dyDescent="0.2">
      <c r="A5498">
        <v>5492</v>
      </c>
      <c r="B5498">
        <v>0.47532833106741479</v>
      </c>
    </row>
    <row r="5499" spans="1:2" x14ac:dyDescent="0.2">
      <c r="A5499">
        <v>5493</v>
      </c>
      <c r="B5499">
        <v>4.335449435717853E-2</v>
      </c>
    </row>
    <row r="5500" spans="1:2" x14ac:dyDescent="0.2">
      <c r="A5500">
        <v>5494</v>
      </c>
      <c r="B5500">
        <v>0.66648645763837444</v>
      </c>
    </row>
    <row r="5501" spans="1:2" x14ac:dyDescent="0.2">
      <c r="A5501">
        <v>5495</v>
      </c>
      <c r="B5501">
        <v>7.3008606708578117E-2</v>
      </c>
    </row>
    <row r="5502" spans="1:2" x14ac:dyDescent="0.2">
      <c r="A5502">
        <v>5496</v>
      </c>
      <c r="B5502">
        <v>0.49667561070574728</v>
      </c>
    </row>
    <row r="5503" spans="1:2" x14ac:dyDescent="0.2">
      <c r="A5503">
        <v>5497</v>
      </c>
      <c r="B5503">
        <v>3.6037291084493273E-2</v>
      </c>
    </row>
    <row r="5504" spans="1:2" x14ac:dyDescent="0.2">
      <c r="A5504">
        <v>5498</v>
      </c>
      <c r="B5504">
        <v>0.79722036307813726</v>
      </c>
    </row>
    <row r="5505" spans="1:2" x14ac:dyDescent="0.2">
      <c r="A5505">
        <v>5499</v>
      </c>
      <c r="B5505">
        <v>3.8461603712803827E-2</v>
      </c>
    </row>
    <row r="5506" spans="1:2" x14ac:dyDescent="0.2">
      <c r="A5506">
        <v>5500</v>
      </c>
      <c r="B5506">
        <v>0.6244357122107923</v>
      </c>
    </row>
    <row r="5507" spans="1:2" x14ac:dyDescent="0.2">
      <c r="A5507">
        <v>5501</v>
      </c>
      <c r="B5507">
        <v>0.68834757038163297</v>
      </c>
    </row>
    <row r="5508" spans="1:2" x14ac:dyDescent="0.2">
      <c r="A5508">
        <v>5502</v>
      </c>
      <c r="B5508">
        <v>0.60127109405351542</v>
      </c>
    </row>
    <row r="5509" spans="1:2" x14ac:dyDescent="0.2">
      <c r="A5509">
        <v>5503</v>
      </c>
      <c r="B5509">
        <v>0.35447506611948487</v>
      </c>
    </row>
    <row r="5510" spans="1:2" x14ac:dyDescent="0.2">
      <c r="A5510">
        <v>5504</v>
      </c>
      <c r="B5510">
        <v>0.38722350337325195</v>
      </c>
    </row>
    <row r="5511" spans="1:2" x14ac:dyDescent="0.2">
      <c r="A5511">
        <v>5505</v>
      </c>
      <c r="B5511">
        <v>0.6028166832969486</v>
      </c>
    </row>
    <row r="5512" spans="1:2" x14ac:dyDescent="0.2">
      <c r="A5512">
        <v>5506</v>
      </c>
      <c r="B5512">
        <v>0.75509504803289651</v>
      </c>
    </row>
    <row r="5513" spans="1:2" x14ac:dyDescent="0.2">
      <c r="A5513">
        <v>5507</v>
      </c>
      <c r="B5513">
        <v>0.89712915266728865</v>
      </c>
    </row>
    <row r="5514" spans="1:2" x14ac:dyDescent="0.2">
      <c r="A5514">
        <v>5508</v>
      </c>
      <c r="B5514">
        <v>4.0476439739079439E-2</v>
      </c>
    </row>
    <row r="5515" spans="1:2" x14ac:dyDescent="0.2">
      <c r="A5515">
        <v>5509</v>
      </c>
      <c r="B5515">
        <v>0.36815900139738944</v>
      </c>
    </row>
    <row r="5516" spans="1:2" x14ac:dyDescent="0.2">
      <c r="A5516">
        <v>5510</v>
      </c>
      <c r="B5516">
        <v>0.10313493453015554</v>
      </c>
    </row>
    <row r="5517" spans="1:2" x14ac:dyDescent="0.2">
      <c r="A5517">
        <v>5511</v>
      </c>
      <c r="B5517">
        <v>0.51513301301966563</v>
      </c>
    </row>
    <row r="5518" spans="1:2" x14ac:dyDescent="0.2">
      <c r="A5518">
        <v>5512</v>
      </c>
      <c r="B5518">
        <v>0.43289174122125029</v>
      </c>
    </row>
    <row r="5519" spans="1:2" x14ac:dyDescent="0.2">
      <c r="A5519">
        <v>5513</v>
      </c>
      <c r="B5519">
        <v>0.38189086908876058</v>
      </c>
    </row>
    <row r="5520" spans="1:2" x14ac:dyDescent="0.2">
      <c r="A5520">
        <v>5514</v>
      </c>
      <c r="B5520">
        <v>0.50384366936919811</v>
      </c>
    </row>
    <row r="5521" spans="1:2" x14ac:dyDescent="0.2">
      <c r="A5521">
        <v>5515</v>
      </c>
      <c r="B5521">
        <v>0.95168560246286693</v>
      </c>
    </row>
    <row r="5522" spans="1:2" x14ac:dyDescent="0.2">
      <c r="A5522">
        <v>5516</v>
      </c>
      <c r="B5522">
        <v>0.73884074307315162</v>
      </c>
    </row>
    <row r="5523" spans="1:2" x14ac:dyDescent="0.2">
      <c r="A5523">
        <v>5517</v>
      </c>
      <c r="B5523">
        <v>0.82385796785875565</v>
      </c>
    </row>
    <row r="5524" spans="1:2" x14ac:dyDescent="0.2">
      <c r="A5524">
        <v>5518</v>
      </c>
      <c r="B5524">
        <v>0.70676331232875278</v>
      </c>
    </row>
    <row r="5525" spans="1:2" x14ac:dyDescent="0.2">
      <c r="A5525">
        <v>5519</v>
      </c>
      <c r="B5525">
        <v>0.97034561614408799</v>
      </c>
    </row>
    <row r="5526" spans="1:2" x14ac:dyDescent="0.2">
      <c r="A5526">
        <v>5520</v>
      </c>
      <c r="B5526">
        <v>0.67179890865706893</v>
      </c>
    </row>
    <row r="5527" spans="1:2" x14ac:dyDescent="0.2">
      <c r="A5527">
        <v>5521</v>
      </c>
      <c r="B5527">
        <v>0.47886969709545435</v>
      </c>
    </row>
    <row r="5528" spans="1:2" x14ac:dyDescent="0.2">
      <c r="A5528">
        <v>5522</v>
      </c>
      <c r="B5528">
        <v>0.9195822592931141</v>
      </c>
    </row>
    <row r="5529" spans="1:2" x14ac:dyDescent="0.2">
      <c r="A5529">
        <v>5523</v>
      </c>
      <c r="B5529">
        <v>0.50707645690218395</v>
      </c>
    </row>
    <row r="5530" spans="1:2" x14ac:dyDescent="0.2">
      <c r="A5530">
        <v>5524</v>
      </c>
      <c r="B5530">
        <v>0.84537583816379414</v>
      </c>
    </row>
    <row r="5531" spans="1:2" x14ac:dyDescent="0.2">
      <c r="A5531">
        <v>5525</v>
      </c>
      <c r="B5531">
        <v>0.2977360132818776</v>
      </c>
    </row>
    <row r="5532" spans="1:2" x14ac:dyDescent="0.2">
      <c r="A5532">
        <v>5526</v>
      </c>
      <c r="B5532">
        <v>0.4411301302388162</v>
      </c>
    </row>
    <row r="5533" spans="1:2" x14ac:dyDescent="0.2">
      <c r="A5533">
        <v>5527</v>
      </c>
      <c r="B5533">
        <v>0.22064715089347531</v>
      </c>
    </row>
    <row r="5534" spans="1:2" x14ac:dyDescent="0.2">
      <c r="A5534">
        <v>5528</v>
      </c>
      <c r="B5534">
        <v>0.43607166829643418</v>
      </c>
    </row>
    <row r="5535" spans="1:2" x14ac:dyDescent="0.2">
      <c r="A5535">
        <v>5529</v>
      </c>
      <c r="B5535">
        <v>0.5279165522904764</v>
      </c>
    </row>
    <row r="5536" spans="1:2" x14ac:dyDescent="0.2">
      <c r="A5536">
        <v>5530</v>
      </c>
      <c r="B5536">
        <v>0.91252586634133237</v>
      </c>
    </row>
    <row r="5537" spans="1:2" x14ac:dyDescent="0.2">
      <c r="A5537">
        <v>5531</v>
      </c>
      <c r="B5537">
        <v>0.5220200156728606</v>
      </c>
    </row>
    <row r="5538" spans="1:2" x14ac:dyDescent="0.2">
      <c r="A5538">
        <v>5532</v>
      </c>
      <c r="B5538">
        <v>0.20084810458356783</v>
      </c>
    </row>
    <row r="5539" spans="1:2" x14ac:dyDescent="0.2">
      <c r="A5539">
        <v>5533</v>
      </c>
      <c r="B5539">
        <v>4.4651644732909834E-2</v>
      </c>
    </row>
    <row r="5540" spans="1:2" x14ac:dyDescent="0.2">
      <c r="A5540">
        <v>5534</v>
      </c>
      <c r="B5540">
        <v>7.6199295473294848E-3</v>
      </c>
    </row>
    <row r="5541" spans="1:2" x14ac:dyDescent="0.2">
      <c r="A5541">
        <v>5535</v>
      </c>
      <c r="B5541">
        <v>0.63738060823718201</v>
      </c>
    </row>
    <row r="5542" spans="1:2" x14ac:dyDescent="0.2">
      <c r="A5542">
        <v>5536</v>
      </c>
      <c r="B5542">
        <v>0.53833425072194963</v>
      </c>
    </row>
    <row r="5543" spans="1:2" x14ac:dyDescent="0.2">
      <c r="A5543">
        <v>5537</v>
      </c>
      <c r="B5543">
        <v>0.56775779198935616</v>
      </c>
    </row>
    <row r="5544" spans="1:2" x14ac:dyDescent="0.2">
      <c r="A5544">
        <v>5538</v>
      </c>
      <c r="B5544">
        <v>0.54204738942345054</v>
      </c>
    </row>
    <row r="5545" spans="1:2" x14ac:dyDescent="0.2">
      <c r="A5545">
        <v>5539</v>
      </c>
      <c r="B5545">
        <v>0.53631350082051632</v>
      </c>
    </row>
    <row r="5546" spans="1:2" x14ac:dyDescent="0.2">
      <c r="A5546">
        <v>5540</v>
      </c>
      <c r="B5546">
        <v>0.25986974799768781</v>
      </c>
    </row>
    <row r="5547" spans="1:2" x14ac:dyDescent="0.2">
      <c r="A5547">
        <v>5541</v>
      </c>
      <c r="B5547">
        <v>0.38033422073566225</v>
      </c>
    </row>
    <row r="5548" spans="1:2" x14ac:dyDescent="0.2">
      <c r="A5548">
        <v>5542</v>
      </c>
      <c r="B5548">
        <v>0.94664892104828358</v>
      </c>
    </row>
    <row r="5549" spans="1:2" x14ac:dyDescent="0.2">
      <c r="A5549">
        <v>5543</v>
      </c>
      <c r="B5549">
        <v>0.58930824373981716</v>
      </c>
    </row>
    <row r="5550" spans="1:2" x14ac:dyDescent="0.2">
      <c r="A5550">
        <v>5544</v>
      </c>
      <c r="B5550">
        <v>0.10146594611916981</v>
      </c>
    </row>
    <row r="5551" spans="1:2" x14ac:dyDescent="0.2">
      <c r="A5551">
        <v>5545</v>
      </c>
      <c r="B5551">
        <v>0.10387884179920837</v>
      </c>
    </row>
    <row r="5552" spans="1:2" x14ac:dyDescent="0.2">
      <c r="A5552">
        <v>5546</v>
      </c>
      <c r="B5552">
        <v>0.89797906404516215</v>
      </c>
    </row>
    <row r="5553" spans="1:2" x14ac:dyDescent="0.2">
      <c r="A5553">
        <v>5547</v>
      </c>
      <c r="B5553">
        <v>0.78814100736026427</v>
      </c>
    </row>
    <row r="5554" spans="1:2" x14ac:dyDescent="0.2">
      <c r="A5554">
        <v>5548</v>
      </c>
      <c r="B5554">
        <v>0.53578648321305589</v>
      </c>
    </row>
    <row r="5555" spans="1:2" x14ac:dyDescent="0.2">
      <c r="A5555">
        <v>5549</v>
      </c>
      <c r="B5555">
        <v>6.0008175457866741E-2</v>
      </c>
    </row>
    <row r="5556" spans="1:2" x14ac:dyDescent="0.2">
      <c r="A5556">
        <v>5550</v>
      </c>
      <c r="B5556">
        <v>0.86958500376781456</v>
      </c>
    </row>
    <row r="5557" spans="1:2" x14ac:dyDescent="0.2">
      <c r="A5557">
        <v>5551</v>
      </c>
      <c r="B5557">
        <v>0.73527149863351904</v>
      </c>
    </row>
    <row r="5558" spans="1:2" x14ac:dyDescent="0.2">
      <c r="A5558">
        <v>5552</v>
      </c>
      <c r="B5558">
        <v>0.3858701968926217</v>
      </c>
    </row>
    <row r="5559" spans="1:2" x14ac:dyDescent="0.2">
      <c r="A5559">
        <v>5553</v>
      </c>
      <c r="B5559">
        <v>8.0231249179096631E-2</v>
      </c>
    </row>
    <row r="5560" spans="1:2" x14ac:dyDescent="0.2">
      <c r="A5560">
        <v>5554</v>
      </c>
      <c r="B5560">
        <v>0.82413832804444942</v>
      </c>
    </row>
    <row r="5561" spans="1:2" x14ac:dyDescent="0.2">
      <c r="A5561">
        <v>5555</v>
      </c>
      <c r="B5561">
        <v>7.1959501847443264E-2</v>
      </c>
    </row>
    <row r="5562" spans="1:2" x14ac:dyDescent="0.2">
      <c r="A5562">
        <v>5556</v>
      </c>
      <c r="B5562">
        <v>5.983046289594518E-2</v>
      </c>
    </row>
    <row r="5563" spans="1:2" x14ac:dyDescent="0.2">
      <c r="A5563">
        <v>5557</v>
      </c>
      <c r="B5563">
        <v>0.29499708647998157</v>
      </c>
    </row>
    <row r="5564" spans="1:2" x14ac:dyDescent="0.2">
      <c r="A5564">
        <v>5558</v>
      </c>
      <c r="B5564">
        <v>0.40180804302682827</v>
      </c>
    </row>
    <row r="5565" spans="1:2" x14ac:dyDescent="0.2">
      <c r="A5565">
        <v>5559</v>
      </c>
      <c r="B5565">
        <v>0.69632993493808115</v>
      </c>
    </row>
    <row r="5566" spans="1:2" x14ac:dyDescent="0.2">
      <c r="A5566">
        <v>5560</v>
      </c>
      <c r="B5566">
        <v>0.4368082706511901</v>
      </c>
    </row>
    <row r="5567" spans="1:2" x14ac:dyDescent="0.2">
      <c r="A5567">
        <v>5561</v>
      </c>
      <c r="B5567">
        <v>0.12598359925555414</v>
      </c>
    </row>
    <row r="5568" spans="1:2" x14ac:dyDescent="0.2">
      <c r="A5568">
        <v>5562</v>
      </c>
      <c r="B5568">
        <v>0.75185438895644041</v>
      </c>
    </row>
    <row r="5569" spans="1:2" x14ac:dyDescent="0.2">
      <c r="A5569">
        <v>5563</v>
      </c>
      <c r="B5569">
        <v>0.90597330650653185</v>
      </c>
    </row>
    <row r="5570" spans="1:2" x14ac:dyDescent="0.2">
      <c r="A5570">
        <v>5564</v>
      </c>
      <c r="B5570">
        <v>0.81552034508827498</v>
      </c>
    </row>
    <row r="5571" spans="1:2" x14ac:dyDescent="0.2">
      <c r="A5571">
        <v>5565</v>
      </c>
      <c r="B5571">
        <v>0.24380494068359881</v>
      </c>
    </row>
    <row r="5572" spans="1:2" x14ac:dyDescent="0.2">
      <c r="A5572">
        <v>5566</v>
      </c>
      <c r="B5572">
        <v>0.26897513679160989</v>
      </c>
    </row>
    <row r="5573" spans="1:2" x14ac:dyDescent="0.2">
      <c r="A5573">
        <v>5567</v>
      </c>
      <c r="B5573">
        <v>0.694914926579144</v>
      </c>
    </row>
    <row r="5574" spans="1:2" x14ac:dyDescent="0.2">
      <c r="A5574">
        <v>5568</v>
      </c>
      <c r="B5574">
        <v>0.77009434989123571</v>
      </c>
    </row>
    <row r="5575" spans="1:2" x14ac:dyDescent="0.2">
      <c r="A5575">
        <v>5569</v>
      </c>
      <c r="B5575">
        <v>0.27043952769167012</v>
      </c>
    </row>
    <row r="5576" spans="1:2" x14ac:dyDescent="0.2">
      <c r="A5576">
        <v>5570</v>
      </c>
      <c r="B5576">
        <v>0.98112943501091754</v>
      </c>
    </row>
    <row r="5577" spans="1:2" x14ac:dyDescent="0.2">
      <c r="A5577">
        <v>5571</v>
      </c>
      <c r="B5577">
        <v>0.91173867425800947</v>
      </c>
    </row>
    <row r="5578" spans="1:2" x14ac:dyDescent="0.2">
      <c r="A5578">
        <v>5572</v>
      </c>
      <c r="B5578">
        <v>0.69220939983623153</v>
      </c>
    </row>
    <row r="5579" spans="1:2" x14ac:dyDescent="0.2">
      <c r="A5579">
        <v>5573</v>
      </c>
      <c r="B5579">
        <v>0.68242123692151568</v>
      </c>
    </row>
    <row r="5580" spans="1:2" x14ac:dyDescent="0.2">
      <c r="A5580">
        <v>5574</v>
      </c>
      <c r="B5580">
        <v>0.47622409944366639</v>
      </c>
    </row>
    <row r="5581" spans="1:2" x14ac:dyDescent="0.2">
      <c r="A5581">
        <v>5575</v>
      </c>
      <c r="B5581">
        <v>0.99743603387339297</v>
      </c>
    </row>
    <row r="5582" spans="1:2" x14ac:dyDescent="0.2">
      <c r="A5582">
        <v>5576</v>
      </c>
      <c r="B5582">
        <v>0.19721672079071106</v>
      </c>
    </row>
    <row r="5583" spans="1:2" x14ac:dyDescent="0.2">
      <c r="A5583">
        <v>5577</v>
      </c>
      <c r="B5583">
        <v>0.63505537080762664</v>
      </c>
    </row>
    <row r="5584" spans="1:2" x14ac:dyDescent="0.2">
      <c r="A5584">
        <v>5578</v>
      </c>
      <c r="B5584">
        <v>0.79790184828597743</v>
      </c>
    </row>
    <row r="5585" spans="1:2" x14ac:dyDescent="0.2">
      <c r="A5585">
        <v>5579</v>
      </c>
      <c r="B5585">
        <v>0.398468496195307</v>
      </c>
    </row>
    <row r="5586" spans="1:2" x14ac:dyDescent="0.2">
      <c r="A5586">
        <v>5580</v>
      </c>
      <c r="B5586">
        <v>0.75916997396293739</v>
      </c>
    </row>
    <row r="5587" spans="1:2" x14ac:dyDescent="0.2">
      <c r="A5587">
        <v>5581</v>
      </c>
      <c r="B5587">
        <v>0.22345051582738995</v>
      </c>
    </row>
    <row r="5588" spans="1:2" x14ac:dyDescent="0.2">
      <c r="A5588">
        <v>5582</v>
      </c>
      <c r="B5588">
        <v>0.19346194163964114</v>
      </c>
    </row>
    <row r="5589" spans="1:2" x14ac:dyDescent="0.2">
      <c r="A5589">
        <v>5583</v>
      </c>
      <c r="B5589">
        <v>0.30568596890362842</v>
      </c>
    </row>
    <row r="5590" spans="1:2" x14ac:dyDescent="0.2">
      <c r="A5590">
        <v>5584</v>
      </c>
      <c r="B5590">
        <v>0.96283486047311639</v>
      </c>
    </row>
    <row r="5591" spans="1:2" x14ac:dyDescent="0.2">
      <c r="A5591">
        <v>5585</v>
      </c>
      <c r="B5591">
        <v>0.77013796848986149</v>
      </c>
    </row>
    <row r="5592" spans="1:2" x14ac:dyDescent="0.2">
      <c r="A5592">
        <v>5586</v>
      </c>
      <c r="B5592">
        <v>0.84993808772134427</v>
      </c>
    </row>
    <row r="5593" spans="1:2" x14ac:dyDescent="0.2">
      <c r="A5593">
        <v>5587</v>
      </c>
      <c r="B5593">
        <v>0.56900767510260286</v>
      </c>
    </row>
    <row r="5594" spans="1:2" x14ac:dyDescent="0.2">
      <c r="A5594">
        <v>5588</v>
      </c>
      <c r="B5594">
        <v>0.69961889376899722</v>
      </c>
    </row>
    <row r="5595" spans="1:2" x14ac:dyDescent="0.2">
      <c r="A5595">
        <v>5589</v>
      </c>
      <c r="B5595">
        <v>0.79075132322315411</v>
      </c>
    </row>
    <row r="5596" spans="1:2" x14ac:dyDescent="0.2">
      <c r="A5596">
        <v>5590</v>
      </c>
      <c r="B5596">
        <v>0.85143695378758411</v>
      </c>
    </row>
    <row r="5597" spans="1:2" x14ac:dyDescent="0.2">
      <c r="A5597">
        <v>5591</v>
      </c>
      <c r="B5597">
        <v>0.829378473151409</v>
      </c>
    </row>
    <row r="5598" spans="1:2" x14ac:dyDescent="0.2">
      <c r="A5598">
        <v>5592</v>
      </c>
      <c r="B5598">
        <v>2.540367274995925E-2</v>
      </c>
    </row>
    <row r="5599" spans="1:2" x14ac:dyDescent="0.2">
      <c r="A5599">
        <v>5593</v>
      </c>
      <c r="B5599">
        <v>7.7285339852847246E-3</v>
      </c>
    </row>
    <row r="5600" spans="1:2" x14ac:dyDescent="0.2">
      <c r="A5600">
        <v>5594</v>
      </c>
      <c r="B5600">
        <v>0.4792169295212092</v>
      </c>
    </row>
    <row r="5601" spans="1:2" x14ac:dyDescent="0.2">
      <c r="A5601">
        <v>5595</v>
      </c>
      <c r="B5601">
        <v>5.5203535797253789E-2</v>
      </c>
    </row>
    <row r="5602" spans="1:2" x14ac:dyDescent="0.2">
      <c r="A5602">
        <v>5596</v>
      </c>
      <c r="B5602">
        <v>0.75944159133264766</v>
      </c>
    </row>
    <row r="5603" spans="1:2" x14ac:dyDescent="0.2">
      <c r="A5603">
        <v>5597</v>
      </c>
      <c r="B5603">
        <v>4.9150574570746564E-3</v>
      </c>
    </row>
    <row r="5604" spans="1:2" x14ac:dyDescent="0.2">
      <c r="A5604">
        <v>5598</v>
      </c>
      <c r="B5604">
        <v>0.18811891074148046</v>
      </c>
    </row>
    <row r="5605" spans="1:2" x14ac:dyDescent="0.2">
      <c r="A5605">
        <v>5599</v>
      </c>
      <c r="B5605">
        <v>0.28594424151686992</v>
      </c>
    </row>
    <row r="5606" spans="1:2" x14ac:dyDescent="0.2">
      <c r="A5606">
        <v>5600</v>
      </c>
      <c r="B5606">
        <v>0.28163924864025269</v>
      </c>
    </row>
    <row r="5607" spans="1:2" x14ac:dyDescent="0.2">
      <c r="A5607">
        <v>5601</v>
      </c>
      <c r="B5607">
        <v>0.448449621163306</v>
      </c>
    </row>
    <row r="5608" spans="1:2" x14ac:dyDescent="0.2">
      <c r="A5608">
        <v>5602</v>
      </c>
      <c r="B5608">
        <v>0.20525079287576808</v>
      </c>
    </row>
    <row r="5609" spans="1:2" x14ac:dyDescent="0.2">
      <c r="A5609">
        <v>5603</v>
      </c>
      <c r="B5609">
        <v>0.77282816830224499</v>
      </c>
    </row>
    <row r="5610" spans="1:2" x14ac:dyDescent="0.2">
      <c r="A5610">
        <v>5604</v>
      </c>
      <c r="B5610">
        <v>0.92047594638430319</v>
      </c>
    </row>
    <row r="5611" spans="1:2" x14ac:dyDescent="0.2">
      <c r="A5611">
        <v>5605</v>
      </c>
      <c r="B5611">
        <v>0.20130157551653538</v>
      </c>
    </row>
    <row r="5612" spans="1:2" x14ac:dyDescent="0.2">
      <c r="A5612">
        <v>5606</v>
      </c>
      <c r="B5612">
        <v>0.92948732273223511</v>
      </c>
    </row>
    <row r="5613" spans="1:2" x14ac:dyDescent="0.2">
      <c r="A5613">
        <v>5607</v>
      </c>
      <c r="B5613">
        <v>0.1693307858284544</v>
      </c>
    </row>
    <row r="5614" spans="1:2" x14ac:dyDescent="0.2">
      <c r="A5614">
        <v>5608</v>
      </c>
      <c r="B5614">
        <v>0.28699127299586746</v>
      </c>
    </row>
    <row r="5615" spans="1:2" x14ac:dyDescent="0.2">
      <c r="A5615">
        <v>5609</v>
      </c>
      <c r="B5615">
        <v>0.50333475563509911</v>
      </c>
    </row>
    <row r="5616" spans="1:2" x14ac:dyDescent="0.2">
      <c r="A5616">
        <v>5610</v>
      </c>
      <c r="B5616">
        <v>0.36234959148895318</v>
      </c>
    </row>
    <row r="5617" spans="1:2" x14ac:dyDescent="0.2">
      <c r="A5617">
        <v>5611</v>
      </c>
      <c r="B5617">
        <v>0.40675644731574956</v>
      </c>
    </row>
    <row r="5618" spans="1:2" x14ac:dyDescent="0.2">
      <c r="A5618">
        <v>5612</v>
      </c>
      <c r="B5618">
        <v>4.3067867294143469E-2</v>
      </c>
    </row>
    <row r="5619" spans="1:2" x14ac:dyDescent="0.2">
      <c r="A5619">
        <v>5613</v>
      </c>
      <c r="B5619">
        <v>0.35763523047351731</v>
      </c>
    </row>
    <row r="5620" spans="1:2" x14ac:dyDescent="0.2">
      <c r="A5620">
        <v>5614</v>
      </c>
      <c r="B5620">
        <v>0.15442977609929354</v>
      </c>
    </row>
    <row r="5621" spans="1:2" x14ac:dyDescent="0.2">
      <c r="A5621">
        <v>5615</v>
      </c>
      <c r="B5621">
        <v>0.11061834027924022</v>
      </c>
    </row>
    <row r="5622" spans="1:2" x14ac:dyDescent="0.2">
      <c r="A5622">
        <v>5616</v>
      </c>
      <c r="B5622">
        <v>0.30112105368888142</v>
      </c>
    </row>
    <row r="5623" spans="1:2" x14ac:dyDescent="0.2">
      <c r="A5623">
        <v>5617</v>
      </c>
      <c r="B5623">
        <v>4.4204071631199993E-2</v>
      </c>
    </row>
    <row r="5624" spans="1:2" x14ac:dyDescent="0.2">
      <c r="A5624">
        <v>5618</v>
      </c>
      <c r="B5624">
        <v>0.82086814977916001</v>
      </c>
    </row>
    <row r="5625" spans="1:2" x14ac:dyDescent="0.2">
      <c r="A5625">
        <v>5619</v>
      </c>
      <c r="B5625">
        <v>0.42058277528279031</v>
      </c>
    </row>
    <row r="5626" spans="1:2" x14ac:dyDescent="0.2">
      <c r="A5626">
        <v>5620</v>
      </c>
      <c r="B5626">
        <v>0.75743875120890025</v>
      </c>
    </row>
    <row r="5627" spans="1:2" x14ac:dyDescent="0.2">
      <c r="A5627">
        <v>5621</v>
      </c>
      <c r="B5627">
        <v>0.85891709139719685</v>
      </c>
    </row>
    <row r="5628" spans="1:2" x14ac:dyDescent="0.2">
      <c r="A5628">
        <v>5622</v>
      </c>
      <c r="B5628">
        <v>0.64339678746533546</v>
      </c>
    </row>
    <row r="5629" spans="1:2" x14ac:dyDescent="0.2">
      <c r="A5629">
        <v>5623</v>
      </c>
      <c r="B5629">
        <v>0.55538672575815129</v>
      </c>
    </row>
    <row r="5630" spans="1:2" x14ac:dyDescent="0.2">
      <c r="A5630">
        <v>5624</v>
      </c>
      <c r="B5630">
        <v>0.89313259728793171</v>
      </c>
    </row>
    <row r="5631" spans="1:2" x14ac:dyDescent="0.2">
      <c r="A5631">
        <v>5625</v>
      </c>
      <c r="B5631">
        <v>0.89996533440472448</v>
      </c>
    </row>
    <row r="5632" spans="1:2" x14ac:dyDescent="0.2">
      <c r="A5632">
        <v>5626</v>
      </c>
      <c r="B5632">
        <v>0.48109596051313819</v>
      </c>
    </row>
    <row r="5633" spans="1:2" x14ac:dyDescent="0.2">
      <c r="A5633">
        <v>5627</v>
      </c>
      <c r="B5633">
        <v>0.2730009874484729</v>
      </c>
    </row>
    <row r="5634" spans="1:2" x14ac:dyDescent="0.2">
      <c r="A5634">
        <v>5628</v>
      </c>
      <c r="B5634">
        <v>0.40415812945216734</v>
      </c>
    </row>
    <row r="5635" spans="1:2" x14ac:dyDescent="0.2">
      <c r="A5635">
        <v>5629</v>
      </c>
      <c r="B5635">
        <v>0.51778852582804724</v>
      </c>
    </row>
    <row r="5636" spans="1:2" x14ac:dyDescent="0.2">
      <c r="A5636">
        <v>5630</v>
      </c>
      <c r="B5636">
        <v>0.2054058196964339</v>
      </c>
    </row>
    <row r="5637" spans="1:2" x14ac:dyDescent="0.2">
      <c r="A5637">
        <v>5631</v>
      </c>
      <c r="B5637">
        <v>6.3610751108981733E-2</v>
      </c>
    </row>
    <row r="5638" spans="1:2" x14ac:dyDescent="0.2">
      <c r="A5638">
        <v>5632</v>
      </c>
      <c r="B5638">
        <v>0.79024614637752066</v>
      </c>
    </row>
    <row r="5639" spans="1:2" x14ac:dyDescent="0.2">
      <c r="A5639">
        <v>5633</v>
      </c>
      <c r="B5639">
        <v>0.64158845211382909</v>
      </c>
    </row>
    <row r="5640" spans="1:2" x14ac:dyDescent="0.2">
      <c r="A5640">
        <v>5634</v>
      </c>
      <c r="B5640">
        <v>0.86716601357080425</v>
      </c>
    </row>
    <row r="5641" spans="1:2" x14ac:dyDescent="0.2">
      <c r="A5641">
        <v>5635</v>
      </c>
      <c r="B5641">
        <v>0.54329229794561984</v>
      </c>
    </row>
    <row r="5642" spans="1:2" x14ac:dyDescent="0.2">
      <c r="A5642">
        <v>5636</v>
      </c>
      <c r="B5642">
        <v>0.29080655680039913</v>
      </c>
    </row>
    <row r="5643" spans="1:2" x14ac:dyDescent="0.2">
      <c r="A5643">
        <v>5637</v>
      </c>
      <c r="B5643">
        <v>0.75712317997463519</v>
      </c>
    </row>
    <row r="5644" spans="1:2" x14ac:dyDescent="0.2">
      <c r="A5644">
        <v>5638</v>
      </c>
      <c r="B5644">
        <v>0.32214463354325684</v>
      </c>
    </row>
    <row r="5645" spans="1:2" x14ac:dyDescent="0.2">
      <c r="A5645">
        <v>5639</v>
      </c>
      <c r="B5645">
        <v>0.40186879741324466</v>
      </c>
    </row>
    <row r="5646" spans="1:2" x14ac:dyDescent="0.2">
      <c r="A5646">
        <v>5640</v>
      </c>
      <c r="B5646">
        <v>0.48915877242606409</v>
      </c>
    </row>
    <row r="5647" spans="1:2" x14ac:dyDescent="0.2">
      <c r="A5647">
        <v>5641</v>
      </c>
      <c r="B5647">
        <v>0.73035112014366654</v>
      </c>
    </row>
    <row r="5648" spans="1:2" x14ac:dyDescent="0.2">
      <c r="A5648">
        <v>5642</v>
      </c>
      <c r="B5648">
        <v>0.40266490520748621</v>
      </c>
    </row>
    <row r="5649" spans="1:2" x14ac:dyDescent="0.2">
      <c r="A5649">
        <v>5643</v>
      </c>
      <c r="B5649">
        <v>0.92045293313941379</v>
      </c>
    </row>
    <row r="5650" spans="1:2" x14ac:dyDescent="0.2">
      <c r="A5650">
        <v>5644</v>
      </c>
      <c r="B5650">
        <v>6.6604550881158908E-2</v>
      </c>
    </row>
    <row r="5651" spans="1:2" x14ac:dyDescent="0.2">
      <c r="A5651">
        <v>5645</v>
      </c>
      <c r="B5651">
        <v>0.6219864307932661</v>
      </c>
    </row>
    <row r="5652" spans="1:2" x14ac:dyDescent="0.2">
      <c r="A5652">
        <v>5646</v>
      </c>
      <c r="B5652">
        <v>0.8221207252029441</v>
      </c>
    </row>
    <row r="5653" spans="1:2" x14ac:dyDescent="0.2">
      <c r="A5653">
        <v>5647</v>
      </c>
      <c r="B5653">
        <v>0.69866375314189466</v>
      </c>
    </row>
    <row r="5654" spans="1:2" x14ac:dyDescent="0.2">
      <c r="A5654">
        <v>5648</v>
      </c>
      <c r="B5654">
        <v>0.33919448783390771</v>
      </c>
    </row>
    <row r="5655" spans="1:2" x14ac:dyDescent="0.2">
      <c r="A5655">
        <v>5649</v>
      </c>
      <c r="B5655">
        <v>0.67407170405240813</v>
      </c>
    </row>
    <row r="5656" spans="1:2" x14ac:dyDescent="0.2">
      <c r="A5656">
        <v>5650</v>
      </c>
      <c r="B5656">
        <v>0.58204313077185987</v>
      </c>
    </row>
    <row r="5657" spans="1:2" x14ac:dyDescent="0.2">
      <c r="A5657">
        <v>5651</v>
      </c>
      <c r="B5657">
        <v>0.4202353425275136</v>
      </c>
    </row>
    <row r="5658" spans="1:2" x14ac:dyDescent="0.2">
      <c r="A5658">
        <v>5652</v>
      </c>
      <c r="B5658">
        <v>0.23838320766150412</v>
      </c>
    </row>
    <row r="5659" spans="1:2" x14ac:dyDescent="0.2">
      <c r="A5659">
        <v>5653</v>
      </c>
      <c r="B5659">
        <v>0.91230943546328658</v>
      </c>
    </row>
    <row r="5660" spans="1:2" x14ac:dyDescent="0.2">
      <c r="A5660">
        <v>5654</v>
      </c>
      <c r="B5660">
        <v>0.43552829280276728</v>
      </c>
    </row>
    <row r="5661" spans="1:2" x14ac:dyDescent="0.2">
      <c r="A5661">
        <v>5655</v>
      </c>
      <c r="B5661">
        <v>0.76082717491959651</v>
      </c>
    </row>
    <row r="5662" spans="1:2" x14ac:dyDescent="0.2">
      <c r="A5662">
        <v>5656</v>
      </c>
      <c r="B5662">
        <v>0.43387628408080525</v>
      </c>
    </row>
    <row r="5663" spans="1:2" x14ac:dyDescent="0.2">
      <c r="A5663">
        <v>5657</v>
      </c>
      <c r="B5663">
        <v>0.142993699723868</v>
      </c>
    </row>
    <row r="5664" spans="1:2" x14ac:dyDescent="0.2">
      <c r="A5664">
        <v>5658</v>
      </c>
      <c r="B5664">
        <v>0.82285159961272247</v>
      </c>
    </row>
    <row r="5665" spans="1:2" x14ac:dyDescent="0.2">
      <c r="A5665">
        <v>5659</v>
      </c>
      <c r="B5665">
        <v>0.94575326673956173</v>
      </c>
    </row>
    <row r="5666" spans="1:2" x14ac:dyDescent="0.2">
      <c r="A5666">
        <v>5660</v>
      </c>
      <c r="B5666">
        <v>0.75640498719929605</v>
      </c>
    </row>
    <row r="5667" spans="1:2" x14ac:dyDescent="0.2">
      <c r="A5667">
        <v>5661</v>
      </c>
      <c r="B5667">
        <v>0.23223176337159523</v>
      </c>
    </row>
    <row r="5668" spans="1:2" x14ac:dyDescent="0.2">
      <c r="A5668">
        <v>5662</v>
      </c>
      <c r="B5668">
        <v>0.28887497339750534</v>
      </c>
    </row>
    <row r="5669" spans="1:2" x14ac:dyDescent="0.2">
      <c r="A5669">
        <v>5663</v>
      </c>
      <c r="B5669">
        <v>0.17554209675507781</v>
      </c>
    </row>
    <row r="5670" spans="1:2" x14ac:dyDescent="0.2">
      <c r="A5670">
        <v>5664</v>
      </c>
      <c r="B5670">
        <v>0.23041694957208003</v>
      </c>
    </row>
    <row r="5671" spans="1:2" x14ac:dyDescent="0.2">
      <c r="A5671">
        <v>5665</v>
      </c>
      <c r="B5671">
        <v>4.3191115633329114E-2</v>
      </c>
    </row>
    <row r="5672" spans="1:2" x14ac:dyDescent="0.2">
      <c r="A5672">
        <v>5666</v>
      </c>
      <c r="B5672">
        <v>0.92165920641992538</v>
      </c>
    </row>
    <row r="5673" spans="1:2" x14ac:dyDescent="0.2">
      <c r="A5673">
        <v>5667</v>
      </c>
      <c r="B5673">
        <v>0.44128837590528347</v>
      </c>
    </row>
    <row r="5674" spans="1:2" x14ac:dyDescent="0.2">
      <c r="A5674">
        <v>5668</v>
      </c>
      <c r="B5674">
        <v>0.76995056034021303</v>
      </c>
    </row>
    <row r="5675" spans="1:2" x14ac:dyDescent="0.2">
      <c r="A5675">
        <v>5669</v>
      </c>
      <c r="B5675">
        <v>0.19697599509749586</v>
      </c>
    </row>
    <row r="5676" spans="1:2" x14ac:dyDescent="0.2">
      <c r="A5676">
        <v>5670</v>
      </c>
      <c r="B5676">
        <v>5.7247062968998841E-2</v>
      </c>
    </row>
    <row r="5677" spans="1:2" x14ac:dyDescent="0.2">
      <c r="A5677">
        <v>5671</v>
      </c>
      <c r="B5677">
        <v>0.82027811638946491</v>
      </c>
    </row>
    <row r="5678" spans="1:2" x14ac:dyDescent="0.2">
      <c r="A5678">
        <v>5672</v>
      </c>
      <c r="B5678">
        <v>0.51266681018941174</v>
      </c>
    </row>
    <row r="5679" spans="1:2" x14ac:dyDescent="0.2">
      <c r="A5679">
        <v>5673</v>
      </c>
      <c r="B5679">
        <v>0.65494823009961411</v>
      </c>
    </row>
    <row r="5680" spans="1:2" x14ac:dyDescent="0.2">
      <c r="A5680">
        <v>5674</v>
      </c>
      <c r="B5680">
        <v>0.56057983028840974</v>
      </c>
    </row>
    <row r="5681" spans="1:2" x14ac:dyDescent="0.2">
      <c r="A5681">
        <v>5675</v>
      </c>
      <c r="B5681">
        <v>0.81842583316340822</v>
      </c>
    </row>
    <row r="5682" spans="1:2" x14ac:dyDescent="0.2">
      <c r="A5682">
        <v>5676</v>
      </c>
      <c r="B5682">
        <v>0.33668522033013848</v>
      </c>
    </row>
    <row r="5683" spans="1:2" x14ac:dyDescent="0.2">
      <c r="A5683">
        <v>5677</v>
      </c>
      <c r="B5683">
        <v>0.24203811750321369</v>
      </c>
    </row>
    <row r="5684" spans="1:2" x14ac:dyDescent="0.2">
      <c r="A5684">
        <v>5678</v>
      </c>
      <c r="B5684">
        <v>7.8599544169482449E-2</v>
      </c>
    </row>
    <row r="5685" spans="1:2" x14ac:dyDescent="0.2">
      <c r="A5685">
        <v>5679</v>
      </c>
      <c r="B5685">
        <v>0.11601507742070738</v>
      </c>
    </row>
    <row r="5686" spans="1:2" x14ac:dyDescent="0.2">
      <c r="A5686">
        <v>5680</v>
      </c>
      <c r="B5686">
        <v>0.78949756991401843</v>
      </c>
    </row>
    <row r="5687" spans="1:2" x14ac:dyDescent="0.2">
      <c r="A5687">
        <v>5681</v>
      </c>
      <c r="B5687">
        <v>0.28737863785922724</v>
      </c>
    </row>
    <row r="5688" spans="1:2" x14ac:dyDescent="0.2">
      <c r="A5688">
        <v>5682</v>
      </c>
      <c r="B5688">
        <v>0.62169657229680053</v>
      </c>
    </row>
    <row r="5689" spans="1:2" x14ac:dyDescent="0.2">
      <c r="A5689">
        <v>5683</v>
      </c>
      <c r="B5689">
        <v>0.9585874749322314</v>
      </c>
    </row>
    <row r="5690" spans="1:2" x14ac:dyDescent="0.2">
      <c r="A5690">
        <v>5684</v>
      </c>
      <c r="B5690">
        <v>8.5715941470695722E-2</v>
      </c>
    </row>
    <row r="5691" spans="1:2" x14ac:dyDescent="0.2">
      <c r="A5691">
        <v>5685</v>
      </c>
      <c r="B5691">
        <v>0.44709489047268991</v>
      </c>
    </row>
    <row r="5692" spans="1:2" x14ac:dyDescent="0.2">
      <c r="A5692">
        <v>5686</v>
      </c>
      <c r="B5692">
        <v>0.46492101269910002</v>
      </c>
    </row>
    <row r="5693" spans="1:2" x14ac:dyDescent="0.2">
      <c r="A5693">
        <v>5687</v>
      </c>
      <c r="B5693">
        <v>0.12903332271366985</v>
      </c>
    </row>
    <row r="5694" spans="1:2" x14ac:dyDescent="0.2">
      <c r="A5694">
        <v>5688</v>
      </c>
      <c r="B5694">
        <v>8.7143676444127571E-2</v>
      </c>
    </row>
    <row r="5695" spans="1:2" x14ac:dyDescent="0.2">
      <c r="A5695">
        <v>5689</v>
      </c>
      <c r="B5695">
        <v>0.24182282731137983</v>
      </c>
    </row>
    <row r="5696" spans="1:2" x14ac:dyDescent="0.2">
      <c r="A5696">
        <v>5690</v>
      </c>
      <c r="B5696">
        <v>0.52830068540967745</v>
      </c>
    </row>
    <row r="5697" spans="1:2" x14ac:dyDescent="0.2">
      <c r="A5697">
        <v>5691</v>
      </c>
      <c r="B5697">
        <v>0.77559680399337316</v>
      </c>
    </row>
    <row r="5698" spans="1:2" x14ac:dyDescent="0.2">
      <c r="A5698">
        <v>5692</v>
      </c>
      <c r="B5698">
        <v>0.78481106913621967</v>
      </c>
    </row>
    <row r="5699" spans="1:2" x14ac:dyDescent="0.2">
      <c r="A5699">
        <v>5693</v>
      </c>
      <c r="B5699">
        <v>0.33976262951506675</v>
      </c>
    </row>
    <row r="5700" spans="1:2" x14ac:dyDescent="0.2">
      <c r="A5700">
        <v>5694</v>
      </c>
      <c r="B5700">
        <v>0.42769051353002097</v>
      </c>
    </row>
    <row r="5701" spans="1:2" x14ac:dyDescent="0.2">
      <c r="A5701">
        <v>5695</v>
      </c>
      <c r="B5701">
        <v>0.62916919411629613</v>
      </c>
    </row>
    <row r="5702" spans="1:2" x14ac:dyDescent="0.2">
      <c r="A5702">
        <v>5696</v>
      </c>
      <c r="B5702">
        <v>0.32332494964710023</v>
      </c>
    </row>
    <row r="5703" spans="1:2" x14ac:dyDescent="0.2">
      <c r="A5703">
        <v>5697</v>
      </c>
      <c r="B5703">
        <v>0.86771898151015814</v>
      </c>
    </row>
    <row r="5704" spans="1:2" x14ac:dyDescent="0.2">
      <c r="A5704">
        <v>5698</v>
      </c>
      <c r="B5704">
        <v>5.6643563390631924E-2</v>
      </c>
    </row>
    <row r="5705" spans="1:2" x14ac:dyDescent="0.2">
      <c r="A5705">
        <v>5699</v>
      </c>
      <c r="B5705">
        <v>0.48473224129131087</v>
      </c>
    </row>
    <row r="5706" spans="1:2" x14ac:dyDescent="0.2">
      <c r="A5706">
        <v>5700</v>
      </c>
      <c r="B5706">
        <v>0.75217724885434178</v>
      </c>
    </row>
    <row r="5707" spans="1:2" x14ac:dyDescent="0.2">
      <c r="A5707">
        <v>5701</v>
      </c>
      <c r="B5707">
        <v>4.3846401229532095E-2</v>
      </c>
    </row>
    <row r="5708" spans="1:2" x14ac:dyDescent="0.2">
      <c r="A5708">
        <v>5702</v>
      </c>
      <c r="B5708">
        <v>0.7523876565004689</v>
      </c>
    </row>
    <row r="5709" spans="1:2" x14ac:dyDescent="0.2">
      <c r="A5709">
        <v>5703</v>
      </c>
      <c r="B5709">
        <v>0.48117603787092755</v>
      </c>
    </row>
    <row r="5710" spans="1:2" x14ac:dyDescent="0.2">
      <c r="A5710">
        <v>5704</v>
      </c>
      <c r="B5710">
        <v>0.82861896703174798</v>
      </c>
    </row>
    <row r="5711" spans="1:2" x14ac:dyDescent="0.2">
      <c r="A5711">
        <v>5705</v>
      </c>
      <c r="B5711">
        <v>0.8337514925313666</v>
      </c>
    </row>
    <row r="5712" spans="1:2" x14ac:dyDescent="0.2">
      <c r="A5712">
        <v>5706</v>
      </c>
      <c r="B5712">
        <v>0.27236327778850922</v>
      </c>
    </row>
    <row r="5713" spans="1:2" x14ac:dyDescent="0.2">
      <c r="A5713">
        <v>5707</v>
      </c>
      <c r="B5713">
        <v>0.84846769967006552</v>
      </c>
    </row>
    <row r="5714" spans="1:2" x14ac:dyDescent="0.2">
      <c r="A5714">
        <v>5708</v>
      </c>
      <c r="B5714">
        <v>0.44790246929574984</v>
      </c>
    </row>
    <row r="5715" spans="1:2" x14ac:dyDescent="0.2">
      <c r="A5715">
        <v>5709</v>
      </c>
      <c r="B5715">
        <v>0.78173320560502291</v>
      </c>
    </row>
    <row r="5716" spans="1:2" x14ac:dyDescent="0.2">
      <c r="A5716">
        <v>5710</v>
      </c>
      <c r="B5716">
        <v>0.74389730938637433</v>
      </c>
    </row>
    <row r="5717" spans="1:2" x14ac:dyDescent="0.2">
      <c r="A5717">
        <v>5711</v>
      </c>
      <c r="B5717">
        <v>0.13458546117275239</v>
      </c>
    </row>
    <row r="5718" spans="1:2" x14ac:dyDescent="0.2">
      <c r="A5718">
        <v>5712</v>
      </c>
      <c r="B5718">
        <v>0.12773124815608039</v>
      </c>
    </row>
    <row r="5719" spans="1:2" x14ac:dyDescent="0.2">
      <c r="A5719">
        <v>5713</v>
      </c>
      <c r="B5719">
        <v>0.39886250330915096</v>
      </c>
    </row>
    <row r="5720" spans="1:2" x14ac:dyDescent="0.2">
      <c r="A5720">
        <v>5714</v>
      </c>
      <c r="B5720">
        <v>0.82346880400150591</v>
      </c>
    </row>
    <row r="5721" spans="1:2" x14ac:dyDescent="0.2">
      <c r="A5721">
        <v>5715</v>
      </c>
      <c r="B5721">
        <v>0.3527646293497525</v>
      </c>
    </row>
    <row r="5722" spans="1:2" x14ac:dyDescent="0.2">
      <c r="A5722">
        <v>5716</v>
      </c>
      <c r="B5722">
        <v>0.88217982186112276</v>
      </c>
    </row>
    <row r="5723" spans="1:2" x14ac:dyDescent="0.2">
      <c r="A5723">
        <v>5717</v>
      </c>
      <c r="B5723">
        <v>0.9002155501672352</v>
      </c>
    </row>
    <row r="5724" spans="1:2" x14ac:dyDescent="0.2">
      <c r="A5724">
        <v>5718</v>
      </c>
      <c r="B5724">
        <v>0.65854863260588914</v>
      </c>
    </row>
    <row r="5725" spans="1:2" x14ac:dyDescent="0.2">
      <c r="A5725">
        <v>5719</v>
      </c>
      <c r="B5725">
        <v>0.58899442179379613</v>
      </c>
    </row>
    <row r="5726" spans="1:2" x14ac:dyDescent="0.2">
      <c r="A5726">
        <v>5720</v>
      </c>
      <c r="B5726">
        <v>0.89458698936055325</v>
      </c>
    </row>
    <row r="5727" spans="1:2" x14ac:dyDescent="0.2">
      <c r="A5727">
        <v>5721</v>
      </c>
      <c r="B5727">
        <v>0.10338842693155037</v>
      </c>
    </row>
    <row r="5728" spans="1:2" x14ac:dyDescent="0.2">
      <c r="A5728">
        <v>5722</v>
      </c>
      <c r="B5728">
        <v>0.88248710650117512</v>
      </c>
    </row>
    <row r="5729" spans="1:2" x14ac:dyDescent="0.2">
      <c r="A5729">
        <v>5723</v>
      </c>
      <c r="B5729">
        <v>0.95823563578933901</v>
      </c>
    </row>
    <row r="5730" spans="1:2" x14ac:dyDescent="0.2">
      <c r="A5730">
        <v>5724</v>
      </c>
      <c r="B5730">
        <v>0.12630152988298604</v>
      </c>
    </row>
    <row r="5731" spans="1:2" x14ac:dyDescent="0.2">
      <c r="A5731">
        <v>5725</v>
      </c>
      <c r="B5731">
        <v>0.80141415147748396</v>
      </c>
    </row>
    <row r="5732" spans="1:2" x14ac:dyDescent="0.2">
      <c r="A5732">
        <v>5726</v>
      </c>
      <c r="B5732">
        <v>1.3989029745007486E-2</v>
      </c>
    </row>
    <row r="5733" spans="1:2" x14ac:dyDescent="0.2">
      <c r="A5733">
        <v>5727</v>
      </c>
      <c r="B5733">
        <v>0.96523076264925356</v>
      </c>
    </row>
    <row r="5734" spans="1:2" x14ac:dyDescent="0.2">
      <c r="A5734">
        <v>5728</v>
      </c>
      <c r="B5734">
        <v>0.64136268523945705</v>
      </c>
    </row>
    <row r="5735" spans="1:2" x14ac:dyDescent="0.2">
      <c r="A5735">
        <v>5729</v>
      </c>
      <c r="B5735">
        <v>0.6724514115752751</v>
      </c>
    </row>
    <row r="5736" spans="1:2" x14ac:dyDescent="0.2">
      <c r="A5736">
        <v>5730</v>
      </c>
      <c r="B5736">
        <v>0.53587190667772178</v>
      </c>
    </row>
    <row r="5737" spans="1:2" x14ac:dyDescent="0.2">
      <c r="A5737">
        <v>5731</v>
      </c>
      <c r="B5737">
        <v>8.7382323764533476E-2</v>
      </c>
    </row>
    <row r="5738" spans="1:2" x14ac:dyDescent="0.2">
      <c r="A5738">
        <v>5732</v>
      </c>
      <c r="B5738">
        <v>0.55604705545307476</v>
      </c>
    </row>
    <row r="5739" spans="1:2" x14ac:dyDescent="0.2">
      <c r="A5739">
        <v>5733</v>
      </c>
      <c r="B5739">
        <v>0.67333179266722654</v>
      </c>
    </row>
    <row r="5740" spans="1:2" x14ac:dyDescent="0.2">
      <c r="A5740">
        <v>5734</v>
      </c>
      <c r="B5740">
        <v>0.61190216764121186</v>
      </c>
    </row>
    <row r="5741" spans="1:2" x14ac:dyDescent="0.2">
      <c r="A5741">
        <v>5735</v>
      </c>
      <c r="B5741">
        <v>0.34481369208728641</v>
      </c>
    </row>
    <row r="5742" spans="1:2" x14ac:dyDescent="0.2">
      <c r="A5742">
        <v>5736</v>
      </c>
      <c r="B5742">
        <v>0.75806854253788825</v>
      </c>
    </row>
    <row r="5743" spans="1:2" x14ac:dyDescent="0.2">
      <c r="A5743">
        <v>5737</v>
      </c>
      <c r="B5743">
        <v>0.62130366730249564</v>
      </c>
    </row>
    <row r="5744" spans="1:2" x14ac:dyDescent="0.2">
      <c r="A5744">
        <v>5738</v>
      </c>
      <c r="B5744">
        <v>0.32268103564597928</v>
      </c>
    </row>
    <row r="5745" spans="1:2" x14ac:dyDescent="0.2">
      <c r="A5745">
        <v>5739</v>
      </c>
      <c r="B5745">
        <v>0.41584838480002895</v>
      </c>
    </row>
    <row r="5746" spans="1:2" x14ac:dyDescent="0.2">
      <c r="A5746">
        <v>5740</v>
      </c>
      <c r="B5746">
        <v>0.88681532102791194</v>
      </c>
    </row>
    <row r="5747" spans="1:2" x14ac:dyDescent="0.2">
      <c r="A5747">
        <v>5741</v>
      </c>
      <c r="B5747">
        <v>0.80027735692477464</v>
      </c>
    </row>
    <row r="5748" spans="1:2" x14ac:dyDescent="0.2">
      <c r="A5748">
        <v>5742</v>
      </c>
      <c r="B5748">
        <v>0.7983162381789467</v>
      </c>
    </row>
    <row r="5749" spans="1:2" x14ac:dyDescent="0.2">
      <c r="A5749">
        <v>5743</v>
      </c>
      <c r="B5749">
        <v>0.73976335007286753</v>
      </c>
    </row>
    <row r="5750" spans="1:2" x14ac:dyDescent="0.2">
      <c r="A5750">
        <v>5744</v>
      </c>
      <c r="B5750">
        <v>0.13359397170800613</v>
      </c>
    </row>
    <row r="5751" spans="1:2" x14ac:dyDescent="0.2">
      <c r="A5751">
        <v>5745</v>
      </c>
      <c r="B5751">
        <v>0.76191209462743648</v>
      </c>
    </row>
    <row r="5752" spans="1:2" x14ac:dyDescent="0.2">
      <c r="A5752">
        <v>5746</v>
      </c>
      <c r="B5752">
        <v>0.87659814827737226</v>
      </c>
    </row>
    <row r="5753" spans="1:2" x14ac:dyDescent="0.2">
      <c r="A5753">
        <v>5747</v>
      </c>
      <c r="B5753">
        <v>0.2117573324034665</v>
      </c>
    </row>
    <row r="5754" spans="1:2" x14ac:dyDescent="0.2">
      <c r="A5754">
        <v>5748</v>
      </c>
      <c r="B5754">
        <v>0.52902481658341827</v>
      </c>
    </row>
    <row r="5755" spans="1:2" x14ac:dyDescent="0.2">
      <c r="A5755">
        <v>5749</v>
      </c>
      <c r="B5755">
        <v>0.56445748657090089</v>
      </c>
    </row>
    <row r="5756" spans="1:2" x14ac:dyDescent="0.2">
      <c r="A5756">
        <v>5750</v>
      </c>
      <c r="B5756">
        <v>0.60793217570847302</v>
      </c>
    </row>
    <row r="5757" spans="1:2" x14ac:dyDescent="0.2">
      <c r="A5757">
        <v>5751</v>
      </c>
      <c r="B5757">
        <v>0.44863794950104963</v>
      </c>
    </row>
    <row r="5758" spans="1:2" x14ac:dyDescent="0.2">
      <c r="A5758">
        <v>5752</v>
      </c>
      <c r="B5758">
        <v>0.45084441411901943</v>
      </c>
    </row>
    <row r="5759" spans="1:2" x14ac:dyDescent="0.2">
      <c r="A5759">
        <v>5753</v>
      </c>
      <c r="B5759">
        <v>0.2135912532262042</v>
      </c>
    </row>
    <row r="5760" spans="1:2" x14ac:dyDescent="0.2">
      <c r="A5760">
        <v>5754</v>
      </c>
      <c r="B5760">
        <v>0.26680000252665359</v>
      </c>
    </row>
    <row r="5761" spans="1:2" x14ac:dyDescent="0.2">
      <c r="A5761">
        <v>5755</v>
      </c>
      <c r="B5761">
        <v>0.6417548915426613</v>
      </c>
    </row>
    <row r="5762" spans="1:2" x14ac:dyDescent="0.2">
      <c r="A5762">
        <v>5756</v>
      </c>
      <c r="B5762">
        <v>0.70277844339628204</v>
      </c>
    </row>
    <row r="5763" spans="1:2" x14ac:dyDescent="0.2">
      <c r="A5763">
        <v>5757</v>
      </c>
      <c r="B5763">
        <v>0.21638195516388115</v>
      </c>
    </row>
    <row r="5764" spans="1:2" x14ac:dyDescent="0.2">
      <c r="A5764">
        <v>5758</v>
      </c>
      <c r="B5764">
        <v>0.62263426376666009</v>
      </c>
    </row>
    <row r="5765" spans="1:2" x14ac:dyDescent="0.2">
      <c r="A5765">
        <v>5759</v>
      </c>
      <c r="B5765">
        <v>0.2586068301725627</v>
      </c>
    </row>
    <row r="5766" spans="1:2" x14ac:dyDescent="0.2">
      <c r="A5766">
        <v>5760</v>
      </c>
      <c r="B5766">
        <v>0.16478692920365257</v>
      </c>
    </row>
    <row r="5767" spans="1:2" x14ac:dyDescent="0.2">
      <c r="A5767">
        <v>5761</v>
      </c>
      <c r="B5767">
        <v>0.81952458129649774</v>
      </c>
    </row>
    <row r="5768" spans="1:2" x14ac:dyDescent="0.2">
      <c r="A5768">
        <v>5762</v>
      </c>
      <c r="B5768">
        <v>0.19579174551913037</v>
      </c>
    </row>
    <row r="5769" spans="1:2" x14ac:dyDescent="0.2">
      <c r="A5769">
        <v>5763</v>
      </c>
      <c r="B5769">
        <v>0.68015865373790307</v>
      </c>
    </row>
    <row r="5770" spans="1:2" x14ac:dyDescent="0.2">
      <c r="A5770">
        <v>5764</v>
      </c>
      <c r="B5770">
        <v>0.44342593057850122</v>
      </c>
    </row>
    <row r="5771" spans="1:2" x14ac:dyDescent="0.2">
      <c r="A5771">
        <v>5765</v>
      </c>
      <c r="B5771">
        <v>0.68470238401778249</v>
      </c>
    </row>
    <row r="5772" spans="1:2" x14ac:dyDescent="0.2">
      <c r="A5772">
        <v>5766</v>
      </c>
      <c r="B5772">
        <v>2.4793093072093875E-2</v>
      </c>
    </row>
    <row r="5773" spans="1:2" x14ac:dyDescent="0.2">
      <c r="A5773">
        <v>5767</v>
      </c>
      <c r="B5773">
        <v>3.6023152705987549E-2</v>
      </c>
    </row>
    <row r="5774" spans="1:2" x14ac:dyDescent="0.2">
      <c r="A5774">
        <v>5768</v>
      </c>
      <c r="B5774">
        <v>0.57914031579587288</v>
      </c>
    </row>
    <row r="5775" spans="1:2" x14ac:dyDescent="0.2">
      <c r="A5775">
        <v>5769</v>
      </c>
      <c r="B5775">
        <v>0.41502048696181393</v>
      </c>
    </row>
    <row r="5776" spans="1:2" x14ac:dyDescent="0.2">
      <c r="A5776">
        <v>5770</v>
      </c>
      <c r="B5776">
        <v>0.12789805892327488</v>
      </c>
    </row>
    <row r="5777" spans="1:2" x14ac:dyDescent="0.2">
      <c r="A5777">
        <v>5771</v>
      </c>
      <c r="B5777">
        <v>0.6769735423060711</v>
      </c>
    </row>
    <row r="5778" spans="1:2" x14ac:dyDescent="0.2">
      <c r="A5778">
        <v>5772</v>
      </c>
      <c r="B5778">
        <v>0.44821607968781607</v>
      </c>
    </row>
    <row r="5779" spans="1:2" x14ac:dyDescent="0.2">
      <c r="A5779">
        <v>5773</v>
      </c>
      <c r="B5779">
        <v>0.36399050803644184</v>
      </c>
    </row>
    <row r="5780" spans="1:2" x14ac:dyDescent="0.2">
      <c r="A5780">
        <v>5774</v>
      </c>
      <c r="B5780">
        <v>4.5385168650914576E-2</v>
      </c>
    </row>
    <row r="5781" spans="1:2" x14ac:dyDescent="0.2">
      <c r="A5781">
        <v>5775</v>
      </c>
      <c r="B5781">
        <v>0.95312142327754579</v>
      </c>
    </row>
    <row r="5782" spans="1:2" x14ac:dyDescent="0.2">
      <c r="A5782">
        <v>5776</v>
      </c>
      <c r="B5782">
        <v>0.44591293124247622</v>
      </c>
    </row>
    <row r="5783" spans="1:2" x14ac:dyDescent="0.2">
      <c r="A5783">
        <v>5777</v>
      </c>
      <c r="B5783">
        <v>0.468132703311122</v>
      </c>
    </row>
    <row r="5784" spans="1:2" x14ac:dyDescent="0.2">
      <c r="A5784">
        <v>5778</v>
      </c>
      <c r="B5784">
        <v>0.16423463674746774</v>
      </c>
    </row>
    <row r="5785" spans="1:2" x14ac:dyDescent="0.2">
      <c r="A5785">
        <v>5779</v>
      </c>
      <c r="B5785">
        <v>0.26704845131506272</v>
      </c>
    </row>
    <row r="5786" spans="1:2" x14ac:dyDescent="0.2">
      <c r="A5786">
        <v>5780</v>
      </c>
      <c r="B5786">
        <v>0.98818577465008439</v>
      </c>
    </row>
    <row r="5787" spans="1:2" x14ac:dyDescent="0.2">
      <c r="A5787">
        <v>5781</v>
      </c>
      <c r="B5787">
        <v>0.86382603261889201</v>
      </c>
    </row>
    <row r="5788" spans="1:2" x14ac:dyDescent="0.2">
      <c r="A5788">
        <v>5782</v>
      </c>
      <c r="B5788">
        <v>0.99545805742272331</v>
      </c>
    </row>
    <row r="5789" spans="1:2" x14ac:dyDescent="0.2">
      <c r="A5789">
        <v>5783</v>
      </c>
      <c r="B5789">
        <v>0.33859043952075762</v>
      </c>
    </row>
    <row r="5790" spans="1:2" x14ac:dyDescent="0.2">
      <c r="A5790">
        <v>5784</v>
      </c>
      <c r="B5790">
        <v>0.47236143510384765</v>
      </c>
    </row>
    <row r="5791" spans="1:2" x14ac:dyDescent="0.2">
      <c r="A5791">
        <v>5785</v>
      </c>
      <c r="B5791">
        <v>0.54680981701314624</v>
      </c>
    </row>
    <row r="5792" spans="1:2" x14ac:dyDescent="0.2">
      <c r="A5792">
        <v>5786</v>
      </c>
      <c r="B5792">
        <v>0.6030729692289537</v>
      </c>
    </row>
    <row r="5793" spans="1:2" x14ac:dyDescent="0.2">
      <c r="A5793">
        <v>5787</v>
      </c>
      <c r="B5793">
        <v>0.14805924289020655</v>
      </c>
    </row>
    <row r="5794" spans="1:2" x14ac:dyDescent="0.2">
      <c r="A5794">
        <v>5788</v>
      </c>
      <c r="B5794">
        <v>0.64920798681592007</v>
      </c>
    </row>
    <row r="5795" spans="1:2" x14ac:dyDescent="0.2">
      <c r="A5795">
        <v>5789</v>
      </c>
      <c r="B5795">
        <v>0.70938819830868405</v>
      </c>
    </row>
    <row r="5796" spans="1:2" x14ac:dyDescent="0.2">
      <c r="A5796">
        <v>5790</v>
      </c>
      <c r="B5796">
        <v>0.10597711718270242</v>
      </c>
    </row>
    <row r="5797" spans="1:2" x14ac:dyDescent="0.2">
      <c r="A5797">
        <v>5791</v>
      </c>
      <c r="B5797">
        <v>0.54247594238027497</v>
      </c>
    </row>
    <row r="5798" spans="1:2" x14ac:dyDescent="0.2">
      <c r="A5798">
        <v>5792</v>
      </c>
      <c r="B5798">
        <v>0.68644922667614638</v>
      </c>
    </row>
    <row r="5799" spans="1:2" x14ac:dyDescent="0.2">
      <c r="A5799">
        <v>5793</v>
      </c>
      <c r="B5799">
        <v>0.55947021979042932</v>
      </c>
    </row>
    <row r="5800" spans="1:2" x14ac:dyDescent="0.2">
      <c r="A5800">
        <v>5794</v>
      </c>
      <c r="B5800">
        <v>0.93345980034316456</v>
      </c>
    </row>
    <row r="5801" spans="1:2" x14ac:dyDescent="0.2">
      <c r="A5801">
        <v>5795</v>
      </c>
      <c r="B5801">
        <v>0.77079284575374984</v>
      </c>
    </row>
    <row r="5802" spans="1:2" x14ac:dyDescent="0.2">
      <c r="A5802">
        <v>5796</v>
      </c>
      <c r="B5802">
        <v>0.20512223949546826</v>
      </c>
    </row>
    <row r="5803" spans="1:2" x14ac:dyDescent="0.2">
      <c r="A5803">
        <v>5797</v>
      </c>
      <c r="B5803">
        <v>8.7563279369483937E-2</v>
      </c>
    </row>
    <row r="5804" spans="1:2" x14ac:dyDescent="0.2">
      <c r="A5804">
        <v>5798</v>
      </c>
      <c r="B5804">
        <v>0.4293259685500469</v>
      </c>
    </row>
    <row r="5805" spans="1:2" x14ac:dyDescent="0.2">
      <c r="A5805">
        <v>5799</v>
      </c>
      <c r="B5805">
        <v>0.61091748766469167</v>
      </c>
    </row>
    <row r="5806" spans="1:2" x14ac:dyDescent="0.2">
      <c r="A5806">
        <v>5800</v>
      </c>
      <c r="B5806">
        <v>0.46824645665906017</v>
      </c>
    </row>
    <row r="5807" spans="1:2" x14ac:dyDescent="0.2">
      <c r="A5807">
        <v>5801</v>
      </c>
      <c r="B5807">
        <v>1.4765252906133397E-2</v>
      </c>
    </row>
    <row r="5808" spans="1:2" x14ac:dyDescent="0.2">
      <c r="A5808">
        <v>5802</v>
      </c>
      <c r="B5808">
        <v>0.13332160855234065</v>
      </c>
    </row>
    <row r="5809" spans="1:2" x14ac:dyDescent="0.2">
      <c r="A5809">
        <v>5803</v>
      </c>
      <c r="B5809">
        <v>0.85986065818994972</v>
      </c>
    </row>
    <row r="5810" spans="1:2" x14ac:dyDescent="0.2">
      <c r="A5810">
        <v>5804</v>
      </c>
      <c r="B5810">
        <v>0.33863956803641426</v>
      </c>
    </row>
    <row r="5811" spans="1:2" x14ac:dyDescent="0.2">
      <c r="A5811">
        <v>5805</v>
      </c>
      <c r="B5811">
        <v>0.82917785141621025</v>
      </c>
    </row>
    <row r="5812" spans="1:2" x14ac:dyDescent="0.2">
      <c r="A5812">
        <v>5806</v>
      </c>
      <c r="B5812">
        <v>0.90162434150374515</v>
      </c>
    </row>
    <row r="5813" spans="1:2" x14ac:dyDescent="0.2">
      <c r="A5813">
        <v>5807</v>
      </c>
      <c r="B5813">
        <v>0.44763160646123357</v>
      </c>
    </row>
    <row r="5814" spans="1:2" x14ac:dyDescent="0.2">
      <c r="A5814">
        <v>5808</v>
      </c>
      <c r="B5814">
        <v>0.54306118228300171</v>
      </c>
    </row>
    <row r="5815" spans="1:2" x14ac:dyDescent="0.2">
      <c r="A5815">
        <v>5809</v>
      </c>
      <c r="B5815">
        <v>0.74895590203625906</v>
      </c>
    </row>
    <row r="5816" spans="1:2" x14ac:dyDescent="0.2">
      <c r="A5816">
        <v>5810</v>
      </c>
      <c r="B5816">
        <v>0.11117616994465873</v>
      </c>
    </row>
    <row r="5817" spans="1:2" x14ac:dyDescent="0.2">
      <c r="A5817">
        <v>5811</v>
      </c>
      <c r="B5817">
        <v>0.76894628133426257</v>
      </c>
    </row>
    <row r="5818" spans="1:2" x14ac:dyDescent="0.2">
      <c r="A5818">
        <v>5812</v>
      </c>
      <c r="B5818">
        <v>0.87309218416564005</v>
      </c>
    </row>
    <row r="5819" spans="1:2" x14ac:dyDescent="0.2">
      <c r="A5819">
        <v>5813</v>
      </c>
      <c r="B5819">
        <v>0.38896184137466305</v>
      </c>
    </row>
    <row r="5820" spans="1:2" x14ac:dyDescent="0.2">
      <c r="A5820">
        <v>5814</v>
      </c>
      <c r="B5820">
        <v>0.21712993306235939</v>
      </c>
    </row>
    <row r="5821" spans="1:2" x14ac:dyDescent="0.2">
      <c r="A5821">
        <v>5815</v>
      </c>
      <c r="B5821">
        <v>0.28696671639322724</v>
      </c>
    </row>
    <row r="5822" spans="1:2" x14ac:dyDescent="0.2">
      <c r="A5822">
        <v>5816</v>
      </c>
      <c r="B5822">
        <v>0.2795172223162804</v>
      </c>
    </row>
    <row r="5823" spans="1:2" x14ac:dyDescent="0.2">
      <c r="A5823">
        <v>5817</v>
      </c>
      <c r="B5823">
        <v>3.4029187539355576E-2</v>
      </c>
    </row>
    <row r="5824" spans="1:2" x14ac:dyDescent="0.2">
      <c r="A5824">
        <v>5818</v>
      </c>
      <c r="B5824">
        <v>0.43068066218684797</v>
      </c>
    </row>
    <row r="5825" spans="1:2" x14ac:dyDescent="0.2">
      <c r="A5825">
        <v>5819</v>
      </c>
      <c r="B5825">
        <v>0.3873707847930512</v>
      </c>
    </row>
    <row r="5826" spans="1:2" x14ac:dyDescent="0.2">
      <c r="A5826">
        <v>5820</v>
      </c>
      <c r="B5826">
        <v>0.36365562422554598</v>
      </c>
    </row>
    <row r="5827" spans="1:2" x14ac:dyDescent="0.2">
      <c r="A5827">
        <v>5821</v>
      </c>
      <c r="B5827">
        <v>0.47374057001996317</v>
      </c>
    </row>
    <row r="5828" spans="1:2" x14ac:dyDescent="0.2">
      <c r="A5828">
        <v>5822</v>
      </c>
      <c r="B5828">
        <v>0.48062596928859591</v>
      </c>
    </row>
    <row r="5829" spans="1:2" x14ac:dyDescent="0.2">
      <c r="A5829">
        <v>5823</v>
      </c>
      <c r="B5829">
        <v>0.94059556624033591</v>
      </c>
    </row>
    <row r="5830" spans="1:2" x14ac:dyDescent="0.2">
      <c r="A5830">
        <v>5824</v>
      </c>
      <c r="B5830">
        <v>0.14026722394155411</v>
      </c>
    </row>
    <row r="5831" spans="1:2" x14ac:dyDescent="0.2">
      <c r="A5831">
        <v>5825</v>
      </c>
      <c r="B5831">
        <v>0.73188588531131971</v>
      </c>
    </row>
    <row r="5832" spans="1:2" x14ac:dyDescent="0.2">
      <c r="A5832">
        <v>5826</v>
      </c>
      <c r="B5832">
        <v>0.33106205878332262</v>
      </c>
    </row>
    <row r="5833" spans="1:2" x14ac:dyDescent="0.2">
      <c r="A5833">
        <v>5827</v>
      </c>
      <c r="B5833">
        <v>0.35778977220493347</v>
      </c>
    </row>
    <row r="5834" spans="1:2" x14ac:dyDescent="0.2">
      <c r="A5834">
        <v>5828</v>
      </c>
      <c r="B5834">
        <v>8.9668833519270463E-2</v>
      </c>
    </row>
    <row r="5835" spans="1:2" x14ac:dyDescent="0.2">
      <c r="A5835">
        <v>5829</v>
      </c>
      <c r="B5835">
        <v>6.3199652007658869E-2</v>
      </c>
    </row>
    <row r="5836" spans="1:2" x14ac:dyDescent="0.2">
      <c r="A5836">
        <v>5830</v>
      </c>
      <c r="B5836">
        <v>0.63593608616849129</v>
      </c>
    </row>
    <row r="5837" spans="1:2" x14ac:dyDescent="0.2">
      <c r="A5837">
        <v>5831</v>
      </c>
      <c r="B5837">
        <v>9.0222518828400045E-3</v>
      </c>
    </row>
    <row r="5838" spans="1:2" x14ac:dyDescent="0.2">
      <c r="A5838">
        <v>5832</v>
      </c>
      <c r="B5838">
        <v>0.16560485886796639</v>
      </c>
    </row>
    <row r="5839" spans="1:2" x14ac:dyDescent="0.2">
      <c r="A5839">
        <v>5833</v>
      </c>
      <c r="B5839">
        <v>0.14611837954716633</v>
      </c>
    </row>
    <row r="5840" spans="1:2" x14ac:dyDescent="0.2">
      <c r="A5840">
        <v>5834</v>
      </c>
      <c r="B5840">
        <v>0.13442799454071042</v>
      </c>
    </row>
    <row r="5841" spans="1:2" x14ac:dyDescent="0.2">
      <c r="A5841">
        <v>5835</v>
      </c>
      <c r="B5841">
        <v>0.40962987453283539</v>
      </c>
    </row>
    <row r="5842" spans="1:2" x14ac:dyDescent="0.2">
      <c r="A5842">
        <v>5836</v>
      </c>
      <c r="B5842">
        <v>0.86131790658182394</v>
      </c>
    </row>
    <row r="5843" spans="1:2" x14ac:dyDescent="0.2">
      <c r="A5843">
        <v>5837</v>
      </c>
      <c r="B5843">
        <v>0.96221682814233045</v>
      </c>
    </row>
    <row r="5844" spans="1:2" x14ac:dyDescent="0.2">
      <c r="A5844">
        <v>5838</v>
      </c>
      <c r="B5844">
        <v>0.23952555892290872</v>
      </c>
    </row>
    <row r="5845" spans="1:2" x14ac:dyDescent="0.2">
      <c r="A5845">
        <v>5839</v>
      </c>
      <c r="B5845">
        <v>0.95393124863750733</v>
      </c>
    </row>
    <row r="5846" spans="1:2" x14ac:dyDescent="0.2">
      <c r="A5846">
        <v>5840</v>
      </c>
      <c r="B5846">
        <v>0.74101217904273187</v>
      </c>
    </row>
    <row r="5847" spans="1:2" x14ac:dyDescent="0.2">
      <c r="A5847">
        <v>5841</v>
      </c>
      <c r="B5847">
        <v>0.35023693720027171</v>
      </c>
    </row>
    <row r="5848" spans="1:2" x14ac:dyDescent="0.2">
      <c r="A5848">
        <v>5842</v>
      </c>
      <c r="B5848">
        <v>0.69266332677568165</v>
      </c>
    </row>
    <row r="5849" spans="1:2" x14ac:dyDescent="0.2">
      <c r="A5849">
        <v>5843</v>
      </c>
      <c r="B5849">
        <v>0.90065372938922694</v>
      </c>
    </row>
    <row r="5850" spans="1:2" x14ac:dyDescent="0.2">
      <c r="A5850">
        <v>5844</v>
      </c>
      <c r="B5850">
        <v>0.6912489241400076</v>
      </c>
    </row>
    <row r="5851" spans="1:2" x14ac:dyDescent="0.2">
      <c r="A5851">
        <v>5845</v>
      </c>
      <c r="B5851">
        <v>0.98133873746631395</v>
      </c>
    </row>
    <row r="5852" spans="1:2" x14ac:dyDescent="0.2">
      <c r="A5852">
        <v>5846</v>
      </c>
      <c r="B5852">
        <v>0.72027848066759692</v>
      </c>
    </row>
    <row r="5853" spans="1:2" x14ac:dyDescent="0.2">
      <c r="A5853">
        <v>5847</v>
      </c>
      <c r="B5853">
        <v>0.22864415613920863</v>
      </c>
    </row>
    <row r="5854" spans="1:2" x14ac:dyDescent="0.2">
      <c r="A5854">
        <v>5848</v>
      </c>
      <c r="B5854">
        <v>0.53699110665482397</v>
      </c>
    </row>
    <row r="5855" spans="1:2" x14ac:dyDescent="0.2">
      <c r="A5855">
        <v>5849</v>
      </c>
      <c r="B5855">
        <v>0.48353132231620422</v>
      </c>
    </row>
    <row r="5856" spans="1:2" x14ac:dyDescent="0.2">
      <c r="A5856">
        <v>5850</v>
      </c>
      <c r="B5856">
        <v>0.76444707460821026</v>
      </c>
    </row>
    <row r="5857" spans="1:2" x14ac:dyDescent="0.2">
      <c r="A5857">
        <v>5851</v>
      </c>
      <c r="B5857">
        <v>0.3412613990513359</v>
      </c>
    </row>
    <row r="5858" spans="1:2" x14ac:dyDescent="0.2">
      <c r="A5858">
        <v>5852</v>
      </c>
      <c r="B5858">
        <v>0.40970454818585256</v>
      </c>
    </row>
    <row r="5859" spans="1:2" x14ac:dyDescent="0.2">
      <c r="A5859">
        <v>5853</v>
      </c>
      <c r="B5859">
        <v>0.82653811350713879</v>
      </c>
    </row>
    <row r="5860" spans="1:2" x14ac:dyDescent="0.2">
      <c r="A5860">
        <v>5854</v>
      </c>
      <c r="B5860">
        <v>0.25005449619336595</v>
      </c>
    </row>
    <row r="5861" spans="1:2" x14ac:dyDescent="0.2">
      <c r="A5861">
        <v>5855</v>
      </c>
      <c r="B5861">
        <v>0.91286210056066397</v>
      </c>
    </row>
    <row r="5862" spans="1:2" x14ac:dyDescent="0.2">
      <c r="A5862">
        <v>5856</v>
      </c>
      <c r="B5862">
        <v>0.9633136509728546</v>
      </c>
    </row>
    <row r="5863" spans="1:2" x14ac:dyDescent="0.2">
      <c r="A5863">
        <v>5857</v>
      </c>
      <c r="B5863">
        <v>0.63352109356238384</v>
      </c>
    </row>
    <row r="5864" spans="1:2" x14ac:dyDescent="0.2">
      <c r="A5864">
        <v>5858</v>
      </c>
      <c r="B5864">
        <v>0.38167591942987256</v>
      </c>
    </row>
    <row r="5865" spans="1:2" x14ac:dyDescent="0.2">
      <c r="A5865">
        <v>5859</v>
      </c>
      <c r="B5865">
        <v>0.24187118618784398</v>
      </c>
    </row>
    <row r="5866" spans="1:2" x14ac:dyDescent="0.2">
      <c r="A5866">
        <v>5860</v>
      </c>
      <c r="B5866">
        <v>0.20245531822793317</v>
      </c>
    </row>
    <row r="5867" spans="1:2" x14ac:dyDescent="0.2">
      <c r="A5867">
        <v>5861</v>
      </c>
      <c r="B5867">
        <v>0.61533984995170821</v>
      </c>
    </row>
    <row r="5868" spans="1:2" x14ac:dyDescent="0.2">
      <c r="A5868">
        <v>5862</v>
      </c>
      <c r="B5868">
        <v>0.80661619332335832</v>
      </c>
    </row>
    <row r="5869" spans="1:2" x14ac:dyDescent="0.2">
      <c r="A5869">
        <v>5863</v>
      </c>
      <c r="B5869">
        <v>3.2755691570813594E-2</v>
      </c>
    </row>
    <row r="5870" spans="1:2" x14ac:dyDescent="0.2">
      <c r="A5870">
        <v>5864</v>
      </c>
      <c r="B5870">
        <v>0.26816849605161663</v>
      </c>
    </row>
    <row r="5871" spans="1:2" x14ac:dyDescent="0.2">
      <c r="A5871">
        <v>5865</v>
      </c>
      <c r="B5871">
        <v>0.94654436638236861</v>
      </c>
    </row>
    <row r="5872" spans="1:2" x14ac:dyDescent="0.2">
      <c r="A5872">
        <v>5866</v>
      </c>
      <c r="B5872">
        <v>0.98518437031600026</v>
      </c>
    </row>
    <row r="5873" spans="1:2" x14ac:dyDescent="0.2">
      <c r="A5873">
        <v>5867</v>
      </c>
      <c r="B5873">
        <v>0.79923553331305008</v>
      </c>
    </row>
    <row r="5874" spans="1:2" x14ac:dyDescent="0.2">
      <c r="A5874">
        <v>5868</v>
      </c>
      <c r="B5874">
        <v>0.73529132898232785</v>
      </c>
    </row>
    <row r="5875" spans="1:2" x14ac:dyDescent="0.2">
      <c r="A5875">
        <v>5869</v>
      </c>
      <c r="B5875">
        <v>0.41520876551261043</v>
      </c>
    </row>
    <row r="5876" spans="1:2" x14ac:dyDescent="0.2">
      <c r="A5876">
        <v>5870</v>
      </c>
      <c r="B5876">
        <v>4.7370656687943935E-3</v>
      </c>
    </row>
    <row r="5877" spans="1:2" x14ac:dyDescent="0.2">
      <c r="A5877">
        <v>5871</v>
      </c>
      <c r="B5877">
        <v>0.3739619638785584</v>
      </c>
    </row>
    <row r="5878" spans="1:2" x14ac:dyDescent="0.2">
      <c r="A5878">
        <v>5872</v>
      </c>
      <c r="B5878">
        <v>0.35013509746520033</v>
      </c>
    </row>
    <row r="5879" spans="1:2" x14ac:dyDescent="0.2">
      <c r="A5879">
        <v>5873</v>
      </c>
      <c r="B5879">
        <v>0.31930636234557097</v>
      </c>
    </row>
    <row r="5880" spans="1:2" x14ac:dyDescent="0.2">
      <c r="A5880">
        <v>5874</v>
      </c>
      <c r="B5880">
        <v>0.39971489259184378</v>
      </c>
    </row>
    <row r="5881" spans="1:2" x14ac:dyDescent="0.2">
      <c r="A5881">
        <v>5875</v>
      </c>
      <c r="B5881">
        <v>0.45468103450817432</v>
      </c>
    </row>
    <row r="5882" spans="1:2" x14ac:dyDescent="0.2">
      <c r="A5882">
        <v>5876</v>
      </c>
      <c r="B5882">
        <v>0.37603560556846771</v>
      </c>
    </row>
    <row r="5883" spans="1:2" x14ac:dyDescent="0.2">
      <c r="A5883">
        <v>5877</v>
      </c>
      <c r="B5883">
        <v>0.46766293601370645</v>
      </c>
    </row>
    <row r="5884" spans="1:2" x14ac:dyDescent="0.2">
      <c r="A5884">
        <v>5878</v>
      </c>
      <c r="B5884">
        <v>8.2176347508249981E-2</v>
      </c>
    </row>
    <row r="5885" spans="1:2" x14ac:dyDescent="0.2">
      <c r="A5885">
        <v>5879</v>
      </c>
      <c r="B5885">
        <v>0.64236711438884575</v>
      </c>
    </row>
    <row r="5886" spans="1:2" x14ac:dyDescent="0.2">
      <c r="A5886">
        <v>5880</v>
      </c>
      <c r="B5886">
        <v>0.13400474420647002</v>
      </c>
    </row>
    <row r="5887" spans="1:2" x14ac:dyDescent="0.2">
      <c r="A5887">
        <v>5881</v>
      </c>
      <c r="B5887">
        <v>0.86076788121079029</v>
      </c>
    </row>
    <row r="5888" spans="1:2" x14ac:dyDescent="0.2">
      <c r="A5888">
        <v>5882</v>
      </c>
      <c r="B5888">
        <v>0.37422748517382631</v>
      </c>
    </row>
    <row r="5889" spans="1:2" x14ac:dyDescent="0.2">
      <c r="A5889">
        <v>5883</v>
      </c>
      <c r="B5889">
        <v>2.3484230892388491E-2</v>
      </c>
    </row>
    <row r="5890" spans="1:2" x14ac:dyDescent="0.2">
      <c r="A5890">
        <v>5884</v>
      </c>
      <c r="B5890">
        <v>0.7819495485086444</v>
      </c>
    </row>
    <row r="5891" spans="1:2" x14ac:dyDescent="0.2">
      <c r="A5891">
        <v>5885</v>
      </c>
      <c r="B5891">
        <v>0.31241071578512281</v>
      </c>
    </row>
    <row r="5892" spans="1:2" x14ac:dyDescent="0.2">
      <c r="A5892">
        <v>5886</v>
      </c>
      <c r="B5892">
        <v>0.88244821057034362</v>
      </c>
    </row>
    <row r="5893" spans="1:2" x14ac:dyDescent="0.2">
      <c r="A5893">
        <v>5887</v>
      </c>
      <c r="B5893">
        <v>0.81279807261879744</v>
      </c>
    </row>
    <row r="5894" spans="1:2" x14ac:dyDescent="0.2">
      <c r="A5894">
        <v>5888</v>
      </c>
      <c r="B5894">
        <v>0.7868406225788398</v>
      </c>
    </row>
    <row r="5895" spans="1:2" x14ac:dyDescent="0.2">
      <c r="A5895">
        <v>5889</v>
      </c>
      <c r="B5895">
        <v>0.21417916027571293</v>
      </c>
    </row>
    <row r="5896" spans="1:2" x14ac:dyDescent="0.2">
      <c r="A5896">
        <v>5890</v>
      </c>
      <c r="B5896">
        <v>0.77093949721106314</v>
      </c>
    </row>
    <row r="5897" spans="1:2" x14ac:dyDescent="0.2">
      <c r="A5897">
        <v>5891</v>
      </c>
      <c r="B5897">
        <v>0.71251656634423599</v>
      </c>
    </row>
    <row r="5898" spans="1:2" x14ac:dyDescent="0.2">
      <c r="A5898">
        <v>5892</v>
      </c>
      <c r="B5898">
        <v>0.42021961704190713</v>
      </c>
    </row>
    <row r="5899" spans="1:2" x14ac:dyDescent="0.2">
      <c r="A5899">
        <v>5893</v>
      </c>
      <c r="B5899">
        <v>0.11881753386535909</v>
      </c>
    </row>
    <row r="5900" spans="1:2" x14ac:dyDescent="0.2">
      <c r="A5900">
        <v>5894</v>
      </c>
      <c r="B5900">
        <v>0.33201312556109974</v>
      </c>
    </row>
    <row r="5901" spans="1:2" x14ac:dyDescent="0.2">
      <c r="A5901">
        <v>5895</v>
      </c>
      <c r="B5901">
        <v>2.6270335701054526E-2</v>
      </c>
    </row>
    <row r="5902" spans="1:2" x14ac:dyDescent="0.2">
      <c r="A5902">
        <v>5896</v>
      </c>
      <c r="B5902">
        <v>0.92676120534263273</v>
      </c>
    </row>
    <row r="5903" spans="1:2" x14ac:dyDescent="0.2">
      <c r="A5903">
        <v>5897</v>
      </c>
      <c r="B5903">
        <v>0.11237495599058722</v>
      </c>
    </row>
    <row r="5904" spans="1:2" x14ac:dyDescent="0.2">
      <c r="A5904">
        <v>5898</v>
      </c>
      <c r="B5904">
        <v>0.10192113025665483</v>
      </c>
    </row>
    <row r="5905" spans="1:2" x14ac:dyDescent="0.2">
      <c r="A5905">
        <v>5899</v>
      </c>
      <c r="B5905">
        <v>0.71867211006653908</v>
      </c>
    </row>
    <row r="5906" spans="1:2" x14ac:dyDescent="0.2">
      <c r="A5906">
        <v>5900</v>
      </c>
      <c r="B5906">
        <v>0.45044408505669575</v>
      </c>
    </row>
    <row r="5907" spans="1:2" x14ac:dyDescent="0.2">
      <c r="A5907">
        <v>5901</v>
      </c>
      <c r="B5907">
        <v>0.29845356967464753</v>
      </c>
    </row>
    <row r="5908" spans="1:2" x14ac:dyDescent="0.2">
      <c r="A5908">
        <v>5902</v>
      </c>
      <c r="B5908">
        <v>0.43378850004057268</v>
      </c>
    </row>
    <row r="5909" spans="1:2" x14ac:dyDescent="0.2">
      <c r="A5909">
        <v>5903</v>
      </c>
      <c r="B5909">
        <v>0.11064591217055442</v>
      </c>
    </row>
    <row r="5910" spans="1:2" x14ac:dyDescent="0.2">
      <c r="A5910">
        <v>5904</v>
      </c>
      <c r="B5910">
        <v>0.20394188148158743</v>
      </c>
    </row>
    <row r="5911" spans="1:2" x14ac:dyDescent="0.2">
      <c r="A5911">
        <v>5905</v>
      </c>
      <c r="B5911">
        <v>9.8840919089995816E-2</v>
      </c>
    </row>
    <row r="5912" spans="1:2" x14ac:dyDescent="0.2">
      <c r="A5912">
        <v>5906</v>
      </c>
      <c r="B5912">
        <v>0.25866031426174041</v>
      </c>
    </row>
    <row r="5913" spans="1:2" x14ac:dyDescent="0.2">
      <c r="A5913">
        <v>5907</v>
      </c>
      <c r="B5913">
        <v>0.94492861346543888</v>
      </c>
    </row>
    <row r="5914" spans="1:2" x14ac:dyDescent="0.2">
      <c r="A5914">
        <v>5908</v>
      </c>
      <c r="B5914">
        <v>0.52440181251578954</v>
      </c>
    </row>
    <row r="5915" spans="1:2" x14ac:dyDescent="0.2">
      <c r="A5915">
        <v>5909</v>
      </c>
      <c r="B5915">
        <v>0.26890876782053064</v>
      </c>
    </row>
    <row r="5916" spans="1:2" x14ac:dyDescent="0.2">
      <c r="A5916">
        <v>5910</v>
      </c>
      <c r="B5916">
        <v>0.40325309546097787</v>
      </c>
    </row>
    <row r="5917" spans="1:2" x14ac:dyDescent="0.2">
      <c r="A5917">
        <v>5911</v>
      </c>
      <c r="B5917">
        <v>0.63270081327014827</v>
      </c>
    </row>
    <row r="5918" spans="1:2" x14ac:dyDescent="0.2">
      <c r="A5918">
        <v>5912</v>
      </c>
      <c r="B5918">
        <v>0.51728170717900135</v>
      </c>
    </row>
    <row r="5919" spans="1:2" x14ac:dyDescent="0.2">
      <c r="A5919">
        <v>5913</v>
      </c>
      <c r="B5919">
        <v>0.37863374279312745</v>
      </c>
    </row>
    <row r="5920" spans="1:2" x14ac:dyDescent="0.2">
      <c r="A5920">
        <v>5914</v>
      </c>
      <c r="B5920">
        <v>0.39358431387603887</v>
      </c>
    </row>
    <row r="5921" spans="1:2" x14ac:dyDescent="0.2">
      <c r="A5921">
        <v>5915</v>
      </c>
      <c r="B5921">
        <v>0.84883222848888218</v>
      </c>
    </row>
    <row r="5922" spans="1:2" x14ac:dyDescent="0.2">
      <c r="A5922">
        <v>5916</v>
      </c>
      <c r="B5922">
        <v>4.3881968914238123E-2</v>
      </c>
    </row>
    <row r="5923" spans="1:2" x14ac:dyDescent="0.2">
      <c r="A5923">
        <v>5917</v>
      </c>
      <c r="B5923">
        <v>0.20064219614058909</v>
      </c>
    </row>
    <row r="5924" spans="1:2" x14ac:dyDescent="0.2">
      <c r="A5924">
        <v>5918</v>
      </c>
      <c r="B5924">
        <v>0.28354559005537738</v>
      </c>
    </row>
    <row r="5925" spans="1:2" x14ac:dyDescent="0.2">
      <c r="A5925">
        <v>5919</v>
      </c>
      <c r="B5925">
        <v>0.52260477336994915</v>
      </c>
    </row>
    <row r="5926" spans="1:2" x14ac:dyDescent="0.2">
      <c r="A5926">
        <v>5920</v>
      </c>
      <c r="B5926">
        <v>0.5491386565680435</v>
      </c>
    </row>
    <row r="5927" spans="1:2" x14ac:dyDescent="0.2">
      <c r="A5927">
        <v>5921</v>
      </c>
      <c r="B5927">
        <v>0.34555653822160859</v>
      </c>
    </row>
    <row r="5928" spans="1:2" x14ac:dyDescent="0.2">
      <c r="A5928">
        <v>5922</v>
      </c>
      <c r="B5928">
        <v>0.12392880612287871</v>
      </c>
    </row>
    <row r="5929" spans="1:2" x14ac:dyDescent="0.2">
      <c r="A5929">
        <v>5923</v>
      </c>
      <c r="B5929">
        <v>0.50409770407914323</v>
      </c>
    </row>
    <row r="5930" spans="1:2" x14ac:dyDescent="0.2">
      <c r="A5930">
        <v>5924</v>
      </c>
      <c r="B5930">
        <v>0.4969965562753117</v>
      </c>
    </row>
    <row r="5931" spans="1:2" x14ac:dyDescent="0.2">
      <c r="A5931">
        <v>5925</v>
      </c>
      <c r="B5931">
        <v>0.33845729853934214</v>
      </c>
    </row>
    <row r="5932" spans="1:2" x14ac:dyDescent="0.2">
      <c r="A5932">
        <v>5926</v>
      </c>
      <c r="B5932">
        <v>0.90320468765599105</v>
      </c>
    </row>
    <row r="5933" spans="1:2" x14ac:dyDescent="0.2">
      <c r="A5933">
        <v>5927</v>
      </c>
      <c r="B5933">
        <v>1.2071422072002069E-2</v>
      </c>
    </row>
    <row r="5934" spans="1:2" x14ac:dyDescent="0.2">
      <c r="A5934">
        <v>5928</v>
      </c>
      <c r="B5934">
        <v>0.76980273024964763</v>
      </c>
    </row>
    <row r="5935" spans="1:2" x14ac:dyDescent="0.2">
      <c r="A5935">
        <v>5929</v>
      </c>
      <c r="B5935">
        <v>0.35242033400526063</v>
      </c>
    </row>
    <row r="5936" spans="1:2" x14ac:dyDescent="0.2">
      <c r="A5936">
        <v>5930</v>
      </c>
      <c r="B5936">
        <v>0.62778192058309645</v>
      </c>
    </row>
    <row r="5937" spans="1:2" x14ac:dyDescent="0.2">
      <c r="A5937">
        <v>5931</v>
      </c>
      <c r="B5937">
        <v>0.83979361826213017</v>
      </c>
    </row>
    <row r="5938" spans="1:2" x14ac:dyDescent="0.2">
      <c r="A5938">
        <v>5932</v>
      </c>
      <c r="B5938">
        <v>0.120811074823437</v>
      </c>
    </row>
    <row r="5939" spans="1:2" x14ac:dyDescent="0.2">
      <c r="A5939">
        <v>5933</v>
      </c>
      <c r="B5939">
        <v>0.84923729940526294</v>
      </c>
    </row>
    <row r="5940" spans="1:2" x14ac:dyDescent="0.2">
      <c r="A5940">
        <v>5934</v>
      </c>
      <c r="B5940">
        <v>0.54120378545466175</v>
      </c>
    </row>
    <row r="5941" spans="1:2" x14ac:dyDescent="0.2">
      <c r="A5941">
        <v>5935</v>
      </c>
      <c r="B5941">
        <v>0.71964121306081552</v>
      </c>
    </row>
    <row r="5942" spans="1:2" x14ac:dyDescent="0.2">
      <c r="A5942">
        <v>5936</v>
      </c>
      <c r="B5942">
        <v>0.82460811933835365</v>
      </c>
    </row>
    <row r="5943" spans="1:2" x14ac:dyDescent="0.2">
      <c r="A5943">
        <v>5937</v>
      </c>
      <c r="B5943">
        <v>0.92642351311474946</v>
      </c>
    </row>
    <row r="5944" spans="1:2" x14ac:dyDescent="0.2">
      <c r="A5944">
        <v>5938</v>
      </c>
      <c r="B5944">
        <v>0.22504872302425172</v>
      </c>
    </row>
    <row r="5945" spans="1:2" x14ac:dyDescent="0.2">
      <c r="A5945">
        <v>5939</v>
      </c>
      <c r="B5945">
        <v>0.25096959308657951</v>
      </c>
    </row>
    <row r="5946" spans="1:2" x14ac:dyDescent="0.2">
      <c r="A5946">
        <v>5940</v>
      </c>
      <c r="B5946">
        <v>2.5051409674408553E-2</v>
      </c>
    </row>
    <row r="5947" spans="1:2" x14ac:dyDescent="0.2">
      <c r="A5947">
        <v>5941</v>
      </c>
      <c r="B5947">
        <v>0.10317497464523118</v>
      </c>
    </row>
    <row r="5948" spans="1:2" x14ac:dyDescent="0.2">
      <c r="A5948">
        <v>5942</v>
      </c>
      <c r="B5948">
        <v>0.82435524643019742</v>
      </c>
    </row>
    <row r="5949" spans="1:2" x14ac:dyDescent="0.2">
      <c r="A5949">
        <v>5943</v>
      </c>
      <c r="B5949">
        <v>0.94167791929469991</v>
      </c>
    </row>
    <row r="5950" spans="1:2" x14ac:dyDescent="0.2">
      <c r="A5950">
        <v>5944</v>
      </c>
      <c r="B5950">
        <v>0.58600740715526378</v>
      </c>
    </row>
    <row r="5951" spans="1:2" x14ac:dyDescent="0.2">
      <c r="A5951">
        <v>5945</v>
      </c>
      <c r="B5951">
        <v>0.46902747914492893</v>
      </c>
    </row>
    <row r="5952" spans="1:2" x14ac:dyDescent="0.2">
      <c r="A5952">
        <v>5946</v>
      </c>
      <c r="B5952">
        <v>0.62269522847410952</v>
      </c>
    </row>
    <row r="5953" spans="1:2" x14ac:dyDescent="0.2">
      <c r="A5953">
        <v>5947</v>
      </c>
      <c r="B5953">
        <v>0.59873135760315666</v>
      </c>
    </row>
    <row r="5954" spans="1:2" x14ac:dyDescent="0.2">
      <c r="A5954">
        <v>5948</v>
      </c>
      <c r="B5954">
        <v>0.47792381839609632</v>
      </c>
    </row>
    <row r="5955" spans="1:2" x14ac:dyDescent="0.2">
      <c r="A5955">
        <v>5949</v>
      </c>
      <c r="B5955">
        <v>0.76852421161944084</v>
      </c>
    </row>
    <row r="5956" spans="1:2" x14ac:dyDescent="0.2">
      <c r="A5956">
        <v>5950</v>
      </c>
      <c r="B5956">
        <v>0.4146466791210961</v>
      </c>
    </row>
    <row r="5957" spans="1:2" x14ac:dyDescent="0.2">
      <c r="A5957">
        <v>5951</v>
      </c>
      <c r="B5957">
        <v>0.53644725153618011</v>
      </c>
    </row>
    <row r="5958" spans="1:2" x14ac:dyDescent="0.2">
      <c r="A5958">
        <v>5952</v>
      </c>
      <c r="B5958">
        <v>0.89295597485114231</v>
      </c>
    </row>
    <row r="5959" spans="1:2" x14ac:dyDescent="0.2">
      <c r="A5959">
        <v>5953</v>
      </c>
      <c r="B5959">
        <v>8.0929389024628762E-2</v>
      </c>
    </row>
    <row r="5960" spans="1:2" x14ac:dyDescent="0.2">
      <c r="A5960">
        <v>5954</v>
      </c>
      <c r="B5960">
        <v>0.69314236072584112</v>
      </c>
    </row>
    <row r="5961" spans="1:2" x14ac:dyDescent="0.2">
      <c r="A5961">
        <v>5955</v>
      </c>
      <c r="B5961">
        <v>0.51125613509559376</v>
      </c>
    </row>
    <row r="5962" spans="1:2" x14ac:dyDescent="0.2">
      <c r="A5962">
        <v>5956</v>
      </c>
      <c r="B5962">
        <v>0.96039302652824188</v>
      </c>
    </row>
    <row r="5963" spans="1:2" x14ac:dyDescent="0.2">
      <c r="A5963">
        <v>5957</v>
      </c>
      <c r="B5963">
        <v>0.99907476284096963</v>
      </c>
    </row>
    <row r="5964" spans="1:2" x14ac:dyDescent="0.2">
      <c r="A5964">
        <v>5958</v>
      </c>
      <c r="B5964">
        <v>4.4408360235922206E-2</v>
      </c>
    </row>
    <row r="5965" spans="1:2" x14ac:dyDescent="0.2">
      <c r="A5965">
        <v>5959</v>
      </c>
      <c r="B5965">
        <v>0.11320534570911123</v>
      </c>
    </row>
    <row r="5966" spans="1:2" x14ac:dyDescent="0.2">
      <c r="A5966">
        <v>5960</v>
      </c>
      <c r="B5966">
        <v>0.20523107454629952</v>
      </c>
    </row>
    <row r="5967" spans="1:2" x14ac:dyDescent="0.2">
      <c r="A5967">
        <v>5961</v>
      </c>
      <c r="B5967">
        <v>0.25424093122397229</v>
      </c>
    </row>
    <row r="5968" spans="1:2" x14ac:dyDescent="0.2">
      <c r="A5968">
        <v>5962</v>
      </c>
      <c r="B5968">
        <v>0.80668712812791543</v>
      </c>
    </row>
    <row r="5969" spans="1:2" x14ac:dyDescent="0.2">
      <c r="A5969">
        <v>5963</v>
      </c>
      <c r="B5969">
        <v>0.63524408690790946</v>
      </c>
    </row>
    <row r="5970" spans="1:2" x14ac:dyDescent="0.2">
      <c r="A5970">
        <v>5964</v>
      </c>
      <c r="B5970">
        <v>0.90106638289222329</v>
      </c>
    </row>
    <row r="5971" spans="1:2" x14ac:dyDescent="0.2">
      <c r="A5971">
        <v>5965</v>
      </c>
      <c r="B5971">
        <v>1.3184321075662031E-2</v>
      </c>
    </row>
    <row r="5972" spans="1:2" x14ac:dyDescent="0.2">
      <c r="A5972">
        <v>5966</v>
      </c>
      <c r="B5972">
        <v>0.19149818881866032</v>
      </c>
    </row>
    <row r="5973" spans="1:2" x14ac:dyDescent="0.2">
      <c r="A5973">
        <v>5967</v>
      </c>
      <c r="B5973">
        <v>0.61682830925029952</v>
      </c>
    </row>
    <row r="5974" spans="1:2" x14ac:dyDescent="0.2">
      <c r="A5974">
        <v>5968</v>
      </c>
      <c r="B5974">
        <v>0.25803635036655759</v>
      </c>
    </row>
    <row r="5975" spans="1:2" x14ac:dyDescent="0.2">
      <c r="A5975">
        <v>5969</v>
      </c>
      <c r="B5975">
        <v>0.46119274544227429</v>
      </c>
    </row>
    <row r="5976" spans="1:2" x14ac:dyDescent="0.2">
      <c r="A5976">
        <v>5970</v>
      </c>
      <c r="B5976">
        <v>1.8004325700564539E-2</v>
      </c>
    </row>
    <row r="5977" spans="1:2" x14ac:dyDescent="0.2">
      <c r="A5977">
        <v>5971</v>
      </c>
      <c r="B5977">
        <v>0.61518816212180827</v>
      </c>
    </row>
    <row r="5978" spans="1:2" x14ac:dyDescent="0.2">
      <c r="A5978">
        <v>5972</v>
      </c>
      <c r="B5978">
        <v>0.49507516095882209</v>
      </c>
    </row>
    <row r="5979" spans="1:2" x14ac:dyDescent="0.2">
      <c r="A5979">
        <v>5973</v>
      </c>
      <c r="B5979">
        <v>0.98274181617694012</v>
      </c>
    </row>
    <row r="5980" spans="1:2" x14ac:dyDescent="0.2">
      <c r="A5980">
        <v>5974</v>
      </c>
      <c r="B5980">
        <v>0.12932362487980509</v>
      </c>
    </row>
    <row r="5981" spans="1:2" x14ac:dyDescent="0.2">
      <c r="A5981">
        <v>5975</v>
      </c>
      <c r="B5981">
        <v>0.20172968168069505</v>
      </c>
    </row>
    <row r="5982" spans="1:2" x14ac:dyDescent="0.2">
      <c r="A5982">
        <v>5976</v>
      </c>
      <c r="B5982">
        <v>0.74780808279966859</v>
      </c>
    </row>
    <row r="5983" spans="1:2" x14ac:dyDescent="0.2">
      <c r="A5983">
        <v>5977</v>
      </c>
      <c r="B5983">
        <v>0.21645398925470871</v>
      </c>
    </row>
    <row r="5984" spans="1:2" x14ac:dyDescent="0.2">
      <c r="A5984">
        <v>5978</v>
      </c>
      <c r="B5984">
        <v>0.39017849642750368</v>
      </c>
    </row>
    <row r="5985" spans="1:2" x14ac:dyDescent="0.2">
      <c r="A5985">
        <v>5979</v>
      </c>
      <c r="B5985">
        <v>9.3832559082141498E-2</v>
      </c>
    </row>
    <row r="5986" spans="1:2" x14ac:dyDescent="0.2">
      <c r="A5986">
        <v>5980</v>
      </c>
      <c r="B5986">
        <v>0.40687452309804617</v>
      </c>
    </row>
    <row r="5987" spans="1:2" x14ac:dyDescent="0.2">
      <c r="A5987">
        <v>5981</v>
      </c>
      <c r="B5987">
        <v>0.42962115242495869</v>
      </c>
    </row>
    <row r="5988" spans="1:2" x14ac:dyDescent="0.2">
      <c r="A5988">
        <v>5982</v>
      </c>
      <c r="B5988">
        <v>0.84757466258344349</v>
      </c>
    </row>
    <row r="5989" spans="1:2" x14ac:dyDescent="0.2">
      <c r="A5989">
        <v>5983</v>
      </c>
      <c r="B5989">
        <v>0.979932850492653</v>
      </c>
    </row>
    <row r="5990" spans="1:2" x14ac:dyDescent="0.2">
      <c r="A5990">
        <v>5984</v>
      </c>
      <c r="B5990">
        <v>0.50665303788491189</v>
      </c>
    </row>
    <row r="5991" spans="1:2" x14ac:dyDescent="0.2">
      <c r="A5991">
        <v>5985</v>
      </c>
      <c r="B5991">
        <v>0.12863620928166875</v>
      </c>
    </row>
    <row r="5992" spans="1:2" x14ac:dyDescent="0.2">
      <c r="A5992">
        <v>5986</v>
      </c>
      <c r="B5992">
        <v>0.47477634465708574</v>
      </c>
    </row>
    <row r="5993" spans="1:2" x14ac:dyDescent="0.2">
      <c r="A5993">
        <v>5987</v>
      </c>
      <c r="B5993">
        <v>0.69802748985002094</v>
      </c>
    </row>
    <row r="5994" spans="1:2" x14ac:dyDescent="0.2">
      <c r="A5994">
        <v>5988</v>
      </c>
      <c r="B5994">
        <v>5.416103399456218E-2</v>
      </c>
    </row>
    <row r="5995" spans="1:2" x14ac:dyDescent="0.2">
      <c r="A5995">
        <v>5989</v>
      </c>
      <c r="B5995">
        <v>0.32662807740386912</v>
      </c>
    </row>
    <row r="5996" spans="1:2" x14ac:dyDescent="0.2">
      <c r="A5996">
        <v>5990</v>
      </c>
      <c r="B5996">
        <v>0.25635292429247769</v>
      </c>
    </row>
    <row r="5997" spans="1:2" x14ac:dyDescent="0.2">
      <c r="A5997">
        <v>5991</v>
      </c>
      <c r="B5997">
        <v>0.80279472221168291</v>
      </c>
    </row>
    <row r="5998" spans="1:2" x14ac:dyDescent="0.2">
      <c r="A5998">
        <v>5992</v>
      </c>
      <c r="B5998">
        <v>5.2781052789731553E-2</v>
      </c>
    </row>
    <row r="5999" spans="1:2" x14ac:dyDescent="0.2">
      <c r="A5999">
        <v>5993</v>
      </c>
      <c r="B5999">
        <v>0.74147325330771829</v>
      </c>
    </row>
    <row r="6000" spans="1:2" x14ac:dyDescent="0.2">
      <c r="A6000">
        <v>5994</v>
      </c>
      <c r="B6000">
        <v>0.16768782968550688</v>
      </c>
    </row>
    <row r="6001" spans="1:2" x14ac:dyDescent="0.2">
      <c r="A6001">
        <v>5995</v>
      </c>
      <c r="B6001">
        <v>0.22616844940176728</v>
      </c>
    </row>
    <row r="6002" spans="1:2" x14ac:dyDescent="0.2">
      <c r="A6002">
        <v>5996</v>
      </c>
      <c r="B6002">
        <v>0.88527576210178693</v>
      </c>
    </row>
    <row r="6003" spans="1:2" x14ac:dyDescent="0.2">
      <c r="A6003">
        <v>5997</v>
      </c>
      <c r="B6003">
        <v>0.86013014687777312</v>
      </c>
    </row>
    <row r="6004" spans="1:2" x14ac:dyDescent="0.2">
      <c r="A6004">
        <v>5998</v>
      </c>
      <c r="B6004">
        <v>0.81171479023434367</v>
      </c>
    </row>
    <row r="6005" spans="1:2" x14ac:dyDescent="0.2">
      <c r="A6005">
        <v>5999</v>
      </c>
      <c r="B6005">
        <v>0.36244151414240355</v>
      </c>
    </row>
    <row r="6006" spans="1:2" x14ac:dyDescent="0.2">
      <c r="A6006">
        <v>6000</v>
      </c>
      <c r="B6006">
        <v>0.80560751459057056</v>
      </c>
    </row>
    <row r="6007" spans="1:2" x14ac:dyDescent="0.2">
      <c r="A6007">
        <v>6001</v>
      </c>
      <c r="B6007">
        <v>0.14908034126262582</v>
      </c>
    </row>
    <row r="6008" spans="1:2" x14ac:dyDescent="0.2">
      <c r="A6008">
        <v>6002</v>
      </c>
      <c r="B6008">
        <v>0.8569380654510792</v>
      </c>
    </row>
    <row r="6009" spans="1:2" x14ac:dyDescent="0.2">
      <c r="A6009">
        <v>6003</v>
      </c>
      <c r="B6009">
        <v>0.31855522478267073</v>
      </c>
    </row>
    <row r="6010" spans="1:2" x14ac:dyDescent="0.2">
      <c r="A6010">
        <v>6004</v>
      </c>
      <c r="B6010">
        <v>0.36709270066893129</v>
      </c>
    </row>
    <row r="6011" spans="1:2" x14ac:dyDescent="0.2">
      <c r="A6011">
        <v>6005</v>
      </c>
      <c r="B6011">
        <v>0.48389767583103749</v>
      </c>
    </row>
    <row r="6012" spans="1:2" x14ac:dyDescent="0.2">
      <c r="A6012">
        <v>6006</v>
      </c>
      <c r="B6012">
        <v>0.62186910781694604</v>
      </c>
    </row>
    <row r="6013" spans="1:2" x14ac:dyDescent="0.2">
      <c r="A6013">
        <v>6007</v>
      </c>
      <c r="B6013">
        <v>9.1969513378609591E-2</v>
      </c>
    </row>
    <row r="6014" spans="1:2" x14ac:dyDescent="0.2">
      <c r="A6014">
        <v>6008</v>
      </c>
      <c r="B6014">
        <v>0.87592320533604828</v>
      </c>
    </row>
    <row r="6015" spans="1:2" x14ac:dyDescent="0.2">
      <c r="A6015">
        <v>6009</v>
      </c>
      <c r="B6015">
        <v>0.94621293646373017</v>
      </c>
    </row>
    <row r="6016" spans="1:2" x14ac:dyDescent="0.2">
      <c r="A6016">
        <v>6010</v>
      </c>
      <c r="B6016">
        <v>0.56706598978394007</v>
      </c>
    </row>
    <row r="6017" spans="1:2" x14ac:dyDescent="0.2">
      <c r="A6017">
        <v>6011</v>
      </c>
      <c r="B6017">
        <v>0.15854395526295484</v>
      </c>
    </row>
    <row r="6018" spans="1:2" x14ac:dyDescent="0.2">
      <c r="A6018">
        <v>6012</v>
      </c>
      <c r="B6018">
        <v>0.28171135788017054</v>
      </c>
    </row>
    <row r="6019" spans="1:2" x14ac:dyDescent="0.2">
      <c r="A6019">
        <v>6013</v>
      </c>
      <c r="B6019">
        <v>0.40006411799524966</v>
      </c>
    </row>
    <row r="6020" spans="1:2" x14ac:dyDescent="0.2">
      <c r="A6020">
        <v>6014</v>
      </c>
      <c r="B6020">
        <v>0.54211304503363933</v>
      </c>
    </row>
    <row r="6021" spans="1:2" x14ac:dyDescent="0.2">
      <c r="A6021">
        <v>6015</v>
      </c>
      <c r="B6021">
        <v>0.9545206943750445</v>
      </c>
    </row>
    <row r="6022" spans="1:2" x14ac:dyDescent="0.2">
      <c r="A6022">
        <v>6016</v>
      </c>
      <c r="B6022">
        <v>0.57237523373792609</v>
      </c>
    </row>
    <row r="6023" spans="1:2" x14ac:dyDescent="0.2">
      <c r="A6023">
        <v>6017</v>
      </c>
      <c r="B6023">
        <v>0.8853988837018264</v>
      </c>
    </row>
    <row r="6024" spans="1:2" x14ac:dyDescent="0.2">
      <c r="A6024">
        <v>6018</v>
      </c>
      <c r="B6024">
        <v>0.42712513286107501</v>
      </c>
    </row>
    <row r="6025" spans="1:2" x14ac:dyDescent="0.2">
      <c r="A6025">
        <v>6019</v>
      </c>
      <c r="B6025">
        <v>0.67158461097987421</v>
      </c>
    </row>
    <row r="6026" spans="1:2" x14ac:dyDescent="0.2">
      <c r="A6026">
        <v>6020</v>
      </c>
      <c r="B6026">
        <v>0.46210501765395684</v>
      </c>
    </row>
    <row r="6027" spans="1:2" x14ac:dyDescent="0.2">
      <c r="A6027">
        <v>6021</v>
      </c>
      <c r="B6027">
        <v>0.36869943016170803</v>
      </c>
    </row>
    <row r="6028" spans="1:2" x14ac:dyDescent="0.2">
      <c r="A6028">
        <v>6022</v>
      </c>
      <c r="B6028">
        <v>0.1205050530768208</v>
      </c>
    </row>
    <row r="6029" spans="1:2" x14ac:dyDescent="0.2">
      <c r="A6029">
        <v>6023</v>
      </c>
      <c r="B6029">
        <v>0.45835509723502299</v>
      </c>
    </row>
    <row r="6030" spans="1:2" x14ac:dyDescent="0.2">
      <c r="A6030">
        <v>6024</v>
      </c>
      <c r="B6030">
        <v>0.11876398670661781</v>
      </c>
    </row>
    <row r="6031" spans="1:2" x14ac:dyDescent="0.2">
      <c r="A6031">
        <v>6025</v>
      </c>
      <c r="B6031">
        <v>0.90387606782251584</v>
      </c>
    </row>
    <row r="6032" spans="1:2" x14ac:dyDescent="0.2">
      <c r="A6032">
        <v>6026</v>
      </c>
      <c r="B6032">
        <v>0.21119622879865474</v>
      </c>
    </row>
    <row r="6033" spans="1:2" x14ac:dyDescent="0.2">
      <c r="A6033">
        <v>6027</v>
      </c>
      <c r="B6033">
        <v>0.73855849918833516</v>
      </c>
    </row>
    <row r="6034" spans="1:2" x14ac:dyDescent="0.2">
      <c r="A6034">
        <v>6028</v>
      </c>
      <c r="B6034">
        <v>0.6121050001991295</v>
      </c>
    </row>
    <row r="6035" spans="1:2" x14ac:dyDescent="0.2">
      <c r="A6035">
        <v>6029</v>
      </c>
      <c r="B6035">
        <v>0.56711011413355894</v>
      </c>
    </row>
    <row r="6036" spans="1:2" x14ac:dyDescent="0.2">
      <c r="A6036">
        <v>6030</v>
      </c>
      <c r="B6036">
        <v>0.53045348942963277</v>
      </c>
    </row>
    <row r="6037" spans="1:2" x14ac:dyDescent="0.2">
      <c r="A6037">
        <v>6031</v>
      </c>
      <c r="B6037">
        <v>0.2219962098581012</v>
      </c>
    </row>
    <row r="6038" spans="1:2" x14ac:dyDescent="0.2">
      <c r="A6038">
        <v>6032</v>
      </c>
      <c r="B6038">
        <v>9.0030847391398883E-2</v>
      </c>
    </row>
    <row r="6039" spans="1:2" x14ac:dyDescent="0.2">
      <c r="A6039">
        <v>6033</v>
      </c>
      <c r="B6039">
        <v>0.57835635090529747</v>
      </c>
    </row>
    <row r="6040" spans="1:2" x14ac:dyDescent="0.2">
      <c r="A6040">
        <v>6034</v>
      </c>
      <c r="B6040">
        <v>0.65152927194465526</v>
      </c>
    </row>
    <row r="6041" spans="1:2" x14ac:dyDescent="0.2">
      <c r="A6041">
        <v>6035</v>
      </c>
      <c r="B6041">
        <v>4.3110402825109584E-2</v>
      </c>
    </row>
    <row r="6042" spans="1:2" x14ac:dyDescent="0.2">
      <c r="A6042">
        <v>6036</v>
      </c>
      <c r="B6042">
        <v>0.88742283945919942</v>
      </c>
    </row>
    <row r="6043" spans="1:2" x14ac:dyDescent="0.2">
      <c r="A6043">
        <v>6037</v>
      </c>
      <c r="B6043">
        <v>0.53998620147336285</v>
      </c>
    </row>
    <row r="6044" spans="1:2" x14ac:dyDescent="0.2">
      <c r="A6044">
        <v>6038</v>
      </c>
      <c r="B6044">
        <v>0.37608365705379598</v>
      </c>
    </row>
    <row r="6045" spans="1:2" x14ac:dyDescent="0.2">
      <c r="A6045">
        <v>6039</v>
      </c>
      <c r="B6045">
        <v>0.27336626253599861</v>
      </c>
    </row>
    <row r="6046" spans="1:2" x14ac:dyDescent="0.2">
      <c r="A6046">
        <v>6040</v>
      </c>
      <c r="B6046">
        <v>0.9375081944945457</v>
      </c>
    </row>
    <row r="6047" spans="1:2" x14ac:dyDescent="0.2">
      <c r="A6047">
        <v>6041</v>
      </c>
      <c r="B6047">
        <v>0.34428797223387164</v>
      </c>
    </row>
    <row r="6048" spans="1:2" x14ac:dyDescent="0.2">
      <c r="A6048">
        <v>6042</v>
      </c>
      <c r="B6048">
        <v>8.0308530000911538E-2</v>
      </c>
    </row>
    <row r="6049" spans="1:2" x14ac:dyDescent="0.2">
      <c r="A6049">
        <v>6043</v>
      </c>
      <c r="B6049">
        <v>0.85443533263112614</v>
      </c>
    </row>
    <row r="6050" spans="1:2" x14ac:dyDescent="0.2">
      <c r="A6050">
        <v>6044</v>
      </c>
      <c r="B6050">
        <v>0.19120843844613367</v>
      </c>
    </row>
    <row r="6051" spans="1:2" x14ac:dyDescent="0.2">
      <c r="A6051">
        <v>6045</v>
      </c>
      <c r="B6051">
        <v>0.3609501027742964</v>
      </c>
    </row>
    <row r="6052" spans="1:2" x14ac:dyDescent="0.2">
      <c r="A6052">
        <v>6046</v>
      </c>
      <c r="B6052">
        <v>0.9602447474435013</v>
      </c>
    </row>
    <row r="6053" spans="1:2" x14ac:dyDescent="0.2">
      <c r="A6053">
        <v>6047</v>
      </c>
      <c r="B6053">
        <v>0.46163410160578067</v>
      </c>
    </row>
    <row r="6054" spans="1:2" x14ac:dyDescent="0.2">
      <c r="A6054">
        <v>6048</v>
      </c>
      <c r="B6054">
        <v>0.60158940158524599</v>
      </c>
    </row>
    <row r="6055" spans="1:2" x14ac:dyDescent="0.2">
      <c r="A6055">
        <v>6049</v>
      </c>
      <c r="B6055">
        <v>0.68000642533191946</v>
      </c>
    </row>
    <row r="6056" spans="1:2" x14ac:dyDescent="0.2">
      <c r="A6056">
        <v>6050</v>
      </c>
      <c r="B6056">
        <v>0.30912821001912949</v>
      </c>
    </row>
    <row r="6057" spans="1:2" x14ac:dyDescent="0.2">
      <c r="A6057">
        <v>6051</v>
      </c>
      <c r="B6057">
        <v>0.61109999465210485</v>
      </c>
    </row>
    <row r="6058" spans="1:2" x14ac:dyDescent="0.2">
      <c r="A6058">
        <v>6052</v>
      </c>
      <c r="B6058">
        <v>0.27577321092594231</v>
      </c>
    </row>
    <row r="6059" spans="1:2" x14ac:dyDescent="0.2">
      <c r="A6059">
        <v>6053</v>
      </c>
      <c r="B6059">
        <v>0.61811865101882835</v>
      </c>
    </row>
    <row r="6060" spans="1:2" x14ac:dyDescent="0.2">
      <c r="A6060">
        <v>6054</v>
      </c>
      <c r="B6060">
        <v>0.22401829273109675</v>
      </c>
    </row>
    <row r="6061" spans="1:2" x14ac:dyDescent="0.2">
      <c r="A6061">
        <v>6055</v>
      </c>
      <c r="B6061">
        <v>0.30919685265332497</v>
      </c>
    </row>
    <row r="6062" spans="1:2" x14ac:dyDescent="0.2">
      <c r="A6062">
        <v>6056</v>
      </c>
      <c r="B6062">
        <v>0.49851402436674919</v>
      </c>
    </row>
    <row r="6063" spans="1:2" x14ac:dyDescent="0.2">
      <c r="A6063">
        <v>6057</v>
      </c>
      <c r="B6063">
        <v>0.29828144973800741</v>
      </c>
    </row>
    <row r="6064" spans="1:2" x14ac:dyDescent="0.2">
      <c r="A6064">
        <v>6058</v>
      </c>
      <c r="B6064">
        <v>1.2578075217628881E-2</v>
      </c>
    </row>
    <row r="6065" spans="1:2" x14ac:dyDescent="0.2">
      <c r="A6065">
        <v>6059</v>
      </c>
      <c r="B6065">
        <v>0.42166668175516242</v>
      </c>
    </row>
    <row r="6066" spans="1:2" x14ac:dyDescent="0.2">
      <c r="A6066">
        <v>6060</v>
      </c>
      <c r="B6066">
        <v>0.42887610061026504</v>
      </c>
    </row>
    <row r="6067" spans="1:2" x14ac:dyDescent="0.2">
      <c r="A6067">
        <v>6061</v>
      </c>
      <c r="B6067">
        <v>0.72611865800484954</v>
      </c>
    </row>
    <row r="6068" spans="1:2" x14ac:dyDescent="0.2">
      <c r="A6068">
        <v>6062</v>
      </c>
      <c r="B6068">
        <v>0.22736481568107048</v>
      </c>
    </row>
    <row r="6069" spans="1:2" x14ac:dyDescent="0.2">
      <c r="A6069">
        <v>6063</v>
      </c>
      <c r="B6069">
        <v>0.91258007083555626</v>
      </c>
    </row>
    <row r="6070" spans="1:2" x14ac:dyDescent="0.2">
      <c r="A6070">
        <v>6064</v>
      </c>
      <c r="B6070">
        <v>0.24333569091914498</v>
      </c>
    </row>
    <row r="6071" spans="1:2" x14ac:dyDescent="0.2">
      <c r="A6071">
        <v>6065</v>
      </c>
      <c r="B6071">
        <v>0.84502967420908615</v>
      </c>
    </row>
    <row r="6072" spans="1:2" x14ac:dyDescent="0.2">
      <c r="A6072">
        <v>6066</v>
      </c>
      <c r="B6072">
        <v>9.3208336624174604E-2</v>
      </c>
    </row>
    <row r="6073" spans="1:2" x14ac:dyDescent="0.2">
      <c r="A6073">
        <v>6067</v>
      </c>
      <c r="B6073">
        <v>0.8499764951934049</v>
      </c>
    </row>
    <row r="6074" spans="1:2" x14ac:dyDescent="0.2">
      <c r="A6074">
        <v>6068</v>
      </c>
      <c r="B6074">
        <v>0.59870045829416674</v>
      </c>
    </row>
    <row r="6075" spans="1:2" x14ac:dyDescent="0.2">
      <c r="A6075">
        <v>6069</v>
      </c>
      <c r="B6075">
        <v>0.91291642049975852</v>
      </c>
    </row>
    <row r="6076" spans="1:2" x14ac:dyDescent="0.2">
      <c r="A6076">
        <v>6070</v>
      </c>
      <c r="B6076">
        <v>0.78493123870521786</v>
      </c>
    </row>
    <row r="6077" spans="1:2" x14ac:dyDescent="0.2">
      <c r="A6077">
        <v>6071</v>
      </c>
      <c r="B6077">
        <v>0.64640571358583221</v>
      </c>
    </row>
    <row r="6078" spans="1:2" x14ac:dyDescent="0.2">
      <c r="A6078">
        <v>6072</v>
      </c>
      <c r="B6078">
        <v>0.18669302568933688</v>
      </c>
    </row>
    <row r="6079" spans="1:2" x14ac:dyDescent="0.2">
      <c r="A6079">
        <v>6073</v>
      </c>
      <c r="B6079">
        <v>0.38882039150856496</v>
      </c>
    </row>
    <row r="6080" spans="1:2" x14ac:dyDescent="0.2">
      <c r="A6080">
        <v>6074</v>
      </c>
      <c r="B6080">
        <v>0.9241762966816871</v>
      </c>
    </row>
    <row r="6081" spans="1:2" x14ac:dyDescent="0.2">
      <c r="A6081">
        <v>6075</v>
      </c>
      <c r="B6081">
        <v>0.61401953295401912</v>
      </c>
    </row>
    <row r="6082" spans="1:2" x14ac:dyDescent="0.2">
      <c r="A6082">
        <v>6076</v>
      </c>
      <c r="B6082">
        <v>0.86262647482311572</v>
      </c>
    </row>
    <row r="6083" spans="1:2" x14ac:dyDescent="0.2">
      <c r="A6083">
        <v>6077</v>
      </c>
      <c r="B6083">
        <v>3.584634565758027E-2</v>
      </c>
    </row>
    <row r="6084" spans="1:2" x14ac:dyDescent="0.2">
      <c r="A6084">
        <v>6078</v>
      </c>
      <c r="B6084">
        <v>0.28042259574690931</v>
      </c>
    </row>
    <row r="6085" spans="1:2" x14ac:dyDescent="0.2">
      <c r="A6085">
        <v>6079</v>
      </c>
      <c r="B6085">
        <v>0.97995371528892794</v>
      </c>
    </row>
    <row r="6086" spans="1:2" x14ac:dyDescent="0.2">
      <c r="A6086">
        <v>6080</v>
      </c>
      <c r="B6086">
        <v>0.65465685977037591</v>
      </c>
    </row>
    <row r="6087" spans="1:2" x14ac:dyDescent="0.2">
      <c r="A6087">
        <v>6081</v>
      </c>
      <c r="B6087">
        <v>0.11943938801925169</v>
      </c>
    </row>
    <row r="6088" spans="1:2" x14ac:dyDescent="0.2">
      <c r="A6088">
        <v>6082</v>
      </c>
      <c r="B6088">
        <v>0.86586834735135709</v>
      </c>
    </row>
    <row r="6089" spans="1:2" x14ac:dyDescent="0.2">
      <c r="A6089">
        <v>6083</v>
      </c>
      <c r="B6089">
        <v>0.51735933376964849</v>
      </c>
    </row>
    <row r="6090" spans="1:2" x14ac:dyDescent="0.2">
      <c r="A6090">
        <v>6084</v>
      </c>
      <c r="B6090">
        <v>0.53271584959226614</v>
      </c>
    </row>
    <row r="6091" spans="1:2" x14ac:dyDescent="0.2">
      <c r="A6091">
        <v>6085</v>
      </c>
      <c r="B6091">
        <v>0.79101247669168684</v>
      </c>
    </row>
    <row r="6092" spans="1:2" x14ac:dyDescent="0.2">
      <c r="A6092">
        <v>6086</v>
      </c>
      <c r="B6092">
        <v>0.74079095851492738</v>
      </c>
    </row>
    <row r="6093" spans="1:2" x14ac:dyDescent="0.2">
      <c r="A6093">
        <v>6087</v>
      </c>
      <c r="B6093">
        <v>0.8701145737871061</v>
      </c>
    </row>
    <row r="6094" spans="1:2" x14ac:dyDescent="0.2">
      <c r="A6094">
        <v>6088</v>
      </c>
      <c r="B6094">
        <v>0.81905361092265372</v>
      </c>
    </row>
    <row r="6095" spans="1:2" x14ac:dyDescent="0.2">
      <c r="A6095">
        <v>6089</v>
      </c>
      <c r="B6095">
        <v>0.3219253879414895</v>
      </c>
    </row>
    <row r="6096" spans="1:2" x14ac:dyDescent="0.2">
      <c r="A6096">
        <v>6090</v>
      </c>
      <c r="B6096">
        <v>0.99651748891354719</v>
      </c>
    </row>
    <row r="6097" spans="1:2" x14ac:dyDescent="0.2">
      <c r="A6097">
        <v>6091</v>
      </c>
      <c r="B6097">
        <v>0.80736138614805542</v>
      </c>
    </row>
    <row r="6098" spans="1:2" x14ac:dyDescent="0.2">
      <c r="A6098">
        <v>6092</v>
      </c>
      <c r="B6098">
        <v>0.20054556532835255</v>
      </c>
    </row>
    <row r="6099" spans="1:2" x14ac:dyDescent="0.2">
      <c r="A6099">
        <v>6093</v>
      </c>
      <c r="B6099">
        <v>0.7893513211394958</v>
      </c>
    </row>
    <row r="6100" spans="1:2" x14ac:dyDescent="0.2">
      <c r="A6100">
        <v>6094</v>
      </c>
      <c r="B6100">
        <v>0.36687881096240471</v>
      </c>
    </row>
    <row r="6101" spans="1:2" x14ac:dyDescent="0.2">
      <c r="A6101">
        <v>6095</v>
      </c>
      <c r="B6101">
        <v>0.40577681298623747</v>
      </c>
    </row>
    <row r="6102" spans="1:2" x14ac:dyDescent="0.2">
      <c r="A6102">
        <v>6096</v>
      </c>
      <c r="B6102">
        <v>0.91863120746633831</v>
      </c>
    </row>
    <row r="6103" spans="1:2" x14ac:dyDescent="0.2">
      <c r="A6103">
        <v>6097</v>
      </c>
      <c r="B6103">
        <v>0.15132099447625946</v>
      </c>
    </row>
    <row r="6104" spans="1:2" x14ac:dyDescent="0.2">
      <c r="A6104">
        <v>6098</v>
      </c>
      <c r="B6104">
        <v>0.15918135557209268</v>
      </c>
    </row>
    <row r="6105" spans="1:2" x14ac:dyDescent="0.2">
      <c r="A6105">
        <v>6099</v>
      </c>
      <c r="B6105">
        <v>0.13008517951161225</v>
      </c>
    </row>
    <row r="6106" spans="1:2" x14ac:dyDescent="0.2">
      <c r="A6106">
        <v>6100</v>
      </c>
      <c r="B6106">
        <v>0.80889465984029674</v>
      </c>
    </row>
    <row r="6107" spans="1:2" x14ac:dyDescent="0.2">
      <c r="A6107">
        <v>6101</v>
      </c>
      <c r="B6107">
        <v>0.29776927088433691</v>
      </c>
    </row>
    <row r="6108" spans="1:2" x14ac:dyDescent="0.2">
      <c r="A6108">
        <v>6102</v>
      </c>
      <c r="B6108">
        <v>0.49856433979825854</v>
      </c>
    </row>
    <row r="6109" spans="1:2" x14ac:dyDescent="0.2">
      <c r="A6109">
        <v>6103</v>
      </c>
      <c r="B6109">
        <v>0.92729299799095344</v>
      </c>
    </row>
    <row r="6110" spans="1:2" x14ac:dyDescent="0.2">
      <c r="A6110">
        <v>6104</v>
      </c>
      <c r="B6110">
        <v>5.1479465390149914E-2</v>
      </c>
    </row>
    <row r="6111" spans="1:2" x14ac:dyDescent="0.2">
      <c r="A6111">
        <v>6105</v>
      </c>
      <c r="B6111">
        <v>4.7185063495658874E-2</v>
      </c>
    </row>
    <row r="6112" spans="1:2" x14ac:dyDescent="0.2">
      <c r="A6112">
        <v>6106</v>
      </c>
      <c r="B6112">
        <v>0.65130374198183205</v>
      </c>
    </row>
    <row r="6113" spans="1:2" x14ac:dyDescent="0.2">
      <c r="A6113">
        <v>6107</v>
      </c>
      <c r="B6113">
        <v>0.32173510019655449</v>
      </c>
    </row>
    <row r="6114" spans="1:2" x14ac:dyDescent="0.2">
      <c r="A6114">
        <v>6108</v>
      </c>
      <c r="B6114">
        <v>0.78784531088339393</v>
      </c>
    </row>
    <row r="6115" spans="1:2" x14ac:dyDescent="0.2">
      <c r="A6115">
        <v>6109</v>
      </c>
      <c r="B6115">
        <v>0.10336531264132232</v>
      </c>
    </row>
    <row r="6116" spans="1:2" x14ac:dyDescent="0.2">
      <c r="A6116">
        <v>6110</v>
      </c>
      <c r="B6116">
        <v>0.25435281002913923</v>
      </c>
    </row>
    <row r="6117" spans="1:2" x14ac:dyDescent="0.2">
      <c r="A6117">
        <v>6111</v>
      </c>
      <c r="B6117">
        <v>0.542050477055951</v>
      </c>
    </row>
    <row r="6118" spans="1:2" x14ac:dyDescent="0.2">
      <c r="A6118">
        <v>6112</v>
      </c>
      <c r="B6118">
        <v>0.65613861201127233</v>
      </c>
    </row>
    <row r="6119" spans="1:2" x14ac:dyDescent="0.2">
      <c r="A6119">
        <v>6113</v>
      </c>
      <c r="B6119">
        <v>0.70833534936925657</v>
      </c>
    </row>
    <row r="6120" spans="1:2" x14ac:dyDescent="0.2">
      <c r="A6120">
        <v>6114</v>
      </c>
      <c r="B6120">
        <v>0.410887210579296</v>
      </c>
    </row>
    <row r="6121" spans="1:2" x14ac:dyDescent="0.2">
      <c r="A6121">
        <v>6115</v>
      </c>
      <c r="B6121">
        <v>0.64911275522732426</v>
      </c>
    </row>
    <row r="6122" spans="1:2" x14ac:dyDescent="0.2">
      <c r="A6122">
        <v>6116</v>
      </c>
      <c r="B6122">
        <v>0.89678853286360671</v>
      </c>
    </row>
    <row r="6123" spans="1:2" x14ac:dyDescent="0.2">
      <c r="A6123">
        <v>6117</v>
      </c>
      <c r="B6123">
        <v>0.69157065452921462</v>
      </c>
    </row>
    <row r="6124" spans="1:2" x14ac:dyDescent="0.2">
      <c r="A6124">
        <v>6118</v>
      </c>
      <c r="B6124">
        <v>1.8643984093139498E-2</v>
      </c>
    </row>
    <row r="6125" spans="1:2" x14ac:dyDescent="0.2">
      <c r="A6125">
        <v>6119</v>
      </c>
      <c r="B6125">
        <v>0.27774810478381728</v>
      </c>
    </row>
    <row r="6126" spans="1:2" x14ac:dyDescent="0.2">
      <c r="A6126">
        <v>6120</v>
      </c>
      <c r="B6126">
        <v>0.38100537478819074</v>
      </c>
    </row>
    <row r="6127" spans="1:2" x14ac:dyDescent="0.2">
      <c r="A6127">
        <v>6121</v>
      </c>
      <c r="B6127">
        <v>0.80353373826983177</v>
      </c>
    </row>
    <row r="6128" spans="1:2" x14ac:dyDescent="0.2">
      <c r="A6128">
        <v>6122</v>
      </c>
      <c r="B6128">
        <v>0.26927738120688816</v>
      </c>
    </row>
    <row r="6129" spans="1:2" x14ac:dyDescent="0.2">
      <c r="A6129">
        <v>6123</v>
      </c>
      <c r="B6129">
        <v>0.46379584005663588</v>
      </c>
    </row>
    <row r="6130" spans="1:2" x14ac:dyDescent="0.2">
      <c r="A6130">
        <v>6124</v>
      </c>
      <c r="B6130">
        <v>0.1729731248030083</v>
      </c>
    </row>
    <row r="6131" spans="1:2" x14ac:dyDescent="0.2">
      <c r="A6131">
        <v>6125</v>
      </c>
      <c r="B6131">
        <v>0.90010196984042645</v>
      </c>
    </row>
    <row r="6132" spans="1:2" x14ac:dyDescent="0.2">
      <c r="A6132">
        <v>6126</v>
      </c>
      <c r="B6132">
        <v>5.7112194603697874E-3</v>
      </c>
    </row>
    <row r="6133" spans="1:2" x14ac:dyDescent="0.2">
      <c r="A6133">
        <v>6127</v>
      </c>
      <c r="B6133">
        <v>0.86862052908412601</v>
      </c>
    </row>
    <row r="6134" spans="1:2" x14ac:dyDescent="0.2">
      <c r="A6134">
        <v>6128</v>
      </c>
      <c r="B6134">
        <v>0.71550715318050251</v>
      </c>
    </row>
    <row r="6135" spans="1:2" x14ac:dyDescent="0.2">
      <c r="A6135">
        <v>6129</v>
      </c>
      <c r="B6135">
        <v>0.18064349972696758</v>
      </c>
    </row>
    <row r="6136" spans="1:2" x14ac:dyDescent="0.2">
      <c r="A6136">
        <v>6130</v>
      </c>
      <c r="B6136">
        <v>5.5707266874441608E-2</v>
      </c>
    </row>
    <row r="6137" spans="1:2" x14ac:dyDescent="0.2">
      <c r="A6137">
        <v>6131</v>
      </c>
      <c r="B6137">
        <v>0.7692776870900504</v>
      </c>
    </row>
    <row r="6138" spans="1:2" x14ac:dyDescent="0.2">
      <c r="A6138">
        <v>6132</v>
      </c>
      <c r="B6138">
        <v>6.3913802350402671E-2</v>
      </c>
    </row>
    <row r="6139" spans="1:2" x14ac:dyDescent="0.2">
      <c r="A6139">
        <v>6133</v>
      </c>
      <c r="B6139">
        <v>0.69442359570481738</v>
      </c>
    </row>
    <row r="6140" spans="1:2" x14ac:dyDescent="0.2">
      <c r="A6140">
        <v>6134</v>
      </c>
      <c r="B6140">
        <v>0.59306927311106583</v>
      </c>
    </row>
    <row r="6141" spans="1:2" x14ac:dyDescent="0.2">
      <c r="A6141">
        <v>6135</v>
      </c>
      <c r="B6141">
        <v>0.26632544716405038</v>
      </c>
    </row>
    <row r="6142" spans="1:2" x14ac:dyDescent="0.2">
      <c r="A6142">
        <v>6136</v>
      </c>
      <c r="B6142">
        <v>0.7842082403702344</v>
      </c>
    </row>
    <row r="6143" spans="1:2" x14ac:dyDescent="0.2">
      <c r="A6143">
        <v>6137</v>
      </c>
      <c r="B6143">
        <v>0.70943074216718049</v>
      </c>
    </row>
    <row r="6144" spans="1:2" x14ac:dyDescent="0.2">
      <c r="A6144">
        <v>6138</v>
      </c>
      <c r="B6144">
        <v>4.5307704942156857E-3</v>
      </c>
    </row>
    <row r="6145" spans="1:2" x14ac:dyDescent="0.2">
      <c r="A6145">
        <v>6139</v>
      </c>
      <c r="B6145">
        <v>0.76085475561516691</v>
      </c>
    </row>
    <row r="6146" spans="1:2" x14ac:dyDescent="0.2">
      <c r="A6146">
        <v>6140</v>
      </c>
      <c r="B6146">
        <v>0.22380773890702543</v>
      </c>
    </row>
    <row r="6147" spans="1:2" x14ac:dyDescent="0.2">
      <c r="A6147">
        <v>6141</v>
      </c>
      <c r="B6147">
        <v>0.45949336355380022</v>
      </c>
    </row>
    <row r="6148" spans="1:2" x14ac:dyDescent="0.2">
      <c r="A6148">
        <v>6142</v>
      </c>
      <c r="B6148">
        <v>0.30621563730291579</v>
      </c>
    </row>
    <row r="6149" spans="1:2" x14ac:dyDescent="0.2">
      <c r="A6149">
        <v>6143</v>
      </c>
      <c r="B6149">
        <v>0.98036806680902477</v>
      </c>
    </row>
    <row r="6150" spans="1:2" x14ac:dyDescent="0.2">
      <c r="A6150">
        <v>6144</v>
      </c>
      <c r="B6150">
        <v>0.43633894393510364</v>
      </c>
    </row>
    <row r="6151" spans="1:2" x14ac:dyDescent="0.2">
      <c r="A6151">
        <v>6145</v>
      </c>
      <c r="B6151">
        <v>0.61690006069211401</v>
      </c>
    </row>
    <row r="6152" spans="1:2" x14ac:dyDescent="0.2">
      <c r="A6152">
        <v>6146</v>
      </c>
      <c r="B6152">
        <v>0.15004502159593436</v>
      </c>
    </row>
    <row r="6153" spans="1:2" x14ac:dyDescent="0.2">
      <c r="A6153">
        <v>6147</v>
      </c>
      <c r="B6153">
        <v>0.20951565817667372</v>
      </c>
    </row>
    <row r="6154" spans="1:2" x14ac:dyDescent="0.2">
      <c r="A6154">
        <v>6148</v>
      </c>
      <c r="B6154">
        <v>0.92408924936320447</v>
      </c>
    </row>
    <row r="6155" spans="1:2" x14ac:dyDescent="0.2">
      <c r="A6155">
        <v>6149</v>
      </c>
      <c r="B6155">
        <v>0.90018375549258334</v>
      </c>
    </row>
    <row r="6156" spans="1:2" x14ac:dyDescent="0.2">
      <c r="A6156">
        <v>6150</v>
      </c>
      <c r="B6156">
        <v>0.88923902961573154</v>
      </c>
    </row>
    <row r="6157" spans="1:2" x14ac:dyDescent="0.2">
      <c r="A6157">
        <v>6151</v>
      </c>
      <c r="B6157">
        <v>0.78673547409968547</v>
      </c>
    </row>
    <row r="6158" spans="1:2" x14ac:dyDescent="0.2">
      <c r="A6158">
        <v>6152</v>
      </c>
      <c r="B6158">
        <v>0.83927309431521147</v>
      </c>
    </row>
    <row r="6159" spans="1:2" x14ac:dyDescent="0.2">
      <c r="A6159">
        <v>6153</v>
      </c>
      <c r="B6159">
        <v>0.62524103974041045</v>
      </c>
    </row>
    <row r="6160" spans="1:2" x14ac:dyDescent="0.2">
      <c r="A6160">
        <v>6154</v>
      </c>
      <c r="B6160">
        <v>0.61678608227940401</v>
      </c>
    </row>
    <row r="6161" spans="1:2" x14ac:dyDescent="0.2">
      <c r="A6161">
        <v>6155</v>
      </c>
      <c r="B6161">
        <v>0.20568141054501099</v>
      </c>
    </row>
    <row r="6162" spans="1:2" x14ac:dyDescent="0.2">
      <c r="A6162">
        <v>6156</v>
      </c>
      <c r="B6162">
        <v>0.39389110848623399</v>
      </c>
    </row>
    <row r="6163" spans="1:2" x14ac:dyDescent="0.2">
      <c r="A6163">
        <v>6157</v>
      </c>
      <c r="B6163">
        <v>1.869148281801114E-2</v>
      </c>
    </row>
    <row r="6164" spans="1:2" x14ac:dyDescent="0.2">
      <c r="A6164">
        <v>6158</v>
      </c>
      <c r="B6164">
        <v>0.75318477729615141</v>
      </c>
    </row>
    <row r="6165" spans="1:2" x14ac:dyDescent="0.2">
      <c r="A6165">
        <v>6159</v>
      </c>
      <c r="B6165">
        <v>0.84314163123661345</v>
      </c>
    </row>
    <row r="6166" spans="1:2" x14ac:dyDescent="0.2">
      <c r="A6166">
        <v>6160</v>
      </c>
      <c r="B6166">
        <v>0.93128579908398113</v>
      </c>
    </row>
    <row r="6167" spans="1:2" x14ac:dyDescent="0.2">
      <c r="A6167">
        <v>6161</v>
      </c>
      <c r="B6167">
        <v>0.93144565045417638</v>
      </c>
    </row>
    <row r="6168" spans="1:2" x14ac:dyDescent="0.2">
      <c r="A6168">
        <v>6162</v>
      </c>
      <c r="B6168">
        <v>0.27870596240600742</v>
      </c>
    </row>
    <row r="6169" spans="1:2" x14ac:dyDescent="0.2">
      <c r="A6169">
        <v>6163</v>
      </c>
      <c r="B6169">
        <v>3.1780068187733934E-2</v>
      </c>
    </row>
    <row r="6170" spans="1:2" x14ac:dyDescent="0.2">
      <c r="A6170">
        <v>6164</v>
      </c>
      <c r="B6170">
        <v>0.5229742763799472</v>
      </c>
    </row>
    <row r="6171" spans="1:2" x14ac:dyDescent="0.2">
      <c r="A6171">
        <v>6165</v>
      </c>
      <c r="B6171">
        <v>0.47913297176846703</v>
      </c>
    </row>
    <row r="6172" spans="1:2" x14ac:dyDescent="0.2">
      <c r="A6172">
        <v>6166</v>
      </c>
      <c r="B6172">
        <v>0.6578858976474895</v>
      </c>
    </row>
    <row r="6173" spans="1:2" x14ac:dyDescent="0.2">
      <c r="A6173">
        <v>6167</v>
      </c>
      <c r="B6173">
        <v>0.51646467695496523</v>
      </c>
    </row>
    <row r="6174" spans="1:2" x14ac:dyDescent="0.2">
      <c r="A6174">
        <v>6168</v>
      </c>
      <c r="B6174">
        <v>0.1071165264840982</v>
      </c>
    </row>
    <row r="6175" spans="1:2" x14ac:dyDescent="0.2">
      <c r="A6175">
        <v>6169</v>
      </c>
      <c r="B6175">
        <v>0.51353413185731334</v>
      </c>
    </row>
    <row r="6176" spans="1:2" x14ac:dyDescent="0.2">
      <c r="A6176">
        <v>6170</v>
      </c>
      <c r="B6176">
        <v>0.64470228494341031</v>
      </c>
    </row>
    <row r="6177" spans="1:2" x14ac:dyDescent="0.2">
      <c r="A6177">
        <v>6171</v>
      </c>
      <c r="B6177">
        <v>0.67517588794920524</v>
      </c>
    </row>
    <row r="6178" spans="1:2" x14ac:dyDescent="0.2">
      <c r="A6178">
        <v>6172</v>
      </c>
      <c r="B6178">
        <v>0.63560836431570933</v>
      </c>
    </row>
    <row r="6179" spans="1:2" x14ac:dyDescent="0.2">
      <c r="A6179">
        <v>6173</v>
      </c>
      <c r="B6179">
        <v>0.85295439177465715</v>
      </c>
    </row>
    <row r="6180" spans="1:2" x14ac:dyDescent="0.2">
      <c r="A6180">
        <v>6174</v>
      </c>
      <c r="B6180">
        <v>0.33070480147354131</v>
      </c>
    </row>
    <row r="6181" spans="1:2" x14ac:dyDescent="0.2">
      <c r="A6181">
        <v>6175</v>
      </c>
      <c r="B6181">
        <v>0.2569079216405985</v>
      </c>
    </row>
    <row r="6182" spans="1:2" x14ac:dyDescent="0.2">
      <c r="A6182">
        <v>6176</v>
      </c>
      <c r="B6182">
        <v>0.4918756800663221</v>
      </c>
    </row>
    <row r="6183" spans="1:2" x14ac:dyDescent="0.2">
      <c r="A6183">
        <v>6177</v>
      </c>
      <c r="B6183">
        <v>0.43580947477790732</v>
      </c>
    </row>
    <row r="6184" spans="1:2" x14ac:dyDescent="0.2">
      <c r="A6184">
        <v>6178</v>
      </c>
      <c r="B6184">
        <v>0.55135354947291315</v>
      </c>
    </row>
    <row r="6185" spans="1:2" x14ac:dyDescent="0.2">
      <c r="A6185">
        <v>6179</v>
      </c>
      <c r="B6185">
        <v>0.42930651584348101</v>
      </c>
    </row>
    <row r="6186" spans="1:2" x14ac:dyDescent="0.2">
      <c r="A6186">
        <v>6180</v>
      </c>
      <c r="B6186">
        <v>0.78888377064774018</v>
      </c>
    </row>
    <row r="6187" spans="1:2" x14ac:dyDescent="0.2">
      <c r="A6187">
        <v>6181</v>
      </c>
      <c r="B6187">
        <v>0.56362235402605076</v>
      </c>
    </row>
    <row r="6188" spans="1:2" x14ac:dyDescent="0.2">
      <c r="A6188">
        <v>6182</v>
      </c>
      <c r="B6188">
        <v>0.75728385773005258</v>
      </c>
    </row>
    <row r="6189" spans="1:2" x14ac:dyDescent="0.2">
      <c r="A6189">
        <v>6183</v>
      </c>
      <c r="B6189">
        <v>0.81613351773187914</v>
      </c>
    </row>
    <row r="6190" spans="1:2" x14ac:dyDescent="0.2">
      <c r="A6190">
        <v>6184</v>
      </c>
      <c r="B6190">
        <v>0.36733810264615951</v>
      </c>
    </row>
    <row r="6191" spans="1:2" x14ac:dyDescent="0.2">
      <c r="A6191">
        <v>6185</v>
      </c>
      <c r="B6191">
        <v>0.86476866182477419</v>
      </c>
    </row>
    <row r="6192" spans="1:2" x14ac:dyDescent="0.2">
      <c r="A6192">
        <v>6186</v>
      </c>
      <c r="B6192">
        <v>0.39211852468141428</v>
      </c>
    </row>
    <row r="6193" spans="1:2" x14ac:dyDescent="0.2">
      <c r="A6193">
        <v>6187</v>
      </c>
      <c r="B6193">
        <v>9.075089376077794E-2</v>
      </c>
    </row>
    <row r="6194" spans="1:2" x14ac:dyDescent="0.2">
      <c r="A6194">
        <v>6188</v>
      </c>
      <c r="B6194">
        <v>6.921519522738262E-2</v>
      </c>
    </row>
    <row r="6195" spans="1:2" x14ac:dyDescent="0.2">
      <c r="A6195">
        <v>6189</v>
      </c>
      <c r="B6195">
        <v>0.9844981831806221</v>
      </c>
    </row>
    <row r="6196" spans="1:2" x14ac:dyDescent="0.2">
      <c r="A6196">
        <v>6190</v>
      </c>
      <c r="B6196">
        <v>0.71618413596455366</v>
      </c>
    </row>
    <row r="6197" spans="1:2" x14ac:dyDescent="0.2">
      <c r="A6197">
        <v>6191</v>
      </c>
      <c r="B6197">
        <v>0.2636474104631823</v>
      </c>
    </row>
    <row r="6198" spans="1:2" x14ac:dyDescent="0.2">
      <c r="A6198">
        <v>6192</v>
      </c>
      <c r="B6198">
        <v>0.47787095029648374</v>
      </c>
    </row>
    <row r="6199" spans="1:2" x14ac:dyDescent="0.2">
      <c r="A6199">
        <v>6193</v>
      </c>
      <c r="B6199">
        <v>0.52196417273564455</v>
      </c>
    </row>
    <row r="6200" spans="1:2" x14ac:dyDescent="0.2">
      <c r="A6200">
        <v>6194</v>
      </c>
      <c r="B6200">
        <v>0.23807944330790309</v>
      </c>
    </row>
    <row r="6201" spans="1:2" x14ac:dyDescent="0.2">
      <c r="A6201">
        <v>6195</v>
      </c>
      <c r="B6201">
        <v>0.37028850469577734</v>
      </c>
    </row>
    <row r="6202" spans="1:2" x14ac:dyDescent="0.2">
      <c r="A6202">
        <v>6196</v>
      </c>
      <c r="B6202">
        <v>7.3602393137742084E-2</v>
      </c>
    </row>
    <row r="6203" spans="1:2" x14ac:dyDescent="0.2">
      <c r="A6203">
        <v>6197</v>
      </c>
      <c r="B6203">
        <v>0.51624788431582858</v>
      </c>
    </row>
    <row r="6204" spans="1:2" x14ac:dyDescent="0.2">
      <c r="A6204">
        <v>6198</v>
      </c>
      <c r="B6204">
        <v>0.7063702728433805</v>
      </c>
    </row>
    <row r="6205" spans="1:2" x14ac:dyDescent="0.2">
      <c r="A6205">
        <v>6199</v>
      </c>
      <c r="B6205">
        <v>0.59025767569724086</v>
      </c>
    </row>
    <row r="6206" spans="1:2" x14ac:dyDescent="0.2">
      <c r="A6206">
        <v>6200</v>
      </c>
      <c r="B6206">
        <v>0.82810423858332649</v>
      </c>
    </row>
    <row r="6207" spans="1:2" x14ac:dyDescent="0.2">
      <c r="A6207">
        <v>6201</v>
      </c>
      <c r="B6207">
        <v>0.83789994270038737</v>
      </c>
    </row>
    <row r="6208" spans="1:2" x14ac:dyDescent="0.2">
      <c r="A6208">
        <v>6202</v>
      </c>
      <c r="B6208">
        <v>0.31780608877124339</v>
      </c>
    </row>
    <row r="6209" spans="1:2" x14ac:dyDescent="0.2">
      <c r="A6209">
        <v>6203</v>
      </c>
      <c r="B6209">
        <v>0.87258831635159739</v>
      </c>
    </row>
    <row r="6210" spans="1:2" x14ac:dyDescent="0.2">
      <c r="A6210">
        <v>6204</v>
      </c>
      <c r="B6210">
        <v>0.32487816172300221</v>
      </c>
    </row>
    <row r="6211" spans="1:2" x14ac:dyDescent="0.2">
      <c r="A6211">
        <v>6205</v>
      </c>
      <c r="B6211">
        <v>0.48520014798291355</v>
      </c>
    </row>
    <row r="6212" spans="1:2" x14ac:dyDescent="0.2">
      <c r="A6212">
        <v>6206</v>
      </c>
      <c r="B6212">
        <v>0.24015317345154974</v>
      </c>
    </row>
    <row r="6213" spans="1:2" x14ac:dyDescent="0.2">
      <c r="A6213">
        <v>6207</v>
      </c>
      <c r="B6213">
        <v>0.7755416768173875</v>
      </c>
    </row>
    <row r="6214" spans="1:2" x14ac:dyDescent="0.2">
      <c r="A6214">
        <v>6208</v>
      </c>
      <c r="B6214">
        <v>0.20661385071117844</v>
      </c>
    </row>
    <row r="6215" spans="1:2" x14ac:dyDescent="0.2">
      <c r="A6215">
        <v>6209</v>
      </c>
      <c r="B6215">
        <v>0.58926373785331732</v>
      </c>
    </row>
    <row r="6216" spans="1:2" x14ac:dyDescent="0.2">
      <c r="A6216">
        <v>6210</v>
      </c>
      <c r="B6216">
        <v>0.16898422061024099</v>
      </c>
    </row>
    <row r="6217" spans="1:2" x14ac:dyDescent="0.2">
      <c r="A6217">
        <v>6211</v>
      </c>
      <c r="B6217">
        <v>0.72764437177872332</v>
      </c>
    </row>
    <row r="6218" spans="1:2" x14ac:dyDescent="0.2">
      <c r="A6218">
        <v>6212</v>
      </c>
      <c r="B6218">
        <v>0.61735296307466048</v>
      </c>
    </row>
    <row r="6219" spans="1:2" x14ac:dyDescent="0.2">
      <c r="A6219">
        <v>6213</v>
      </c>
      <c r="B6219">
        <v>8.9348399473001772E-2</v>
      </c>
    </row>
    <row r="6220" spans="1:2" x14ac:dyDescent="0.2">
      <c r="A6220">
        <v>6214</v>
      </c>
      <c r="B6220">
        <v>9.9405116235660396E-2</v>
      </c>
    </row>
    <row r="6221" spans="1:2" x14ac:dyDescent="0.2">
      <c r="A6221">
        <v>6215</v>
      </c>
      <c r="B6221">
        <v>0.38371791421979817</v>
      </c>
    </row>
    <row r="6222" spans="1:2" x14ac:dyDescent="0.2">
      <c r="A6222">
        <v>6216</v>
      </c>
      <c r="B6222">
        <v>0.44725036587468003</v>
      </c>
    </row>
    <row r="6223" spans="1:2" x14ac:dyDescent="0.2">
      <c r="A6223">
        <v>6217</v>
      </c>
      <c r="B6223">
        <v>0.41402385554523558</v>
      </c>
    </row>
    <row r="6224" spans="1:2" x14ac:dyDescent="0.2">
      <c r="A6224">
        <v>6218</v>
      </c>
      <c r="B6224">
        <v>0.92021773703705978</v>
      </c>
    </row>
    <row r="6225" spans="1:2" x14ac:dyDescent="0.2">
      <c r="A6225">
        <v>6219</v>
      </c>
      <c r="B6225">
        <v>5.9168616531138252E-2</v>
      </c>
    </row>
    <row r="6226" spans="1:2" x14ac:dyDescent="0.2">
      <c r="A6226">
        <v>6220</v>
      </c>
      <c r="B6226">
        <v>0.86407887189705623</v>
      </c>
    </row>
    <row r="6227" spans="1:2" x14ac:dyDescent="0.2">
      <c r="A6227">
        <v>6221</v>
      </c>
      <c r="B6227">
        <v>0.23199238166048031</v>
      </c>
    </row>
    <row r="6228" spans="1:2" x14ac:dyDescent="0.2">
      <c r="A6228">
        <v>6222</v>
      </c>
      <c r="B6228">
        <v>0.58775011961386281</v>
      </c>
    </row>
    <row r="6229" spans="1:2" x14ac:dyDescent="0.2">
      <c r="A6229">
        <v>6223</v>
      </c>
      <c r="B6229">
        <v>0.24918783839366165</v>
      </c>
    </row>
    <row r="6230" spans="1:2" x14ac:dyDescent="0.2">
      <c r="A6230">
        <v>6224</v>
      </c>
      <c r="B6230">
        <v>0.6811309250492118</v>
      </c>
    </row>
    <row r="6231" spans="1:2" x14ac:dyDescent="0.2">
      <c r="A6231">
        <v>6225</v>
      </c>
      <c r="B6231">
        <v>0.62766118298488782</v>
      </c>
    </row>
    <row r="6232" spans="1:2" x14ac:dyDescent="0.2">
      <c r="A6232">
        <v>6226</v>
      </c>
      <c r="B6232">
        <v>0.64905039820316135</v>
      </c>
    </row>
    <row r="6233" spans="1:2" x14ac:dyDescent="0.2">
      <c r="A6233">
        <v>6227</v>
      </c>
      <c r="B6233">
        <v>0.30312533527140717</v>
      </c>
    </row>
    <row r="6234" spans="1:2" x14ac:dyDescent="0.2">
      <c r="A6234">
        <v>6228</v>
      </c>
      <c r="B6234">
        <v>0.1812742812470135</v>
      </c>
    </row>
    <row r="6235" spans="1:2" x14ac:dyDescent="0.2">
      <c r="A6235">
        <v>6229</v>
      </c>
      <c r="B6235">
        <v>0.87380038014837091</v>
      </c>
    </row>
    <row r="6236" spans="1:2" x14ac:dyDescent="0.2">
      <c r="A6236">
        <v>6230</v>
      </c>
      <c r="B6236">
        <v>0.72137222259766687</v>
      </c>
    </row>
    <row r="6237" spans="1:2" x14ac:dyDescent="0.2">
      <c r="A6237">
        <v>6231</v>
      </c>
      <c r="B6237">
        <v>0.18677476612603894</v>
      </c>
    </row>
    <row r="6238" spans="1:2" x14ac:dyDescent="0.2">
      <c r="A6238">
        <v>6232</v>
      </c>
      <c r="B6238">
        <v>0.52147132387101958</v>
      </c>
    </row>
    <row r="6239" spans="1:2" x14ac:dyDescent="0.2">
      <c r="A6239">
        <v>6233</v>
      </c>
      <c r="B6239">
        <v>0.13529053735149044</v>
      </c>
    </row>
    <row r="6240" spans="1:2" x14ac:dyDescent="0.2">
      <c r="A6240">
        <v>6234</v>
      </c>
      <c r="B6240">
        <v>0.3626865929289147</v>
      </c>
    </row>
    <row r="6241" spans="1:2" x14ac:dyDescent="0.2">
      <c r="A6241">
        <v>6235</v>
      </c>
      <c r="B6241">
        <v>0.76657613095355925</v>
      </c>
    </row>
    <row r="6242" spans="1:2" x14ac:dyDescent="0.2">
      <c r="A6242">
        <v>6236</v>
      </c>
      <c r="B6242">
        <v>4.94288788947983E-3</v>
      </c>
    </row>
    <row r="6243" spans="1:2" x14ac:dyDescent="0.2">
      <c r="A6243">
        <v>6237</v>
      </c>
      <c r="B6243">
        <v>0.23341803274214379</v>
      </c>
    </row>
    <row r="6244" spans="1:2" x14ac:dyDescent="0.2">
      <c r="A6244">
        <v>6238</v>
      </c>
      <c r="B6244">
        <v>0.72083350516081557</v>
      </c>
    </row>
    <row r="6245" spans="1:2" x14ac:dyDescent="0.2">
      <c r="A6245">
        <v>6239</v>
      </c>
      <c r="B6245">
        <v>0.42827698272293213</v>
      </c>
    </row>
    <row r="6246" spans="1:2" x14ac:dyDescent="0.2">
      <c r="A6246">
        <v>6240</v>
      </c>
      <c r="B6246">
        <v>0.76715601625862917</v>
      </c>
    </row>
    <row r="6247" spans="1:2" x14ac:dyDescent="0.2">
      <c r="A6247">
        <v>6241</v>
      </c>
      <c r="B6247">
        <v>0.80034395188846186</v>
      </c>
    </row>
    <row r="6248" spans="1:2" x14ac:dyDescent="0.2">
      <c r="A6248">
        <v>6242</v>
      </c>
      <c r="B6248">
        <v>0.65156810506439955</v>
      </c>
    </row>
    <row r="6249" spans="1:2" x14ac:dyDescent="0.2">
      <c r="A6249">
        <v>6243</v>
      </c>
      <c r="B6249">
        <v>0.43599552134911024</v>
      </c>
    </row>
    <row r="6250" spans="1:2" x14ac:dyDescent="0.2">
      <c r="A6250">
        <v>6244</v>
      </c>
      <c r="B6250">
        <v>0.76358509765497862</v>
      </c>
    </row>
    <row r="6251" spans="1:2" x14ac:dyDescent="0.2">
      <c r="A6251">
        <v>6245</v>
      </c>
      <c r="B6251">
        <v>0.34430369939665439</v>
      </c>
    </row>
    <row r="6252" spans="1:2" x14ac:dyDescent="0.2">
      <c r="A6252">
        <v>6246</v>
      </c>
      <c r="B6252">
        <v>0.92883963153906968</v>
      </c>
    </row>
    <row r="6253" spans="1:2" x14ac:dyDescent="0.2">
      <c r="A6253">
        <v>6247</v>
      </c>
      <c r="B6253">
        <v>0.47999395884614449</v>
      </c>
    </row>
    <row r="6254" spans="1:2" x14ac:dyDescent="0.2">
      <c r="A6254">
        <v>6248</v>
      </c>
      <c r="B6254">
        <v>0.46673916224941103</v>
      </c>
    </row>
    <row r="6255" spans="1:2" x14ac:dyDescent="0.2">
      <c r="A6255">
        <v>6249</v>
      </c>
      <c r="B6255">
        <v>0.81702428912302316</v>
      </c>
    </row>
    <row r="6256" spans="1:2" x14ac:dyDescent="0.2">
      <c r="A6256">
        <v>6250</v>
      </c>
      <c r="B6256">
        <v>0.16417497159849026</v>
      </c>
    </row>
    <row r="6257" spans="1:2" x14ac:dyDescent="0.2">
      <c r="A6257">
        <v>6251</v>
      </c>
      <c r="B6257">
        <v>0.53914876757318886</v>
      </c>
    </row>
    <row r="6258" spans="1:2" x14ac:dyDescent="0.2">
      <c r="A6258">
        <v>6252</v>
      </c>
      <c r="B6258">
        <v>0.48810289969305098</v>
      </c>
    </row>
    <row r="6259" spans="1:2" x14ac:dyDescent="0.2">
      <c r="A6259">
        <v>6253</v>
      </c>
      <c r="B6259">
        <v>0.52553191361903728</v>
      </c>
    </row>
    <row r="6260" spans="1:2" x14ac:dyDescent="0.2">
      <c r="A6260">
        <v>6254</v>
      </c>
      <c r="B6260">
        <v>0.15687410703661175</v>
      </c>
    </row>
    <row r="6261" spans="1:2" x14ac:dyDescent="0.2">
      <c r="A6261">
        <v>6255</v>
      </c>
      <c r="B6261">
        <v>0.3104127541583549</v>
      </c>
    </row>
    <row r="6262" spans="1:2" x14ac:dyDescent="0.2">
      <c r="A6262">
        <v>6256</v>
      </c>
      <c r="B6262">
        <v>0.70721748873498791</v>
      </c>
    </row>
    <row r="6263" spans="1:2" x14ac:dyDescent="0.2">
      <c r="A6263">
        <v>6257</v>
      </c>
      <c r="B6263">
        <v>0.38552153504067621</v>
      </c>
    </row>
    <row r="6264" spans="1:2" x14ac:dyDescent="0.2">
      <c r="A6264">
        <v>6258</v>
      </c>
      <c r="B6264">
        <v>0.75429909969474418</v>
      </c>
    </row>
    <row r="6265" spans="1:2" x14ac:dyDescent="0.2">
      <c r="A6265">
        <v>6259</v>
      </c>
      <c r="B6265">
        <v>0.72606674992558351</v>
      </c>
    </row>
    <row r="6266" spans="1:2" x14ac:dyDescent="0.2">
      <c r="A6266">
        <v>6260</v>
      </c>
      <c r="B6266">
        <v>0.5484325670586454</v>
      </c>
    </row>
    <row r="6267" spans="1:2" x14ac:dyDescent="0.2">
      <c r="A6267">
        <v>6261</v>
      </c>
      <c r="B6267">
        <v>0.25075380279787496</v>
      </c>
    </row>
    <row r="6268" spans="1:2" x14ac:dyDescent="0.2">
      <c r="A6268">
        <v>6262</v>
      </c>
      <c r="B6268">
        <v>0.19223608644753698</v>
      </c>
    </row>
    <row r="6269" spans="1:2" x14ac:dyDescent="0.2">
      <c r="A6269">
        <v>6263</v>
      </c>
      <c r="B6269">
        <v>0.11551463340390611</v>
      </c>
    </row>
    <row r="6270" spans="1:2" x14ac:dyDescent="0.2">
      <c r="A6270">
        <v>6264</v>
      </c>
      <c r="B6270">
        <v>0.50137819169577535</v>
      </c>
    </row>
    <row r="6271" spans="1:2" x14ac:dyDescent="0.2">
      <c r="A6271">
        <v>6265</v>
      </c>
      <c r="B6271">
        <v>0.64917813293738658</v>
      </c>
    </row>
    <row r="6272" spans="1:2" x14ac:dyDescent="0.2">
      <c r="A6272">
        <v>6266</v>
      </c>
      <c r="B6272">
        <v>0.49967104126498429</v>
      </c>
    </row>
    <row r="6273" spans="1:2" x14ac:dyDescent="0.2">
      <c r="A6273">
        <v>6267</v>
      </c>
      <c r="B6273">
        <v>0.4630179675842383</v>
      </c>
    </row>
    <row r="6274" spans="1:2" x14ac:dyDescent="0.2">
      <c r="A6274">
        <v>6268</v>
      </c>
      <c r="B6274">
        <v>0.13380362300689985</v>
      </c>
    </row>
    <row r="6275" spans="1:2" x14ac:dyDescent="0.2">
      <c r="A6275">
        <v>6269</v>
      </c>
      <c r="B6275">
        <v>0.43284059017718501</v>
      </c>
    </row>
    <row r="6276" spans="1:2" x14ac:dyDescent="0.2">
      <c r="A6276">
        <v>6270</v>
      </c>
      <c r="B6276">
        <v>0.26950983436862275</v>
      </c>
    </row>
    <row r="6277" spans="1:2" x14ac:dyDescent="0.2">
      <c r="A6277">
        <v>6271</v>
      </c>
      <c r="B6277">
        <v>0.94995520863763927</v>
      </c>
    </row>
    <row r="6278" spans="1:2" x14ac:dyDescent="0.2">
      <c r="A6278">
        <v>6272</v>
      </c>
      <c r="B6278">
        <v>0.13988122778752476</v>
      </c>
    </row>
    <row r="6279" spans="1:2" x14ac:dyDescent="0.2">
      <c r="A6279">
        <v>6273</v>
      </c>
      <c r="B6279">
        <v>0.53083767569580576</v>
      </c>
    </row>
    <row r="6280" spans="1:2" x14ac:dyDescent="0.2">
      <c r="A6280">
        <v>6274</v>
      </c>
      <c r="B6280">
        <v>0.33171078077700999</v>
      </c>
    </row>
    <row r="6281" spans="1:2" x14ac:dyDescent="0.2">
      <c r="A6281">
        <v>6275</v>
      </c>
      <c r="B6281">
        <v>4.6978840363513852E-2</v>
      </c>
    </row>
    <row r="6282" spans="1:2" x14ac:dyDescent="0.2">
      <c r="A6282">
        <v>6276</v>
      </c>
      <c r="B6282">
        <v>0.90196905006383998</v>
      </c>
    </row>
    <row r="6283" spans="1:2" x14ac:dyDescent="0.2">
      <c r="A6283">
        <v>6277</v>
      </c>
      <c r="B6283">
        <v>0.90696810377927828</v>
      </c>
    </row>
    <row r="6284" spans="1:2" x14ac:dyDescent="0.2">
      <c r="A6284">
        <v>6278</v>
      </c>
      <c r="B6284">
        <v>0.39980889176709633</v>
      </c>
    </row>
    <row r="6285" spans="1:2" x14ac:dyDescent="0.2">
      <c r="A6285">
        <v>6279</v>
      </c>
      <c r="B6285">
        <v>2.477572574488407E-2</v>
      </c>
    </row>
    <row r="6286" spans="1:2" x14ac:dyDescent="0.2">
      <c r="A6286">
        <v>6280</v>
      </c>
      <c r="B6286">
        <v>0.14797366532412071</v>
      </c>
    </row>
    <row r="6287" spans="1:2" x14ac:dyDescent="0.2">
      <c r="A6287">
        <v>6281</v>
      </c>
      <c r="B6287">
        <v>6.3836996672033131E-3</v>
      </c>
    </row>
    <row r="6288" spans="1:2" x14ac:dyDescent="0.2">
      <c r="A6288">
        <v>6282</v>
      </c>
      <c r="B6288">
        <v>0.16408050752345316</v>
      </c>
    </row>
    <row r="6289" spans="1:2" x14ac:dyDescent="0.2">
      <c r="A6289">
        <v>6283</v>
      </c>
      <c r="B6289">
        <v>0.84603574145693328</v>
      </c>
    </row>
    <row r="6290" spans="1:2" x14ac:dyDescent="0.2">
      <c r="A6290">
        <v>6284</v>
      </c>
      <c r="B6290">
        <v>0.21976108913215175</v>
      </c>
    </row>
    <row r="6291" spans="1:2" x14ac:dyDescent="0.2">
      <c r="A6291">
        <v>6285</v>
      </c>
      <c r="B6291">
        <v>0.84638371416365521</v>
      </c>
    </row>
    <row r="6292" spans="1:2" x14ac:dyDescent="0.2">
      <c r="A6292">
        <v>6286</v>
      </c>
      <c r="B6292">
        <v>0.64600531065473732</v>
      </c>
    </row>
    <row r="6293" spans="1:2" x14ac:dyDescent="0.2">
      <c r="A6293">
        <v>6287</v>
      </c>
      <c r="B6293">
        <v>0.67603822333995356</v>
      </c>
    </row>
    <row r="6294" spans="1:2" x14ac:dyDescent="0.2">
      <c r="A6294">
        <v>6288</v>
      </c>
      <c r="B6294">
        <v>0.32503459362153897</v>
      </c>
    </row>
    <row r="6295" spans="1:2" x14ac:dyDescent="0.2">
      <c r="A6295">
        <v>6289</v>
      </c>
      <c r="B6295">
        <v>0.63056643865570794</v>
      </c>
    </row>
    <row r="6296" spans="1:2" x14ac:dyDescent="0.2">
      <c r="A6296">
        <v>6290</v>
      </c>
      <c r="B6296">
        <v>2.3197214678087996E-2</v>
      </c>
    </row>
    <row r="6297" spans="1:2" x14ac:dyDescent="0.2">
      <c r="A6297">
        <v>6291</v>
      </c>
      <c r="B6297">
        <v>3.9051117279075065E-2</v>
      </c>
    </row>
    <row r="6298" spans="1:2" x14ac:dyDescent="0.2">
      <c r="A6298">
        <v>6292</v>
      </c>
      <c r="B6298">
        <v>0.19551168037071098</v>
      </c>
    </row>
    <row r="6299" spans="1:2" x14ac:dyDescent="0.2">
      <c r="A6299">
        <v>6293</v>
      </c>
      <c r="B6299">
        <v>0.53713643083415308</v>
      </c>
    </row>
    <row r="6300" spans="1:2" x14ac:dyDescent="0.2">
      <c r="A6300">
        <v>6294</v>
      </c>
      <c r="B6300">
        <v>0.25111453000662953</v>
      </c>
    </row>
    <row r="6301" spans="1:2" x14ac:dyDescent="0.2">
      <c r="A6301">
        <v>6295</v>
      </c>
      <c r="B6301">
        <v>0.39680784583220274</v>
      </c>
    </row>
    <row r="6302" spans="1:2" x14ac:dyDescent="0.2">
      <c r="A6302">
        <v>6296</v>
      </c>
      <c r="B6302">
        <v>0.895502712442515</v>
      </c>
    </row>
    <row r="6303" spans="1:2" x14ac:dyDescent="0.2">
      <c r="A6303">
        <v>6297</v>
      </c>
      <c r="B6303">
        <v>0.56716665448347992</v>
      </c>
    </row>
    <row r="6304" spans="1:2" x14ac:dyDescent="0.2">
      <c r="A6304">
        <v>6298</v>
      </c>
      <c r="B6304">
        <v>2.2270403386524529E-2</v>
      </c>
    </row>
    <row r="6305" spans="1:2" x14ac:dyDescent="0.2">
      <c r="A6305">
        <v>6299</v>
      </c>
      <c r="B6305">
        <v>5.5969666885050229E-2</v>
      </c>
    </row>
    <row r="6306" spans="1:2" x14ac:dyDescent="0.2">
      <c r="A6306">
        <v>6300</v>
      </c>
      <c r="B6306">
        <v>0.60388692429207469</v>
      </c>
    </row>
    <row r="6307" spans="1:2" x14ac:dyDescent="0.2">
      <c r="A6307">
        <v>6301</v>
      </c>
      <c r="B6307">
        <v>0.98277927288585432</v>
      </c>
    </row>
    <row r="6308" spans="1:2" x14ac:dyDescent="0.2">
      <c r="A6308">
        <v>6302</v>
      </c>
      <c r="B6308">
        <v>0.25809857102606237</v>
      </c>
    </row>
    <row r="6309" spans="1:2" x14ac:dyDescent="0.2">
      <c r="A6309">
        <v>6303</v>
      </c>
      <c r="B6309">
        <v>0.44569094647505991</v>
      </c>
    </row>
    <row r="6310" spans="1:2" x14ac:dyDescent="0.2">
      <c r="A6310">
        <v>6304</v>
      </c>
      <c r="B6310">
        <v>5.6304465962998984E-2</v>
      </c>
    </row>
    <row r="6311" spans="1:2" x14ac:dyDescent="0.2">
      <c r="A6311">
        <v>6305</v>
      </c>
      <c r="B6311">
        <v>0.57242497194223652</v>
      </c>
    </row>
    <row r="6312" spans="1:2" x14ac:dyDescent="0.2">
      <c r="A6312">
        <v>6306</v>
      </c>
      <c r="B6312">
        <v>0.77465426120155056</v>
      </c>
    </row>
    <row r="6313" spans="1:2" x14ac:dyDescent="0.2">
      <c r="A6313">
        <v>6307</v>
      </c>
      <c r="B6313">
        <v>0.10358779279175956</v>
      </c>
    </row>
    <row r="6314" spans="1:2" x14ac:dyDescent="0.2">
      <c r="A6314">
        <v>6308</v>
      </c>
      <c r="B6314">
        <v>0.24253038841133578</v>
      </c>
    </row>
    <row r="6315" spans="1:2" x14ac:dyDescent="0.2">
      <c r="A6315">
        <v>6309</v>
      </c>
      <c r="B6315">
        <v>6.0469607379375012E-2</v>
      </c>
    </row>
    <row r="6316" spans="1:2" x14ac:dyDescent="0.2">
      <c r="A6316">
        <v>6310</v>
      </c>
      <c r="B6316">
        <v>0.57323266098333148</v>
      </c>
    </row>
    <row r="6317" spans="1:2" x14ac:dyDescent="0.2">
      <c r="A6317">
        <v>6311</v>
      </c>
      <c r="B6317">
        <v>9.1510450869791593E-2</v>
      </c>
    </row>
    <row r="6318" spans="1:2" x14ac:dyDescent="0.2">
      <c r="A6318">
        <v>6312</v>
      </c>
      <c r="B6318">
        <v>0.78345995544740854</v>
      </c>
    </row>
    <row r="6319" spans="1:2" x14ac:dyDescent="0.2">
      <c r="A6319">
        <v>6313</v>
      </c>
      <c r="B6319">
        <v>0.37219805751310553</v>
      </c>
    </row>
    <row r="6320" spans="1:2" x14ac:dyDescent="0.2">
      <c r="A6320">
        <v>6314</v>
      </c>
      <c r="B6320">
        <v>0.7178058325885972</v>
      </c>
    </row>
    <row r="6321" spans="1:2" x14ac:dyDescent="0.2">
      <c r="A6321">
        <v>6315</v>
      </c>
      <c r="B6321">
        <v>5.1453046332876395E-2</v>
      </c>
    </row>
    <row r="6322" spans="1:2" x14ac:dyDescent="0.2">
      <c r="A6322">
        <v>6316</v>
      </c>
      <c r="B6322">
        <v>0.61958464204344721</v>
      </c>
    </row>
    <row r="6323" spans="1:2" x14ac:dyDescent="0.2">
      <c r="A6323">
        <v>6317</v>
      </c>
      <c r="B6323">
        <v>6.0297424675015754E-2</v>
      </c>
    </row>
    <row r="6324" spans="1:2" x14ac:dyDescent="0.2">
      <c r="A6324">
        <v>6318</v>
      </c>
      <c r="B6324">
        <v>0.10981683560128219</v>
      </c>
    </row>
    <row r="6325" spans="1:2" x14ac:dyDescent="0.2">
      <c r="A6325">
        <v>6319</v>
      </c>
      <c r="B6325">
        <v>0.27369503314304944</v>
      </c>
    </row>
    <row r="6326" spans="1:2" x14ac:dyDescent="0.2">
      <c r="A6326">
        <v>6320</v>
      </c>
      <c r="B6326">
        <v>0.11950608105294436</v>
      </c>
    </row>
    <row r="6327" spans="1:2" x14ac:dyDescent="0.2">
      <c r="A6327">
        <v>6321</v>
      </c>
      <c r="B6327">
        <v>0.12865783122137364</v>
      </c>
    </row>
    <row r="6328" spans="1:2" x14ac:dyDescent="0.2">
      <c r="A6328">
        <v>6322</v>
      </c>
      <c r="B6328">
        <v>0.95692266312656382</v>
      </c>
    </row>
    <row r="6329" spans="1:2" x14ac:dyDescent="0.2">
      <c r="A6329">
        <v>6323</v>
      </c>
      <c r="B6329">
        <v>0.10643686809719999</v>
      </c>
    </row>
    <row r="6330" spans="1:2" x14ac:dyDescent="0.2">
      <c r="A6330">
        <v>6324</v>
      </c>
      <c r="B6330">
        <v>0.48120805157859781</v>
      </c>
    </row>
    <row r="6331" spans="1:2" x14ac:dyDescent="0.2">
      <c r="A6331">
        <v>6325</v>
      </c>
      <c r="B6331">
        <v>0.32561712347764882</v>
      </c>
    </row>
    <row r="6332" spans="1:2" x14ac:dyDescent="0.2">
      <c r="A6332">
        <v>6326</v>
      </c>
      <c r="B6332">
        <v>0.7316076829621353</v>
      </c>
    </row>
    <row r="6333" spans="1:2" x14ac:dyDescent="0.2">
      <c r="A6333">
        <v>6327</v>
      </c>
      <c r="B6333">
        <v>0.42130980068427659</v>
      </c>
    </row>
    <row r="6334" spans="1:2" x14ac:dyDescent="0.2">
      <c r="A6334">
        <v>6328</v>
      </c>
      <c r="B6334">
        <v>0.84860851942871673</v>
      </c>
    </row>
    <row r="6335" spans="1:2" x14ac:dyDescent="0.2">
      <c r="A6335">
        <v>6329</v>
      </c>
      <c r="B6335">
        <v>0.36135390110352972</v>
      </c>
    </row>
    <row r="6336" spans="1:2" x14ac:dyDescent="0.2">
      <c r="A6336">
        <v>6330</v>
      </c>
      <c r="B6336">
        <v>0.14631150304749874</v>
      </c>
    </row>
    <row r="6337" spans="1:2" x14ac:dyDescent="0.2">
      <c r="A6337">
        <v>6331</v>
      </c>
      <c r="B6337">
        <v>0.89510159337703599</v>
      </c>
    </row>
    <row r="6338" spans="1:2" x14ac:dyDescent="0.2">
      <c r="A6338">
        <v>6332</v>
      </c>
      <c r="B6338">
        <v>0.77218630281905565</v>
      </c>
    </row>
    <row r="6339" spans="1:2" x14ac:dyDescent="0.2">
      <c r="A6339">
        <v>6333</v>
      </c>
      <c r="B6339">
        <v>0.21729227090654657</v>
      </c>
    </row>
    <row r="6340" spans="1:2" x14ac:dyDescent="0.2">
      <c r="A6340">
        <v>6334</v>
      </c>
      <c r="B6340">
        <v>0.89108557929811316</v>
      </c>
    </row>
    <row r="6341" spans="1:2" x14ac:dyDescent="0.2">
      <c r="A6341">
        <v>6335</v>
      </c>
      <c r="B6341">
        <v>0.31593080384754635</v>
      </c>
    </row>
    <row r="6342" spans="1:2" x14ac:dyDescent="0.2">
      <c r="A6342">
        <v>6336</v>
      </c>
      <c r="B6342">
        <v>0.8638949581891131</v>
      </c>
    </row>
    <row r="6343" spans="1:2" x14ac:dyDescent="0.2">
      <c r="A6343">
        <v>6337</v>
      </c>
      <c r="B6343">
        <v>0.72998344734411891</v>
      </c>
    </row>
    <row r="6344" spans="1:2" x14ac:dyDescent="0.2">
      <c r="A6344">
        <v>6338</v>
      </c>
      <c r="B6344">
        <v>0.98837640626431023</v>
      </c>
    </row>
    <row r="6345" spans="1:2" x14ac:dyDescent="0.2">
      <c r="A6345">
        <v>6339</v>
      </c>
      <c r="B6345">
        <v>0.98520880760733531</v>
      </c>
    </row>
    <row r="6346" spans="1:2" x14ac:dyDescent="0.2">
      <c r="A6346">
        <v>6340</v>
      </c>
      <c r="B6346">
        <v>0.52133873454389945</v>
      </c>
    </row>
    <row r="6347" spans="1:2" x14ac:dyDescent="0.2">
      <c r="A6347">
        <v>6341</v>
      </c>
      <c r="B6347">
        <v>0.26948548602246813</v>
      </c>
    </row>
    <row r="6348" spans="1:2" x14ac:dyDescent="0.2">
      <c r="A6348">
        <v>6342</v>
      </c>
      <c r="B6348">
        <v>0.14811986971328683</v>
      </c>
    </row>
    <row r="6349" spans="1:2" x14ac:dyDescent="0.2">
      <c r="A6349">
        <v>6343</v>
      </c>
      <c r="B6349">
        <v>0.96887091743154585</v>
      </c>
    </row>
    <row r="6350" spans="1:2" x14ac:dyDescent="0.2">
      <c r="A6350">
        <v>6344</v>
      </c>
      <c r="B6350">
        <v>0.49095399495329572</v>
      </c>
    </row>
    <row r="6351" spans="1:2" x14ac:dyDescent="0.2">
      <c r="A6351">
        <v>6345</v>
      </c>
      <c r="B6351">
        <v>6.8168106195003353E-2</v>
      </c>
    </row>
    <row r="6352" spans="1:2" x14ac:dyDescent="0.2">
      <c r="A6352">
        <v>6346</v>
      </c>
      <c r="B6352">
        <v>0.90065354204134807</v>
      </c>
    </row>
    <row r="6353" spans="1:2" x14ac:dyDescent="0.2">
      <c r="A6353">
        <v>6347</v>
      </c>
      <c r="B6353">
        <v>4.8775948722734941E-2</v>
      </c>
    </row>
    <row r="6354" spans="1:2" x14ac:dyDescent="0.2">
      <c r="A6354">
        <v>6348</v>
      </c>
      <c r="B6354">
        <v>0.44057294621176257</v>
      </c>
    </row>
    <row r="6355" spans="1:2" x14ac:dyDescent="0.2">
      <c r="A6355">
        <v>6349</v>
      </c>
      <c r="B6355">
        <v>0.66120640258571661</v>
      </c>
    </row>
    <row r="6356" spans="1:2" x14ac:dyDescent="0.2">
      <c r="A6356">
        <v>6350</v>
      </c>
      <c r="B6356">
        <v>0.62812776807780901</v>
      </c>
    </row>
    <row r="6357" spans="1:2" x14ac:dyDescent="0.2">
      <c r="A6357">
        <v>6351</v>
      </c>
      <c r="B6357">
        <v>0.70157437529939171</v>
      </c>
    </row>
    <row r="6358" spans="1:2" x14ac:dyDescent="0.2">
      <c r="A6358">
        <v>6352</v>
      </c>
      <c r="B6358">
        <v>4.9245367860600853E-2</v>
      </c>
    </row>
    <row r="6359" spans="1:2" x14ac:dyDescent="0.2">
      <c r="A6359">
        <v>6353</v>
      </c>
      <c r="B6359">
        <v>0.87462254358141278</v>
      </c>
    </row>
    <row r="6360" spans="1:2" x14ac:dyDescent="0.2">
      <c r="A6360">
        <v>6354</v>
      </c>
      <c r="B6360">
        <v>0.46675260844620547</v>
      </c>
    </row>
    <row r="6361" spans="1:2" x14ac:dyDescent="0.2">
      <c r="A6361">
        <v>6355</v>
      </c>
      <c r="B6361">
        <v>0.66787024504919945</v>
      </c>
    </row>
    <row r="6362" spans="1:2" x14ac:dyDescent="0.2">
      <c r="A6362">
        <v>6356</v>
      </c>
      <c r="B6362">
        <v>0.67461098045622447</v>
      </c>
    </row>
    <row r="6363" spans="1:2" x14ac:dyDescent="0.2">
      <c r="A6363">
        <v>6357</v>
      </c>
      <c r="B6363">
        <v>0.88694139425168994</v>
      </c>
    </row>
    <row r="6364" spans="1:2" x14ac:dyDescent="0.2">
      <c r="A6364">
        <v>6358</v>
      </c>
      <c r="B6364">
        <v>0.25523091996923697</v>
      </c>
    </row>
    <row r="6365" spans="1:2" x14ac:dyDescent="0.2">
      <c r="A6365">
        <v>6359</v>
      </c>
      <c r="B6365">
        <v>0.80518209249989137</v>
      </c>
    </row>
    <row r="6366" spans="1:2" x14ac:dyDescent="0.2">
      <c r="A6366">
        <v>6360</v>
      </c>
      <c r="B6366">
        <v>0.15405275833917431</v>
      </c>
    </row>
    <row r="6367" spans="1:2" x14ac:dyDescent="0.2">
      <c r="A6367">
        <v>6361</v>
      </c>
      <c r="B6367">
        <v>0.9129843114508337</v>
      </c>
    </row>
    <row r="6368" spans="1:2" x14ac:dyDescent="0.2">
      <c r="A6368">
        <v>6362</v>
      </c>
      <c r="B6368">
        <v>4.7533367640963164E-2</v>
      </c>
    </row>
    <row r="6369" spans="1:2" x14ac:dyDescent="0.2">
      <c r="A6369">
        <v>6363</v>
      </c>
      <c r="B6369">
        <v>0.21799594310335435</v>
      </c>
    </row>
    <row r="6370" spans="1:2" x14ac:dyDescent="0.2">
      <c r="A6370">
        <v>6364</v>
      </c>
      <c r="B6370">
        <v>0.49021365626384472</v>
      </c>
    </row>
    <row r="6371" spans="1:2" x14ac:dyDescent="0.2">
      <c r="A6371">
        <v>6365</v>
      </c>
      <c r="B6371">
        <v>0.99373783830486639</v>
      </c>
    </row>
    <row r="6372" spans="1:2" x14ac:dyDescent="0.2">
      <c r="A6372">
        <v>6366</v>
      </c>
      <c r="B6372">
        <v>0.95759365637655658</v>
      </c>
    </row>
    <row r="6373" spans="1:2" x14ac:dyDescent="0.2">
      <c r="A6373">
        <v>6367</v>
      </c>
      <c r="B6373">
        <v>2.7394457318281162E-2</v>
      </c>
    </row>
    <row r="6374" spans="1:2" x14ac:dyDescent="0.2">
      <c r="A6374">
        <v>6368</v>
      </c>
      <c r="B6374">
        <v>0.87942374464358419</v>
      </c>
    </row>
    <row r="6375" spans="1:2" x14ac:dyDescent="0.2">
      <c r="A6375">
        <v>6369</v>
      </c>
      <c r="B6375">
        <v>0.72043137008447788</v>
      </c>
    </row>
    <row r="6376" spans="1:2" x14ac:dyDescent="0.2">
      <c r="A6376">
        <v>6370</v>
      </c>
      <c r="B6376">
        <v>0.54214357159608817</v>
      </c>
    </row>
    <row r="6377" spans="1:2" x14ac:dyDescent="0.2">
      <c r="A6377">
        <v>6371</v>
      </c>
      <c r="B6377">
        <v>0.96769780311363462</v>
      </c>
    </row>
    <row r="6378" spans="1:2" x14ac:dyDescent="0.2">
      <c r="A6378">
        <v>6372</v>
      </c>
      <c r="B6378">
        <v>0.69889412895023062</v>
      </c>
    </row>
    <row r="6379" spans="1:2" x14ac:dyDescent="0.2">
      <c r="A6379">
        <v>6373</v>
      </c>
      <c r="B6379">
        <v>0.92449745400593264</v>
      </c>
    </row>
    <row r="6380" spans="1:2" x14ac:dyDescent="0.2">
      <c r="A6380">
        <v>6374</v>
      </c>
      <c r="B6380">
        <v>3.0141820601415459E-2</v>
      </c>
    </row>
    <row r="6381" spans="1:2" x14ac:dyDescent="0.2">
      <c r="A6381">
        <v>6375</v>
      </c>
      <c r="B6381">
        <v>0.99518801664061995</v>
      </c>
    </row>
    <row r="6382" spans="1:2" x14ac:dyDescent="0.2">
      <c r="A6382">
        <v>6376</v>
      </c>
      <c r="B6382">
        <v>0.27713056330992658</v>
      </c>
    </row>
    <row r="6383" spans="1:2" x14ac:dyDescent="0.2">
      <c r="A6383">
        <v>6377</v>
      </c>
      <c r="B6383">
        <v>5.5362812274117212E-2</v>
      </c>
    </row>
    <row r="6384" spans="1:2" x14ac:dyDescent="0.2">
      <c r="A6384">
        <v>6378</v>
      </c>
      <c r="B6384">
        <v>4.1342840764844069E-2</v>
      </c>
    </row>
    <row r="6385" spans="1:2" x14ac:dyDescent="0.2">
      <c r="A6385">
        <v>6379</v>
      </c>
      <c r="B6385">
        <v>8.1917444871593026E-2</v>
      </c>
    </row>
    <row r="6386" spans="1:2" x14ac:dyDescent="0.2">
      <c r="A6386">
        <v>6380</v>
      </c>
      <c r="B6386">
        <v>8.530933918609318E-2</v>
      </c>
    </row>
    <row r="6387" spans="1:2" x14ac:dyDescent="0.2">
      <c r="A6387">
        <v>6381</v>
      </c>
      <c r="B6387">
        <v>0.54263309812639171</v>
      </c>
    </row>
    <row r="6388" spans="1:2" x14ac:dyDescent="0.2">
      <c r="A6388">
        <v>6382</v>
      </c>
      <c r="B6388">
        <v>0.79856953912943429</v>
      </c>
    </row>
    <row r="6389" spans="1:2" x14ac:dyDescent="0.2">
      <c r="A6389">
        <v>6383</v>
      </c>
      <c r="B6389">
        <v>4.0428443370966072E-2</v>
      </c>
    </row>
    <row r="6390" spans="1:2" x14ac:dyDescent="0.2">
      <c r="A6390">
        <v>6384</v>
      </c>
      <c r="B6390">
        <v>1.9464376747347911E-3</v>
      </c>
    </row>
    <row r="6391" spans="1:2" x14ac:dyDescent="0.2">
      <c r="A6391">
        <v>6385</v>
      </c>
      <c r="B6391">
        <v>0.20644730701452285</v>
      </c>
    </row>
    <row r="6392" spans="1:2" x14ac:dyDescent="0.2">
      <c r="A6392">
        <v>6386</v>
      </c>
      <c r="B6392">
        <v>0.14954980980353649</v>
      </c>
    </row>
    <row r="6393" spans="1:2" x14ac:dyDescent="0.2">
      <c r="A6393">
        <v>6387</v>
      </c>
      <c r="B6393">
        <v>0.83394900807694106</v>
      </c>
    </row>
    <row r="6394" spans="1:2" x14ac:dyDescent="0.2">
      <c r="A6394">
        <v>6388</v>
      </c>
      <c r="B6394">
        <v>0.28072628370102715</v>
      </c>
    </row>
    <row r="6395" spans="1:2" x14ac:dyDescent="0.2">
      <c r="A6395">
        <v>6389</v>
      </c>
      <c r="B6395">
        <v>0.49022056831603011</v>
      </c>
    </row>
    <row r="6396" spans="1:2" x14ac:dyDescent="0.2">
      <c r="A6396">
        <v>6390</v>
      </c>
      <c r="B6396">
        <v>0.88789936546017789</v>
      </c>
    </row>
    <row r="6397" spans="1:2" x14ac:dyDescent="0.2">
      <c r="A6397">
        <v>6391</v>
      </c>
      <c r="B6397">
        <v>0.86701013510852287</v>
      </c>
    </row>
    <row r="6398" spans="1:2" x14ac:dyDescent="0.2">
      <c r="A6398">
        <v>6392</v>
      </c>
      <c r="B6398">
        <v>0.70346033226173832</v>
      </c>
    </row>
    <row r="6399" spans="1:2" x14ac:dyDescent="0.2">
      <c r="A6399">
        <v>6393</v>
      </c>
      <c r="B6399">
        <v>0.79024185916080736</v>
      </c>
    </row>
    <row r="6400" spans="1:2" x14ac:dyDescent="0.2">
      <c r="A6400">
        <v>6394</v>
      </c>
      <c r="B6400">
        <v>0.79843031212952542</v>
      </c>
    </row>
    <row r="6401" spans="1:2" x14ac:dyDescent="0.2">
      <c r="A6401">
        <v>6395</v>
      </c>
      <c r="B6401">
        <v>0.22030670073985847</v>
      </c>
    </row>
    <row r="6402" spans="1:2" x14ac:dyDescent="0.2">
      <c r="A6402">
        <v>6396</v>
      </c>
      <c r="B6402">
        <v>0.49722091435499405</v>
      </c>
    </row>
    <row r="6403" spans="1:2" x14ac:dyDescent="0.2">
      <c r="A6403">
        <v>6397</v>
      </c>
      <c r="B6403">
        <v>0.28643302804647497</v>
      </c>
    </row>
    <row r="6404" spans="1:2" x14ac:dyDescent="0.2">
      <c r="A6404">
        <v>6398</v>
      </c>
      <c r="B6404">
        <v>0.43573736624126169</v>
      </c>
    </row>
    <row r="6405" spans="1:2" x14ac:dyDescent="0.2">
      <c r="A6405">
        <v>6399</v>
      </c>
      <c r="B6405">
        <v>3.0221500233054477E-2</v>
      </c>
    </row>
    <row r="6406" spans="1:2" x14ac:dyDescent="0.2">
      <c r="A6406">
        <v>6400</v>
      </c>
      <c r="B6406">
        <v>3.5185933144141646E-2</v>
      </c>
    </row>
    <row r="6407" spans="1:2" x14ac:dyDescent="0.2">
      <c r="A6407">
        <v>6401</v>
      </c>
      <c r="B6407">
        <v>0.4027559401300449</v>
      </c>
    </row>
    <row r="6408" spans="1:2" x14ac:dyDescent="0.2">
      <c r="A6408">
        <v>6402</v>
      </c>
      <c r="B6408">
        <v>0.95951639890151164</v>
      </c>
    </row>
    <row r="6409" spans="1:2" x14ac:dyDescent="0.2">
      <c r="A6409">
        <v>6403</v>
      </c>
      <c r="B6409">
        <v>0.72028500325764433</v>
      </c>
    </row>
    <row r="6410" spans="1:2" x14ac:dyDescent="0.2">
      <c r="A6410">
        <v>6404</v>
      </c>
      <c r="B6410">
        <v>0.54446753146690652</v>
      </c>
    </row>
    <row r="6411" spans="1:2" x14ac:dyDescent="0.2">
      <c r="A6411">
        <v>6405</v>
      </c>
      <c r="B6411">
        <v>0.37330629256855918</v>
      </c>
    </row>
    <row r="6412" spans="1:2" x14ac:dyDescent="0.2">
      <c r="A6412">
        <v>6406</v>
      </c>
      <c r="B6412">
        <v>0.15486519705286472</v>
      </c>
    </row>
    <row r="6413" spans="1:2" x14ac:dyDescent="0.2">
      <c r="A6413">
        <v>6407</v>
      </c>
      <c r="B6413">
        <v>0.27445049125267096</v>
      </c>
    </row>
    <row r="6414" spans="1:2" x14ac:dyDescent="0.2">
      <c r="A6414">
        <v>6408</v>
      </c>
      <c r="B6414">
        <v>0.99890035970769464</v>
      </c>
    </row>
    <row r="6415" spans="1:2" x14ac:dyDescent="0.2">
      <c r="A6415">
        <v>6409</v>
      </c>
      <c r="B6415">
        <v>0.63858618368158448</v>
      </c>
    </row>
    <row r="6416" spans="1:2" x14ac:dyDescent="0.2">
      <c r="A6416">
        <v>6410</v>
      </c>
      <c r="B6416">
        <v>0.72959766962963557</v>
      </c>
    </row>
    <row r="6417" spans="1:2" x14ac:dyDescent="0.2">
      <c r="A6417">
        <v>6411</v>
      </c>
      <c r="B6417">
        <v>0.9538963841395155</v>
      </c>
    </row>
    <row r="6418" spans="1:2" x14ac:dyDescent="0.2">
      <c r="A6418">
        <v>6412</v>
      </c>
      <c r="B6418">
        <v>0.10366961119419527</v>
      </c>
    </row>
    <row r="6419" spans="1:2" x14ac:dyDescent="0.2">
      <c r="A6419">
        <v>6413</v>
      </c>
      <c r="B6419">
        <v>0.71271131928702192</v>
      </c>
    </row>
    <row r="6420" spans="1:2" x14ac:dyDescent="0.2">
      <c r="A6420">
        <v>6414</v>
      </c>
      <c r="B6420">
        <v>0.5864829429541687</v>
      </c>
    </row>
    <row r="6421" spans="1:2" x14ac:dyDescent="0.2">
      <c r="A6421">
        <v>6415</v>
      </c>
      <c r="B6421">
        <v>0.76976890971189793</v>
      </c>
    </row>
    <row r="6422" spans="1:2" x14ac:dyDescent="0.2">
      <c r="A6422">
        <v>6416</v>
      </c>
      <c r="B6422">
        <v>0.34907723851272943</v>
      </c>
    </row>
    <row r="6423" spans="1:2" x14ac:dyDescent="0.2">
      <c r="A6423">
        <v>6417</v>
      </c>
      <c r="B6423">
        <v>0.57032070741264707</v>
      </c>
    </row>
    <row r="6424" spans="1:2" x14ac:dyDescent="0.2">
      <c r="A6424">
        <v>6418</v>
      </c>
      <c r="B6424">
        <v>0.58973090029087161</v>
      </c>
    </row>
    <row r="6425" spans="1:2" x14ac:dyDescent="0.2">
      <c r="A6425">
        <v>6419</v>
      </c>
      <c r="B6425">
        <v>0.1629313792138597</v>
      </c>
    </row>
    <row r="6426" spans="1:2" x14ac:dyDescent="0.2">
      <c r="A6426">
        <v>6420</v>
      </c>
      <c r="B6426">
        <v>0.64315030798418427</v>
      </c>
    </row>
    <row r="6427" spans="1:2" x14ac:dyDescent="0.2">
      <c r="A6427">
        <v>6421</v>
      </c>
      <c r="B6427">
        <v>0.73144601415418109</v>
      </c>
    </row>
    <row r="6428" spans="1:2" x14ac:dyDescent="0.2">
      <c r="A6428">
        <v>6422</v>
      </c>
      <c r="B6428">
        <v>0.84380933582156192</v>
      </c>
    </row>
    <row r="6429" spans="1:2" x14ac:dyDescent="0.2">
      <c r="A6429">
        <v>6423</v>
      </c>
      <c r="B6429">
        <v>0.2733943944976398</v>
      </c>
    </row>
    <row r="6430" spans="1:2" x14ac:dyDescent="0.2">
      <c r="A6430">
        <v>6424</v>
      </c>
      <c r="B6430">
        <v>0.17186637592410792</v>
      </c>
    </row>
    <row r="6431" spans="1:2" x14ac:dyDescent="0.2">
      <c r="A6431">
        <v>6425</v>
      </c>
      <c r="B6431">
        <v>0.52978800349748989</v>
      </c>
    </row>
    <row r="6432" spans="1:2" x14ac:dyDescent="0.2">
      <c r="A6432">
        <v>6426</v>
      </c>
      <c r="B6432">
        <v>0.4875890214854296</v>
      </c>
    </row>
    <row r="6433" spans="1:2" x14ac:dyDescent="0.2">
      <c r="A6433">
        <v>6427</v>
      </c>
      <c r="B6433">
        <v>0.39753733782386458</v>
      </c>
    </row>
    <row r="6434" spans="1:2" x14ac:dyDescent="0.2">
      <c r="A6434">
        <v>6428</v>
      </c>
      <c r="B6434">
        <v>0.20774819352344909</v>
      </c>
    </row>
    <row r="6435" spans="1:2" x14ac:dyDescent="0.2">
      <c r="A6435">
        <v>6429</v>
      </c>
      <c r="B6435">
        <v>0.99343021291734768</v>
      </c>
    </row>
    <row r="6436" spans="1:2" x14ac:dyDescent="0.2">
      <c r="A6436">
        <v>6430</v>
      </c>
      <c r="B6436">
        <v>0.98854031358707584</v>
      </c>
    </row>
    <row r="6437" spans="1:2" x14ac:dyDescent="0.2">
      <c r="A6437">
        <v>6431</v>
      </c>
      <c r="B6437">
        <v>0.96882694390837198</v>
      </c>
    </row>
    <row r="6438" spans="1:2" x14ac:dyDescent="0.2">
      <c r="A6438">
        <v>6432</v>
      </c>
      <c r="B6438">
        <v>1.6842512541307419E-2</v>
      </c>
    </row>
    <row r="6439" spans="1:2" x14ac:dyDescent="0.2">
      <c r="A6439">
        <v>6433</v>
      </c>
      <c r="B6439">
        <v>0.51200089818224326</v>
      </c>
    </row>
    <row r="6440" spans="1:2" x14ac:dyDescent="0.2">
      <c r="A6440">
        <v>6434</v>
      </c>
      <c r="B6440">
        <v>0.2545485030935839</v>
      </c>
    </row>
    <row r="6441" spans="1:2" x14ac:dyDescent="0.2">
      <c r="A6441">
        <v>6435</v>
      </c>
      <c r="B6441">
        <v>0.25599789654915761</v>
      </c>
    </row>
    <row r="6442" spans="1:2" x14ac:dyDescent="0.2">
      <c r="A6442">
        <v>6436</v>
      </c>
      <c r="B6442">
        <v>0.95945800068337173</v>
      </c>
    </row>
    <row r="6443" spans="1:2" x14ac:dyDescent="0.2">
      <c r="A6443">
        <v>6437</v>
      </c>
      <c r="B6443">
        <v>0.72088932432564146</v>
      </c>
    </row>
    <row r="6444" spans="1:2" x14ac:dyDescent="0.2">
      <c r="A6444">
        <v>6438</v>
      </c>
      <c r="B6444">
        <v>0.96856102833134505</v>
      </c>
    </row>
    <row r="6445" spans="1:2" x14ac:dyDescent="0.2">
      <c r="A6445">
        <v>6439</v>
      </c>
      <c r="B6445">
        <v>0.65924132891951326</v>
      </c>
    </row>
    <row r="6446" spans="1:2" x14ac:dyDescent="0.2">
      <c r="A6446">
        <v>6440</v>
      </c>
      <c r="B6446">
        <v>0.18318726821100983</v>
      </c>
    </row>
    <row r="6447" spans="1:2" x14ac:dyDescent="0.2">
      <c r="A6447">
        <v>6441</v>
      </c>
      <c r="B6447">
        <v>0.4470928663471786</v>
      </c>
    </row>
    <row r="6448" spans="1:2" x14ac:dyDescent="0.2">
      <c r="A6448">
        <v>6442</v>
      </c>
      <c r="B6448">
        <v>0.90747107040046016</v>
      </c>
    </row>
    <row r="6449" spans="1:2" x14ac:dyDescent="0.2">
      <c r="A6449">
        <v>6443</v>
      </c>
      <c r="B6449">
        <v>0.29233143140964291</v>
      </c>
    </row>
    <row r="6450" spans="1:2" x14ac:dyDescent="0.2">
      <c r="A6450">
        <v>6444</v>
      </c>
      <c r="B6450">
        <v>0.79968859146963778</v>
      </c>
    </row>
    <row r="6451" spans="1:2" x14ac:dyDescent="0.2">
      <c r="A6451">
        <v>6445</v>
      </c>
      <c r="B6451">
        <v>6.9644967475389397E-2</v>
      </c>
    </row>
    <row r="6452" spans="1:2" x14ac:dyDescent="0.2">
      <c r="A6452">
        <v>6446</v>
      </c>
      <c r="B6452">
        <v>0.84848273817684583</v>
      </c>
    </row>
    <row r="6453" spans="1:2" x14ac:dyDescent="0.2">
      <c r="A6453">
        <v>6447</v>
      </c>
      <c r="B6453">
        <v>0.64008401029111206</v>
      </c>
    </row>
    <row r="6454" spans="1:2" x14ac:dyDescent="0.2">
      <c r="A6454">
        <v>6448</v>
      </c>
      <c r="B6454">
        <v>0.64614624073313931</v>
      </c>
    </row>
    <row r="6455" spans="1:2" x14ac:dyDescent="0.2">
      <c r="A6455">
        <v>6449</v>
      </c>
      <c r="B6455">
        <v>0.18837327019211592</v>
      </c>
    </row>
    <row r="6456" spans="1:2" x14ac:dyDescent="0.2">
      <c r="A6456">
        <v>6450</v>
      </c>
      <c r="B6456">
        <v>0.9491773767415711</v>
      </c>
    </row>
    <row r="6457" spans="1:2" x14ac:dyDescent="0.2">
      <c r="A6457">
        <v>6451</v>
      </c>
      <c r="B6457">
        <v>0.90871866096483023</v>
      </c>
    </row>
    <row r="6458" spans="1:2" x14ac:dyDescent="0.2">
      <c r="A6458">
        <v>6452</v>
      </c>
      <c r="B6458">
        <v>0.23128771709944052</v>
      </c>
    </row>
    <row r="6459" spans="1:2" x14ac:dyDescent="0.2">
      <c r="A6459">
        <v>6453</v>
      </c>
      <c r="B6459">
        <v>0.4612296994855869</v>
      </c>
    </row>
    <row r="6460" spans="1:2" x14ac:dyDescent="0.2">
      <c r="A6460">
        <v>6454</v>
      </c>
      <c r="B6460">
        <v>0.27985070200898043</v>
      </c>
    </row>
    <row r="6461" spans="1:2" x14ac:dyDescent="0.2">
      <c r="A6461">
        <v>6455</v>
      </c>
      <c r="B6461">
        <v>0.31256503820151327</v>
      </c>
    </row>
    <row r="6462" spans="1:2" x14ac:dyDescent="0.2">
      <c r="A6462">
        <v>6456</v>
      </c>
      <c r="B6462">
        <v>0.73133958576414582</v>
      </c>
    </row>
    <row r="6463" spans="1:2" x14ac:dyDescent="0.2">
      <c r="A6463">
        <v>6457</v>
      </c>
      <c r="B6463">
        <v>0.78849417817783962</v>
      </c>
    </row>
    <row r="6464" spans="1:2" x14ac:dyDescent="0.2">
      <c r="A6464">
        <v>6458</v>
      </c>
      <c r="B6464">
        <v>0.39492967737009166</v>
      </c>
    </row>
    <row r="6465" spans="1:2" x14ac:dyDescent="0.2">
      <c r="A6465">
        <v>6459</v>
      </c>
      <c r="B6465">
        <v>0.2783361947257571</v>
      </c>
    </row>
    <row r="6466" spans="1:2" x14ac:dyDescent="0.2">
      <c r="A6466">
        <v>6460</v>
      </c>
      <c r="B6466">
        <v>9.4662088749624784E-2</v>
      </c>
    </row>
    <row r="6467" spans="1:2" x14ac:dyDescent="0.2">
      <c r="A6467">
        <v>6461</v>
      </c>
      <c r="B6467">
        <v>0.57995686392033874</v>
      </c>
    </row>
    <row r="6468" spans="1:2" x14ac:dyDescent="0.2">
      <c r="A6468">
        <v>6462</v>
      </c>
      <c r="B6468">
        <v>0.81634190272189133</v>
      </c>
    </row>
    <row r="6469" spans="1:2" x14ac:dyDescent="0.2">
      <c r="A6469">
        <v>6463</v>
      </c>
      <c r="B6469">
        <v>0.87649288167561568</v>
      </c>
    </row>
    <row r="6470" spans="1:2" x14ac:dyDescent="0.2">
      <c r="A6470">
        <v>6464</v>
      </c>
      <c r="B6470">
        <v>0.45166923094166544</v>
      </c>
    </row>
    <row r="6471" spans="1:2" x14ac:dyDescent="0.2">
      <c r="A6471">
        <v>6465</v>
      </c>
      <c r="B6471">
        <v>0.94251879743705513</v>
      </c>
    </row>
    <row r="6472" spans="1:2" x14ac:dyDescent="0.2">
      <c r="A6472">
        <v>6466</v>
      </c>
      <c r="B6472">
        <v>0.81397313736895949</v>
      </c>
    </row>
    <row r="6473" spans="1:2" x14ac:dyDescent="0.2">
      <c r="A6473">
        <v>6467</v>
      </c>
      <c r="B6473">
        <v>0.73565018057321174</v>
      </c>
    </row>
    <row r="6474" spans="1:2" x14ac:dyDescent="0.2">
      <c r="A6474">
        <v>6468</v>
      </c>
      <c r="B6474">
        <v>0.23068541055050118</v>
      </c>
    </row>
    <row r="6475" spans="1:2" x14ac:dyDescent="0.2">
      <c r="A6475">
        <v>6469</v>
      </c>
      <c r="B6475">
        <v>0.33705426142638839</v>
      </c>
    </row>
    <row r="6476" spans="1:2" x14ac:dyDescent="0.2">
      <c r="A6476">
        <v>6470</v>
      </c>
      <c r="B6476">
        <v>0.15183574586853676</v>
      </c>
    </row>
    <row r="6477" spans="1:2" x14ac:dyDescent="0.2">
      <c r="A6477">
        <v>6471</v>
      </c>
      <c r="B6477">
        <v>0.5588251204171929</v>
      </c>
    </row>
    <row r="6478" spans="1:2" x14ac:dyDescent="0.2">
      <c r="A6478">
        <v>6472</v>
      </c>
      <c r="B6478">
        <v>0.65659605218665551</v>
      </c>
    </row>
    <row r="6479" spans="1:2" x14ac:dyDescent="0.2">
      <c r="A6479">
        <v>6473</v>
      </c>
      <c r="B6479">
        <v>0.13187726442715308</v>
      </c>
    </row>
    <row r="6480" spans="1:2" x14ac:dyDescent="0.2">
      <c r="A6480">
        <v>6474</v>
      </c>
      <c r="B6480">
        <v>0.29095822271520666</v>
      </c>
    </row>
    <row r="6481" spans="1:2" x14ac:dyDescent="0.2">
      <c r="A6481">
        <v>6475</v>
      </c>
      <c r="B6481">
        <v>1.1654616939418494E-2</v>
      </c>
    </row>
    <row r="6482" spans="1:2" x14ac:dyDescent="0.2">
      <c r="A6482">
        <v>6476</v>
      </c>
      <c r="B6482">
        <v>0.25470069997749079</v>
      </c>
    </row>
    <row r="6483" spans="1:2" x14ac:dyDescent="0.2">
      <c r="A6483">
        <v>6477</v>
      </c>
      <c r="B6483">
        <v>0.31906926430464266</v>
      </c>
    </row>
    <row r="6484" spans="1:2" x14ac:dyDescent="0.2">
      <c r="A6484">
        <v>6478</v>
      </c>
      <c r="B6484">
        <v>0.98751112853787382</v>
      </c>
    </row>
    <row r="6485" spans="1:2" x14ac:dyDescent="0.2">
      <c r="A6485">
        <v>6479</v>
      </c>
      <c r="B6485">
        <v>0.84387887062760347</v>
      </c>
    </row>
    <row r="6486" spans="1:2" x14ac:dyDescent="0.2">
      <c r="A6486">
        <v>6480</v>
      </c>
      <c r="B6486">
        <v>0.11190262426295317</v>
      </c>
    </row>
    <row r="6487" spans="1:2" x14ac:dyDescent="0.2">
      <c r="A6487">
        <v>6481</v>
      </c>
      <c r="B6487">
        <v>0.81780296944626751</v>
      </c>
    </row>
    <row r="6488" spans="1:2" x14ac:dyDescent="0.2">
      <c r="A6488">
        <v>6482</v>
      </c>
      <c r="B6488">
        <v>8.9003536970733932E-2</v>
      </c>
    </row>
    <row r="6489" spans="1:2" x14ac:dyDescent="0.2">
      <c r="A6489">
        <v>6483</v>
      </c>
      <c r="B6489">
        <v>8.1202240560973915E-2</v>
      </c>
    </row>
    <row r="6490" spans="1:2" x14ac:dyDescent="0.2">
      <c r="A6490">
        <v>6484</v>
      </c>
      <c r="B6490">
        <v>0.35612140230020661</v>
      </c>
    </row>
    <row r="6491" spans="1:2" x14ac:dyDescent="0.2">
      <c r="A6491">
        <v>6485</v>
      </c>
      <c r="B6491">
        <v>0.74358509301823383</v>
      </c>
    </row>
    <row r="6492" spans="1:2" x14ac:dyDescent="0.2">
      <c r="A6492">
        <v>6486</v>
      </c>
      <c r="B6492">
        <v>0.12227090221957304</v>
      </c>
    </row>
    <row r="6493" spans="1:2" x14ac:dyDescent="0.2">
      <c r="A6493">
        <v>6487</v>
      </c>
      <c r="B6493">
        <v>0.47625157476480406</v>
      </c>
    </row>
    <row r="6494" spans="1:2" x14ac:dyDescent="0.2">
      <c r="A6494">
        <v>6488</v>
      </c>
      <c r="B6494">
        <v>0.83471955305256906</v>
      </c>
    </row>
    <row r="6495" spans="1:2" x14ac:dyDescent="0.2">
      <c r="A6495">
        <v>6489</v>
      </c>
      <c r="B6495">
        <v>0.69329461349192101</v>
      </c>
    </row>
    <row r="6496" spans="1:2" x14ac:dyDescent="0.2">
      <c r="A6496">
        <v>6490</v>
      </c>
      <c r="B6496">
        <v>0.97635778973936382</v>
      </c>
    </row>
    <row r="6497" spans="1:2" x14ac:dyDescent="0.2">
      <c r="A6497">
        <v>6491</v>
      </c>
      <c r="B6497">
        <v>0.58139790488557386</v>
      </c>
    </row>
    <row r="6498" spans="1:2" x14ac:dyDescent="0.2">
      <c r="A6498">
        <v>6492</v>
      </c>
      <c r="B6498">
        <v>2.5158781004385955E-2</v>
      </c>
    </row>
    <row r="6499" spans="1:2" x14ac:dyDescent="0.2">
      <c r="A6499">
        <v>6493</v>
      </c>
      <c r="B6499">
        <v>1.7007506179194554E-2</v>
      </c>
    </row>
    <row r="6500" spans="1:2" x14ac:dyDescent="0.2">
      <c r="A6500">
        <v>6494</v>
      </c>
      <c r="B6500">
        <v>5.5539573388376784E-3</v>
      </c>
    </row>
    <row r="6501" spans="1:2" x14ac:dyDescent="0.2">
      <c r="A6501">
        <v>6495</v>
      </c>
      <c r="B6501">
        <v>0.8357848112456866</v>
      </c>
    </row>
    <row r="6502" spans="1:2" x14ac:dyDescent="0.2">
      <c r="A6502">
        <v>6496</v>
      </c>
      <c r="B6502">
        <v>3.7959445960798144E-2</v>
      </c>
    </row>
    <row r="6503" spans="1:2" x14ac:dyDescent="0.2">
      <c r="A6503">
        <v>6497</v>
      </c>
      <c r="B6503">
        <v>0.19510053626208623</v>
      </c>
    </row>
    <row r="6504" spans="1:2" x14ac:dyDescent="0.2">
      <c r="A6504">
        <v>6498</v>
      </c>
      <c r="B6504">
        <v>0.93623886016188862</v>
      </c>
    </row>
    <row r="6505" spans="1:2" x14ac:dyDescent="0.2">
      <c r="A6505">
        <v>6499</v>
      </c>
      <c r="B6505">
        <v>0.84410806989105058</v>
      </c>
    </row>
    <row r="6506" spans="1:2" x14ac:dyDescent="0.2">
      <c r="A6506">
        <v>6500</v>
      </c>
      <c r="B6506">
        <v>5.0339937943069346E-2</v>
      </c>
    </row>
    <row r="6507" spans="1:2" x14ac:dyDescent="0.2">
      <c r="A6507">
        <v>6501</v>
      </c>
      <c r="B6507">
        <v>0.29396257836506179</v>
      </c>
    </row>
    <row r="6508" spans="1:2" x14ac:dyDescent="0.2">
      <c r="A6508">
        <v>6502</v>
      </c>
      <c r="B6508">
        <v>0.4427390567728926</v>
      </c>
    </row>
    <row r="6509" spans="1:2" x14ac:dyDescent="0.2">
      <c r="A6509">
        <v>6503</v>
      </c>
      <c r="B6509">
        <v>0.21287540370432945</v>
      </c>
    </row>
    <row r="6510" spans="1:2" x14ac:dyDescent="0.2">
      <c r="A6510">
        <v>6504</v>
      </c>
      <c r="B6510">
        <v>0.20890189684395266</v>
      </c>
    </row>
    <row r="6511" spans="1:2" x14ac:dyDescent="0.2">
      <c r="A6511">
        <v>6505</v>
      </c>
      <c r="B6511">
        <v>0.70042040285251328</v>
      </c>
    </row>
    <row r="6512" spans="1:2" x14ac:dyDescent="0.2">
      <c r="A6512">
        <v>6506</v>
      </c>
      <c r="B6512">
        <v>0.4894598890251578</v>
      </c>
    </row>
    <row r="6513" spans="1:2" x14ac:dyDescent="0.2">
      <c r="A6513">
        <v>6507</v>
      </c>
      <c r="B6513">
        <v>0.96341096928430781</v>
      </c>
    </row>
    <row r="6514" spans="1:2" x14ac:dyDescent="0.2">
      <c r="A6514">
        <v>6508</v>
      </c>
      <c r="B6514">
        <v>0.58635532599708606</v>
      </c>
    </row>
    <row r="6515" spans="1:2" x14ac:dyDescent="0.2">
      <c r="A6515">
        <v>6509</v>
      </c>
      <c r="B6515">
        <v>0.12263589632261118</v>
      </c>
    </row>
    <row r="6516" spans="1:2" x14ac:dyDescent="0.2">
      <c r="A6516">
        <v>6510</v>
      </c>
      <c r="B6516">
        <v>0.42551475752962975</v>
      </c>
    </row>
    <row r="6517" spans="1:2" x14ac:dyDescent="0.2">
      <c r="A6517">
        <v>6511</v>
      </c>
      <c r="B6517">
        <v>0.67873672430685361</v>
      </c>
    </row>
    <row r="6518" spans="1:2" x14ac:dyDescent="0.2">
      <c r="A6518">
        <v>6512</v>
      </c>
      <c r="B6518">
        <v>0.47389867207752057</v>
      </c>
    </row>
    <row r="6519" spans="1:2" x14ac:dyDescent="0.2">
      <c r="A6519">
        <v>6513</v>
      </c>
      <c r="B6519">
        <v>5.9333378010259619E-2</v>
      </c>
    </row>
    <row r="6520" spans="1:2" x14ac:dyDescent="0.2">
      <c r="A6520">
        <v>6514</v>
      </c>
      <c r="B6520">
        <v>0.31948854789291503</v>
      </c>
    </row>
    <row r="6521" spans="1:2" x14ac:dyDescent="0.2">
      <c r="A6521">
        <v>6515</v>
      </c>
      <c r="B6521">
        <v>0.72073526467452242</v>
      </c>
    </row>
    <row r="6522" spans="1:2" x14ac:dyDescent="0.2">
      <c r="A6522">
        <v>6516</v>
      </c>
      <c r="B6522">
        <v>0.14059601174803438</v>
      </c>
    </row>
    <row r="6523" spans="1:2" x14ac:dyDescent="0.2">
      <c r="A6523">
        <v>6517</v>
      </c>
      <c r="B6523">
        <v>0.69312450405772075</v>
      </c>
    </row>
    <row r="6524" spans="1:2" x14ac:dyDescent="0.2">
      <c r="A6524">
        <v>6518</v>
      </c>
      <c r="B6524">
        <v>0.43377406322215573</v>
      </c>
    </row>
    <row r="6525" spans="1:2" x14ac:dyDescent="0.2">
      <c r="A6525">
        <v>6519</v>
      </c>
      <c r="B6525">
        <v>0.6702861736625062</v>
      </c>
    </row>
    <row r="6526" spans="1:2" x14ac:dyDescent="0.2">
      <c r="A6526">
        <v>6520</v>
      </c>
      <c r="B6526">
        <v>0.78734896347257533</v>
      </c>
    </row>
    <row r="6527" spans="1:2" x14ac:dyDescent="0.2">
      <c r="A6527">
        <v>6521</v>
      </c>
      <c r="B6527">
        <v>0.23970269663532806</v>
      </c>
    </row>
    <row r="6528" spans="1:2" x14ac:dyDescent="0.2">
      <c r="A6528">
        <v>6522</v>
      </c>
      <c r="B6528">
        <v>0.93502217107351615</v>
      </c>
    </row>
    <row r="6529" spans="1:2" x14ac:dyDescent="0.2">
      <c r="A6529">
        <v>6523</v>
      </c>
      <c r="B6529">
        <v>0.32348800996985538</v>
      </c>
    </row>
    <row r="6530" spans="1:2" x14ac:dyDescent="0.2">
      <c r="A6530">
        <v>6524</v>
      </c>
      <c r="B6530">
        <v>0.60576322607696564</v>
      </c>
    </row>
    <row r="6531" spans="1:2" x14ac:dyDescent="0.2">
      <c r="A6531">
        <v>6525</v>
      </c>
      <c r="B6531">
        <v>0.12977016845044209</v>
      </c>
    </row>
    <row r="6532" spans="1:2" x14ac:dyDescent="0.2">
      <c r="A6532">
        <v>6526</v>
      </c>
      <c r="B6532">
        <v>0.38364425740445285</v>
      </c>
    </row>
    <row r="6533" spans="1:2" x14ac:dyDescent="0.2">
      <c r="A6533">
        <v>6527</v>
      </c>
      <c r="B6533">
        <v>3.6205239743237749E-3</v>
      </c>
    </row>
    <row r="6534" spans="1:2" x14ac:dyDescent="0.2">
      <c r="A6534">
        <v>6528</v>
      </c>
      <c r="B6534">
        <v>0.84798719837889647</v>
      </c>
    </row>
    <row r="6535" spans="1:2" x14ac:dyDescent="0.2">
      <c r="A6535">
        <v>6529</v>
      </c>
      <c r="B6535">
        <v>0.29555753678324437</v>
      </c>
    </row>
    <row r="6536" spans="1:2" x14ac:dyDescent="0.2">
      <c r="A6536">
        <v>6530</v>
      </c>
      <c r="B6536">
        <v>0.63584466000523399</v>
      </c>
    </row>
    <row r="6537" spans="1:2" x14ac:dyDescent="0.2">
      <c r="A6537">
        <v>6531</v>
      </c>
      <c r="B6537">
        <v>0.79671325114655178</v>
      </c>
    </row>
    <row r="6538" spans="1:2" x14ac:dyDescent="0.2">
      <c r="A6538">
        <v>6532</v>
      </c>
      <c r="B6538">
        <v>0.76066349617012097</v>
      </c>
    </row>
    <row r="6539" spans="1:2" x14ac:dyDescent="0.2">
      <c r="A6539">
        <v>6533</v>
      </c>
      <c r="B6539">
        <v>2.196702615380508E-2</v>
      </c>
    </row>
    <row r="6540" spans="1:2" x14ac:dyDescent="0.2">
      <c r="A6540">
        <v>6534</v>
      </c>
      <c r="B6540">
        <v>0.81184035191374659</v>
      </c>
    </row>
    <row r="6541" spans="1:2" x14ac:dyDescent="0.2">
      <c r="A6541">
        <v>6535</v>
      </c>
      <c r="B6541">
        <v>0.30292654068932356</v>
      </c>
    </row>
    <row r="6542" spans="1:2" x14ac:dyDescent="0.2">
      <c r="A6542">
        <v>6536</v>
      </c>
      <c r="B6542">
        <v>0.67878462367417125</v>
      </c>
    </row>
    <row r="6543" spans="1:2" x14ac:dyDescent="0.2">
      <c r="A6543">
        <v>6537</v>
      </c>
      <c r="B6543">
        <v>0.51822044513032228</v>
      </c>
    </row>
    <row r="6544" spans="1:2" x14ac:dyDescent="0.2">
      <c r="A6544">
        <v>6538</v>
      </c>
      <c r="B6544">
        <v>0.89230865937115111</v>
      </c>
    </row>
    <row r="6545" spans="1:2" x14ac:dyDescent="0.2">
      <c r="A6545">
        <v>6539</v>
      </c>
      <c r="B6545">
        <v>0.29858196963637351</v>
      </c>
    </row>
    <row r="6546" spans="1:2" x14ac:dyDescent="0.2">
      <c r="A6546">
        <v>6540</v>
      </c>
      <c r="B6546">
        <v>0.87317348913414861</v>
      </c>
    </row>
    <row r="6547" spans="1:2" x14ac:dyDescent="0.2">
      <c r="A6547">
        <v>6541</v>
      </c>
      <c r="B6547">
        <v>0.90401329971192912</v>
      </c>
    </row>
    <row r="6548" spans="1:2" x14ac:dyDescent="0.2">
      <c r="A6548">
        <v>6542</v>
      </c>
      <c r="B6548">
        <v>9.7803944303283319E-2</v>
      </c>
    </row>
    <row r="6549" spans="1:2" x14ac:dyDescent="0.2">
      <c r="A6549">
        <v>6543</v>
      </c>
      <c r="B6549">
        <v>1.8336505837335038E-2</v>
      </c>
    </row>
    <row r="6550" spans="1:2" x14ac:dyDescent="0.2">
      <c r="A6550">
        <v>6544</v>
      </c>
      <c r="B6550">
        <v>0.47855425128669826</v>
      </c>
    </row>
    <row r="6551" spans="1:2" x14ac:dyDescent="0.2">
      <c r="A6551">
        <v>6545</v>
      </c>
      <c r="B6551">
        <v>0.84539601266376418</v>
      </c>
    </row>
    <row r="6552" spans="1:2" x14ac:dyDescent="0.2">
      <c r="A6552">
        <v>6546</v>
      </c>
      <c r="B6552">
        <v>0.57681393626873911</v>
      </c>
    </row>
    <row r="6553" spans="1:2" x14ac:dyDescent="0.2">
      <c r="A6553">
        <v>6547</v>
      </c>
      <c r="B6553">
        <v>0.3295643373614584</v>
      </c>
    </row>
    <row r="6554" spans="1:2" x14ac:dyDescent="0.2">
      <c r="A6554">
        <v>6548</v>
      </c>
      <c r="B6554">
        <v>0.83707311181002575</v>
      </c>
    </row>
    <row r="6555" spans="1:2" x14ac:dyDescent="0.2">
      <c r="A6555">
        <v>6549</v>
      </c>
      <c r="B6555">
        <v>8.1973930006753126E-2</v>
      </c>
    </row>
    <row r="6556" spans="1:2" x14ac:dyDescent="0.2">
      <c r="A6556">
        <v>6550</v>
      </c>
      <c r="B6556">
        <v>2.6079680797303495E-2</v>
      </c>
    </row>
    <row r="6557" spans="1:2" x14ac:dyDescent="0.2">
      <c r="A6557">
        <v>6551</v>
      </c>
      <c r="B6557">
        <v>0.63188467524512171</v>
      </c>
    </row>
    <row r="6558" spans="1:2" x14ac:dyDescent="0.2">
      <c r="A6558">
        <v>6552</v>
      </c>
      <c r="B6558">
        <v>0.79360494476189114</v>
      </c>
    </row>
    <row r="6559" spans="1:2" x14ac:dyDescent="0.2">
      <c r="A6559">
        <v>6553</v>
      </c>
      <c r="B6559">
        <v>0.17450175234568832</v>
      </c>
    </row>
    <row r="6560" spans="1:2" x14ac:dyDescent="0.2">
      <c r="A6560">
        <v>6554</v>
      </c>
      <c r="B6560">
        <v>0.61946176006624931</v>
      </c>
    </row>
    <row r="6561" spans="1:2" x14ac:dyDescent="0.2">
      <c r="A6561">
        <v>6555</v>
      </c>
      <c r="B6561">
        <v>0.81277067290815863</v>
      </c>
    </row>
    <row r="6562" spans="1:2" x14ac:dyDescent="0.2">
      <c r="A6562">
        <v>6556</v>
      </c>
      <c r="B6562">
        <v>0.40805620098821804</v>
      </c>
    </row>
    <row r="6563" spans="1:2" x14ac:dyDescent="0.2">
      <c r="A6563">
        <v>6557</v>
      </c>
      <c r="B6563">
        <v>0.91932852482641991</v>
      </c>
    </row>
    <row r="6564" spans="1:2" x14ac:dyDescent="0.2">
      <c r="A6564">
        <v>6558</v>
      </c>
      <c r="B6564">
        <v>0.17245244539881144</v>
      </c>
    </row>
    <row r="6565" spans="1:2" x14ac:dyDescent="0.2">
      <c r="A6565">
        <v>6559</v>
      </c>
      <c r="B6565">
        <v>0.94902424445485389</v>
      </c>
    </row>
    <row r="6566" spans="1:2" x14ac:dyDescent="0.2">
      <c r="A6566">
        <v>6560</v>
      </c>
      <c r="B6566">
        <v>0.10781892227818146</v>
      </c>
    </row>
    <row r="6567" spans="1:2" x14ac:dyDescent="0.2">
      <c r="A6567">
        <v>6561</v>
      </c>
      <c r="B6567">
        <v>0.86114795022658963</v>
      </c>
    </row>
    <row r="6568" spans="1:2" x14ac:dyDescent="0.2">
      <c r="A6568">
        <v>6562</v>
      </c>
      <c r="B6568">
        <v>0.86393448094689829</v>
      </c>
    </row>
    <row r="6569" spans="1:2" x14ac:dyDescent="0.2">
      <c r="A6569">
        <v>6563</v>
      </c>
      <c r="B6569">
        <v>0.16776764701362235</v>
      </c>
    </row>
    <row r="6570" spans="1:2" x14ac:dyDescent="0.2">
      <c r="A6570">
        <v>6564</v>
      </c>
      <c r="B6570">
        <v>0.60861422602269388</v>
      </c>
    </row>
    <row r="6571" spans="1:2" x14ac:dyDescent="0.2">
      <c r="A6571">
        <v>6565</v>
      </c>
      <c r="B6571">
        <v>0.90077063050193507</v>
      </c>
    </row>
    <row r="6572" spans="1:2" x14ac:dyDescent="0.2">
      <c r="A6572">
        <v>6566</v>
      </c>
      <c r="B6572">
        <v>0.81358734520679199</v>
      </c>
    </row>
    <row r="6573" spans="1:2" x14ac:dyDescent="0.2">
      <c r="A6573">
        <v>6567</v>
      </c>
      <c r="B6573">
        <v>0.77934878106614092</v>
      </c>
    </row>
    <row r="6574" spans="1:2" x14ac:dyDescent="0.2">
      <c r="A6574">
        <v>6568</v>
      </c>
      <c r="B6574">
        <v>0.14658496395706599</v>
      </c>
    </row>
    <row r="6575" spans="1:2" x14ac:dyDescent="0.2">
      <c r="A6575">
        <v>6569</v>
      </c>
      <c r="B6575">
        <v>0.83298210022017138</v>
      </c>
    </row>
    <row r="6576" spans="1:2" x14ac:dyDescent="0.2">
      <c r="A6576">
        <v>6570</v>
      </c>
      <c r="B6576">
        <v>0.27688005002973315</v>
      </c>
    </row>
    <row r="6577" spans="1:2" x14ac:dyDescent="0.2">
      <c r="A6577">
        <v>6571</v>
      </c>
      <c r="B6577">
        <v>0.31198898380816831</v>
      </c>
    </row>
    <row r="6578" spans="1:2" x14ac:dyDescent="0.2">
      <c r="A6578">
        <v>6572</v>
      </c>
      <c r="B6578">
        <v>0.48108940181162196</v>
      </c>
    </row>
    <row r="6579" spans="1:2" x14ac:dyDescent="0.2">
      <c r="A6579">
        <v>6573</v>
      </c>
      <c r="B6579">
        <v>0.5002388774874873</v>
      </c>
    </row>
    <row r="6580" spans="1:2" x14ac:dyDescent="0.2">
      <c r="A6580">
        <v>6574</v>
      </c>
      <c r="B6580">
        <v>0.91022918112145401</v>
      </c>
    </row>
    <row r="6581" spans="1:2" x14ac:dyDescent="0.2">
      <c r="A6581">
        <v>6575</v>
      </c>
      <c r="B6581">
        <v>1.0825409678170805E-2</v>
      </c>
    </row>
    <row r="6582" spans="1:2" x14ac:dyDescent="0.2">
      <c r="A6582">
        <v>6576</v>
      </c>
      <c r="B6582">
        <v>5.0057616227252466E-2</v>
      </c>
    </row>
    <row r="6583" spans="1:2" x14ac:dyDescent="0.2">
      <c r="A6583">
        <v>6577</v>
      </c>
      <c r="B6583">
        <v>0.55192994519583738</v>
      </c>
    </row>
    <row r="6584" spans="1:2" x14ac:dyDescent="0.2">
      <c r="A6584">
        <v>6578</v>
      </c>
      <c r="B6584">
        <v>0.46833655838657651</v>
      </c>
    </row>
    <row r="6585" spans="1:2" x14ac:dyDescent="0.2">
      <c r="A6585">
        <v>6579</v>
      </c>
      <c r="B6585">
        <v>0.33722770062081431</v>
      </c>
    </row>
    <row r="6586" spans="1:2" x14ac:dyDescent="0.2">
      <c r="A6586">
        <v>6580</v>
      </c>
      <c r="B6586">
        <v>0.60997379886090464</v>
      </c>
    </row>
    <row r="6587" spans="1:2" x14ac:dyDescent="0.2">
      <c r="A6587">
        <v>6581</v>
      </c>
      <c r="B6587">
        <v>0.3618716187211124</v>
      </c>
    </row>
    <row r="6588" spans="1:2" x14ac:dyDescent="0.2">
      <c r="A6588">
        <v>6582</v>
      </c>
      <c r="B6588">
        <v>0.78982726362947531</v>
      </c>
    </row>
    <row r="6589" spans="1:2" x14ac:dyDescent="0.2">
      <c r="A6589">
        <v>6583</v>
      </c>
      <c r="B6589">
        <v>6.5531583567185359E-2</v>
      </c>
    </row>
    <row r="6590" spans="1:2" x14ac:dyDescent="0.2">
      <c r="A6590">
        <v>6584</v>
      </c>
      <c r="B6590">
        <v>0.88943305016944985</v>
      </c>
    </row>
    <row r="6591" spans="1:2" x14ac:dyDescent="0.2">
      <c r="A6591">
        <v>6585</v>
      </c>
      <c r="B6591">
        <v>0.64352049910676046</v>
      </c>
    </row>
    <row r="6592" spans="1:2" x14ac:dyDescent="0.2">
      <c r="A6592">
        <v>6586</v>
      </c>
      <c r="B6592">
        <v>0.68457448329050652</v>
      </c>
    </row>
    <row r="6593" spans="1:2" x14ac:dyDescent="0.2">
      <c r="A6593">
        <v>6587</v>
      </c>
      <c r="B6593">
        <v>0.56740162670837357</v>
      </c>
    </row>
    <row r="6594" spans="1:2" x14ac:dyDescent="0.2">
      <c r="A6594">
        <v>6588</v>
      </c>
      <c r="B6594">
        <v>5.8959860932405239E-2</v>
      </c>
    </row>
    <row r="6595" spans="1:2" x14ac:dyDescent="0.2">
      <c r="A6595">
        <v>6589</v>
      </c>
      <c r="B6595">
        <v>6.7163728189198357E-2</v>
      </c>
    </row>
    <row r="6596" spans="1:2" x14ac:dyDescent="0.2">
      <c r="A6596">
        <v>6590</v>
      </c>
      <c r="B6596">
        <v>0.76576221975451519</v>
      </c>
    </row>
    <row r="6597" spans="1:2" x14ac:dyDescent="0.2">
      <c r="A6597">
        <v>6591</v>
      </c>
      <c r="B6597">
        <v>0.86907835057856564</v>
      </c>
    </row>
    <row r="6598" spans="1:2" x14ac:dyDescent="0.2">
      <c r="A6598">
        <v>6592</v>
      </c>
      <c r="B6598">
        <v>0.18539075123935034</v>
      </c>
    </row>
    <row r="6599" spans="1:2" x14ac:dyDescent="0.2">
      <c r="A6599">
        <v>6593</v>
      </c>
      <c r="B6599">
        <v>0.77045063591758978</v>
      </c>
    </row>
    <row r="6600" spans="1:2" x14ac:dyDescent="0.2">
      <c r="A6600">
        <v>6594</v>
      </c>
      <c r="B6600">
        <v>0.21300311658219895</v>
      </c>
    </row>
    <row r="6601" spans="1:2" x14ac:dyDescent="0.2">
      <c r="A6601">
        <v>6595</v>
      </c>
      <c r="B6601">
        <v>0.24409771740694242</v>
      </c>
    </row>
    <row r="6602" spans="1:2" x14ac:dyDescent="0.2">
      <c r="A6602">
        <v>6596</v>
      </c>
      <c r="B6602">
        <v>0.25906490301623164</v>
      </c>
    </row>
    <row r="6603" spans="1:2" x14ac:dyDescent="0.2">
      <c r="A6603">
        <v>6597</v>
      </c>
      <c r="B6603">
        <v>0.52665408512580925</v>
      </c>
    </row>
    <row r="6604" spans="1:2" x14ac:dyDescent="0.2">
      <c r="A6604">
        <v>6598</v>
      </c>
      <c r="B6604">
        <v>0.25100782803048205</v>
      </c>
    </row>
    <row r="6605" spans="1:2" x14ac:dyDescent="0.2">
      <c r="A6605">
        <v>6599</v>
      </c>
      <c r="B6605">
        <v>0.93306625566559054</v>
      </c>
    </row>
    <row r="6606" spans="1:2" x14ac:dyDescent="0.2">
      <c r="A6606">
        <v>6600</v>
      </c>
      <c r="B6606">
        <v>0.20852460188573574</v>
      </c>
    </row>
    <row r="6607" spans="1:2" x14ac:dyDescent="0.2">
      <c r="A6607">
        <v>6601</v>
      </c>
      <c r="B6607">
        <v>0.94995181211415036</v>
      </c>
    </row>
    <row r="6608" spans="1:2" x14ac:dyDescent="0.2">
      <c r="A6608">
        <v>6602</v>
      </c>
      <c r="B6608">
        <v>0.28016249944384086</v>
      </c>
    </row>
    <row r="6609" spans="1:2" x14ac:dyDescent="0.2">
      <c r="A6609">
        <v>6603</v>
      </c>
      <c r="B6609">
        <v>0.63838116573084192</v>
      </c>
    </row>
    <row r="6610" spans="1:2" x14ac:dyDescent="0.2">
      <c r="A6610">
        <v>6604</v>
      </c>
      <c r="B6610">
        <v>0.98486236704859442</v>
      </c>
    </row>
    <row r="6611" spans="1:2" x14ac:dyDescent="0.2">
      <c r="A6611">
        <v>6605</v>
      </c>
      <c r="B6611">
        <v>0.52438098652147214</v>
      </c>
    </row>
    <row r="6612" spans="1:2" x14ac:dyDescent="0.2">
      <c r="A6612">
        <v>6606</v>
      </c>
      <c r="B6612">
        <v>0.84585621460698102</v>
      </c>
    </row>
    <row r="6613" spans="1:2" x14ac:dyDescent="0.2">
      <c r="A6613">
        <v>6607</v>
      </c>
      <c r="B6613">
        <v>0.39515643468420014</v>
      </c>
    </row>
    <row r="6614" spans="1:2" x14ac:dyDescent="0.2">
      <c r="A6614">
        <v>6608</v>
      </c>
      <c r="B6614">
        <v>0.30455063469675669</v>
      </c>
    </row>
    <row r="6615" spans="1:2" x14ac:dyDescent="0.2">
      <c r="A6615">
        <v>6609</v>
      </c>
      <c r="B6615">
        <v>0.65273952867749185</v>
      </c>
    </row>
    <row r="6616" spans="1:2" x14ac:dyDescent="0.2">
      <c r="A6616">
        <v>6610</v>
      </c>
      <c r="B6616">
        <v>0.36923915725457557</v>
      </c>
    </row>
    <row r="6617" spans="1:2" x14ac:dyDescent="0.2">
      <c r="A6617">
        <v>6611</v>
      </c>
      <c r="B6617">
        <v>6.4879186142827616E-2</v>
      </c>
    </row>
    <row r="6618" spans="1:2" x14ac:dyDescent="0.2">
      <c r="A6618">
        <v>6612</v>
      </c>
      <c r="B6618">
        <v>0.51807930856104922</v>
      </c>
    </row>
    <row r="6619" spans="1:2" x14ac:dyDescent="0.2">
      <c r="A6619">
        <v>6613</v>
      </c>
      <c r="B6619">
        <v>0.72161721484743269</v>
      </c>
    </row>
    <row r="6620" spans="1:2" x14ac:dyDescent="0.2">
      <c r="A6620">
        <v>6614</v>
      </c>
      <c r="B6620">
        <v>0.19205055129753335</v>
      </c>
    </row>
    <row r="6621" spans="1:2" x14ac:dyDescent="0.2">
      <c r="A6621">
        <v>6615</v>
      </c>
      <c r="B6621">
        <v>7.6975723899788018E-2</v>
      </c>
    </row>
    <row r="6622" spans="1:2" x14ac:dyDescent="0.2">
      <c r="A6622">
        <v>6616</v>
      </c>
      <c r="B6622">
        <v>0.18489671015193299</v>
      </c>
    </row>
    <row r="6623" spans="1:2" x14ac:dyDescent="0.2">
      <c r="A6623">
        <v>6617</v>
      </c>
      <c r="B6623">
        <v>0.12671578382208792</v>
      </c>
    </row>
    <row r="6624" spans="1:2" x14ac:dyDescent="0.2">
      <c r="A6624">
        <v>6618</v>
      </c>
      <c r="B6624">
        <v>0.75930542725243477</v>
      </c>
    </row>
    <row r="6625" spans="1:2" x14ac:dyDescent="0.2">
      <c r="A6625">
        <v>6619</v>
      </c>
      <c r="B6625">
        <v>0.69203344259889932</v>
      </c>
    </row>
    <row r="6626" spans="1:2" x14ac:dyDescent="0.2">
      <c r="A6626">
        <v>6620</v>
      </c>
      <c r="B6626">
        <v>0.6928399971533451</v>
      </c>
    </row>
    <row r="6627" spans="1:2" x14ac:dyDescent="0.2">
      <c r="A6627">
        <v>6621</v>
      </c>
      <c r="B6627">
        <v>0.56330048597493887</v>
      </c>
    </row>
    <row r="6628" spans="1:2" x14ac:dyDescent="0.2">
      <c r="A6628">
        <v>6622</v>
      </c>
      <c r="B6628">
        <v>5.5022299209771974E-2</v>
      </c>
    </row>
    <row r="6629" spans="1:2" x14ac:dyDescent="0.2">
      <c r="A6629">
        <v>6623</v>
      </c>
      <c r="B6629">
        <v>0.46314770420822271</v>
      </c>
    </row>
    <row r="6630" spans="1:2" x14ac:dyDescent="0.2">
      <c r="A6630">
        <v>6624</v>
      </c>
      <c r="B6630">
        <v>0.95759328686504774</v>
      </c>
    </row>
    <row r="6631" spans="1:2" x14ac:dyDescent="0.2">
      <c r="A6631">
        <v>6625</v>
      </c>
      <c r="B6631">
        <v>0.97197513025292004</v>
      </c>
    </row>
    <row r="6632" spans="1:2" x14ac:dyDescent="0.2">
      <c r="A6632">
        <v>6626</v>
      </c>
      <c r="B6632">
        <v>0.21442322781654666</v>
      </c>
    </row>
    <row r="6633" spans="1:2" x14ac:dyDescent="0.2">
      <c r="A6633">
        <v>6627</v>
      </c>
      <c r="B6633">
        <v>0.10956602962048412</v>
      </c>
    </row>
    <row r="6634" spans="1:2" x14ac:dyDescent="0.2">
      <c r="A6634">
        <v>6628</v>
      </c>
      <c r="B6634">
        <v>1.512247671611755E-2</v>
      </c>
    </row>
    <row r="6635" spans="1:2" x14ac:dyDescent="0.2">
      <c r="A6635">
        <v>6629</v>
      </c>
      <c r="B6635">
        <v>0.73345319513888396</v>
      </c>
    </row>
    <row r="6636" spans="1:2" x14ac:dyDescent="0.2">
      <c r="A6636">
        <v>6630</v>
      </c>
      <c r="B6636">
        <v>0.15729107905002326</v>
      </c>
    </row>
    <row r="6637" spans="1:2" x14ac:dyDescent="0.2">
      <c r="A6637">
        <v>6631</v>
      </c>
      <c r="B6637">
        <v>0.52808425898590483</v>
      </c>
    </row>
    <row r="6638" spans="1:2" x14ac:dyDescent="0.2">
      <c r="A6638">
        <v>6632</v>
      </c>
      <c r="B6638">
        <v>0.30203425204749945</v>
      </c>
    </row>
    <row r="6639" spans="1:2" x14ac:dyDescent="0.2">
      <c r="A6639">
        <v>6633</v>
      </c>
      <c r="B6639">
        <v>0.93635161117370103</v>
      </c>
    </row>
    <row r="6640" spans="1:2" x14ac:dyDescent="0.2">
      <c r="A6640">
        <v>6634</v>
      </c>
      <c r="B6640">
        <v>0.49708230940083553</v>
      </c>
    </row>
    <row r="6641" spans="1:2" x14ac:dyDescent="0.2">
      <c r="A6641">
        <v>6635</v>
      </c>
      <c r="B6641">
        <v>0.23742081232747259</v>
      </c>
    </row>
    <row r="6642" spans="1:2" x14ac:dyDescent="0.2">
      <c r="A6642">
        <v>6636</v>
      </c>
      <c r="B6642">
        <v>0.9579140463542769</v>
      </c>
    </row>
    <row r="6643" spans="1:2" x14ac:dyDescent="0.2">
      <c r="A6643">
        <v>6637</v>
      </c>
      <c r="B6643">
        <v>0.37034879001681209</v>
      </c>
    </row>
    <row r="6644" spans="1:2" x14ac:dyDescent="0.2">
      <c r="A6644">
        <v>6638</v>
      </c>
      <c r="B6644">
        <v>0.60621934536762889</v>
      </c>
    </row>
    <row r="6645" spans="1:2" x14ac:dyDescent="0.2">
      <c r="A6645">
        <v>6639</v>
      </c>
      <c r="B6645">
        <v>0.6065242944754885</v>
      </c>
    </row>
    <row r="6646" spans="1:2" x14ac:dyDescent="0.2">
      <c r="A6646">
        <v>6640</v>
      </c>
      <c r="B6646">
        <v>0.66958011622060909</v>
      </c>
    </row>
    <row r="6647" spans="1:2" x14ac:dyDescent="0.2">
      <c r="A6647">
        <v>6641</v>
      </c>
      <c r="B6647">
        <v>0.90893113562232553</v>
      </c>
    </row>
    <row r="6648" spans="1:2" x14ac:dyDescent="0.2">
      <c r="A6648">
        <v>6642</v>
      </c>
      <c r="B6648">
        <v>0.39337126598262795</v>
      </c>
    </row>
    <row r="6649" spans="1:2" x14ac:dyDescent="0.2">
      <c r="A6649">
        <v>6643</v>
      </c>
      <c r="B6649">
        <v>0.44028710339270638</v>
      </c>
    </row>
    <row r="6650" spans="1:2" x14ac:dyDescent="0.2">
      <c r="A6650">
        <v>6644</v>
      </c>
      <c r="B6650">
        <v>0.53491635942744231</v>
      </c>
    </row>
    <row r="6651" spans="1:2" x14ac:dyDescent="0.2">
      <c r="A6651">
        <v>6645</v>
      </c>
      <c r="B6651">
        <v>0.67438776559371971</v>
      </c>
    </row>
    <row r="6652" spans="1:2" x14ac:dyDescent="0.2">
      <c r="A6652">
        <v>6646</v>
      </c>
      <c r="B6652">
        <v>0.56548987886478841</v>
      </c>
    </row>
    <row r="6653" spans="1:2" x14ac:dyDescent="0.2">
      <c r="A6653">
        <v>6647</v>
      </c>
      <c r="B6653">
        <v>0.57185218690388495</v>
      </c>
    </row>
    <row r="6654" spans="1:2" x14ac:dyDescent="0.2">
      <c r="A6654">
        <v>6648</v>
      </c>
      <c r="B6654">
        <v>0.80673798256542761</v>
      </c>
    </row>
    <row r="6655" spans="1:2" x14ac:dyDescent="0.2">
      <c r="A6655">
        <v>6649</v>
      </c>
      <c r="B6655">
        <v>3.2741197590193671E-2</v>
      </c>
    </row>
    <row r="6656" spans="1:2" x14ac:dyDescent="0.2">
      <c r="A6656">
        <v>6650</v>
      </c>
      <c r="B6656">
        <v>0.52690561172018591</v>
      </c>
    </row>
    <row r="6657" spans="1:2" x14ac:dyDescent="0.2">
      <c r="A6657">
        <v>6651</v>
      </c>
      <c r="B6657">
        <v>0.5365087400848374</v>
      </c>
    </row>
    <row r="6658" spans="1:2" x14ac:dyDescent="0.2">
      <c r="A6658">
        <v>6652</v>
      </c>
      <c r="B6658">
        <v>0.95806070379574615</v>
      </c>
    </row>
    <row r="6659" spans="1:2" x14ac:dyDescent="0.2">
      <c r="A6659">
        <v>6653</v>
      </c>
      <c r="B6659">
        <v>0.85744398605441585</v>
      </c>
    </row>
    <row r="6660" spans="1:2" x14ac:dyDescent="0.2">
      <c r="A6660">
        <v>6654</v>
      </c>
      <c r="B6660">
        <v>0.83368904298739221</v>
      </c>
    </row>
    <row r="6661" spans="1:2" x14ac:dyDescent="0.2">
      <c r="A6661">
        <v>6655</v>
      </c>
      <c r="B6661">
        <v>0.40019268252766693</v>
      </c>
    </row>
    <row r="6662" spans="1:2" x14ac:dyDescent="0.2">
      <c r="A6662">
        <v>6656</v>
      </c>
      <c r="B6662">
        <v>0.24618451142775633</v>
      </c>
    </row>
    <row r="6663" spans="1:2" x14ac:dyDescent="0.2">
      <c r="A6663">
        <v>6657</v>
      </c>
      <c r="B6663">
        <v>0.59544518055509976</v>
      </c>
    </row>
    <row r="6664" spans="1:2" x14ac:dyDescent="0.2">
      <c r="A6664">
        <v>6658</v>
      </c>
      <c r="B6664">
        <v>0.15008857841986489</v>
      </c>
    </row>
    <row r="6665" spans="1:2" x14ac:dyDescent="0.2">
      <c r="A6665">
        <v>6659</v>
      </c>
      <c r="B6665">
        <v>0.70362414503026105</v>
      </c>
    </row>
    <row r="6666" spans="1:2" x14ac:dyDescent="0.2">
      <c r="A6666">
        <v>6660</v>
      </c>
      <c r="B6666">
        <v>0.66005771583483286</v>
      </c>
    </row>
    <row r="6667" spans="1:2" x14ac:dyDescent="0.2">
      <c r="A6667">
        <v>6661</v>
      </c>
      <c r="B6667">
        <v>0.54449196631611929</v>
      </c>
    </row>
    <row r="6668" spans="1:2" x14ac:dyDescent="0.2">
      <c r="A6668">
        <v>6662</v>
      </c>
      <c r="B6668">
        <v>0.5625341066519286</v>
      </c>
    </row>
    <row r="6669" spans="1:2" x14ac:dyDescent="0.2">
      <c r="A6669">
        <v>6663</v>
      </c>
      <c r="B6669">
        <v>6.5576370096862346E-2</v>
      </c>
    </row>
    <row r="6670" spans="1:2" x14ac:dyDescent="0.2">
      <c r="A6670">
        <v>6664</v>
      </c>
      <c r="B6670">
        <v>0.34889367055057963</v>
      </c>
    </row>
    <row r="6671" spans="1:2" x14ac:dyDescent="0.2">
      <c r="A6671">
        <v>6665</v>
      </c>
      <c r="B6671">
        <v>0.32145764510919606</v>
      </c>
    </row>
    <row r="6672" spans="1:2" x14ac:dyDescent="0.2">
      <c r="A6672">
        <v>6666</v>
      </c>
      <c r="B6672">
        <v>0.64331633006816502</v>
      </c>
    </row>
    <row r="6673" spans="1:2" x14ac:dyDescent="0.2">
      <c r="A6673">
        <v>6667</v>
      </c>
      <c r="B6673">
        <v>2.6285341565486564E-2</v>
      </c>
    </row>
    <row r="6674" spans="1:2" x14ac:dyDescent="0.2">
      <c r="A6674">
        <v>6668</v>
      </c>
      <c r="B6674">
        <v>0.41868759174812109</v>
      </c>
    </row>
    <row r="6675" spans="1:2" x14ac:dyDescent="0.2">
      <c r="A6675">
        <v>6669</v>
      </c>
      <c r="B6675">
        <v>0.30016694033594638</v>
      </c>
    </row>
    <row r="6676" spans="1:2" x14ac:dyDescent="0.2">
      <c r="A6676">
        <v>6670</v>
      </c>
      <c r="B6676">
        <v>0.2751821523760215</v>
      </c>
    </row>
    <row r="6677" spans="1:2" x14ac:dyDescent="0.2">
      <c r="A6677">
        <v>6671</v>
      </c>
      <c r="B6677">
        <v>0.712073526669046</v>
      </c>
    </row>
    <row r="6678" spans="1:2" x14ac:dyDescent="0.2">
      <c r="A6678">
        <v>6672</v>
      </c>
      <c r="B6678">
        <v>0.85265987138366606</v>
      </c>
    </row>
    <row r="6679" spans="1:2" x14ac:dyDescent="0.2">
      <c r="A6679">
        <v>6673</v>
      </c>
      <c r="B6679">
        <v>0.89387272612221302</v>
      </c>
    </row>
    <row r="6680" spans="1:2" x14ac:dyDescent="0.2">
      <c r="A6680">
        <v>6674</v>
      </c>
      <c r="B6680">
        <v>0.98056983912883233</v>
      </c>
    </row>
    <row r="6681" spans="1:2" x14ac:dyDescent="0.2">
      <c r="A6681">
        <v>6675</v>
      </c>
      <c r="B6681">
        <v>0.14772165834215878</v>
      </c>
    </row>
    <row r="6682" spans="1:2" x14ac:dyDescent="0.2">
      <c r="A6682">
        <v>6676</v>
      </c>
      <c r="B6682">
        <v>0.10846609845202704</v>
      </c>
    </row>
    <row r="6683" spans="1:2" x14ac:dyDescent="0.2">
      <c r="A6683">
        <v>6677</v>
      </c>
      <c r="B6683">
        <v>0.56621920262173464</v>
      </c>
    </row>
    <row r="6684" spans="1:2" x14ac:dyDescent="0.2">
      <c r="A6684">
        <v>6678</v>
      </c>
      <c r="B6684">
        <v>6.6068215433507937E-3</v>
      </c>
    </row>
    <row r="6685" spans="1:2" x14ac:dyDescent="0.2">
      <c r="A6685">
        <v>6679</v>
      </c>
      <c r="B6685">
        <v>0.4584368481410902</v>
      </c>
    </row>
    <row r="6686" spans="1:2" x14ac:dyDescent="0.2">
      <c r="A6686">
        <v>6680</v>
      </c>
      <c r="B6686">
        <v>0.41824255615887529</v>
      </c>
    </row>
    <row r="6687" spans="1:2" x14ac:dyDescent="0.2">
      <c r="A6687">
        <v>6681</v>
      </c>
      <c r="B6687">
        <v>0.95275920163386163</v>
      </c>
    </row>
    <row r="6688" spans="1:2" x14ac:dyDescent="0.2">
      <c r="A6688">
        <v>6682</v>
      </c>
      <c r="B6688">
        <v>0.43532377311451287</v>
      </c>
    </row>
    <row r="6689" spans="1:2" x14ac:dyDescent="0.2">
      <c r="A6689">
        <v>6683</v>
      </c>
      <c r="B6689">
        <v>0.45553209214638546</v>
      </c>
    </row>
    <row r="6690" spans="1:2" x14ac:dyDescent="0.2">
      <c r="A6690">
        <v>6684</v>
      </c>
      <c r="B6690">
        <v>0.45079203589775219</v>
      </c>
    </row>
    <row r="6691" spans="1:2" x14ac:dyDescent="0.2">
      <c r="A6691">
        <v>6685</v>
      </c>
      <c r="B6691">
        <v>4.1211715281114225E-2</v>
      </c>
    </row>
    <row r="6692" spans="1:2" x14ac:dyDescent="0.2">
      <c r="A6692">
        <v>6686</v>
      </c>
      <c r="B6692">
        <v>0.98571767554703194</v>
      </c>
    </row>
    <row r="6693" spans="1:2" x14ac:dyDescent="0.2">
      <c r="A6693">
        <v>6687</v>
      </c>
      <c r="B6693">
        <v>0.29653564125696852</v>
      </c>
    </row>
    <row r="6694" spans="1:2" x14ac:dyDescent="0.2">
      <c r="A6694">
        <v>6688</v>
      </c>
      <c r="B6694">
        <v>0.22573971528132553</v>
      </c>
    </row>
    <row r="6695" spans="1:2" x14ac:dyDescent="0.2">
      <c r="A6695">
        <v>6689</v>
      </c>
      <c r="B6695">
        <v>0.99899424528353942</v>
      </c>
    </row>
    <row r="6696" spans="1:2" x14ac:dyDescent="0.2">
      <c r="A6696">
        <v>6690</v>
      </c>
      <c r="B6696">
        <v>0.13044061158477593</v>
      </c>
    </row>
    <row r="6697" spans="1:2" x14ac:dyDescent="0.2">
      <c r="A6697">
        <v>6691</v>
      </c>
      <c r="B6697">
        <v>0.65089763902374254</v>
      </c>
    </row>
    <row r="6698" spans="1:2" x14ac:dyDescent="0.2">
      <c r="A6698">
        <v>6692</v>
      </c>
      <c r="B6698">
        <v>0.13939300670539456</v>
      </c>
    </row>
    <row r="6699" spans="1:2" x14ac:dyDescent="0.2">
      <c r="A6699">
        <v>6693</v>
      </c>
      <c r="B6699">
        <v>0.24272638010115921</v>
      </c>
    </row>
    <row r="6700" spans="1:2" x14ac:dyDescent="0.2">
      <c r="A6700">
        <v>6694</v>
      </c>
      <c r="B6700">
        <v>0.28666607574501213</v>
      </c>
    </row>
    <row r="6701" spans="1:2" x14ac:dyDescent="0.2">
      <c r="A6701">
        <v>6695</v>
      </c>
      <c r="B6701">
        <v>0.24091799559861615</v>
      </c>
    </row>
    <row r="6702" spans="1:2" x14ac:dyDescent="0.2">
      <c r="A6702">
        <v>6696</v>
      </c>
      <c r="B6702">
        <v>0.64804970259415218</v>
      </c>
    </row>
    <row r="6703" spans="1:2" x14ac:dyDescent="0.2">
      <c r="A6703">
        <v>6697</v>
      </c>
      <c r="B6703">
        <v>8.81914618558719E-2</v>
      </c>
    </row>
    <row r="6704" spans="1:2" x14ac:dyDescent="0.2">
      <c r="A6704">
        <v>6698</v>
      </c>
      <c r="B6704">
        <v>0.60689583468551977</v>
      </c>
    </row>
    <row r="6705" spans="1:2" x14ac:dyDescent="0.2">
      <c r="A6705">
        <v>6699</v>
      </c>
      <c r="B6705">
        <v>0.56484456064920485</v>
      </c>
    </row>
    <row r="6706" spans="1:2" x14ac:dyDescent="0.2">
      <c r="A6706">
        <v>6700</v>
      </c>
      <c r="B6706">
        <v>0.79257500282531768</v>
      </c>
    </row>
    <row r="6707" spans="1:2" x14ac:dyDescent="0.2">
      <c r="A6707">
        <v>6701</v>
      </c>
      <c r="B6707">
        <v>0.87059139661062046</v>
      </c>
    </row>
    <row r="6708" spans="1:2" x14ac:dyDescent="0.2">
      <c r="A6708">
        <v>6702</v>
      </c>
      <c r="B6708">
        <v>0.77922039833769008</v>
      </c>
    </row>
    <row r="6709" spans="1:2" x14ac:dyDescent="0.2">
      <c r="A6709">
        <v>6703</v>
      </c>
      <c r="B6709">
        <v>8.005702330466824E-2</v>
      </c>
    </row>
    <row r="6710" spans="1:2" x14ac:dyDescent="0.2">
      <c r="A6710">
        <v>6704</v>
      </c>
      <c r="B6710">
        <v>0.50439838494210842</v>
      </c>
    </row>
    <row r="6711" spans="1:2" x14ac:dyDescent="0.2">
      <c r="A6711">
        <v>6705</v>
      </c>
      <c r="B6711">
        <v>0.52026451937513163</v>
      </c>
    </row>
    <row r="6712" spans="1:2" x14ac:dyDescent="0.2">
      <c r="A6712">
        <v>6706</v>
      </c>
      <c r="B6712">
        <v>7.796206077663792E-2</v>
      </c>
    </row>
    <row r="6713" spans="1:2" x14ac:dyDescent="0.2">
      <c r="A6713">
        <v>6707</v>
      </c>
      <c r="B6713">
        <v>0.90363230701906339</v>
      </c>
    </row>
    <row r="6714" spans="1:2" x14ac:dyDescent="0.2">
      <c r="A6714">
        <v>6708</v>
      </c>
      <c r="B6714">
        <v>0.16627085563286292</v>
      </c>
    </row>
    <row r="6715" spans="1:2" x14ac:dyDescent="0.2">
      <c r="A6715">
        <v>6709</v>
      </c>
      <c r="B6715">
        <v>0.240445890027841</v>
      </c>
    </row>
    <row r="6716" spans="1:2" x14ac:dyDescent="0.2">
      <c r="A6716">
        <v>6710</v>
      </c>
      <c r="B6716">
        <v>0.11618093498965609</v>
      </c>
    </row>
    <row r="6717" spans="1:2" x14ac:dyDescent="0.2">
      <c r="A6717">
        <v>6711</v>
      </c>
      <c r="B6717">
        <v>0.29647531021980345</v>
      </c>
    </row>
    <row r="6718" spans="1:2" x14ac:dyDescent="0.2">
      <c r="A6718">
        <v>6712</v>
      </c>
      <c r="B6718">
        <v>0.38629522863586951</v>
      </c>
    </row>
    <row r="6719" spans="1:2" x14ac:dyDescent="0.2">
      <c r="A6719">
        <v>6713</v>
      </c>
      <c r="B6719">
        <v>0.34200171206093677</v>
      </c>
    </row>
    <row r="6720" spans="1:2" x14ac:dyDescent="0.2">
      <c r="A6720">
        <v>6714</v>
      </c>
      <c r="B6720">
        <v>0.22219761110474268</v>
      </c>
    </row>
    <row r="6721" spans="1:2" x14ac:dyDescent="0.2">
      <c r="A6721">
        <v>6715</v>
      </c>
      <c r="B6721">
        <v>1.7740204082085431E-2</v>
      </c>
    </row>
    <row r="6722" spans="1:2" x14ac:dyDescent="0.2">
      <c r="A6722">
        <v>6716</v>
      </c>
      <c r="B6722">
        <v>0.47245612815329907</v>
      </c>
    </row>
    <row r="6723" spans="1:2" x14ac:dyDescent="0.2">
      <c r="A6723">
        <v>6717</v>
      </c>
      <c r="B6723">
        <v>0.24737058804256029</v>
      </c>
    </row>
    <row r="6724" spans="1:2" x14ac:dyDescent="0.2">
      <c r="A6724">
        <v>6718</v>
      </c>
      <c r="B6724">
        <v>0.28345172832476251</v>
      </c>
    </row>
    <row r="6725" spans="1:2" x14ac:dyDescent="0.2">
      <c r="A6725">
        <v>6719</v>
      </c>
      <c r="B6725">
        <v>0.46394886198857044</v>
      </c>
    </row>
    <row r="6726" spans="1:2" x14ac:dyDescent="0.2">
      <c r="A6726">
        <v>6720</v>
      </c>
      <c r="B6726">
        <v>0.37503170369386352</v>
      </c>
    </row>
    <row r="6727" spans="1:2" x14ac:dyDescent="0.2">
      <c r="A6727">
        <v>6721</v>
      </c>
      <c r="B6727">
        <v>0.31516504193746242</v>
      </c>
    </row>
    <row r="6728" spans="1:2" x14ac:dyDescent="0.2">
      <c r="A6728">
        <v>6722</v>
      </c>
      <c r="B6728">
        <v>0.1192508848194106</v>
      </c>
    </row>
    <row r="6729" spans="1:2" x14ac:dyDescent="0.2">
      <c r="A6729">
        <v>6723</v>
      </c>
      <c r="B6729">
        <v>0.6186167908192155</v>
      </c>
    </row>
    <row r="6730" spans="1:2" x14ac:dyDescent="0.2">
      <c r="A6730">
        <v>6724</v>
      </c>
      <c r="B6730">
        <v>0.37006970850652998</v>
      </c>
    </row>
    <row r="6731" spans="1:2" x14ac:dyDescent="0.2">
      <c r="A6731">
        <v>6725</v>
      </c>
      <c r="B6731">
        <v>0.20565875790012067</v>
      </c>
    </row>
    <row r="6732" spans="1:2" x14ac:dyDescent="0.2">
      <c r="A6732">
        <v>6726</v>
      </c>
      <c r="B6732">
        <v>0.44732841576011351</v>
      </c>
    </row>
    <row r="6733" spans="1:2" x14ac:dyDescent="0.2">
      <c r="A6733">
        <v>6727</v>
      </c>
      <c r="B6733">
        <v>0.31230703050910646</v>
      </c>
    </row>
    <row r="6734" spans="1:2" x14ac:dyDescent="0.2">
      <c r="A6734">
        <v>6728</v>
      </c>
      <c r="B6734">
        <v>0.51495472294563993</v>
      </c>
    </row>
    <row r="6735" spans="1:2" x14ac:dyDescent="0.2">
      <c r="A6735">
        <v>6729</v>
      </c>
      <c r="B6735">
        <v>0.91485915589939859</v>
      </c>
    </row>
    <row r="6736" spans="1:2" x14ac:dyDescent="0.2">
      <c r="A6736">
        <v>6730</v>
      </c>
      <c r="B6736">
        <v>6.5589788770063717E-2</v>
      </c>
    </row>
    <row r="6737" spans="1:2" x14ac:dyDescent="0.2">
      <c r="A6737">
        <v>6731</v>
      </c>
      <c r="B6737">
        <v>0.94664409683596851</v>
      </c>
    </row>
    <row r="6738" spans="1:2" x14ac:dyDescent="0.2">
      <c r="A6738">
        <v>6732</v>
      </c>
      <c r="B6738">
        <v>6.6705481655594534E-2</v>
      </c>
    </row>
    <row r="6739" spans="1:2" x14ac:dyDescent="0.2">
      <c r="A6739">
        <v>6733</v>
      </c>
      <c r="B6739">
        <v>0.52321216360301348</v>
      </c>
    </row>
    <row r="6740" spans="1:2" x14ac:dyDescent="0.2">
      <c r="A6740">
        <v>6734</v>
      </c>
      <c r="B6740">
        <v>0.6904935064593869</v>
      </c>
    </row>
    <row r="6741" spans="1:2" x14ac:dyDescent="0.2">
      <c r="A6741">
        <v>6735</v>
      </c>
      <c r="B6741">
        <v>4.7325003620521389E-2</v>
      </c>
    </row>
    <row r="6742" spans="1:2" x14ac:dyDescent="0.2">
      <c r="A6742">
        <v>6736</v>
      </c>
      <c r="B6742">
        <v>0.93985233253949363</v>
      </c>
    </row>
    <row r="6743" spans="1:2" x14ac:dyDescent="0.2">
      <c r="A6743">
        <v>6737</v>
      </c>
      <c r="B6743">
        <v>0.27837697547584961</v>
      </c>
    </row>
    <row r="6744" spans="1:2" x14ac:dyDescent="0.2">
      <c r="A6744">
        <v>6738</v>
      </c>
      <c r="B6744">
        <v>0.69525960934947295</v>
      </c>
    </row>
    <row r="6745" spans="1:2" x14ac:dyDescent="0.2">
      <c r="A6745">
        <v>6739</v>
      </c>
      <c r="B6745">
        <v>0.30941725091145356</v>
      </c>
    </row>
    <row r="6746" spans="1:2" x14ac:dyDescent="0.2">
      <c r="A6746">
        <v>6740</v>
      </c>
      <c r="B6746">
        <v>0.18780099699221009</v>
      </c>
    </row>
    <row r="6747" spans="1:2" x14ac:dyDescent="0.2">
      <c r="A6747">
        <v>6741</v>
      </c>
      <c r="B6747">
        <v>0.8672556288034331</v>
      </c>
    </row>
    <row r="6748" spans="1:2" x14ac:dyDescent="0.2">
      <c r="A6748">
        <v>6742</v>
      </c>
      <c r="B6748">
        <v>0.84642310657221098</v>
      </c>
    </row>
    <row r="6749" spans="1:2" x14ac:dyDescent="0.2">
      <c r="A6749">
        <v>6743</v>
      </c>
      <c r="B6749">
        <v>0.79782617523392241</v>
      </c>
    </row>
    <row r="6750" spans="1:2" x14ac:dyDescent="0.2">
      <c r="A6750">
        <v>6744</v>
      </c>
      <c r="B6750">
        <v>0.53673441177228842</v>
      </c>
    </row>
    <row r="6751" spans="1:2" x14ac:dyDescent="0.2">
      <c r="A6751">
        <v>6745</v>
      </c>
      <c r="B6751">
        <v>0.50260387215130597</v>
      </c>
    </row>
    <row r="6752" spans="1:2" x14ac:dyDescent="0.2">
      <c r="A6752">
        <v>6746</v>
      </c>
      <c r="B6752">
        <v>6.2044445575918039E-2</v>
      </c>
    </row>
    <row r="6753" spans="1:2" x14ac:dyDescent="0.2">
      <c r="A6753">
        <v>6747</v>
      </c>
      <c r="B6753">
        <v>0.72503686016240576</v>
      </c>
    </row>
    <row r="6754" spans="1:2" x14ac:dyDescent="0.2">
      <c r="A6754">
        <v>6748</v>
      </c>
      <c r="B6754">
        <v>0.66493667706844173</v>
      </c>
    </row>
    <row r="6755" spans="1:2" x14ac:dyDescent="0.2">
      <c r="A6755">
        <v>6749</v>
      </c>
      <c r="B6755">
        <v>4.2843709344626335E-2</v>
      </c>
    </row>
    <row r="6756" spans="1:2" x14ac:dyDescent="0.2">
      <c r="A6756">
        <v>6750</v>
      </c>
      <c r="B6756">
        <v>0.80602662894502286</v>
      </c>
    </row>
    <row r="6757" spans="1:2" x14ac:dyDescent="0.2">
      <c r="A6757">
        <v>6751</v>
      </c>
      <c r="B6757">
        <v>0.53942130479591088</v>
      </c>
    </row>
    <row r="6758" spans="1:2" x14ac:dyDescent="0.2">
      <c r="A6758">
        <v>6752</v>
      </c>
      <c r="B6758">
        <v>0.67528246404703129</v>
      </c>
    </row>
    <row r="6759" spans="1:2" x14ac:dyDescent="0.2">
      <c r="A6759">
        <v>6753</v>
      </c>
      <c r="B6759">
        <v>0.55966675910648744</v>
      </c>
    </row>
    <row r="6760" spans="1:2" x14ac:dyDescent="0.2">
      <c r="A6760">
        <v>6754</v>
      </c>
      <c r="B6760">
        <v>0.55043814182106743</v>
      </c>
    </row>
    <row r="6761" spans="1:2" x14ac:dyDescent="0.2">
      <c r="A6761">
        <v>6755</v>
      </c>
      <c r="B6761">
        <v>0.76002635289538767</v>
      </c>
    </row>
    <row r="6762" spans="1:2" x14ac:dyDescent="0.2">
      <c r="A6762">
        <v>6756</v>
      </c>
      <c r="B6762">
        <v>0.2381156341424332</v>
      </c>
    </row>
    <row r="6763" spans="1:2" x14ac:dyDescent="0.2">
      <c r="A6763">
        <v>6757</v>
      </c>
      <c r="B6763">
        <v>0.24877426469907715</v>
      </c>
    </row>
    <row r="6764" spans="1:2" x14ac:dyDescent="0.2">
      <c r="A6764">
        <v>6758</v>
      </c>
      <c r="B6764">
        <v>0.81609209024060392</v>
      </c>
    </row>
    <row r="6765" spans="1:2" x14ac:dyDescent="0.2">
      <c r="A6765">
        <v>6759</v>
      </c>
      <c r="B6765">
        <v>0.38645301535812671</v>
      </c>
    </row>
    <row r="6766" spans="1:2" x14ac:dyDescent="0.2">
      <c r="A6766">
        <v>6760</v>
      </c>
      <c r="B6766">
        <v>0.36643914814722545</v>
      </c>
    </row>
    <row r="6767" spans="1:2" x14ac:dyDescent="0.2">
      <c r="A6767">
        <v>6761</v>
      </c>
      <c r="B6767">
        <v>0.32749326922201594</v>
      </c>
    </row>
    <row r="6768" spans="1:2" x14ac:dyDescent="0.2">
      <c r="A6768">
        <v>6762</v>
      </c>
      <c r="B6768">
        <v>0.43190255349865569</v>
      </c>
    </row>
    <row r="6769" spans="1:2" x14ac:dyDescent="0.2">
      <c r="A6769">
        <v>6763</v>
      </c>
      <c r="B6769">
        <v>0.13708114752796563</v>
      </c>
    </row>
    <row r="6770" spans="1:2" x14ac:dyDescent="0.2">
      <c r="A6770">
        <v>6764</v>
      </c>
      <c r="B6770">
        <v>0.30756109052219949</v>
      </c>
    </row>
    <row r="6771" spans="1:2" x14ac:dyDescent="0.2">
      <c r="A6771">
        <v>6765</v>
      </c>
      <c r="B6771">
        <v>0.63925287183168567</v>
      </c>
    </row>
    <row r="6772" spans="1:2" x14ac:dyDescent="0.2">
      <c r="A6772">
        <v>6766</v>
      </c>
      <c r="B6772">
        <v>0.90096135609434513</v>
      </c>
    </row>
    <row r="6773" spans="1:2" x14ac:dyDescent="0.2">
      <c r="A6773">
        <v>6767</v>
      </c>
      <c r="B6773">
        <v>0.22411197939637106</v>
      </c>
    </row>
    <row r="6774" spans="1:2" x14ac:dyDescent="0.2">
      <c r="A6774">
        <v>6768</v>
      </c>
      <c r="B6774">
        <v>0.80294091857908845</v>
      </c>
    </row>
    <row r="6775" spans="1:2" x14ac:dyDescent="0.2">
      <c r="A6775">
        <v>6769</v>
      </c>
      <c r="B6775">
        <v>0.92048193832908853</v>
      </c>
    </row>
    <row r="6776" spans="1:2" x14ac:dyDescent="0.2">
      <c r="A6776">
        <v>6770</v>
      </c>
      <c r="B6776">
        <v>0.83629905466644472</v>
      </c>
    </row>
    <row r="6777" spans="1:2" x14ac:dyDescent="0.2">
      <c r="A6777">
        <v>6771</v>
      </c>
      <c r="B6777">
        <v>0.80912620344434893</v>
      </c>
    </row>
    <row r="6778" spans="1:2" x14ac:dyDescent="0.2">
      <c r="A6778">
        <v>6772</v>
      </c>
      <c r="B6778">
        <v>0.75746797309406999</v>
      </c>
    </row>
    <row r="6779" spans="1:2" x14ac:dyDescent="0.2">
      <c r="A6779">
        <v>6773</v>
      </c>
      <c r="B6779">
        <v>0.49809309682972325</v>
      </c>
    </row>
    <row r="6780" spans="1:2" x14ac:dyDescent="0.2">
      <c r="A6780">
        <v>6774</v>
      </c>
      <c r="B6780">
        <v>0.12495139350159412</v>
      </c>
    </row>
    <row r="6781" spans="1:2" x14ac:dyDescent="0.2">
      <c r="A6781">
        <v>6775</v>
      </c>
      <c r="B6781">
        <v>0.52980252228244662</v>
      </c>
    </row>
    <row r="6782" spans="1:2" x14ac:dyDescent="0.2">
      <c r="A6782">
        <v>6776</v>
      </c>
      <c r="B6782">
        <v>0.22465782749404395</v>
      </c>
    </row>
    <row r="6783" spans="1:2" x14ac:dyDescent="0.2">
      <c r="A6783">
        <v>6777</v>
      </c>
      <c r="B6783">
        <v>3.8879106843451305E-2</v>
      </c>
    </row>
    <row r="6784" spans="1:2" x14ac:dyDescent="0.2">
      <c r="A6784">
        <v>6778</v>
      </c>
      <c r="B6784">
        <v>0.14549694400457347</v>
      </c>
    </row>
    <row r="6785" spans="1:2" x14ac:dyDescent="0.2">
      <c r="A6785">
        <v>6779</v>
      </c>
      <c r="B6785">
        <v>0.22477508142838154</v>
      </c>
    </row>
    <row r="6786" spans="1:2" x14ac:dyDescent="0.2">
      <c r="A6786">
        <v>6780</v>
      </c>
      <c r="B6786">
        <v>0.46565788905867112</v>
      </c>
    </row>
    <row r="6787" spans="1:2" x14ac:dyDescent="0.2">
      <c r="A6787">
        <v>6781</v>
      </c>
      <c r="B6787">
        <v>0.83778726642585188</v>
      </c>
    </row>
    <row r="6788" spans="1:2" x14ac:dyDescent="0.2">
      <c r="A6788">
        <v>6782</v>
      </c>
      <c r="B6788">
        <v>0.23902096901896341</v>
      </c>
    </row>
    <row r="6789" spans="1:2" x14ac:dyDescent="0.2">
      <c r="A6789">
        <v>6783</v>
      </c>
      <c r="B6789">
        <v>0.43477464908107832</v>
      </c>
    </row>
    <row r="6790" spans="1:2" x14ac:dyDescent="0.2">
      <c r="A6790">
        <v>6784</v>
      </c>
      <c r="B6790">
        <v>0.44921110698162392</v>
      </c>
    </row>
    <row r="6791" spans="1:2" x14ac:dyDescent="0.2">
      <c r="A6791">
        <v>6785</v>
      </c>
      <c r="B6791">
        <v>0.72949588538494292</v>
      </c>
    </row>
    <row r="6792" spans="1:2" x14ac:dyDescent="0.2">
      <c r="A6792">
        <v>6786</v>
      </c>
      <c r="B6792">
        <v>0.79360350699777515</v>
      </c>
    </row>
    <row r="6793" spans="1:2" x14ac:dyDescent="0.2">
      <c r="A6793">
        <v>6787</v>
      </c>
      <c r="B6793">
        <v>0.86677160911837159</v>
      </c>
    </row>
    <row r="6794" spans="1:2" x14ac:dyDescent="0.2">
      <c r="A6794">
        <v>6788</v>
      </c>
      <c r="B6794">
        <v>1.5734329390229118E-2</v>
      </c>
    </row>
    <row r="6795" spans="1:2" x14ac:dyDescent="0.2">
      <c r="A6795">
        <v>6789</v>
      </c>
      <c r="B6795">
        <v>0.99864836393731626</v>
      </c>
    </row>
    <row r="6796" spans="1:2" x14ac:dyDescent="0.2">
      <c r="A6796">
        <v>6790</v>
      </c>
      <c r="B6796">
        <v>0.21255729351942287</v>
      </c>
    </row>
    <row r="6797" spans="1:2" x14ac:dyDescent="0.2">
      <c r="A6797">
        <v>6791</v>
      </c>
      <c r="B6797">
        <v>0.44666700009733395</v>
      </c>
    </row>
    <row r="6798" spans="1:2" x14ac:dyDescent="0.2">
      <c r="A6798">
        <v>6792</v>
      </c>
      <c r="B6798">
        <v>0.77824590521803971</v>
      </c>
    </row>
    <row r="6799" spans="1:2" x14ac:dyDescent="0.2">
      <c r="A6799">
        <v>6793</v>
      </c>
      <c r="B6799">
        <v>0.94422661070579961</v>
      </c>
    </row>
    <row r="6800" spans="1:2" x14ac:dyDescent="0.2">
      <c r="A6800">
        <v>6794</v>
      </c>
      <c r="B6800">
        <v>0.71238045664734184</v>
      </c>
    </row>
    <row r="6801" spans="1:2" x14ac:dyDescent="0.2">
      <c r="A6801">
        <v>6795</v>
      </c>
      <c r="B6801">
        <v>0.30758352524057553</v>
      </c>
    </row>
    <row r="6802" spans="1:2" x14ac:dyDescent="0.2">
      <c r="A6802">
        <v>6796</v>
      </c>
      <c r="B6802">
        <v>1.802652402861471E-2</v>
      </c>
    </row>
    <row r="6803" spans="1:2" x14ac:dyDescent="0.2">
      <c r="A6803">
        <v>6797</v>
      </c>
      <c r="B6803">
        <v>0.28178402486327114</v>
      </c>
    </row>
    <row r="6804" spans="1:2" x14ac:dyDescent="0.2">
      <c r="A6804">
        <v>6798</v>
      </c>
      <c r="B6804">
        <v>0.96999773377064358</v>
      </c>
    </row>
    <row r="6805" spans="1:2" x14ac:dyDescent="0.2">
      <c r="A6805">
        <v>6799</v>
      </c>
      <c r="B6805">
        <v>0.70702707666190157</v>
      </c>
    </row>
    <row r="6806" spans="1:2" x14ac:dyDescent="0.2">
      <c r="A6806">
        <v>6800</v>
      </c>
      <c r="B6806">
        <v>0.64366568905813348</v>
      </c>
    </row>
    <row r="6807" spans="1:2" x14ac:dyDescent="0.2">
      <c r="A6807">
        <v>6801</v>
      </c>
      <c r="B6807">
        <v>0.85950539977413065</v>
      </c>
    </row>
    <row r="6808" spans="1:2" x14ac:dyDescent="0.2">
      <c r="A6808">
        <v>6802</v>
      </c>
      <c r="B6808">
        <v>0.66232335635640449</v>
      </c>
    </row>
    <row r="6809" spans="1:2" x14ac:dyDescent="0.2">
      <c r="A6809">
        <v>6803</v>
      </c>
      <c r="B6809">
        <v>0.77577698163161568</v>
      </c>
    </row>
    <row r="6810" spans="1:2" x14ac:dyDescent="0.2">
      <c r="A6810">
        <v>6804</v>
      </c>
      <c r="B6810">
        <v>0.43407541214637269</v>
      </c>
    </row>
    <row r="6811" spans="1:2" x14ac:dyDescent="0.2">
      <c r="A6811">
        <v>6805</v>
      </c>
      <c r="B6811">
        <v>0.28642667278040801</v>
      </c>
    </row>
    <row r="6812" spans="1:2" x14ac:dyDescent="0.2">
      <c r="A6812">
        <v>6806</v>
      </c>
      <c r="B6812">
        <v>0.70601001612086278</v>
      </c>
    </row>
    <row r="6813" spans="1:2" x14ac:dyDescent="0.2">
      <c r="A6813">
        <v>6807</v>
      </c>
      <c r="B6813">
        <v>0.72376498491172037</v>
      </c>
    </row>
    <row r="6814" spans="1:2" x14ac:dyDescent="0.2">
      <c r="A6814">
        <v>6808</v>
      </c>
      <c r="B6814">
        <v>0.68481732693464448</v>
      </c>
    </row>
    <row r="6815" spans="1:2" x14ac:dyDescent="0.2">
      <c r="A6815">
        <v>6809</v>
      </c>
      <c r="B6815">
        <v>0.40067099089499081</v>
      </c>
    </row>
    <row r="6816" spans="1:2" x14ac:dyDescent="0.2">
      <c r="A6816">
        <v>6810</v>
      </c>
      <c r="B6816">
        <v>0.90757750188904429</v>
      </c>
    </row>
    <row r="6817" spans="1:2" x14ac:dyDescent="0.2">
      <c r="A6817">
        <v>6811</v>
      </c>
      <c r="B6817">
        <v>0.68271962031888767</v>
      </c>
    </row>
    <row r="6818" spans="1:2" x14ac:dyDescent="0.2">
      <c r="A6818">
        <v>6812</v>
      </c>
      <c r="B6818">
        <v>0.52385218706426251</v>
      </c>
    </row>
    <row r="6819" spans="1:2" x14ac:dyDescent="0.2">
      <c r="A6819">
        <v>6813</v>
      </c>
      <c r="B6819">
        <v>0.23437813149218267</v>
      </c>
    </row>
    <row r="6820" spans="1:2" x14ac:dyDescent="0.2">
      <c r="A6820">
        <v>6814</v>
      </c>
      <c r="B6820">
        <v>0.10753636509095543</v>
      </c>
    </row>
    <row r="6821" spans="1:2" x14ac:dyDescent="0.2">
      <c r="A6821">
        <v>6815</v>
      </c>
      <c r="B6821">
        <v>0.79805043227336137</v>
      </c>
    </row>
    <row r="6822" spans="1:2" x14ac:dyDescent="0.2">
      <c r="A6822">
        <v>6816</v>
      </c>
      <c r="B6822">
        <v>0.29878285435950813</v>
      </c>
    </row>
    <row r="6823" spans="1:2" x14ac:dyDescent="0.2">
      <c r="A6823">
        <v>6817</v>
      </c>
      <c r="B6823">
        <v>0.83759994727431852</v>
      </c>
    </row>
    <row r="6824" spans="1:2" x14ac:dyDescent="0.2">
      <c r="A6824">
        <v>6818</v>
      </c>
      <c r="B6824">
        <v>0.18712754658452313</v>
      </c>
    </row>
    <row r="6825" spans="1:2" x14ac:dyDescent="0.2">
      <c r="A6825">
        <v>6819</v>
      </c>
      <c r="B6825">
        <v>0.93442864804835724</v>
      </c>
    </row>
    <row r="6826" spans="1:2" x14ac:dyDescent="0.2">
      <c r="A6826">
        <v>6820</v>
      </c>
      <c r="B6826">
        <v>0.35833350017296639</v>
      </c>
    </row>
    <row r="6827" spans="1:2" x14ac:dyDescent="0.2">
      <c r="A6827">
        <v>6821</v>
      </c>
      <c r="B6827">
        <v>0.17222116941280641</v>
      </c>
    </row>
    <row r="6828" spans="1:2" x14ac:dyDescent="0.2">
      <c r="A6828">
        <v>6822</v>
      </c>
      <c r="B6828">
        <v>0.27944625496836017</v>
      </c>
    </row>
    <row r="6829" spans="1:2" x14ac:dyDescent="0.2">
      <c r="A6829">
        <v>6823</v>
      </c>
      <c r="B6829">
        <v>0.79931027221406803</v>
      </c>
    </row>
    <row r="6830" spans="1:2" x14ac:dyDescent="0.2">
      <c r="A6830">
        <v>6824</v>
      </c>
      <c r="B6830">
        <v>0.21473144390535337</v>
      </c>
    </row>
    <row r="6831" spans="1:2" x14ac:dyDescent="0.2">
      <c r="A6831">
        <v>6825</v>
      </c>
      <c r="B6831">
        <v>0.2478294755174788</v>
      </c>
    </row>
    <row r="6832" spans="1:2" x14ac:dyDescent="0.2">
      <c r="A6832">
        <v>6826</v>
      </c>
      <c r="B6832">
        <v>0.39982338299613807</v>
      </c>
    </row>
    <row r="6833" spans="1:2" x14ac:dyDescent="0.2">
      <c r="A6833">
        <v>6827</v>
      </c>
      <c r="B6833">
        <v>0.76841404839269345</v>
      </c>
    </row>
    <row r="6834" spans="1:2" x14ac:dyDescent="0.2">
      <c r="A6834">
        <v>6828</v>
      </c>
      <c r="B6834">
        <v>0.57403288214401926</v>
      </c>
    </row>
    <row r="6835" spans="1:2" x14ac:dyDescent="0.2">
      <c r="A6835">
        <v>6829</v>
      </c>
      <c r="B6835">
        <v>0.29033867107178546</v>
      </c>
    </row>
    <row r="6836" spans="1:2" x14ac:dyDescent="0.2">
      <c r="A6836">
        <v>6830</v>
      </c>
      <c r="B6836">
        <v>0.59493992029196197</v>
      </c>
    </row>
    <row r="6837" spans="1:2" x14ac:dyDescent="0.2">
      <c r="A6837">
        <v>6831</v>
      </c>
      <c r="B6837">
        <v>0.63547322884427349</v>
      </c>
    </row>
    <row r="6838" spans="1:2" x14ac:dyDescent="0.2">
      <c r="A6838">
        <v>6832</v>
      </c>
      <c r="B6838">
        <v>0.42832464942217485</v>
      </c>
    </row>
    <row r="6839" spans="1:2" x14ac:dyDescent="0.2">
      <c r="A6839">
        <v>6833</v>
      </c>
      <c r="B6839">
        <v>0.92663889669739308</v>
      </c>
    </row>
    <row r="6840" spans="1:2" x14ac:dyDescent="0.2">
      <c r="A6840">
        <v>6834</v>
      </c>
      <c r="B6840">
        <v>9.2196853115138366E-2</v>
      </c>
    </row>
    <row r="6841" spans="1:2" x14ac:dyDescent="0.2">
      <c r="A6841">
        <v>6835</v>
      </c>
      <c r="B6841">
        <v>0.12290893345488574</v>
      </c>
    </row>
    <row r="6842" spans="1:2" x14ac:dyDescent="0.2">
      <c r="A6842">
        <v>6836</v>
      </c>
      <c r="B6842">
        <v>0.54272129788735368</v>
      </c>
    </row>
    <row r="6843" spans="1:2" x14ac:dyDescent="0.2">
      <c r="A6843">
        <v>6837</v>
      </c>
      <c r="B6843">
        <v>8.7216275507957519E-2</v>
      </c>
    </row>
    <row r="6844" spans="1:2" x14ac:dyDescent="0.2">
      <c r="A6844">
        <v>6838</v>
      </c>
      <c r="B6844">
        <v>0.80233286035458984</v>
      </c>
    </row>
    <row r="6845" spans="1:2" x14ac:dyDescent="0.2">
      <c r="A6845">
        <v>6839</v>
      </c>
      <c r="B6845">
        <v>9.147874623825103E-2</v>
      </c>
    </row>
    <row r="6846" spans="1:2" x14ac:dyDescent="0.2">
      <c r="A6846">
        <v>6840</v>
      </c>
      <c r="B6846">
        <v>0.52393329966417501</v>
      </c>
    </row>
    <row r="6847" spans="1:2" x14ac:dyDescent="0.2">
      <c r="A6847">
        <v>6841</v>
      </c>
      <c r="B6847">
        <v>0.81104575404234269</v>
      </c>
    </row>
    <row r="6848" spans="1:2" x14ac:dyDescent="0.2">
      <c r="A6848">
        <v>6842</v>
      </c>
      <c r="B6848">
        <v>0.42679918879749412</v>
      </c>
    </row>
    <row r="6849" spans="1:2" x14ac:dyDescent="0.2">
      <c r="A6849">
        <v>6843</v>
      </c>
      <c r="B6849">
        <v>0.60187995238643865</v>
      </c>
    </row>
    <row r="6850" spans="1:2" x14ac:dyDescent="0.2">
      <c r="A6850">
        <v>6844</v>
      </c>
      <c r="B6850">
        <v>8.3424885633649026E-2</v>
      </c>
    </row>
    <row r="6851" spans="1:2" x14ac:dyDescent="0.2">
      <c r="A6851">
        <v>6845</v>
      </c>
      <c r="B6851">
        <v>0.24804241356495471</v>
      </c>
    </row>
    <row r="6852" spans="1:2" x14ac:dyDescent="0.2">
      <c r="A6852">
        <v>6846</v>
      </c>
      <c r="B6852">
        <v>0.68353465817736736</v>
      </c>
    </row>
    <row r="6853" spans="1:2" x14ac:dyDescent="0.2">
      <c r="A6853">
        <v>6847</v>
      </c>
      <c r="B6853">
        <v>0.7337764995574737</v>
      </c>
    </row>
    <row r="6854" spans="1:2" x14ac:dyDescent="0.2">
      <c r="A6854">
        <v>6848</v>
      </c>
      <c r="B6854">
        <v>0.34835756959098296</v>
      </c>
    </row>
    <row r="6855" spans="1:2" x14ac:dyDescent="0.2">
      <c r="A6855">
        <v>6849</v>
      </c>
      <c r="B6855">
        <v>0.52586347287323887</v>
      </c>
    </row>
    <row r="6856" spans="1:2" x14ac:dyDescent="0.2">
      <c r="A6856">
        <v>6850</v>
      </c>
      <c r="B6856">
        <v>0.65410857529011657</v>
      </c>
    </row>
    <row r="6857" spans="1:2" x14ac:dyDescent="0.2">
      <c r="A6857">
        <v>6851</v>
      </c>
      <c r="B6857">
        <v>0.1485064487428206</v>
      </c>
    </row>
    <row r="6858" spans="1:2" x14ac:dyDescent="0.2">
      <c r="A6858">
        <v>6852</v>
      </c>
      <c r="B6858">
        <v>0.45934268170438142</v>
      </c>
    </row>
    <row r="6859" spans="1:2" x14ac:dyDescent="0.2">
      <c r="A6859">
        <v>6853</v>
      </c>
      <c r="B6859">
        <v>0.79842496659591478</v>
      </c>
    </row>
    <row r="6860" spans="1:2" x14ac:dyDescent="0.2">
      <c r="A6860">
        <v>6854</v>
      </c>
      <c r="B6860">
        <v>0.2906990990426348</v>
      </c>
    </row>
    <row r="6861" spans="1:2" x14ac:dyDescent="0.2">
      <c r="A6861">
        <v>6855</v>
      </c>
      <c r="B6861">
        <v>0.39978157171924844</v>
      </c>
    </row>
    <row r="6862" spans="1:2" x14ac:dyDescent="0.2">
      <c r="A6862">
        <v>6856</v>
      </c>
      <c r="B6862">
        <v>0.19215912872871721</v>
      </c>
    </row>
    <row r="6863" spans="1:2" x14ac:dyDescent="0.2">
      <c r="A6863">
        <v>6857</v>
      </c>
      <c r="B6863">
        <v>0.51179445454815509</v>
      </c>
    </row>
    <row r="6864" spans="1:2" x14ac:dyDescent="0.2">
      <c r="A6864">
        <v>6858</v>
      </c>
      <c r="B6864">
        <v>4.0139097388147693E-4</v>
      </c>
    </row>
    <row r="6865" spans="1:2" x14ac:dyDescent="0.2">
      <c r="A6865">
        <v>6859</v>
      </c>
      <c r="B6865">
        <v>1.1180696834407922E-2</v>
      </c>
    </row>
    <row r="6866" spans="1:2" x14ac:dyDescent="0.2">
      <c r="A6866">
        <v>6860</v>
      </c>
      <c r="B6866">
        <v>0.69066736771596038</v>
      </c>
    </row>
    <row r="6867" spans="1:2" x14ac:dyDescent="0.2">
      <c r="A6867">
        <v>6861</v>
      </c>
      <c r="B6867">
        <v>0.82848339342609012</v>
      </c>
    </row>
    <row r="6868" spans="1:2" x14ac:dyDescent="0.2">
      <c r="A6868">
        <v>6862</v>
      </c>
      <c r="B6868">
        <v>5.9004427919612246E-2</v>
      </c>
    </row>
    <row r="6869" spans="1:2" x14ac:dyDescent="0.2">
      <c r="A6869">
        <v>6863</v>
      </c>
      <c r="B6869">
        <v>0.541818970153918</v>
      </c>
    </row>
    <row r="6870" spans="1:2" x14ac:dyDescent="0.2">
      <c r="A6870">
        <v>6864</v>
      </c>
      <c r="B6870">
        <v>1.4194167970366656E-2</v>
      </c>
    </row>
    <row r="6871" spans="1:2" x14ac:dyDescent="0.2">
      <c r="A6871">
        <v>6865</v>
      </c>
      <c r="B6871">
        <v>6.3324381723731005E-2</v>
      </c>
    </row>
    <row r="6872" spans="1:2" x14ac:dyDescent="0.2">
      <c r="A6872">
        <v>6866</v>
      </c>
      <c r="B6872">
        <v>0.5914269808118181</v>
      </c>
    </row>
    <row r="6873" spans="1:2" x14ac:dyDescent="0.2">
      <c r="A6873">
        <v>6867</v>
      </c>
      <c r="B6873">
        <v>0.38930098830235194</v>
      </c>
    </row>
    <row r="6874" spans="1:2" x14ac:dyDescent="0.2">
      <c r="A6874">
        <v>6868</v>
      </c>
      <c r="B6874">
        <v>1.5551646707989142E-2</v>
      </c>
    </row>
    <row r="6875" spans="1:2" x14ac:dyDescent="0.2">
      <c r="A6875">
        <v>6869</v>
      </c>
      <c r="B6875">
        <v>0.72852010708181836</v>
      </c>
    </row>
    <row r="6876" spans="1:2" x14ac:dyDescent="0.2">
      <c r="A6876">
        <v>6870</v>
      </c>
      <c r="B6876">
        <v>0.79477418251268983</v>
      </c>
    </row>
    <row r="6877" spans="1:2" x14ac:dyDescent="0.2">
      <c r="A6877">
        <v>6871</v>
      </c>
      <c r="B6877">
        <v>9.3443511665003642E-2</v>
      </c>
    </row>
    <row r="6878" spans="1:2" x14ac:dyDescent="0.2">
      <c r="A6878">
        <v>6872</v>
      </c>
      <c r="B6878">
        <v>0.84617567788421266</v>
      </c>
    </row>
    <row r="6879" spans="1:2" x14ac:dyDescent="0.2">
      <c r="A6879">
        <v>6873</v>
      </c>
      <c r="B6879">
        <v>0.6005338013788234</v>
      </c>
    </row>
    <row r="6880" spans="1:2" x14ac:dyDescent="0.2">
      <c r="A6880">
        <v>6874</v>
      </c>
      <c r="B6880">
        <v>0.11754279182545135</v>
      </c>
    </row>
    <row r="6881" spans="1:2" x14ac:dyDescent="0.2">
      <c r="A6881">
        <v>6875</v>
      </c>
      <c r="B6881">
        <v>0.68667859716144064</v>
      </c>
    </row>
    <row r="6882" spans="1:2" x14ac:dyDescent="0.2">
      <c r="A6882">
        <v>6876</v>
      </c>
      <c r="B6882">
        <v>0.73423381543838317</v>
      </c>
    </row>
    <row r="6883" spans="1:2" x14ac:dyDescent="0.2">
      <c r="A6883">
        <v>6877</v>
      </c>
      <c r="B6883">
        <v>0.93712822520176842</v>
      </c>
    </row>
    <row r="6884" spans="1:2" x14ac:dyDescent="0.2">
      <c r="A6884">
        <v>6878</v>
      </c>
      <c r="B6884">
        <v>0.30338674700759871</v>
      </c>
    </row>
    <row r="6885" spans="1:2" x14ac:dyDescent="0.2">
      <c r="A6885">
        <v>6879</v>
      </c>
      <c r="B6885">
        <v>0.93078492572611071</v>
      </c>
    </row>
    <row r="6886" spans="1:2" x14ac:dyDescent="0.2">
      <c r="A6886">
        <v>6880</v>
      </c>
      <c r="B6886">
        <v>0.43817616164086337</v>
      </c>
    </row>
    <row r="6887" spans="1:2" x14ac:dyDescent="0.2">
      <c r="A6887">
        <v>6881</v>
      </c>
      <c r="B6887">
        <v>0.44146086445966537</v>
      </c>
    </row>
    <row r="6888" spans="1:2" x14ac:dyDescent="0.2">
      <c r="A6888">
        <v>6882</v>
      </c>
      <c r="B6888">
        <v>0.78757759812054307</v>
      </c>
    </row>
    <row r="6889" spans="1:2" x14ac:dyDescent="0.2">
      <c r="A6889">
        <v>6883</v>
      </c>
      <c r="B6889">
        <v>0.70391683027800589</v>
      </c>
    </row>
    <row r="6890" spans="1:2" x14ac:dyDescent="0.2">
      <c r="A6890">
        <v>6884</v>
      </c>
      <c r="B6890">
        <v>8.2791645788087953E-2</v>
      </c>
    </row>
    <row r="6891" spans="1:2" x14ac:dyDescent="0.2">
      <c r="A6891">
        <v>6885</v>
      </c>
      <c r="B6891">
        <v>0.21702759707783648</v>
      </c>
    </row>
    <row r="6892" spans="1:2" x14ac:dyDescent="0.2">
      <c r="A6892">
        <v>6886</v>
      </c>
      <c r="B6892">
        <v>0.21814690925630964</v>
      </c>
    </row>
    <row r="6893" spans="1:2" x14ac:dyDescent="0.2">
      <c r="A6893">
        <v>6887</v>
      </c>
      <c r="B6893">
        <v>0.19407013273226004</v>
      </c>
    </row>
    <row r="6894" spans="1:2" x14ac:dyDescent="0.2">
      <c r="A6894">
        <v>6888</v>
      </c>
      <c r="B6894">
        <v>9.8257383463240089E-2</v>
      </c>
    </row>
    <row r="6895" spans="1:2" x14ac:dyDescent="0.2">
      <c r="A6895">
        <v>6889</v>
      </c>
      <c r="B6895">
        <v>0.91526605686370266</v>
      </c>
    </row>
    <row r="6896" spans="1:2" x14ac:dyDescent="0.2">
      <c r="A6896">
        <v>6890</v>
      </c>
      <c r="B6896">
        <v>0.5724127189179925</v>
      </c>
    </row>
    <row r="6897" spans="1:2" x14ac:dyDescent="0.2">
      <c r="A6897">
        <v>6891</v>
      </c>
      <c r="B6897">
        <v>5.5502365359541894E-2</v>
      </c>
    </row>
    <row r="6898" spans="1:2" x14ac:dyDescent="0.2">
      <c r="A6898">
        <v>6892</v>
      </c>
      <c r="B6898">
        <v>0.65063405890374137</v>
      </c>
    </row>
    <row r="6899" spans="1:2" x14ac:dyDescent="0.2">
      <c r="A6899">
        <v>6893</v>
      </c>
      <c r="B6899">
        <v>0.31473411518757721</v>
      </c>
    </row>
    <row r="6900" spans="1:2" x14ac:dyDescent="0.2">
      <c r="A6900">
        <v>6894</v>
      </c>
      <c r="B6900">
        <v>0.21661409205963833</v>
      </c>
    </row>
    <row r="6901" spans="1:2" x14ac:dyDescent="0.2">
      <c r="A6901">
        <v>6895</v>
      </c>
      <c r="B6901">
        <v>0.90599897221915404</v>
      </c>
    </row>
    <row r="6902" spans="1:2" x14ac:dyDescent="0.2">
      <c r="A6902">
        <v>6896</v>
      </c>
      <c r="B6902">
        <v>0.90627225572191439</v>
      </c>
    </row>
    <row r="6903" spans="1:2" x14ac:dyDescent="0.2">
      <c r="A6903">
        <v>6897</v>
      </c>
      <c r="B6903">
        <v>0.12125046868816314</v>
      </c>
    </row>
    <row r="6904" spans="1:2" x14ac:dyDescent="0.2">
      <c r="A6904">
        <v>6898</v>
      </c>
      <c r="B6904">
        <v>0.81233806046774548</v>
      </c>
    </row>
    <row r="6905" spans="1:2" x14ac:dyDescent="0.2">
      <c r="A6905">
        <v>6899</v>
      </c>
      <c r="B6905">
        <v>0.89803900926677249</v>
      </c>
    </row>
    <row r="6906" spans="1:2" x14ac:dyDescent="0.2">
      <c r="A6906">
        <v>6900</v>
      </c>
      <c r="B6906">
        <v>0.49836409880763199</v>
      </c>
    </row>
    <row r="6907" spans="1:2" x14ac:dyDescent="0.2">
      <c r="A6907">
        <v>6901</v>
      </c>
      <c r="B6907">
        <v>0.81723813073089757</v>
      </c>
    </row>
    <row r="6908" spans="1:2" x14ac:dyDescent="0.2">
      <c r="A6908">
        <v>6902</v>
      </c>
      <c r="B6908">
        <v>0.44632706633977448</v>
      </c>
    </row>
    <row r="6909" spans="1:2" x14ac:dyDescent="0.2">
      <c r="A6909">
        <v>6903</v>
      </c>
      <c r="B6909">
        <v>0.45941266435665451</v>
      </c>
    </row>
    <row r="6910" spans="1:2" x14ac:dyDescent="0.2">
      <c r="A6910">
        <v>6904</v>
      </c>
      <c r="B6910">
        <v>0.5171429306702261</v>
      </c>
    </row>
    <row r="6911" spans="1:2" x14ac:dyDescent="0.2">
      <c r="A6911">
        <v>6905</v>
      </c>
      <c r="B6911">
        <v>0.45898141207469589</v>
      </c>
    </row>
    <row r="6912" spans="1:2" x14ac:dyDescent="0.2">
      <c r="A6912">
        <v>6906</v>
      </c>
      <c r="B6912">
        <v>7.2682558915773909E-2</v>
      </c>
    </row>
    <row r="6913" spans="1:2" x14ac:dyDescent="0.2">
      <c r="A6913">
        <v>6907</v>
      </c>
      <c r="B6913">
        <v>0.59563704890826719</v>
      </c>
    </row>
    <row r="6914" spans="1:2" x14ac:dyDescent="0.2">
      <c r="A6914">
        <v>6908</v>
      </c>
      <c r="B6914">
        <v>0.57405033403031558</v>
      </c>
    </row>
    <row r="6915" spans="1:2" x14ac:dyDescent="0.2">
      <c r="A6915">
        <v>6909</v>
      </c>
      <c r="B6915">
        <v>4.1110761632731752E-2</v>
      </c>
    </row>
    <row r="6916" spans="1:2" x14ac:dyDescent="0.2">
      <c r="A6916">
        <v>6910</v>
      </c>
      <c r="B6916">
        <v>0.98489182015138355</v>
      </c>
    </row>
    <row r="6917" spans="1:2" x14ac:dyDescent="0.2">
      <c r="A6917">
        <v>6911</v>
      </c>
      <c r="B6917">
        <v>0.82579324658669473</v>
      </c>
    </row>
    <row r="6918" spans="1:2" x14ac:dyDescent="0.2">
      <c r="A6918">
        <v>6912</v>
      </c>
      <c r="B6918">
        <v>0.43276471042933995</v>
      </c>
    </row>
    <row r="6919" spans="1:2" x14ac:dyDescent="0.2">
      <c r="A6919">
        <v>6913</v>
      </c>
      <c r="B6919">
        <v>0.9548362370832213</v>
      </c>
    </row>
    <row r="6920" spans="1:2" x14ac:dyDescent="0.2">
      <c r="A6920">
        <v>6914</v>
      </c>
      <c r="B6920">
        <v>0.79527538919266039</v>
      </c>
    </row>
    <row r="6921" spans="1:2" x14ac:dyDescent="0.2">
      <c r="A6921">
        <v>6915</v>
      </c>
      <c r="B6921">
        <v>0.38488783640407764</v>
      </c>
    </row>
    <row r="6922" spans="1:2" x14ac:dyDescent="0.2">
      <c r="A6922">
        <v>6916</v>
      </c>
      <c r="B6922">
        <v>0.55339610782644322</v>
      </c>
    </row>
    <row r="6923" spans="1:2" x14ac:dyDescent="0.2">
      <c r="A6923">
        <v>6917</v>
      </c>
      <c r="B6923">
        <v>0.69402263989801205</v>
      </c>
    </row>
    <row r="6924" spans="1:2" x14ac:dyDescent="0.2">
      <c r="A6924">
        <v>6918</v>
      </c>
      <c r="B6924">
        <v>0.95122566789871765</v>
      </c>
    </row>
    <row r="6925" spans="1:2" x14ac:dyDescent="0.2">
      <c r="A6925">
        <v>6919</v>
      </c>
      <c r="B6925">
        <v>0.47415844980034316</v>
      </c>
    </row>
    <row r="6926" spans="1:2" x14ac:dyDescent="0.2">
      <c r="A6926">
        <v>6920</v>
      </c>
      <c r="B6926">
        <v>0.23505349542529819</v>
      </c>
    </row>
    <row r="6927" spans="1:2" x14ac:dyDescent="0.2">
      <c r="A6927">
        <v>6921</v>
      </c>
      <c r="B6927">
        <v>0.54135354158840732</v>
      </c>
    </row>
    <row r="6928" spans="1:2" x14ac:dyDescent="0.2">
      <c r="A6928">
        <v>6922</v>
      </c>
      <c r="B6928">
        <v>0.79264796077389366</v>
      </c>
    </row>
    <row r="6929" spans="1:2" x14ac:dyDescent="0.2">
      <c r="A6929">
        <v>6923</v>
      </c>
      <c r="B6929">
        <v>0.64677017311329688</v>
      </c>
    </row>
    <row r="6930" spans="1:2" x14ac:dyDescent="0.2">
      <c r="A6930">
        <v>6924</v>
      </c>
      <c r="B6930">
        <v>0.50703422408915444</v>
      </c>
    </row>
    <row r="6931" spans="1:2" x14ac:dyDescent="0.2">
      <c r="A6931">
        <v>6925</v>
      </c>
      <c r="B6931">
        <v>0.75310705918132292</v>
      </c>
    </row>
    <row r="6932" spans="1:2" x14ac:dyDescent="0.2">
      <c r="A6932">
        <v>6926</v>
      </c>
      <c r="B6932">
        <v>0.36543595951757935</v>
      </c>
    </row>
    <row r="6933" spans="1:2" x14ac:dyDescent="0.2">
      <c r="A6933">
        <v>6927</v>
      </c>
      <c r="B6933">
        <v>0.11554172410713237</v>
      </c>
    </row>
    <row r="6934" spans="1:2" x14ac:dyDescent="0.2">
      <c r="A6934">
        <v>6928</v>
      </c>
      <c r="B6934">
        <v>3.7510992270028076E-2</v>
      </c>
    </row>
    <row r="6935" spans="1:2" x14ac:dyDescent="0.2">
      <c r="A6935">
        <v>6929</v>
      </c>
      <c r="B6935">
        <v>0.46699060384841184</v>
      </c>
    </row>
    <row r="6936" spans="1:2" x14ac:dyDescent="0.2">
      <c r="A6936">
        <v>6930</v>
      </c>
      <c r="B6936">
        <v>0.1755366550538604</v>
      </c>
    </row>
    <row r="6937" spans="1:2" x14ac:dyDescent="0.2">
      <c r="A6937">
        <v>6931</v>
      </c>
      <c r="B6937">
        <v>0.65560459776799929</v>
      </c>
    </row>
    <row r="6938" spans="1:2" x14ac:dyDescent="0.2">
      <c r="A6938">
        <v>6932</v>
      </c>
      <c r="B6938">
        <v>0.32203878123358953</v>
      </c>
    </row>
    <row r="6939" spans="1:2" x14ac:dyDescent="0.2">
      <c r="A6939">
        <v>6933</v>
      </c>
      <c r="B6939">
        <v>0.71079518391090324</v>
      </c>
    </row>
    <row r="6940" spans="1:2" x14ac:dyDescent="0.2">
      <c r="A6940">
        <v>6934</v>
      </c>
      <c r="B6940">
        <v>0.47258248963474103</v>
      </c>
    </row>
    <row r="6941" spans="1:2" x14ac:dyDescent="0.2">
      <c r="A6941">
        <v>6935</v>
      </c>
      <c r="B6941">
        <v>0.74949282199523515</v>
      </c>
    </row>
    <row r="6942" spans="1:2" x14ac:dyDescent="0.2">
      <c r="A6942">
        <v>6936</v>
      </c>
      <c r="B6942">
        <v>0.40044134083798288</v>
      </c>
    </row>
    <row r="6943" spans="1:2" x14ac:dyDescent="0.2">
      <c r="A6943">
        <v>6937</v>
      </c>
      <c r="B6943">
        <v>0.97209547871799806</v>
      </c>
    </row>
    <row r="6944" spans="1:2" x14ac:dyDescent="0.2">
      <c r="A6944">
        <v>6938</v>
      </c>
      <c r="B6944">
        <v>0.84949305382298146</v>
      </c>
    </row>
    <row r="6945" spans="1:2" x14ac:dyDescent="0.2">
      <c r="A6945">
        <v>6939</v>
      </c>
      <c r="B6945">
        <v>0.32233638020807176</v>
      </c>
    </row>
    <row r="6946" spans="1:2" x14ac:dyDescent="0.2">
      <c r="A6946">
        <v>6940</v>
      </c>
      <c r="B6946">
        <v>0.50665097588497765</v>
      </c>
    </row>
    <row r="6947" spans="1:2" x14ac:dyDescent="0.2">
      <c r="A6947">
        <v>6941</v>
      </c>
      <c r="B6947">
        <v>0.23485912320991054</v>
      </c>
    </row>
    <row r="6948" spans="1:2" x14ac:dyDescent="0.2">
      <c r="A6948">
        <v>6942</v>
      </c>
      <c r="B6948">
        <v>0.44479177746638432</v>
      </c>
    </row>
    <row r="6949" spans="1:2" x14ac:dyDescent="0.2">
      <c r="A6949">
        <v>6943</v>
      </c>
      <c r="B6949">
        <v>0.60798287514970728</v>
      </c>
    </row>
    <row r="6950" spans="1:2" x14ac:dyDescent="0.2">
      <c r="A6950">
        <v>6944</v>
      </c>
      <c r="B6950">
        <v>0.69728275137796891</v>
      </c>
    </row>
    <row r="6951" spans="1:2" x14ac:dyDescent="0.2">
      <c r="A6951">
        <v>6945</v>
      </c>
      <c r="B6951">
        <v>0.50503681873166817</v>
      </c>
    </row>
    <row r="6952" spans="1:2" x14ac:dyDescent="0.2">
      <c r="A6952">
        <v>6946</v>
      </c>
      <c r="B6952">
        <v>0.56203286920950057</v>
      </c>
    </row>
    <row r="6953" spans="1:2" x14ac:dyDescent="0.2">
      <c r="A6953">
        <v>6947</v>
      </c>
      <c r="B6953">
        <v>0.74280791498582754</v>
      </c>
    </row>
    <row r="6954" spans="1:2" x14ac:dyDescent="0.2">
      <c r="A6954">
        <v>6948</v>
      </c>
      <c r="B6954">
        <v>0.69093585011687797</v>
      </c>
    </row>
    <row r="6955" spans="1:2" x14ac:dyDescent="0.2">
      <c r="A6955">
        <v>6949</v>
      </c>
      <c r="B6955">
        <v>0.94320568540864203</v>
      </c>
    </row>
    <row r="6956" spans="1:2" x14ac:dyDescent="0.2">
      <c r="A6956">
        <v>6950</v>
      </c>
      <c r="B6956">
        <v>0.88789415667886584</v>
      </c>
    </row>
    <row r="6957" spans="1:2" x14ac:dyDescent="0.2">
      <c r="A6957">
        <v>6951</v>
      </c>
      <c r="B6957">
        <v>0.44518815699843228</v>
      </c>
    </row>
    <row r="6958" spans="1:2" x14ac:dyDescent="0.2">
      <c r="A6958">
        <v>6952</v>
      </c>
      <c r="B6958">
        <v>0.88880454834692413</v>
      </c>
    </row>
    <row r="6959" spans="1:2" x14ac:dyDescent="0.2">
      <c r="A6959">
        <v>6953</v>
      </c>
      <c r="B6959">
        <v>0.16053386708416006</v>
      </c>
    </row>
    <row r="6960" spans="1:2" x14ac:dyDescent="0.2">
      <c r="A6960">
        <v>6954</v>
      </c>
      <c r="B6960">
        <v>0.20009107119802205</v>
      </c>
    </row>
    <row r="6961" spans="1:2" x14ac:dyDescent="0.2">
      <c r="A6961">
        <v>6955</v>
      </c>
      <c r="B6961">
        <v>0.24349009918164044</v>
      </c>
    </row>
    <row r="6962" spans="1:2" x14ac:dyDescent="0.2">
      <c r="A6962">
        <v>6956</v>
      </c>
      <c r="B6962">
        <v>0.17950901785047524</v>
      </c>
    </row>
    <row r="6963" spans="1:2" x14ac:dyDescent="0.2">
      <c r="A6963">
        <v>6957</v>
      </c>
      <c r="B6963">
        <v>0.22813071243167959</v>
      </c>
    </row>
    <row r="6964" spans="1:2" x14ac:dyDescent="0.2">
      <c r="A6964">
        <v>6958</v>
      </c>
      <c r="B6964">
        <v>0.7022451500525746</v>
      </c>
    </row>
    <row r="6965" spans="1:2" x14ac:dyDescent="0.2">
      <c r="A6965">
        <v>6959</v>
      </c>
      <c r="B6965">
        <v>0.12045559430331976</v>
      </c>
    </row>
    <row r="6966" spans="1:2" x14ac:dyDescent="0.2">
      <c r="A6966">
        <v>6960</v>
      </c>
      <c r="B6966">
        <v>0.80929013717262843</v>
      </c>
    </row>
    <row r="6967" spans="1:2" x14ac:dyDescent="0.2">
      <c r="A6967">
        <v>6961</v>
      </c>
      <c r="B6967">
        <v>0.2236427654508546</v>
      </c>
    </row>
    <row r="6968" spans="1:2" x14ac:dyDescent="0.2">
      <c r="A6968">
        <v>6962</v>
      </c>
      <c r="B6968">
        <v>0.34159860441072898</v>
      </c>
    </row>
    <row r="6969" spans="1:2" x14ac:dyDescent="0.2">
      <c r="A6969">
        <v>6963</v>
      </c>
      <c r="B6969">
        <v>0.97089340069979158</v>
      </c>
    </row>
    <row r="6970" spans="1:2" x14ac:dyDescent="0.2">
      <c r="A6970">
        <v>6964</v>
      </c>
      <c r="B6970">
        <v>0.15895824436250483</v>
      </c>
    </row>
    <row r="6971" spans="1:2" x14ac:dyDescent="0.2">
      <c r="A6971">
        <v>6965</v>
      </c>
      <c r="B6971">
        <v>0.58355760898905917</v>
      </c>
    </row>
    <row r="6972" spans="1:2" x14ac:dyDescent="0.2">
      <c r="A6972">
        <v>6966</v>
      </c>
      <c r="B6972">
        <v>0.52755499112959969</v>
      </c>
    </row>
    <row r="6973" spans="1:2" x14ac:dyDescent="0.2">
      <c r="A6973">
        <v>6967</v>
      </c>
      <c r="B6973">
        <v>0.36750400372351766</v>
      </c>
    </row>
    <row r="6974" spans="1:2" x14ac:dyDescent="0.2">
      <c r="A6974">
        <v>6968</v>
      </c>
      <c r="B6974">
        <v>0.5620985446286616</v>
      </c>
    </row>
    <row r="6975" spans="1:2" x14ac:dyDescent="0.2">
      <c r="A6975">
        <v>6969</v>
      </c>
      <c r="B6975">
        <v>0.80413110966969459</v>
      </c>
    </row>
    <row r="6976" spans="1:2" x14ac:dyDescent="0.2">
      <c r="A6976">
        <v>6970</v>
      </c>
      <c r="B6976">
        <v>7.7828579102976692E-2</v>
      </c>
    </row>
    <row r="6977" spans="1:2" x14ac:dyDescent="0.2">
      <c r="A6977">
        <v>6971</v>
      </c>
      <c r="B6977">
        <v>0.68287566409253597</v>
      </c>
    </row>
    <row r="6978" spans="1:2" x14ac:dyDescent="0.2">
      <c r="A6978">
        <v>6972</v>
      </c>
      <c r="B6978">
        <v>0.47941825828450646</v>
      </c>
    </row>
    <row r="6979" spans="1:2" x14ac:dyDescent="0.2">
      <c r="A6979">
        <v>6973</v>
      </c>
      <c r="B6979">
        <v>0.21052285022807826</v>
      </c>
    </row>
    <row r="6980" spans="1:2" x14ac:dyDescent="0.2">
      <c r="A6980">
        <v>6974</v>
      </c>
      <c r="B6980">
        <v>0.22070199827928572</v>
      </c>
    </row>
    <row r="6981" spans="1:2" x14ac:dyDescent="0.2">
      <c r="A6981">
        <v>6975</v>
      </c>
      <c r="B6981">
        <v>7.3967694729697331E-2</v>
      </c>
    </row>
    <row r="6982" spans="1:2" x14ac:dyDescent="0.2">
      <c r="A6982">
        <v>6976</v>
      </c>
      <c r="B6982">
        <v>0.25463984093309278</v>
      </c>
    </row>
    <row r="6983" spans="1:2" x14ac:dyDescent="0.2">
      <c r="A6983">
        <v>6977</v>
      </c>
      <c r="B6983">
        <v>0.32158295210526133</v>
      </c>
    </row>
    <row r="6984" spans="1:2" x14ac:dyDescent="0.2">
      <c r="A6984">
        <v>6978</v>
      </c>
      <c r="B6984">
        <v>0.94168331944527661</v>
      </c>
    </row>
    <row r="6985" spans="1:2" x14ac:dyDescent="0.2">
      <c r="A6985">
        <v>6979</v>
      </c>
      <c r="B6985">
        <v>0.53423981158649581</v>
      </c>
    </row>
    <row r="6986" spans="1:2" x14ac:dyDescent="0.2">
      <c r="A6986">
        <v>6980</v>
      </c>
      <c r="B6986">
        <v>0.41069466563656609</v>
      </c>
    </row>
    <row r="6987" spans="1:2" x14ac:dyDescent="0.2">
      <c r="A6987">
        <v>6981</v>
      </c>
      <c r="B6987">
        <v>0.45135875795246994</v>
      </c>
    </row>
    <row r="6988" spans="1:2" x14ac:dyDescent="0.2">
      <c r="A6988">
        <v>6982</v>
      </c>
      <c r="B6988">
        <v>0.18543645525716956</v>
      </c>
    </row>
    <row r="6989" spans="1:2" x14ac:dyDescent="0.2">
      <c r="A6989">
        <v>6983</v>
      </c>
      <c r="B6989">
        <v>0.5146646002947185</v>
      </c>
    </row>
    <row r="6990" spans="1:2" x14ac:dyDescent="0.2">
      <c r="A6990">
        <v>6984</v>
      </c>
      <c r="B6990">
        <v>0.64743007064567559</v>
      </c>
    </row>
    <row r="6991" spans="1:2" x14ac:dyDescent="0.2">
      <c r="A6991">
        <v>6985</v>
      </c>
      <c r="B6991">
        <v>0.2907750269502456</v>
      </c>
    </row>
    <row r="6992" spans="1:2" x14ac:dyDescent="0.2">
      <c r="A6992">
        <v>6986</v>
      </c>
      <c r="B6992">
        <v>0.65572786615766043</v>
      </c>
    </row>
    <row r="6993" spans="1:2" x14ac:dyDescent="0.2">
      <c r="A6993">
        <v>6987</v>
      </c>
      <c r="B6993">
        <v>0.17049892722789417</v>
      </c>
    </row>
    <row r="6994" spans="1:2" x14ac:dyDescent="0.2">
      <c r="A6994">
        <v>6988</v>
      </c>
      <c r="B6994">
        <v>0.84693918446773686</v>
      </c>
    </row>
    <row r="6995" spans="1:2" x14ac:dyDescent="0.2">
      <c r="A6995">
        <v>6989</v>
      </c>
      <c r="B6995">
        <v>0.57726924648409317</v>
      </c>
    </row>
    <row r="6996" spans="1:2" x14ac:dyDescent="0.2">
      <c r="A6996">
        <v>6990</v>
      </c>
      <c r="B6996">
        <v>0.85304599560468652</v>
      </c>
    </row>
    <row r="6997" spans="1:2" x14ac:dyDescent="0.2">
      <c r="A6997">
        <v>6991</v>
      </c>
      <c r="B6997">
        <v>0.65837097449537063</v>
      </c>
    </row>
    <row r="6998" spans="1:2" x14ac:dyDescent="0.2">
      <c r="A6998">
        <v>6992</v>
      </c>
      <c r="B6998">
        <v>0.68587885402513304</v>
      </c>
    </row>
    <row r="6999" spans="1:2" x14ac:dyDescent="0.2">
      <c r="A6999">
        <v>6993</v>
      </c>
      <c r="B6999">
        <v>0.16102916132342282</v>
      </c>
    </row>
    <row r="7000" spans="1:2" x14ac:dyDescent="0.2">
      <c r="A7000">
        <v>6994</v>
      </c>
      <c r="B7000">
        <v>0.97079117855748076</v>
      </c>
    </row>
    <row r="7001" spans="1:2" x14ac:dyDescent="0.2">
      <c r="A7001">
        <v>6995</v>
      </c>
      <c r="B7001">
        <v>0.23801508735706722</v>
      </c>
    </row>
    <row r="7002" spans="1:2" x14ac:dyDescent="0.2">
      <c r="A7002">
        <v>6996</v>
      </c>
      <c r="B7002">
        <v>0.99604289377890731</v>
      </c>
    </row>
    <row r="7003" spans="1:2" x14ac:dyDescent="0.2">
      <c r="A7003">
        <v>6997</v>
      </c>
      <c r="B7003">
        <v>0.9376597054022634</v>
      </c>
    </row>
    <row r="7004" spans="1:2" x14ac:dyDescent="0.2">
      <c r="A7004">
        <v>6998</v>
      </c>
      <c r="B7004">
        <v>0.73437012961768056</v>
      </c>
    </row>
    <row r="7005" spans="1:2" x14ac:dyDescent="0.2">
      <c r="A7005">
        <v>6999</v>
      </c>
      <c r="B7005">
        <v>0.84248663075793329</v>
      </c>
    </row>
    <row r="7006" spans="1:2" x14ac:dyDescent="0.2">
      <c r="A7006">
        <v>7000</v>
      </c>
      <c r="B7006">
        <v>0.87115482278457879</v>
      </c>
    </row>
    <row r="7007" spans="1:2" x14ac:dyDescent="0.2">
      <c r="A7007">
        <v>7001</v>
      </c>
      <c r="B7007">
        <v>6.6338425349480534E-2</v>
      </c>
    </row>
    <row r="7008" spans="1:2" x14ac:dyDescent="0.2">
      <c r="A7008">
        <v>7002</v>
      </c>
      <c r="B7008">
        <v>0.77263369399809068</v>
      </c>
    </row>
    <row r="7009" spans="1:2" x14ac:dyDescent="0.2">
      <c r="A7009">
        <v>7003</v>
      </c>
      <c r="B7009">
        <v>0.81891821911223694</v>
      </c>
    </row>
    <row r="7010" spans="1:2" x14ac:dyDescent="0.2">
      <c r="A7010">
        <v>7004</v>
      </c>
      <c r="B7010">
        <v>0.73805563297290799</v>
      </c>
    </row>
    <row r="7011" spans="1:2" x14ac:dyDescent="0.2">
      <c r="A7011">
        <v>7005</v>
      </c>
      <c r="B7011">
        <v>0.43805996248241275</v>
      </c>
    </row>
    <row r="7012" spans="1:2" x14ac:dyDescent="0.2">
      <c r="A7012">
        <v>7006</v>
      </c>
      <c r="B7012">
        <v>9.209779436553156E-2</v>
      </c>
    </row>
    <row r="7013" spans="1:2" x14ac:dyDescent="0.2">
      <c r="A7013">
        <v>7007</v>
      </c>
      <c r="B7013">
        <v>0.7688216470648348</v>
      </c>
    </row>
    <row r="7014" spans="1:2" x14ac:dyDescent="0.2">
      <c r="A7014">
        <v>7008</v>
      </c>
      <c r="B7014">
        <v>0.67207385490370908</v>
      </c>
    </row>
    <row r="7015" spans="1:2" x14ac:dyDescent="0.2">
      <c r="A7015">
        <v>7009</v>
      </c>
      <c r="B7015">
        <v>1.3212167391172924E-2</v>
      </c>
    </row>
    <row r="7016" spans="1:2" x14ac:dyDescent="0.2">
      <c r="A7016">
        <v>7010</v>
      </c>
      <c r="B7016">
        <v>0.95681303698311171</v>
      </c>
    </row>
    <row r="7017" spans="1:2" x14ac:dyDescent="0.2">
      <c r="A7017">
        <v>7011</v>
      </c>
      <c r="B7017">
        <v>0.5334403794287893</v>
      </c>
    </row>
    <row r="7018" spans="1:2" x14ac:dyDescent="0.2">
      <c r="A7018">
        <v>7012</v>
      </c>
      <c r="B7018">
        <v>0.12881949230321554</v>
      </c>
    </row>
    <row r="7019" spans="1:2" x14ac:dyDescent="0.2">
      <c r="A7019">
        <v>7013</v>
      </c>
      <c r="B7019">
        <v>0.42823867392240944</v>
      </c>
    </row>
    <row r="7020" spans="1:2" x14ac:dyDescent="0.2">
      <c r="A7020">
        <v>7014</v>
      </c>
      <c r="B7020">
        <v>0.11407842267195956</v>
      </c>
    </row>
    <row r="7021" spans="1:2" x14ac:dyDescent="0.2">
      <c r="A7021">
        <v>7015</v>
      </c>
      <c r="B7021">
        <v>0.52246574788079969</v>
      </c>
    </row>
    <row r="7022" spans="1:2" x14ac:dyDescent="0.2">
      <c r="A7022">
        <v>7016</v>
      </c>
      <c r="B7022">
        <v>0.6578484962200527</v>
      </c>
    </row>
    <row r="7023" spans="1:2" x14ac:dyDescent="0.2">
      <c r="A7023">
        <v>7017</v>
      </c>
      <c r="B7023">
        <v>0.60795712166937999</v>
      </c>
    </row>
    <row r="7024" spans="1:2" x14ac:dyDescent="0.2">
      <c r="A7024">
        <v>7018</v>
      </c>
      <c r="B7024">
        <v>0.53073033892157462</v>
      </c>
    </row>
    <row r="7025" spans="1:2" x14ac:dyDescent="0.2">
      <c r="A7025">
        <v>7019</v>
      </c>
      <c r="B7025">
        <v>0.72128951997231583</v>
      </c>
    </row>
    <row r="7026" spans="1:2" x14ac:dyDescent="0.2">
      <c r="A7026">
        <v>7020</v>
      </c>
      <c r="B7026">
        <v>0.86753622853247581</v>
      </c>
    </row>
    <row r="7027" spans="1:2" x14ac:dyDescent="0.2">
      <c r="A7027">
        <v>7021</v>
      </c>
      <c r="B7027">
        <v>0.40776590924124712</v>
      </c>
    </row>
    <row r="7028" spans="1:2" x14ac:dyDescent="0.2">
      <c r="A7028">
        <v>7022</v>
      </c>
      <c r="B7028">
        <v>0.7034609809875273</v>
      </c>
    </row>
    <row r="7029" spans="1:2" x14ac:dyDescent="0.2">
      <c r="A7029">
        <v>7023</v>
      </c>
      <c r="B7029">
        <v>0.15448647645992186</v>
      </c>
    </row>
    <row r="7030" spans="1:2" x14ac:dyDescent="0.2">
      <c r="A7030">
        <v>7024</v>
      </c>
      <c r="B7030">
        <v>4.5533789870703667E-2</v>
      </c>
    </row>
    <row r="7031" spans="1:2" x14ac:dyDescent="0.2">
      <c r="A7031">
        <v>7025</v>
      </c>
      <c r="B7031">
        <v>0.98170004797127219</v>
      </c>
    </row>
    <row r="7032" spans="1:2" x14ac:dyDescent="0.2">
      <c r="A7032">
        <v>7026</v>
      </c>
      <c r="B7032">
        <v>8.0287448258767879E-3</v>
      </c>
    </row>
    <row r="7033" spans="1:2" x14ac:dyDescent="0.2">
      <c r="A7033">
        <v>7027</v>
      </c>
      <c r="B7033">
        <v>0.33590431495031459</v>
      </c>
    </row>
    <row r="7034" spans="1:2" x14ac:dyDescent="0.2">
      <c r="A7034">
        <v>7028</v>
      </c>
      <c r="B7034">
        <v>0.27045731489182601</v>
      </c>
    </row>
    <row r="7035" spans="1:2" x14ac:dyDescent="0.2">
      <c r="A7035">
        <v>7029</v>
      </c>
      <c r="B7035">
        <v>0.37967311390806335</v>
      </c>
    </row>
    <row r="7036" spans="1:2" x14ac:dyDescent="0.2">
      <c r="A7036">
        <v>7030</v>
      </c>
      <c r="B7036">
        <v>0.22378670141104551</v>
      </c>
    </row>
    <row r="7037" spans="1:2" x14ac:dyDescent="0.2">
      <c r="A7037">
        <v>7031</v>
      </c>
      <c r="B7037">
        <v>0.85202616583625335</v>
      </c>
    </row>
    <row r="7038" spans="1:2" x14ac:dyDescent="0.2">
      <c r="A7038">
        <v>7032</v>
      </c>
      <c r="B7038">
        <v>0.26784691910703229</v>
      </c>
    </row>
    <row r="7039" spans="1:2" x14ac:dyDescent="0.2">
      <c r="A7039">
        <v>7033</v>
      </c>
      <c r="B7039">
        <v>0.51757812137179071</v>
      </c>
    </row>
    <row r="7040" spans="1:2" x14ac:dyDescent="0.2">
      <c r="A7040">
        <v>7034</v>
      </c>
      <c r="B7040">
        <v>0.37576925317951548</v>
      </c>
    </row>
    <row r="7041" spans="1:2" x14ac:dyDescent="0.2">
      <c r="A7041">
        <v>7035</v>
      </c>
      <c r="B7041">
        <v>0.82459784041521844</v>
      </c>
    </row>
    <row r="7042" spans="1:2" x14ac:dyDescent="0.2">
      <c r="A7042">
        <v>7036</v>
      </c>
      <c r="B7042">
        <v>0.36142311751337453</v>
      </c>
    </row>
    <row r="7043" spans="1:2" x14ac:dyDescent="0.2">
      <c r="A7043">
        <v>7037</v>
      </c>
      <c r="B7043">
        <v>0.7077545800118451</v>
      </c>
    </row>
    <row r="7044" spans="1:2" x14ac:dyDescent="0.2">
      <c r="A7044">
        <v>7038</v>
      </c>
      <c r="B7044">
        <v>7.4098529100277366E-2</v>
      </c>
    </row>
    <row r="7045" spans="1:2" x14ac:dyDescent="0.2">
      <c r="A7045">
        <v>7039</v>
      </c>
      <c r="B7045">
        <v>0.49201242405617129</v>
      </c>
    </row>
    <row r="7046" spans="1:2" x14ac:dyDescent="0.2">
      <c r="A7046">
        <v>7040</v>
      </c>
      <c r="B7046">
        <v>0.71812521004674434</v>
      </c>
    </row>
    <row r="7047" spans="1:2" x14ac:dyDescent="0.2">
      <c r="A7047">
        <v>7041</v>
      </c>
      <c r="B7047">
        <v>0.93304343205720708</v>
      </c>
    </row>
    <row r="7048" spans="1:2" x14ac:dyDescent="0.2">
      <c r="A7048">
        <v>7042</v>
      </c>
      <c r="B7048">
        <v>0.63055130774306811</v>
      </c>
    </row>
    <row r="7049" spans="1:2" x14ac:dyDescent="0.2">
      <c r="A7049">
        <v>7043</v>
      </c>
      <c r="B7049">
        <v>0.3606844498638363</v>
      </c>
    </row>
    <row r="7050" spans="1:2" x14ac:dyDescent="0.2">
      <c r="A7050">
        <v>7044</v>
      </c>
      <c r="B7050">
        <v>0.66310936727582603</v>
      </c>
    </row>
    <row r="7051" spans="1:2" x14ac:dyDescent="0.2">
      <c r="A7051">
        <v>7045</v>
      </c>
      <c r="B7051">
        <v>0.34741890587036373</v>
      </c>
    </row>
    <row r="7052" spans="1:2" x14ac:dyDescent="0.2">
      <c r="A7052">
        <v>7046</v>
      </c>
      <c r="B7052">
        <v>0.79473046310621664</v>
      </c>
    </row>
    <row r="7053" spans="1:2" x14ac:dyDescent="0.2">
      <c r="A7053">
        <v>7047</v>
      </c>
      <c r="B7053">
        <v>0.86778945976457589</v>
      </c>
    </row>
    <row r="7054" spans="1:2" x14ac:dyDescent="0.2">
      <c r="A7054">
        <v>7048</v>
      </c>
      <c r="B7054">
        <v>0.73968839797638852</v>
      </c>
    </row>
    <row r="7055" spans="1:2" x14ac:dyDescent="0.2">
      <c r="A7055">
        <v>7049</v>
      </c>
      <c r="B7055">
        <v>0.56449493856178001</v>
      </c>
    </row>
    <row r="7056" spans="1:2" x14ac:dyDescent="0.2">
      <c r="A7056">
        <v>7050</v>
      </c>
      <c r="B7056">
        <v>0.26106412978130955</v>
      </c>
    </row>
    <row r="7057" spans="1:2" x14ac:dyDescent="0.2">
      <c r="A7057">
        <v>7051</v>
      </c>
      <c r="B7057">
        <v>0.56690187487892274</v>
      </c>
    </row>
    <row r="7058" spans="1:2" x14ac:dyDescent="0.2">
      <c r="A7058">
        <v>7052</v>
      </c>
      <c r="B7058">
        <v>0.87108960497920251</v>
      </c>
    </row>
    <row r="7059" spans="1:2" x14ac:dyDescent="0.2">
      <c r="A7059">
        <v>7053</v>
      </c>
      <c r="B7059">
        <v>0.37267695550852775</v>
      </c>
    </row>
    <row r="7060" spans="1:2" x14ac:dyDescent="0.2">
      <c r="A7060">
        <v>7054</v>
      </c>
      <c r="B7060">
        <v>0.68006901023538735</v>
      </c>
    </row>
    <row r="7061" spans="1:2" x14ac:dyDescent="0.2">
      <c r="A7061">
        <v>7055</v>
      </c>
      <c r="B7061">
        <v>0.64357735028183838</v>
      </c>
    </row>
    <row r="7062" spans="1:2" x14ac:dyDescent="0.2">
      <c r="A7062">
        <v>7056</v>
      </c>
      <c r="B7062">
        <v>0.77684432096953271</v>
      </c>
    </row>
    <row r="7063" spans="1:2" x14ac:dyDescent="0.2">
      <c r="A7063">
        <v>7057</v>
      </c>
      <c r="B7063">
        <v>0.4908970091247018</v>
      </c>
    </row>
    <row r="7064" spans="1:2" x14ac:dyDescent="0.2">
      <c r="A7064">
        <v>7058</v>
      </c>
      <c r="B7064">
        <v>0.82837322119846013</v>
      </c>
    </row>
    <row r="7065" spans="1:2" x14ac:dyDescent="0.2">
      <c r="A7065">
        <v>7059</v>
      </c>
      <c r="B7065">
        <v>5.7437076698883538E-2</v>
      </c>
    </row>
    <row r="7066" spans="1:2" x14ac:dyDescent="0.2">
      <c r="A7066">
        <v>7060</v>
      </c>
      <c r="B7066">
        <v>0.42928903313445987</v>
      </c>
    </row>
    <row r="7067" spans="1:2" x14ac:dyDescent="0.2">
      <c r="A7067">
        <v>7061</v>
      </c>
      <c r="B7067">
        <v>0.44686736660606596</v>
      </c>
    </row>
    <row r="7068" spans="1:2" x14ac:dyDescent="0.2">
      <c r="A7068">
        <v>7062</v>
      </c>
      <c r="B7068">
        <v>0.43291024864788064</v>
      </c>
    </row>
    <row r="7069" spans="1:2" x14ac:dyDescent="0.2">
      <c r="A7069">
        <v>7063</v>
      </c>
      <c r="B7069">
        <v>0.77782098296349944</v>
      </c>
    </row>
    <row r="7070" spans="1:2" x14ac:dyDescent="0.2">
      <c r="A7070">
        <v>7064</v>
      </c>
      <c r="B7070">
        <v>0.95624526672663113</v>
      </c>
    </row>
    <row r="7071" spans="1:2" x14ac:dyDescent="0.2">
      <c r="A7071">
        <v>7065</v>
      </c>
      <c r="B7071">
        <v>0.52648577889669501</v>
      </c>
    </row>
    <row r="7072" spans="1:2" x14ac:dyDescent="0.2">
      <c r="A7072">
        <v>7066</v>
      </c>
      <c r="B7072">
        <v>0.35321673822112787</v>
      </c>
    </row>
    <row r="7073" spans="1:2" x14ac:dyDescent="0.2">
      <c r="A7073">
        <v>7067</v>
      </c>
      <c r="B7073">
        <v>0.17839976355062026</v>
      </c>
    </row>
    <row r="7074" spans="1:2" x14ac:dyDescent="0.2">
      <c r="A7074">
        <v>7068</v>
      </c>
      <c r="B7074">
        <v>2.7845620176488839E-2</v>
      </c>
    </row>
    <row r="7075" spans="1:2" x14ac:dyDescent="0.2">
      <c r="A7075">
        <v>7069</v>
      </c>
      <c r="B7075">
        <v>0.30821845493799649</v>
      </c>
    </row>
    <row r="7076" spans="1:2" x14ac:dyDescent="0.2">
      <c r="A7076">
        <v>7070</v>
      </c>
      <c r="B7076">
        <v>0.91380159013294371</v>
      </c>
    </row>
    <row r="7077" spans="1:2" x14ac:dyDescent="0.2">
      <c r="A7077">
        <v>7071</v>
      </c>
      <c r="B7077">
        <v>7.3812618876634928E-2</v>
      </c>
    </row>
    <row r="7078" spans="1:2" x14ac:dyDescent="0.2">
      <c r="A7078">
        <v>7072</v>
      </c>
      <c r="B7078">
        <v>0.99075593046791732</v>
      </c>
    </row>
    <row r="7079" spans="1:2" x14ac:dyDescent="0.2">
      <c r="A7079">
        <v>7073</v>
      </c>
      <c r="B7079">
        <v>0.23006069858405109</v>
      </c>
    </row>
    <row r="7080" spans="1:2" x14ac:dyDescent="0.2">
      <c r="A7080">
        <v>7074</v>
      </c>
      <c r="B7080">
        <v>0.61904121200541751</v>
      </c>
    </row>
    <row r="7081" spans="1:2" x14ac:dyDescent="0.2">
      <c r="A7081">
        <v>7075</v>
      </c>
      <c r="B7081">
        <v>0.95581439098766685</v>
      </c>
    </row>
    <row r="7082" spans="1:2" x14ac:dyDescent="0.2">
      <c r="A7082">
        <v>7076</v>
      </c>
      <c r="B7082">
        <v>0.41229865243682728</v>
      </c>
    </row>
    <row r="7083" spans="1:2" x14ac:dyDescent="0.2">
      <c r="A7083">
        <v>7077</v>
      </c>
      <c r="B7083">
        <v>0.60418178728099714</v>
      </c>
    </row>
    <row r="7084" spans="1:2" x14ac:dyDescent="0.2">
      <c r="A7084">
        <v>7078</v>
      </c>
      <c r="B7084">
        <v>0.1840836132482756</v>
      </c>
    </row>
    <row r="7085" spans="1:2" x14ac:dyDescent="0.2">
      <c r="A7085">
        <v>7079</v>
      </c>
      <c r="B7085">
        <v>0.68903665026819161</v>
      </c>
    </row>
    <row r="7086" spans="1:2" x14ac:dyDescent="0.2">
      <c r="A7086">
        <v>7080</v>
      </c>
      <c r="B7086">
        <v>0.22712729436334489</v>
      </c>
    </row>
    <row r="7087" spans="1:2" x14ac:dyDescent="0.2">
      <c r="A7087">
        <v>7081</v>
      </c>
      <c r="B7087">
        <v>0.58083067556109147</v>
      </c>
    </row>
    <row r="7088" spans="1:2" x14ac:dyDescent="0.2">
      <c r="A7088">
        <v>7082</v>
      </c>
      <c r="B7088">
        <v>0.94973715196067598</v>
      </c>
    </row>
    <row r="7089" spans="1:2" x14ac:dyDescent="0.2">
      <c r="A7089">
        <v>7083</v>
      </c>
      <c r="B7089">
        <v>0.19769706649425522</v>
      </c>
    </row>
    <row r="7090" spans="1:2" x14ac:dyDescent="0.2">
      <c r="A7090">
        <v>7084</v>
      </c>
      <c r="B7090">
        <v>0.55091392607967982</v>
      </c>
    </row>
    <row r="7091" spans="1:2" x14ac:dyDescent="0.2">
      <c r="A7091">
        <v>7085</v>
      </c>
      <c r="B7091">
        <v>0.31831680692831221</v>
      </c>
    </row>
    <row r="7092" spans="1:2" x14ac:dyDescent="0.2">
      <c r="A7092">
        <v>7086</v>
      </c>
      <c r="B7092">
        <v>0.17687622306318862</v>
      </c>
    </row>
    <row r="7093" spans="1:2" x14ac:dyDescent="0.2">
      <c r="A7093">
        <v>7087</v>
      </c>
      <c r="B7093">
        <v>0.39926069580037671</v>
      </c>
    </row>
    <row r="7094" spans="1:2" x14ac:dyDescent="0.2">
      <c r="A7094">
        <v>7088</v>
      </c>
      <c r="B7094">
        <v>0.61852799646064982</v>
      </c>
    </row>
    <row r="7095" spans="1:2" x14ac:dyDescent="0.2">
      <c r="A7095">
        <v>7089</v>
      </c>
      <c r="B7095">
        <v>5.0119121194567073E-2</v>
      </c>
    </row>
    <row r="7096" spans="1:2" x14ac:dyDescent="0.2">
      <c r="A7096">
        <v>7090</v>
      </c>
      <c r="B7096">
        <v>0.53489768694046769</v>
      </c>
    </row>
    <row r="7097" spans="1:2" x14ac:dyDescent="0.2">
      <c r="A7097">
        <v>7091</v>
      </c>
      <c r="B7097">
        <v>0.57286246476869074</v>
      </c>
    </row>
    <row r="7098" spans="1:2" x14ac:dyDescent="0.2">
      <c r="A7098">
        <v>7092</v>
      </c>
      <c r="B7098">
        <v>0.26298660378277894</v>
      </c>
    </row>
    <row r="7099" spans="1:2" x14ac:dyDescent="0.2">
      <c r="A7099">
        <v>7093</v>
      </c>
      <c r="B7099">
        <v>0.78039066148970826</v>
      </c>
    </row>
    <row r="7100" spans="1:2" x14ac:dyDescent="0.2">
      <c r="A7100">
        <v>7094</v>
      </c>
      <c r="B7100">
        <v>0.12903234811359754</v>
      </c>
    </row>
    <row r="7101" spans="1:2" x14ac:dyDescent="0.2">
      <c r="A7101">
        <v>7095</v>
      </c>
      <c r="B7101">
        <v>0.74835932766803237</v>
      </c>
    </row>
    <row r="7102" spans="1:2" x14ac:dyDescent="0.2">
      <c r="A7102">
        <v>7096</v>
      </c>
      <c r="B7102">
        <v>0.2509857824704349</v>
      </c>
    </row>
    <row r="7103" spans="1:2" x14ac:dyDescent="0.2">
      <c r="A7103">
        <v>7097</v>
      </c>
      <c r="B7103">
        <v>0.23289243801814918</v>
      </c>
    </row>
    <row r="7104" spans="1:2" x14ac:dyDescent="0.2">
      <c r="A7104">
        <v>7098</v>
      </c>
      <c r="B7104">
        <v>0.3941853871032901</v>
      </c>
    </row>
    <row r="7105" spans="1:2" x14ac:dyDescent="0.2">
      <c r="A7105">
        <v>7099</v>
      </c>
      <c r="B7105">
        <v>0.7866318232957078</v>
      </c>
    </row>
    <row r="7106" spans="1:2" x14ac:dyDescent="0.2">
      <c r="A7106">
        <v>7100</v>
      </c>
      <c r="B7106">
        <v>0.12257882391834096</v>
      </c>
    </row>
    <row r="7107" spans="1:2" x14ac:dyDescent="0.2">
      <c r="A7107">
        <v>7101</v>
      </c>
      <c r="B7107">
        <v>0.29295818643948068</v>
      </c>
    </row>
    <row r="7108" spans="1:2" x14ac:dyDescent="0.2">
      <c r="A7108">
        <v>7102</v>
      </c>
      <c r="B7108">
        <v>0.30324201909047599</v>
      </c>
    </row>
    <row r="7109" spans="1:2" x14ac:dyDescent="0.2">
      <c r="A7109">
        <v>7103</v>
      </c>
      <c r="B7109">
        <v>0.87890244834721043</v>
      </c>
    </row>
    <row r="7110" spans="1:2" x14ac:dyDescent="0.2">
      <c r="A7110">
        <v>7104</v>
      </c>
      <c r="B7110">
        <v>0.60744591736969489</v>
      </c>
    </row>
    <row r="7111" spans="1:2" x14ac:dyDescent="0.2">
      <c r="A7111">
        <v>7105</v>
      </c>
      <c r="B7111">
        <v>0.62915525405285533</v>
      </c>
    </row>
    <row r="7112" spans="1:2" x14ac:dyDescent="0.2">
      <c r="A7112">
        <v>7106</v>
      </c>
      <c r="B7112">
        <v>0.74713491324593628</v>
      </c>
    </row>
    <row r="7113" spans="1:2" x14ac:dyDescent="0.2">
      <c r="A7113">
        <v>7107</v>
      </c>
      <c r="B7113">
        <v>2.7406323682240274E-2</v>
      </c>
    </row>
    <row r="7114" spans="1:2" x14ac:dyDescent="0.2">
      <c r="A7114">
        <v>7108</v>
      </c>
      <c r="B7114">
        <v>0.31286947150244282</v>
      </c>
    </row>
    <row r="7115" spans="1:2" x14ac:dyDescent="0.2">
      <c r="A7115">
        <v>7109</v>
      </c>
      <c r="B7115">
        <v>0.6527109114365115</v>
      </c>
    </row>
    <row r="7116" spans="1:2" x14ac:dyDescent="0.2">
      <c r="A7116">
        <v>7110</v>
      </c>
      <c r="B7116">
        <v>0.11450970746612554</v>
      </c>
    </row>
    <row r="7117" spans="1:2" x14ac:dyDescent="0.2">
      <c r="A7117">
        <v>7111</v>
      </c>
      <c r="B7117">
        <v>0.14209632418447515</v>
      </c>
    </row>
    <row r="7118" spans="1:2" x14ac:dyDescent="0.2">
      <c r="A7118">
        <v>7112</v>
      </c>
      <c r="B7118">
        <v>0.73290993163677809</v>
      </c>
    </row>
    <row r="7119" spans="1:2" x14ac:dyDescent="0.2">
      <c r="A7119">
        <v>7113</v>
      </c>
      <c r="B7119">
        <v>0.93931109303308813</v>
      </c>
    </row>
    <row r="7120" spans="1:2" x14ac:dyDescent="0.2">
      <c r="A7120">
        <v>7114</v>
      </c>
      <c r="B7120">
        <v>4.1093812965690035E-2</v>
      </c>
    </row>
    <row r="7121" spans="1:2" x14ac:dyDescent="0.2">
      <c r="A7121">
        <v>7115</v>
      </c>
      <c r="B7121">
        <v>0.17020340581660409</v>
      </c>
    </row>
    <row r="7122" spans="1:2" x14ac:dyDescent="0.2">
      <c r="A7122">
        <v>7116</v>
      </c>
      <c r="B7122">
        <v>0.42680962018581581</v>
      </c>
    </row>
    <row r="7123" spans="1:2" x14ac:dyDescent="0.2">
      <c r="A7123">
        <v>7117</v>
      </c>
      <c r="B7123">
        <v>0.64035553727117145</v>
      </c>
    </row>
    <row r="7124" spans="1:2" x14ac:dyDescent="0.2">
      <c r="A7124">
        <v>7118</v>
      </c>
      <c r="B7124">
        <v>0.2596616073957243</v>
      </c>
    </row>
    <row r="7125" spans="1:2" x14ac:dyDescent="0.2">
      <c r="A7125">
        <v>7119</v>
      </c>
      <c r="B7125">
        <v>0.48982734571686937</v>
      </c>
    </row>
    <row r="7126" spans="1:2" x14ac:dyDescent="0.2">
      <c r="A7126">
        <v>7120</v>
      </c>
      <c r="B7126">
        <v>0.54834371417787875</v>
      </c>
    </row>
    <row r="7127" spans="1:2" x14ac:dyDescent="0.2">
      <c r="A7127">
        <v>7121</v>
      </c>
      <c r="B7127">
        <v>0.71852158850782177</v>
      </c>
    </row>
    <row r="7128" spans="1:2" x14ac:dyDescent="0.2">
      <c r="A7128">
        <v>7122</v>
      </c>
      <c r="B7128">
        <v>0.23784834528530852</v>
      </c>
    </row>
    <row r="7129" spans="1:2" x14ac:dyDescent="0.2">
      <c r="A7129">
        <v>7123</v>
      </c>
      <c r="B7129">
        <v>0.13024392920444916</v>
      </c>
    </row>
    <row r="7130" spans="1:2" x14ac:dyDescent="0.2">
      <c r="A7130">
        <v>7124</v>
      </c>
      <c r="B7130">
        <v>0.8981202198053938</v>
      </c>
    </row>
    <row r="7131" spans="1:2" x14ac:dyDescent="0.2">
      <c r="A7131">
        <v>7125</v>
      </c>
      <c r="B7131">
        <v>0.25212335065716274</v>
      </c>
    </row>
    <row r="7132" spans="1:2" x14ac:dyDescent="0.2">
      <c r="A7132">
        <v>7126</v>
      </c>
      <c r="B7132">
        <v>0.94867647194823335</v>
      </c>
    </row>
    <row r="7133" spans="1:2" x14ac:dyDescent="0.2">
      <c r="A7133">
        <v>7127</v>
      </c>
      <c r="B7133">
        <v>0.30140812483059332</v>
      </c>
    </row>
    <row r="7134" spans="1:2" x14ac:dyDescent="0.2">
      <c r="A7134">
        <v>7128</v>
      </c>
      <c r="B7134">
        <v>3.2414281301403891E-3</v>
      </c>
    </row>
    <row r="7135" spans="1:2" x14ac:dyDescent="0.2">
      <c r="A7135">
        <v>7129</v>
      </c>
      <c r="B7135">
        <v>0.66323863369615943</v>
      </c>
    </row>
    <row r="7136" spans="1:2" x14ac:dyDescent="0.2">
      <c r="A7136">
        <v>7130</v>
      </c>
      <c r="B7136">
        <v>0.59566897969261967</v>
      </c>
    </row>
    <row r="7137" spans="1:2" x14ac:dyDescent="0.2">
      <c r="A7137">
        <v>7131</v>
      </c>
      <c r="B7137">
        <v>0.28517065660209184</v>
      </c>
    </row>
    <row r="7138" spans="1:2" x14ac:dyDescent="0.2">
      <c r="A7138">
        <v>7132</v>
      </c>
      <c r="B7138">
        <v>0.31639404677489824</v>
      </c>
    </row>
    <row r="7139" spans="1:2" x14ac:dyDescent="0.2">
      <c r="A7139">
        <v>7133</v>
      </c>
      <c r="B7139">
        <v>0.830719846629277</v>
      </c>
    </row>
    <row r="7140" spans="1:2" x14ac:dyDescent="0.2">
      <c r="A7140">
        <v>7134</v>
      </c>
      <c r="B7140">
        <v>0.39047276590210944</v>
      </c>
    </row>
    <row r="7141" spans="1:2" x14ac:dyDescent="0.2">
      <c r="A7141">
        <v>7135</v>
      </c>
      <c r="B7141">
        <v>0.23998553717864124</v>
      </c>
    </row>
    <row r="7142" spans="1:2" x14ac:dyDescent="0.2">
      <c r="A7142">
        <v>7136</v>
      </c>
      <c r="B7142">
        <v>0.97559608555424038</v>
      </c>
    </row>
    <row r="7143" spans="1:2" x14ac:dyDescent="0.2">
      <c r="A7143">
        <v>7137</v>
      </c>
      <c r="B7143">
        <v>1.5851960799340814E-2</v>
      </c>
    </row>
    <row r="7144" spans="1:2" x14ac:dyDescent="0.2">
      <c r="A7144">
        <v>7138</v>
      </c>
      <c r="B7144">
        <v>0.3198943577080644</v>
      </c>
    </row>
    <row r="7145" spans="1:2" x14ac:dyDescent="0.2">
      <c r="A7145">
        <v>7139</v>
      </c>
      <c r="B7145">
        <v>0.8549870785939494</v>
      </c>
    </row>
    <row r="7146" spans="1:2" x14ac:dyDescent="0.2">
      <c r="A7146">
        <v>7140</v>
      </c>
      <c r="B7146">
        <v>7.4364426805029638E-2</v>
      </c>
    </row>
    <row r="7147" spans="1:2" x14ac:dyDescent="0.2">
      <c r="A7147">
        <v>7141</v>
      </c>
      <c r="B7147">
        <v>0.69829843891667731</v>
      </c>
    </row>
    <row r="7148" spans="1:2" x14ac:dyDescent="0.2">
      <c r="A7148">
        <v>7142</v>
      </c>
      <c r="B7148">
        <v>0.68738870016278797</v>
      </c>
    </row>
    <row r="7149" spans="1:2" x14ac:dyDescent="0.2">
      <c r="A7149">
        <v>7143</v>
      </c>
      <c r="B7149">
        <v>9.1125322418887933E-3</v>
      </c>
    </row>
    <row r="7150" spans="1:2" x14ac:dyDescent="0.2">
      <c r="A7150">
        <v>7144</v>
      </c>
      <c r="B7150">
        <v>0.98299732641225479</v>
      </c>
    </row>
    <row r="7151" spans="1:2" x14ac:dyDescent="0.2">
      <c r="A7151">
        <v>7145</v>
      </c>
      <c r="B7151">
        <v>0.37704656153771721</v>
      </c>
    </row>
    <row r="7152" spans="1:2" x14ac:dyDescent="0.2">
      <c r="A7152">
        <v>7146</v>
      </c>
      <c r="B7152">
        <v>0.31109730277617242</v>
      </c>
    </row>
    <row r="7153" spans="1:2" x14ac:dyDescent="0.2">
      <c r="A7153">
        <v>7147</v>
      </c>
      <c r="B7153">
        <v>0.86547834482388697</v>
      </c>
    </row>
    <row r="7154" spans="1:2" x14ac:dyDescent="0.2">
      <c r="A7154">
        <v>7148</v>
      </c>
      <c r="B7154">
        <v>0.28772912597501055</v>
      </c>
    </row>
    <row r="7155" spans="1:2" x14ac:dyDescent="0.2">
      <c r="A7155">
        <v>7149</v>
      </c>
      <c r="B7155">
        <v>0.92266125140846811</v>
      </c>
    </row>
    <row r="7156" spans="1:2" x14ac:dyDescent="0.2">
      <c r="A7156">
        <v>7150</v>
      </c>
      <c r="B7156">
        <v>0.50791628346055528</v>
      </c>
    </row>
    <row r="7157" spans="1:2" x14ac:dyDescent="0.2">
      <c r="A7157">
        <v>7151</v>
      </c>
      <c r="B7157">
        <v>0.82981057890556198</v>
      </c>
    </row>
    <row r="7158" spans="1:2" x14ac:dyDescent="0.2">
      <c r="A7158">
        <v>7152</v>
      </c>
      <c r="B7158">
        <v>0.80057987273132858</v>
      </c>
    </row>
    <row r="7159" spans="1:2" x14ac:dyDescent="0.2">
      <c r="A7159">
        <v>7153</v>
      </c>
      <c r="B7159">
        <v>0.29483888459283791</v>
      </c>
    </row>
    <row r="7160" spans="1:2" x14ac:dyDescent="0.2">
      <c r="A7160">
        <v>7154</v>
      </c>
      <c r="B7160">
        <v>0.70603223179821117</v>
      </c>
    </row>
    <row r="7161" spans="1:2" x14ac:dyDescent="0.2">
      <c r="A7161">
        <v>7155</v>
      </c>
      <c r="B7161">
        <v>0.48025101342555854</v>
      </c>
    </row>
    <row r="7162" spans="1:2" x14ac:dyDescent="0.2">
      <c r="A7162">
        <v>7156</v>
      </c>
      <c r="B7162">
        <v>0.28051286995136282</v>
      </c>
    </row>
    <row r="7163" spans="1:2" x14ac:dyDescent="0.2">
      <c r="A7163">
        <v>7157</v>
      </c>
      <c r="B7163">
        <v>0.2604919402735939</v>
      </c>
    </row>
    <row r="7164" spans="1:2" x14ac:dyDescent="0.2">
      <c r="A7164">
        <v>7158</v>
      </c>
      <c r="B7164">
        <v>0.39170984455331581</v>
      </c>
    </row>
    <row r="7165" spans="1:2" x14ac:dyDescent="0.2">
      <c r="A7165">
        <v>7159</v>
      </c>
      <c r="B7165">
        <v>0.69834165112612034</v>
      </c>
    </row>
    <row r="7166" spans="1:2" x14ac:dyDescent="0.2">
      <c r="A7166">
        <v>7160</v>
      </c>
      <c r="B7166">
        <v>0.15282040767499849</v>
      </c>
    </row>
    <row r="7167" spans="1:2" x14ac:dyDescent="0.2">
      <c r="A7167">
        <v>7161</v>
      </c>
      <c r="B7167">
        <v>0.55915048922405797</v>
      </c>
    </row>
    <row r="7168" spans="1:2" x14ac:dyDescent="0.2">
      <c r="A7168">
        <v>7162</v>
      </c>
      <c r="B7168">
        <v>0.32871010510473775</v>
      </c>
    </row>
    <row r="7169" spans="1:2" x14ac:dyDescent="0.2">
      <c r="A7169">
        <v>7163</v>
      </c>
      <c r="B7169">
        <v>0.43381796061440803</v>
      </c>
    </row>
    <row r="7170" spans="1:2" x14ac:dyDescent="0.2">
      <c r="A7170">
        <v>7164</v>
      </c>
      <c r="B7170">
        <v>0.5217570555692308</v>
      </c>
    </row>
    <row r="7171" spans="1:2" x14ac:dyDescent="0.2">
      <c r="A7171">
        <v>7165</v>
      </c>
      <c r="B7171">
        <v>0.44293249371337051</v>
      </c>
    </row>
    <row r="7172" spans="1:2" x14ac:dyDescent="0.2">
      <c r="A7172">
        <v>7166</v>
      </c>
      <c r="B7172">
        <v>0.14089071774620154</v>
      </c>
    </row>
    <row r="7173" spans="1:2" x14ac:dyDescent="0.2">
      <c r="A7173">
        <v>7167</v>
      </c>
      <c r="B7173">
        <v>6.7841221361145787E-2</v>
      </c>
    </row>
    <row r="7174" spans="1:2" x14ac:dyDescent="0.2">
      <c r="A7174">
        <v>7168</v>
      </c>
      <c r="B7174">
        <v>0.34738520947627738</v>
      </c>
    </row>
    <row r="7175" spans="1:2" x14ac:dyDescent="0.2">
      <c r="A7175">
        <v>7169</v>
      </c>
      <c r="B7175">
        <v>0.62972467341194471</v>
      </c>
    </row>
    <row r="7176" spans="1:2" x14ac:dyDescent="0.2">
      <c r="A7176">
        <v>7170</v>
      </c>
      <c r="B7176">
        <v>0.72527752608565532</v>
      </c>
    </row>
    <row r="7177" spans="1:2" x14ac:dyDescent="0.2">
      <c r="A7177">
        <v>7171</v>
      </c>
      <c r="B7177">
        <v>0.85574560155019264</v>
      </c>
    </row>
    <row r="7178" spans="1:2" x14ac:dyDescent="0.2">
      <c r="A7178">
        <v>7172</v>
      </c>
      <c r="B7178">
        <v>0.51840957049222347</v>
      </c>
    </row>
    <row r="7179" spans="1:2" x14ac:dyDescent="0.2">
      <c r="A7179">
        <v>7173</v>
      </c>
      <c r="B7179">
        <v>0.85086520948820521</v>
      </c>
    </row>
    <row r="7180" spans="1:2" x14ac:dyDescent="0.2">
      <c r="A7180">
        <v>7174</v>
      </c>
      <c r="B7180">
        <v>0.49695024655579256</v>
      </c>
    </row>
    <row r="7181" spans="1:2" x14ac:dyDescent="0.2">
      <c r="A7181">
        <v>7175</v>
      </c>
      <c r="B7181">
        <v>0.11990186089613386</v>
      </c>
    </row>
    <row r="7182" spans="1:2" x14ac:dyDescent="0.2">
      <c r="A7182">
        <v>7176</v>
      </c>
      <c r="B7182">
        <v>7.5643481190509232E-2</v>
      </c>
    </row>
    <row r="7183" spans="1:2" x14ac:dyDescent="0.2">
      <c r="A7183">
        <v>7177</v>
      </c>
      <c r="B7183">
        <v>0.50523112395811143</v>
      </c>
    </row>
    <row r="7184" spans="1:2" x14ac:dyDescent="0.2">
      <c r="A7184">
        <v>7178</v>
      </c>
      <c r="B7184">
        <v>0.14122266723524379</v>
      </c>
    </row>
    <row r="7185" spans="1:2" x14ac:dyDescent="0.2">
      <c r="A7185">
        <v>7179</v>
      </c>
      <c r="B7185">
        <v>9.869714758360626E-3</v>
      </c>
    </row>
    <row r="7186" spans="1:2" x14ac:dyDescent="0.2">
      <c r="A7186">
        <v>7180</v>
      </c>
      <c r="B7186">
        <v>0.2565196978886306</v>
      </c>
    </row>
    <row r="7187" spans="1:2" x14ac:dyDescent="0.2">
      <c r="A7187">
        <v>7181</v>
      </c>
      <c r="B7187">
        <v>0.71814543722358293</v>
      </c>
    </row>
    <row r="7188" spans="1:2" x14ac:dyDescent="0.2">
      <c r="A7188">
        <v>7182</v>
      </c>
      <c r="B7188">
        <v>0.10981666194377493</v>
      </c>
    </row>
    <row r="7189" spans="1:2" x14ac:dyDescent="0.2">
      <c r="A7189">
        <v>7183</v>
      </c>
      <c r="B7189">
        <v>0.18244175872731871</v>
      </c>
    </row>
    <row r="7190" spans="1:2" x14ac:dyDescent="0.2">
      <c r="A7190">
        <v>7184</v>
      </c>
      <c r="B7190">
        <v>1.0695079813838548E-2</v>
      </c>
    </row>
    <row r="7191" spans="1:2" x14ac:dyDescent="0.2">
      <c r="A7191">
        <v>7185</v>
      </c>
      <c r="B7191">
        <v>0.90481380652032817</v>
      </c>
    </row>
    <row r="7192" spans="1:2" x14ac:dyDescent="0.2">
      <c r="A7192">
        <v>7186</v>
      </c>
      <c r="B7192">
        <v>0.80010330814409769</v>
      </c>
    </row>
    <row r="7193" spans="1:2" x14ac:dyDescent="0.2">
      <c r="A7193">
        <v>7187</v>
      </c>
      <c r="B7193">
        <v>0.71776243981640686</v>
      </c>
    </row>
    <row r="7194" spans="1:2" x14ac:dyDescent="0.2">
      <c r="A7194">
        <v>7188</v>
      </c>
      <c r="B7194">
        <v>0.18037777820418677</v>
      </c>
    </row>
    <row r="7195" spans="1:2" x14ac:dyDescent="0.2">
      <c r="A7195">
        <v>7189</v>
      </c>
      <c r="B7195">
        <v>0.73641921721865322</v>
      </c>
    </row>
    <row r="7196" spans="1:2" x14ac:dyDescent="0.2">
      <c r="A7196">
        <v>7190</v>
      </c>
      <c r="B7196">
        <v>0.84660824299413617</v>
      </c>
    </row>
    <row r="7197" spans="1:2" x14ac:dyDescent="0.2">
      <c r="A7197">
        <v>7191</v>
      </c>
      <c r="B7197">
        <v>0.91409121545186056</v>
      </c>
    </row>
    <row r="7198" spans="1:2" x14ac:dyDescent="0.2">
      <c r="A7198">
        <v>7192</v>
      </c>
      <c r="B7198">
        <v>0.12504890056829288</v>
      </c>
    </row>
    <row r="7199" spans="1:2" x14ac:dyDescent="0.2">
      <c r="A7199">
        <v>7193</v>
      </c>
      <c r="B7199">
        <v>0.16865811743315007</v>
      </c>
    </row>
    <row r="7200" spans="1:2" x14ac:dyDescent="0.2">
      <c r="A7200">
        <v>7194</v>
      </c>
      <c r="B7200">
        <v>0.60010145703890538</v>
      </c>
    </row>
    <row r="7201" spans="1:2" x14ac:dyDescent="0.2">
      <c r="A7201">
        <v>7195</v>
      </c>
      <c r="B7201">
        <v>0.21498461344739028</v>
      </c>
    </row>
    <row r="7202" spans="1:2" x14ac:dyDescent="0.2">
      <c r="A7202">
        <v>7196</v>
      </c>
      <c r="B7202">
        <v>7.4786689829250408E-2</v>
      </c>
    </row>
    <row r="7203" spans="1:2" x14ac:dyDescent="0.2">
      <c r="A7203">
        <v>7197</v>
      </c>
      <c r="B7203">
        <v>0.74101433445184139</v>
      </c>
    </row>
    <row r="7204" spans="1:2" x14ac:dyDescent="0.2">
      <c r="A7204">
        <v>7198</v>
      </c>
      <c r="B7204">
        <v>0.62675362098928689</v>
      </c>
    </row>
    <row r="7205" spans="1:2" x14ac:dyDescent="0.2">
      <c r="A7205">
        <v>7199</v>
      </c>
      <c r="B7205">
        <v>0.56557939522068346</v>
      </c>
    </row>
    <row r="7206" spans="1:2" x14ac:dyDescent="0.2">
      <c r="A7206">
        <v>7200</v>
      </c>
      <c r="B7206">
        <v>0.33639814931339862</v>
      </c>
    </row>
    <row r="7207" spans="1:2" x14ac:dyDescent="0.2">
      <c r="A7207">
        <v>7201</v>
      </c>
      <c r="B7207">
        <v>0.80533739486986344</v>
      </c>
    </row>
    <row r="7208" spans="1:2" x14ac:dyDescent="0.2">
      <c r="A7208">
        <v>7202</v>
      </c>
      <c r="B7208">
        <v>0.8218338404867086</v>
      </c>
    </row>
    <row r="7209" spans="1:2" x14ac:dyDescent="0.2">
      <c r="A7209">
        <v>7203</v>
      </c>
      <c r="B7209">
        <v>0.19555774336338927</v>
      </c>
    </row>
    <row r="7210" spans="1:2" x14ac:dyDescent="0.2">
      <c r="A7210">
        <v>7204</v>
      </c>
      <c r="B7210">
        <v>0.69789019756015458</v>
      </c>
    </row>
    <row r="7211" spans="1:2" x14ac:dyDescent="0.2">
      <c r="A7211">
        <v>7205</v>
      </c>
      <c r="B7211">
        <v>0.617850875956096</v>
      </c>
    </row>
    <row r="7212" spans="1:2" x14ac:dyDescent="0.2">
      <c r="A7212">
        <v>7206</v>
      </c>
      <c r="B7212">
        <v>0.79998677760017189</v>
      </c>
    </row>
    <row r="7213" spans="1:2" x14ac:dyDescent="0.2">
      <c r="A7213">
        <v>7207</v>
      </c>
      <c r="B7213">
        <v>0.51535600085525912</v>
      </c>
    </row>
    <row r="7214" spans="1:2" x14ac:dyDescent="0.2">
      <c r="A7214">
        <v>7208</v>
      </c>
      <c r="B7214">
        <v>0.27359986746503318</v>
      </c>
    </row>
    <row r="7215" spans="1:2" x14ac:dyDescent="0.2">
      <c r="A7215">
        <v>7209</v>
      </c>
      <c r="B7215">
        <v>0.79873182427901024</v>
      </c>
    </row>
    <row r="7216" spans="1:2" x14ac:dyDescent="0.2">
      <c r="A7216">
        <v>7210</v>
      </c>
      <c r="B7216">
        <v>6.6733727904801809E-2</v>
      </c>
    </row>
    <row r="7217" spans="1:2" x14ac:dyDescent="0.2">
      <c r="A7217">
        <v>7211</v>
      </c>
      <c r="B7217">
        <v>0.31996806471599859</v>
      </c>
    </row>
    <row r="7218" spans="1:2" x14ac:dyDescent="0.2">
      <c r="A7218">
        <v>7212</v>
      </c>
      <c r="B7218">
        <v>0.12857306500432097</v>
      </c>
    </row>
    <row r="7219" spans="1:2" x14ac:dyDescent="0.2">
      <c r="A7219">
        <v>7213</v>
      </c>
      <c r="B7219">
        <v>0.46841643410517197</v>
      </c>
    </row>
    <row r="7220" spans="1:2" x14ac:dyDescent="0.2">
      <c r="A7220">
        <v>7214</v>
      </c>
      <c r="B7220">
        <v>0.24761919856891312</v>
      </c>
    </row>
    <row r="7221" spans="1:2" x14ac:dyDescent="0.2">
      <c r="A7221">
        <v>7215</v>
      </c>
      <c r="B7221">
        <v>0.85493058429955249</v>
      </c>
    </row>
    <row r="7222" spans="1:2" x14ac:dyDescent="0.2">
      <c r="A7222">
        <v>7216</v>
      </c>
      <c r="B7222">
        <v>0.54212584574240719</v>
      </c>
    </row>
    <row r="7223" spans="1:2" x14ac:dyDescent="0.2">
      <c r="A7223">
        <v>7217</v>
      </c>
      <c r="B7223">
        <v>0.56219373173735598</v>
      </c>
    </row>
    <row r="7224" spans="1:2" x14ac:dyDescent="0.2">
      <c r="A7224">
        <v>7218</v>
      </c>
      <c r="B7224">
        <v>0.23719050085966054</v>
      </c>
    </row>
    <row r="7225" spans="1:2" x14ac:dyDescent="0.2">
      <c r="A7225">
        <v>7219</v>
      </c>
      <c r="B7225">
        <v>6.9604298936928544E-2</v>
      </c>
    </row>
    <row r="7226" spans="1:2" x14ac:dyDescent="0.2">
      <c r="A7226">
        <v>7220</v>
      </c>
      <c r="B7226">
        <v>0.11538235908591643</v>
      </c>
    </row>
    <row r="7227" spans="1:2" x14ac:dyDescent="0.2">
      <c r="A7227">
        <v>7221</v>
      </c>
      <c r="B7227">
        <v>0.38585054300551058</v>
      </c>
    </row>
    <row r="7228" spans="1:2" x14ac:dyDescent="0.2">
      <c r="A7228">
        <v>7222</v>
      </c>
      <c r="B7228">
        <v>0.58237916773544807</v>
      </c>
    </row>
    <row r="7229" spans="1:2" x14ac:dyDescent="0.2">
      <c r="A7229">
        <v>7223</v>
      </c>
      <c r="B7229">
        <v>0.69111092225524551</v>
      </c>
    </row>
    <row r="7230" spans="1:2" x14ac:dyDescent="0.2">
      <c r="A7230">
        <v>7224</v>
      </c>
      <c r="B7230">
        <v>0.33423657693805875</v>
      </c>
    </row>
    <row r="7231" spans="1:2" x14ac:dyDescent="0.2">
      <c r="A7231">
        <v>7225</v>
      </c>
      <c r="B7231">
        <v>0.27083619974169815</v>
      </c>
    </row>
    <row r="7232" spans="1:2" x14ac:dyDescent="0.2">
      <c r="A7232">
        <v>7226</v>
      </c>
      <c r="B7232">
        <v>0.27298779991672728</v>
      </c>
    </row>
    <row r="7233" spans="1:2" x14ac:dyDescent="0.2">
      <c r="A7233">
        <v>7227</v>
      </c>
      <c r="B7233">
        <v>4.5950585998666416E-3</v>
      </c>
    </row>
    <row r="7234" spans="1:2" x14ac:dyDescent="0.2">
      <c r="A7234">
        <v>7228</v>
      </c>
      <c r="B7234">
        <v>0.2801045201504242</v>
      </c>
    </row>
    <row r="7235" spans="1:2" x14ac:dyDescent="0.2">
      <c r="A7235">
        <v>7229</v>
      </c>
      <c r="B7235">
        <v>0.26255450659747237</v>
      </c>
    </row>
    <row r="7236" spans="1:2" x14ac:dyDescent="0.2">
      <c r="A7236">
        <v>7230</v>
      </c>
      <c r="B7236">
        <v>0.46766331045708376</v>
      </c>
    </row>
    <row r="7237" spans="1:2" x14ac:dyDescent="0.2">
      <c r="A7237">
        <v>7231</v>
      </c>
      <c r="B7237">
        <v>0.46494048332858706</v>
      </c>
    </row>
    <row r="7238" spans="1:2" x14ac:dyDescent="0.2">
      <c r="A7238">
        <v>7232</v>
      </c>
      <c r="B7238">
        <v>0.91526548209347813</v>
      </c>
    </row>
    <row r="7239" spans="1:2" x14ac:dyDescent="0.2">
      <c r="A7239">
        <v>7233</v>
      </c>
      <c r="B7239">
        <v>0.40682332059045823</v>
      </c>
    </row>
    <row r="7240" spans="1:2" x14ac:dyDescent="0.2">
      <c r="A7240">
        <v>7234</v>
      </c>
      <c r="B7240">
        <v>0.61021181548134062</v>
      </c>
    </row>
    <row r="7241" spans="1:2" x14ac:dyDescent="0.2">
      <c r="A7241">
        <v>7235</v>
      </c>
      <c r="B7241">
        <v>0.33249872945986469</v>
      </c>
    </row>
    <row r="7242" spans="1:2" x14ac:dyDescent="0.2">
      <c r="A7242">
        <v>7236</v>
      </c>
      <c r="B7242">
        <v>0.26324750044650103</v>
      </c>
    </row>
    <row r="7243" spans="1:2" x14ac:dyDescent="0.2">
      <c r="A7243">
        <v>7237</v>
      </c>
      <c r="B7243">
        <v>0.82406733431025248</v>
      </c>
    </row>
    <row r="7244" spans="1:2" x14ac:dyDescent="0.2">
      <c r="A7244">
        <v>7238</v>
      </c>
      <c r="B7244">
        <v>0.33726662832318977</v>
      </c>
    </row>
    <row r="7245" spans="1:2" x14ac:dyDescent="0.2">
      <c r="A7245">
        <v>7239</v>
      </c>
      <c r="B7245">
        <v>0.82947379046420189</v>
      </c>
    </row>
    <row r="7246" spans="1:2" x14ac:dyDescent="0.2">
      <c r="A7246">
        <v>7240</v>
      </c>
      <c r="B7246">
        <v>6.7941621200533597E-2</v>
      </c>
    </row>
    <row r="7247" spans="1:2" x14ac:dyDescent="0.2">
      <c r="A7247">
        <v>7241</v>
      </c>
      <c r="B7247">
        <v>0.87385181056448291</v>
      </c>
    </row>
    <row r="7248" spans="1:2" x14ac:dyDescent="0.2">
      <c r="A7248">
        <v>7242</v>
      </c>
      <c r="B7248">
        <v>0.47171649458853038</v>
      </c>
    </row>
    <row r="7249" spans="1:2" x14ac:dyDescent="0.2">
      <c r="A7249">
        <v>7243</v>
      </c>
      <c r="B7249">
        <v>0.53608174361889593</v>
      </c>
    </row>
    <row r="7250" spans="1:2" x14ac:dyDescent="0.2">
      <c r="A7250">
        <v>7244</v>
      </c>
      <c r="B7250">
        <v>1.2798224641225597E-2</v>
      </c>
    </row>
    <row r="7251" spans="1:2" x14ac:dyDescent="0.2">
      <c r="A7251">
        <v>7245</v>
      </c>
      <c r="B7251">
        <v>0.49908714502582463</v>
      </c>
    </row>
    <row r="7252" spans="1:2" x14ac:dyDescent="0.2">
      <c r="A7252">
        <v>7246</v>
      </c>
      <c r="B7252">
        <v>0.86937076354571841</v>
      </c>
    </row>
    <row r="7253" spans="1:2" x14ac:dyDescent="0.2">
      <c r="A7253">
        <v>7247</v>
      </c>
      <c r="B7253">
        <v>0.12316527297392899</v>
      </c>
    </row>
    <row r="7254" spans="1:2" x14ac:dyDescent="0.2">
      <c r="A7254">
        <v>7248</v>
      </c>
      <c r="B7254">
        <v>7.1323031588212404E-2</v>
      </c>
    </row>
    <row r="7255" spans="1:2" x14ac:dyDescent="0.2">
      <c r="A7255">
        <v>7249</v>
      </c>
      <c r="B7255">
        <v>0.86371007202923422</v>
      </c>
    </row>
    <row r="7256" spans="1:2" x14ac:dyDescent="0.2">
      <c r="A7256">
        <v>7250</v>
      </c>
      <c r="B7256">
        <v>0.63855617743463655</v>
      </c>
    </row>
    <row r="7257" spans="1:2" x14ac:dyDescent="0.2">
      <c r="A7257">
        <v>7251</v>
      </c>
      <c r="B7257">
        <v>0.42377827953245029</v>
      </c>
    </row>
    <row r="7258" spans="1:2" x14ac:dyDescent="0.2">
      <c r="A7258">
        <v>7252</v>
      </c>
      <c r="B7258">
        <v>0.5742908273233589</v>
      </c>
    </row>
    <row r="7259" spans="1:2" x14ac:dyDescent="0.2">
      <c r="A7259">
        <v>7253</v>
      </c>
      <c r="B7259">
        <v>0.87241755586612257</v>
      </c>
    </row>
    <row r="7260" spans="1:2" x14ac:dyDescent="0.2">
      <c r="A7260">
        <v>7254</v>
      </c>
      <c r="B7260">
        <v>0.83121777740284764</v>
      </c>
    </row>
    <row r="7261" spans="1:2" x14ac:dyDescent="0.2">
      <c r="A7261">
        <v>7255</v>
      </c>
      <c r="B7261">
        <v>0.77987671560210337</v>
      </c>
    </row>
    <row r="7262" spans="1:2" x14ac:dyDescent="0.2">
      <c r="A7262">
        <v>7256</v>
      </c>
      <c r="B7262">
        <v>0.87445791014616647</v>
      </c>
    </row>
    <row r="7263" spans="1:2" x14ac:dyDescent="0.2">
      <c r="A7263">
        <v>7257</v>
      </c>
      <c r="B7263">
        <v>0.99109775755576524</v>
      </c>
    </row>
    <row r="7264" spans="1:2" x14ac:dyDescent="0.2">
      <c r="A7264">
        <v>7258</v>
      </c>
      <c r="B7264">
        <v>9.0404558420357772E-2</v>
      </c>
    </row>
    <row r="7265" spans="1:2" x14ac:dyDescent="0.2">
      <c r="A7265">
        <v>7259</v>
      </c>
      <c r="B7265">
        <v>0.67063975558162336</v>
      </c>
    </row>
    <row r="7266" spans="1:2" x14ac:dyDescent="0.2">
      <c r="A7266">
        <v>7260</v>
      </c>
      <c r="B7266">
        <v>0.862683367739981</v>
      </c>
    </row>
    <row r="7267" spans="1:2" x14ac:dyDescent="0.2">
      <c r="A7267">
        <v>7261</v>
      </c>
      <c r="B7267">
        <v>0.93969494837592338</v>
      </c>
    </row>
    <row r="7268" spans="1:2" x14ac:dyDescent="0.2">
      <c r="A7268">
        <v>7262</v>
      </c>
      <c r="B7268">
        <v>0.74270884650187885</v>
      </c>
    </row>
    <row r="7269" spans="1:2" x14ac:dyDescent="0.2">
      <c r="A7269">
        <v>7263</v>
      </c>
      <c r="B7269">
        <v>0.97196147483122664</v>
      </c>
    </row>
    <row r="7270" spans="1:2" x14ac:dyDescent="0.2">
      <c r="A7270">
        <v>7264</v>
      </c>
      <c r="B7270">
        <v>0.34944906257685926</v>
      </c>
    </row>
    <row r="7271" spans="1:2" x14ac:dyDescent="0.2">
      <c r="A7271">
        <v>7265</v>
      </c>
      <c r="B7271">
        <v>0.99968156534000063</v>
      </c>
    </row>
    <row r="7272" spans="1:2" x14ac:dyDescent="0.2">
      <c r="A7272">
        <v>7266</v>
      </c>
      <c r="B7272">
        <v>0.72759009425131582</v>
      </c>
    </row>
    <row r="7273" spans="1:2" x14ac:dyDescent="0.2">
      <c r="A7273">
        <v>7267</v>
      </c>
      <c r="B7273">
        <v>0.54946203346422307</v>
      </c>
    </row>
    <row r="7274" spans="1:2" x14ac:dyDescent="0.2">
      <c r="A7274">
        <v>7268</v>
      </c>
      <c r="B7274">
        <v>0.95185305031400913</v>
      </c>
    </row>
    <row r="7275" spans="1:2" x14ac:dyDescent="0.2">
      <c r="A7275">
        <v>7269</v>
      </c>
      <c r="B7275">
        <v>0.61492066488739772</v>
      </c>
    </row>
    <row r="7276" spans="1:2" x14ac:dyDescent="0.2">
      <c r="A7276">
        <v>7270</v>
      </c>
      <c r="B7276">
        <v>0.65525405671467241</v>
      </c>
    </row>
    <row r="7277" spans="1:2" x14ac:dyDescent="0.2">
      <c r="A7277">
        <v>7271</v>
      </c>
      <c r="B7277">
        <v>0.11631036746163681</v>
      </c>
    </row>
    <row r="7278" spans="1:2" x14ac:dyDescent="0.2">
      <c r="A7278">
        <v>7272</v>
      </c>
      <c r="B7278">
        <v>0.1603797107931797</v>
      </c>
    </row>
    <row r="7279" spans="1:2" x14ac:dyDescent="0.2">
      <c r="A7279">
        <v>7273</v>
      </c>
      <c r="B7279">
        <v>0.24439027423178417</v>
      </c>
    </row>
    <row r="7280" spans="1:2" x14ac:dyDescent="0.2">
      <c r="A7280">
        <v>7274</v>
      </c>
      <c r="B7280">
        <v>0.87710292881270668</v>
      </c>
    </row>
    <row r="7281" spans="1:2" x14ac:dyDescent="0.2">
      <c r="A7281">
        <v>7275</v>
      </c>
      <c r="B7281">
        <v>0.56385433633981097</v>
      </c>
    </row>
    <row r="7282" spans="1:2" x14ac:dyDescent="0.2">
      <c r="A7282">
        <v>7276</v>
      </c>
      <c r="B7282">
        <v>0.4077027361169937</v>
      </c>
    </row>
    <row r="7283" spans="1:2" x14ac:dyDescent="0.2">
      <c r="A7283">
        <v>7277</v>
      </c>
      <c r="B7283">
        <v>0.55942909120045747</v>
      </c>
    </row>
    <row r="7284" spans="1:2" x14ac:dyDescent="0.2">
      <c r="A7284">
        <v>7278</v>
      </c>
      <c r="B7284">
        <v>0.35306211937463627</v>
      </c>
    </row>
    <row r="7285" spans="1:2" x14ac:dyDescent="0.2">
      <c r="A7285">
        <v>7279</v>
      </c>
      <c r="B7285">
        <v>0.37634955088946676</v>
      </c>
    </row>
    <row r="7286" spans="1:2" x14ac:dyDescent="0.2">
      <c r="A7286">
        <v>7280</v>
      </c>
      <c r="B7286">
        <v>3.2389678447490189E-2</v>
      </c>
    </row>
    <row r="7287" spans="1:2" x14ac:dyDescent="0.2">
      <c r="A7287">
        <v>7281</v>
      </c>
      <c r="B7287">
        <v>0.60291486831288588</v>
      </c>
    </row>
    <row r="7288" spans="1:2" x14ac:dyDescent="0.2">
      <c r="A7288">
        <v>7282</v>
      </c>
      <c r="B7288">
        <v>0.99765120707154742</v>
      </c>
    </row>
    <row r="7289" spans="1:2" x14ac:dyDescent="0.2">
      <c r="A7289">
        <v>7283</v>
      </c>
      <c r="B7289">
        <v>0.76569835163469768</v>
      </c>
    </row>
    <row r="7290" spans="1:2" x14ac:dyDescent="0.2">
      <c r="A7290">
        <v>7284</v>
      </c>
      <c r="B7290">
        <v>0.46867306450573754</v>
      </c>
    </row>
    <row r="7291" spans="1:2" x14ac:dyDescent="0.2">
      <c r="A7291">
        <v>7285</v>
      </c>
      <c r="B7291">
        <v>0.83845403169038846</v>
      </c>
    </row>
    <row r="7292" spans="1:2" x14ac:dyDescent="0.2">
      <c r="A7292">
        <v>7286</v>
      </c>
      <c r="B7292">
        <v>0.26115103286491226</v>
      </c>
    </row>
    <row r="7293" spans="1:2" x14ac:dyDescent="0.2">
      <c r="A7293">
        <v>7287</v>
      </c>
      <c r="B7293">
        <v>0.6768261903848537</v>
      </c>
    </row>
    <row r="7294" spans="1:2" x14ac:dyDescent="0.2">
      <c r="A7294">
        <v>7288</v>
      </c>
      <c r="B7294">
        <v>0.14125380397895848</v>
      </c>
    </row>
    <row r="7295" spans="1:2" x14ac:dyDescent="0.2">
      <c r="A7295">
        <v>7289</v>
      </c>
      <c r="B7295">
        <v>0.93145250704506355</v>
      </c>
    </row>
    <row r="7296" spans="1:2" x14ac:dyDescent="0.2">
      <c r="A7296">
        <v>7290</v>
      </c>
      <c r="B7296">
        <v>0.85194401002538189</v>
      </c>
    </row>
    <row r="7297" spans="1:2" x14ac:dyDescent="0.2">
      <c r="A7297">
        <v>7291</v>
      </c>
      <c r="B7297">
        <v>0.30706115146015045</v>
      </c>
    </row>
    <row r="7298" spans="1:2" x14ac:dyDescent="0.2">
      <c r="A7298">
        <v>7292</v>
      </c>
      <c r="B7298">
        <v>0.69489099099024842</v>
      </c>
    </row>
    <row r="7299" spans="1:2" x14ac:dyDescent="0.2">
      <c r="A7299">
        <v>7293</v>
      </c>
      <c r="B7299">
        <v>0.79460181556721454</v>
      </c>
    </row>
    <row r="7300" spans="1:2" x14ac:dyDescent="0.2">
      <c r="A7300">
        <v>7294</v>
      </c>
      <c r="B7300">
        <v>0.11797638883353845</v>
      </c>
    </row>
    <row r="7301" spans="1:2" x14ac:dyDescent="0.2">
      <c r="A7301">
        <v>7295</v>
      </c>
      <c r="B7301">
        <v>0.47153252567097415</v>
      </c>
    </row>
    <row r="7302" spans="1:2" x14ac:dyDescent="0.2">
      <c r="A7302">
        <v>7296</v>
      </c>
      <c r="B7302">
        <v>2.7974842495604113E-2</v>
      </c>
    </row>
    <row r="7303" spans="1:2" x14ac:dyDescent="0.2">
      <c r="A7303">
        <v>7297</v>
      </c>
      <c r="B7303">
        <v>0.4829231812641408</v>
      </c>
    </row>
    <row r="7304" spans="1:2" x14ac:dyDescent="0.2">
      <c r="A7304">
        <v>7298</v>
      </c>
      <c r="B7304">
        <v>0.85978080477118479</v>
      </c>
    </row>
    <row r="7305" spans="1:2" x14ac:dyDescent="0.2">
      <c r="A7305">
        <v>7299</v>
      </c>
      <c r="B7305">
        <v>0.93625043274910957</v>
      </c>
    </row>
    <row r="7306" spans="1:2" x14ac:dyDescent="0.2">
      <c r="A7306">
        <v>7300</v>
      </c>
      <c r="B7306">
        <v>0.82361799726459495</v>
      </c>
    </row>
    <row r="7307" spans="1:2" x14ac:dyDescent="0.2">
      <c r="A7307">
        <v>7301</v>
      </c>
      <c r="B7307">
        <v>0.84100691556750851</v>
      </c>
    </row>
    <row r="7308" spans="1:2" x14ac:dyDescent="0.2">
      <c r="A7308">
        <v>7302</v>
      </c>
      <c r="B7308">
        <v>2.6941032539265053E-2</v>
      </c>
    </row>
    <row r="7309" spans="1:2" x14ac:dyDescent="0.2">
      <c r="A7309">
        <v>7303</v>
      </c>
      <c r="B7309">
        <v>0.38616601741571266</v>
      </c>
    </row>
    <row r="7310" spans="1:2" x14ac:dyDescent="0.2">
      <c r="A7310">
        <v>7304</v>
      </c>
      <c r="B7310">
        <v>0.90533322538257754</v>
      </c>
    </row>
    <row r="7311" spans="1:2" x14ac:dyDescent="0.2">
      <c r="A7311">
        <v>7305</v>
      </c>
      <c r="B7311">
        <v>0.18847971489855897</v>
      </c>
    </row>
    <row r="7312" spans="1:2" x14ac:dyDescent="0.2">
      <c r="A7312">
        <v>7306</v>
      </c>
      <c r="B7312">
        <v>0.97781793688489882</v>
      </c>
    </row>
    <row r="7313" spans="1:2" x14ac:dyDescent="0.2">
      <c r="A7313">
        <v>7307</v>
      </c>
      <c r="B7313">
        <v>1.0052372852392688E-2</v>
      </c>
    </row>
    <row r="7314" spans="1:2" x14ac:dyDescent="0.2">
      <c r="A7314">
        <v>7308</v>
      </c>
      <c r="B7314">
        <v>0.19368241136276831</v>
      </c>
    </row>
    <row r="7315" spans="1:2" x14ac:dyDescent="0.2">
      <c r="A7315">
        <v>7309</v>
      </c>
      <c r="B7315">
        <v>0.38867562290001079</v>
      </c>
    </row>
    <row r="7316" spans="1:2" x14ac:dyDescent="0.2">
      <c r="A7316">
        <v>7310</v>
      </c>
      <c r="B7316">
        <v>0.9177031319547212</v>
      </c>
    </row>
    <row r="7317" spans="1:2" x14ac:dyDescent="0.2">
      <c r="A7317">
        <v>7311</v>
      </c>
      <c r="B7317">
        <v>0.90977703418856193</v>
      </c>
    </row>
    <row r="7318" spans="1:2" x14ac:dyDescent="0.2">
      <c r="A7318">
        <v>7312</v>
      </c>
      <c r="B7318">
        <v>0.31915504773979764</v>
      </c>
    </row>
    <row r="7319" spans="1:2" x14ac:dyDescent="0.2">
      <c r="A7319">
        <v>7313</v>
      </c>
      <c r="B7319">
        <v>0.70270944409749447</v>
      </c>
    </row>
    <row r="7320" spans="1:2" x14ac:dyDescent="0.2">
      <c r="A7320">
        <v>7314</v>
      </c>
      <c r="B7320">
        <v>1.6438948325265379E-2</v>
      </c>
    </row>
    <row r="7321" spans="1:2" x14ac:dyDescent="0.2">
      <c r="A7321">
        <v>7315</v>
      </c>
      <c r="B7321">
        <v>0.10585067100614654</v>
      </c>
    </row>
    <row r="7322" spans="1:2" x14ac:dyDescent="0.2">
      <c r="A7322">
        <v>7316</v>
      </c>
      <c r="B7322">
        <v>0.94863031903740325</v>
      </c>
    </row>
    <row r="7323" spans="1:2" x14ac:dyDescent="0.2">
      <c r="A7323">
        <v>7317</v>
      </c>
      <c r="B7323">
        <v>0.98325173507950259</v>
      </c>
    </row>
    <row r="7324" spans="1:2" x14ac:dyDescent="0.2">
      <c r="A7324">
        <v>7318</v>
      </c>
      <c r="B7324">
        <v>0.38927075974706082</v>
      </c>
    </row>
    <row r="7325" spans="1:2" x14ac:dyDescent="0.2">
      <c r="A7325">
        <v>7319</v>
      </c>
      <c r="B7325">
        <v>0.86845063158005975</v>
      </c>
    </row>
    <row r="7326" spans="1:2" x14ac:dyDescent="0.2">
      <c r="A7326">
        <v>7320</v>
      </c>
      <c r="B7326">
        <v>7.1294956447303437E-2</v>
      </c>
    </row>
    <row r="7327" spans="1:2" x14ac:dyDescent="0.2">
      <c r="A7327">
        <v>7321</v>
      </c>
      <c r="B7327">
        <v>0.29036498370434249</v>
      </c>
    </row>
    <row r="7328" spans="1:2" x14ac:dyDescent="0.2">
      <c r="A7328">
        <v>7322</v>
      </c>
      <c r="B7328">
        <v>1.2389813794884685E-2</v>
      </c>
    </row>
    <row r="7329" spans="1:2" x14ac:dyDescent="0.2">
      <c r="A7329">
        <v>7323</v>
      </c>
      <c r="B7329">
        <v>0.67815506940519088</v>
      </c>
    </row>
    <row r="7330" spans="1:2" x14ac:dyDescent="0.2">
      <c r="A7330">
        <v>7324</v>
      </c>
      <c r="B7330">
        <v>0.49163606413938765</v>
      </c>
    </row>
    <row r="7331" spans="1:2" x14ac:dyDescent="0.2">
      <c r="A7331">
        <v>7325</v>
      </c>
      <c r="B7331">
        <v>0.20237327477850098</v>
      </c>
    </row>
    <row r="7332" spans="1:2" x14ac:dyDescent="0.2">
      <c r="A7332">
        <v>7326</v>
      </c>
      <c r="B7332">
        <v>0.22142311629866429</v>
      </c>
    </row>
    <row r="7333" spans="1:2" x14ac:dyDescent="0.2">
      <c r="A7333">
        <v>7327</v>
      </c>
      <c r="B7333">
        <v>0.4693751276909337</v>
      </c>
    </row>
    <row r="7334" spans="1:2" x14ac:dyDescent="0.2">
      <c r="A7334">
        <v>7328</v>
      </c>
      <c r="B7334">
        <v>0.10100758544128474</v>
      </c>
    </row>
    <row r="7335" spans="1:2" x14ac:dyDescent="0.2">
      <c r="A7335">
        <v>7329</v>
      </c>
      <c r="B7335">
        <v>0.78728222649286939</v>
      </c>
    </row>
    <row r="7336" spans="1:2" x14ac:dyDescent="0.2">
      <c r="A7336">
        <v>7330</v>
      </c>
      <c r="B7336">
        <v>0.42062447219965549</v>
      </c>
    </row>
    <row r="7337" spans="1:2" x14ac:dyDescent="0.2">
      <c r="A7337">
        <v>7331</v>
      </c>
      <c r="B7337">
        <v>0.51398856348034327</v>
      </c>
    </row>
    <row r="7338" spans="1:2" x14ac:dyDescent="0.2">
      <c r="A7338">
        <v>7332</v>
      </c>
      <c r="B7338">
        <v>0.75114643849900808</v>
      </c>
    </row>
    <row r="7339" spans="1:2" x14ac:dyDescent="0.2">
      <c r="A7339">
        <v>7333</v>
      </c>
      <c r="B7339">
        <v>0.6333395183181233</v>
      </c>
    </row>
    <row r="7340" spans="1:2" x14ac:dyDescent="0.2">
      <c r="A7340">
        <v>7334</v>
      </c>
      <c r="B7340">
        <v>0.17180825969308244</v>
      </c>
    </row>
    <row r="7341" spans="1:2" x14ac:dyDescent="0.2">
      <c r="A7341">
        <v>7335</v>
      </c>
      <c r="B7341">
        <v>7.3313413906575753E-2</v>
      </c>
    </row>
    <row r="7342" spans="1:2" x14ac:dyDescent="0.2">
      <c r="A7342">
        <v>7336</v>
      </c>
      <c r="B7342">
        <v>0.18693670864059242</v>
      </c>
    </row>
    <row r="7343" spans="1:2" x14ac:dyDescent="0.2">
      <c r="A7343">
        <v>7337</v>
      </c>
      <c r="B7343">
        <v>0.43328376056209139</v>
      </c>
    </row>
    <row r="7344" spans="1:2" x14ac:dyDescent="0.2">
      <c r="A7344">
        <v>7338</v>
      </c>
      <c r="B7344">
        <v>0.92405873743954603</v>
      </c>
    </row>
    <row r="7345" spans="1:2" x14ac:dyDescent="0.2">
      <c r="A7345">
        <v>7339</v>
      </c>
      <c r="B7345">
        <v>0.66497547234288934</v>
      </c>
    </row>
    <row r="7346" spans="1:2" x14ac:dyDescent="0.2">
      <c r="A7346">
        <v>7340</v>
      </c>
      <c r="B7346">
        <v>0.53422195217655744</v>
      </c>
    </row>
    <row r="7347" spans="1:2" x14ac:dyDescent="0.2">
      <c r="A7347">
        <v>7341</v>
      </c>
      <c r="B7347">
        <v>0.63562771273898211</v>
      </c>
    </row>
    <row r="7348" spans="1:2" x14ac:dyDescent="0.2">
      <c r="A7348">
        <v>7342</v>
      </c>
      <c r="B7348">
        <v>0.43002609854431406</v>
      </c>
    </row>
    <row r="7349" spans="1:2" x14ac:dyDescent="0.2">
      <c r="A7349">
        <v>7343</v>
      </c>
      <c r="B7349">
        <v>0.42248528919707629</v>
      </c>
    </row>
    <row r="7350" spans="1:2" x14ac:dyDescent="0.2">
      <c r="A7350">
        <v>7344</v>
      </c>
      <c r="B7350">
        <v>0.86211771228367895</v>
      </c>
    </row>
    <row r="7351" spans="1:2" x14ac:dyDescent="0.2">
      <c r="A7351">
        <v>7345</v>
      </c>
      <c r="B7351">
        <v>0.96305742043298437</v>
      </c>
    </row>
    <row r="7352" spans="1:2" x14ac:dyDescent="0.2">
      <c r="A7352">
        <v>7346</v>
      </c>
      <c r="B7352">
        <v>1.0212824152729838E-2</v>
      </c>
    </row>
    <row r="7353" spans="1:2" x14ac:dyDescent="0.2">
      <c r="A7353">
        <v>7347</v>
      </c>
      <c r="B7353">
        <v>0.68450549883692768</v>
      </c>
    </row>
    <row r="7354" spans="1:2" x14ac:dyDescent="0.2">
      <c r="A7354">
        <v>7348</v>
      </c>
      <c r="B7354">
        <v>0.63625410818980421</v>
      </c>
    </row>
    <row r="7355" spans="1:2" x14ac:dyDescent="0.2">
      <c r="A7355">
        <v>7349</v>
      </c>
      <c r="B7355">
        <v>0.94033251702582255</v>
      </c>
    </row>
    <row r="7356" spans="1:2" x14ac:dyDescent="0.2">
      <c r="A7356">
        <v>7350</v>
      </c>
      <c r="B7356">
        <v>0.77285477381091905</v>
      </c>
    </row>
    <row r="7357" spans="1:2" x14ac:dyDescent="0.2">
      <c r="A7357">
        <v>7351</v>
      </c>
      <c r="B7357">
        <v>0.59645956635821584</v>
      </c>
    </row>
    <row r="7358" spans="1:2" x14ac:dyDescent="0.2">
      <c r="A7358">
        <v>7352</v>
      </c>
      <c r="B7358">
        <v>0.80024255232718056</v>
      </c>
    </row>
    <row r="7359" spans="1:2" x14ac:dyDescent="0.2">
      <c r="A7359">
        <v>7353</v>
      </c>
      <c r="B7359">
        <v>0.18115881892477004</v>
      </c>
    </row>
    <row r="7360" spans="1:2" x14ac:dyDescent="0.2">
      <c r="A7360">
        <v>7354</v>
      </c>
      <c r="B7360">
        <v>0.63992026085952725</v>
      </c>
    </row>
    <row r="7361" spans="1:2" x14ac:dyDescent="0.2">
      <c r="A7361">
        <v>7355</v>
      </c>
      <c r="B7361">
        <v>0.10361453723119951</v>
      </c>
    </row>
    <row r="7362" spans="1:2" x14ac:dyDescent="0.2">
      <c r="A7362">
        <v>7356</v>
      </c>
      <c r="B7362">
        <v>0.62294068351452603</v>
      </c>
    </row>
    <row r="7363" spans="1:2" x14ac:dyDescent="0.2">
      <c r="A7363">
        <v>7357</v>
      </c>
      <c r="B7363">
        <v>0.41237646467148859</v>
      </c>
    </row>
    <row r="7364" spans="1:2" x14ac:dyDescent="0.2">
      <c r="A7364">
        <v>7358</v>
      </c>
      <c r="B7364">
        <v>0.10633080408730844</v>
      </c>
    </row>
    <row r="7365" spans="1:2" x14ac:dyDescent="0.2">
      <c r="A7365">
        <v>7359</v>
      </c>
      <c r="B7365">
        <v>0.98885250348396159</v>
      </c>
    </row>
    <row r="7366" spans="1:2" x14ac:dyDescent="0.2">
      <c r="A7366">
        <v>7360</v>
      </c>
      <c r="B7366">
        <v>0.4744520001261332</v>
      </c>
    </row>
    <row r="7367" spans="1:2" x14ac:dyDescent="0.2">
      <c r="A7367">
        <v>7361</v>
      </c>
      <c r="B7367">
        <v>0.48448488139024626</v>
      </c>
    </row>
    <row r="7368" spans="1:2" x14ac:dyDescent="0.2">
      <c r="A7368">
        <v>7362</v>
      </c>
      <c r="B7368">
        <v>0.72815887827165582</v>
      </c>
    </row>
    <row r="7369" spans="1:2" x14ac:dyDescent="0.2">
      <c r="A7369">
        <v>7363</v>
      </c>
      <c r="B7369">
        <v>0.65755372388909172</v>
      </c>
    </row>
    <row r="7370" spans="1:2" x14ac:dyDescent="0.2">
      <c r="A7370">
        <v>7364</v>
      </c>
      <c r="B7370">
        <v>0.93165684688808814</v>
      </c>
    </row>
    <row r="7371" spans="1:2" x14ac:dyDescent="0.2">
      <c r="A7371">
        <v>7365</v>
      </c>
      <c r="B7371">
        <v>0.2712668201494457</v>
      </c>
    </row>
    <row r="7372" spans="1:2" x14ac:dyDescent="0.2">
      <c r="A7372">
        <v>7366</v>
      </c>
      <c r="B7372">
        <v>0.77541081223159647</v>
      </c>
    </row>
    <row r="7373" spans="1:2" x14ac:dyDescent="0.2">
      <c r="A7373">
        <v>7367</v>
      </c>
      <c r="B7373">
        <v>0.91326805086734997</v>
      </c>
    </row>
    <row r="7374" spans="1:2" x14ac:dyDescent="0.2">
      <c r="A7374">
        <v>7368</v>
      </c>
      <c r="B7374">
        <v>0.10967822884327239</v>
      </c>
    </row>
    <row r="7375" spans="1:2" x14ac:dyDescent="0.2">
      <c r="A7375">
        <v>7369</v>
      </c>
      <c r="B7375">
        <v>0.71851372116875023</v>
      </c>
    </row>
    <row r="7376" spans="1:2" x14ac:dyDescent="0.2">
      <c r="A7376">
        <v>7370</v>
      </c>
      <c r="B7376">
        <v>8.4568630151573898E-2</v>
      </c>
    </row>
    <row r="7377" spans="1:2" x14ac:dyDescent="0.2">
      <c r="A7377">
        <v>7371</v>
      </c>
      <c r="B7377">
        <v>0.91780135334643453</v>
      </c>
    </row>
    <row r="7378" spans="1:2" x14ac:dyDescent="0.2">
      <c r="A7378">
        <v>7372</v>
      </c>
      <c r="B7378">
        <v>0.65130256721676516</v>
      </c>
    </row>
    <row r="7379" spans="1:2" x14ac:dyDescent="0.2">
      <c r="A7379">
        <v>7373</v>
      </c>
      <c r="B7379">
        <v>0.87275425579735733</v>
      </c>
    </row>
    <row r="7380" spans="1:2" x14ac:dyDescent="0.2">
      <c r="A7380">
        <v>7374</v>
      </c>
      <c r="B7380">
        <v>0.26378925899543537</v>
      </c>
    </row>
    <row r="7381" spans="1:2" x14ac:dyDescent="0.2">
      <c r="A7381">
        <v>7375</v>
      </c>
      <c r="B7381">
        <v>0.98966793425431632</v>
      </c>
    </row>
    <row r="7382" spans="1:2" x14ac:dyDescent="0.2">
      <c r="A7382">
        <v>7376</v>
      </c>
      <c r="B7382">
        <v>0.78217415163364101</v>
      </c>
    </row>
    <row r="7383" spans="1:2" x14ac:dyDescent="0.2">
      <c r="A7383">
        <v>7377</v>
      </c>
      <c r="B7383">
        <v>0.66935224063546839</v>
      </c>
    </row>
    <row r="7384" spans="1:2" x14ac:dyDescent="0.2">
      <c r="A7384">
        <v>7378</v>
      </c>
      <c r="B7384">
        <v>0.88016881876623543</v>
      </c>
    </row>
    <row r="7385" spans="1:2" x14ac:dyDescent="0.2">
      <c r="A7385">
        <v>7379</v>
      </c>
      <c r="B7385">
        <v>0.80743908825507715</v>
      </c>
    </row>
    <row r="7386" spans="1:2" x14ac:dyDescent="0.2">
      <c r="A7386">
        <v>7380</v>
      </c>
      <c r="B7386">
        <v>0.17805371993194086</v>
      </c>
    </row>
    <row r="7387" spans="1:2" x14ac:dyDescent="0.2">
      <c r="A7387">
        <v>7381</v>
      </c>
      <c r="B7387">
        <v>0.25809385024602316</v>
      </c>
    </row>
    <row r="7388" spans="1:2" x14ac:dyDescent="0.2">
      <c r="A7388">
        <v>7382</v>
      </c>
      <c r="B7388">
        <v>0.44059122694066832</v>
      </c>
    </row>
    <row r="7389" spans="1:2" x14ac:dyDescent="0.2">
      <c r="A7389">
        <v>7383</v>
      </c>
      <c r="B7389">
        <v>0.55693101890954122</v>
      </c>
    </row>
    <row r="7390" spans="1:2" x14ac:dyDescent="0.2">
      <c r="A7390">
        <v>7384</v>
      </c>
      <c r="B7390">
        <v>0.45374187605900929</v>
      </c>
    </row>
    <row r="7391" spans="1:2" x14ac:dyDescent="0.2">
      <c r="A7391">
        <v>7385</v>
      </c>
      <c r="B7391">
        <v>0.44868418362737572</v>
      </c>
    </row>
    <row r="7392" spans="1:2" x14ac:dyDescent="0.2">
      <c r="A7392">
        <v>7386</v>
      </c>
      <c r="B7392">
        <v>0.30963671088901235</v>
      </c>
    </row>
    <row r="7393" spans="1:2" x14ac:dyDescent="0.2">
      <c r="A7393">
        <v>7387</v>
      </c>
      <c r="B7393">
        <v>4.6786965121849544E-2</v>
      </c>
    </row>
    <row r="7394" spans="1:2" x14ac:dyDescent="0.2">
      <c r="A7394">
        <v>7388</v>
      </c>
      <c r="B7394">
        <v>0.93755363220440679</v>
      </c>
    </row>
    <row r="7395" spans="1:2" x14ac:dyDescent="0.2">
      <c r="A7395">
        <v>7389</v>
      </c>
      <c r="B7395">
        <v>0.13499113531813811</v>
      </c>
    </row>
    <row r="7396" spans="1:2" x14ac:dyDescent="0.2">
      <c r="A7396">
        <v>7390</v>
      </c>
      <c r="B7396">
        <v>0.59513024628710598</v>
      </c>
    </row>
    <row r="7397" spans="1:2" x14ac:dyDescent="0.2">
      <c r="A7397">
        <v>7391</v>
      </c>
      <c r="B7397">
        <v>0.34869409486306591</v>
      </c>
    </row>
    <row r="7398" spans="1:2" x14ac:dyDescent="0.2">
      <c r="A7398">
        <v>7392</v>
      </c>
      <c r="B7398">
        <v>0.65600056930410122</v>
      </c>
    </row>
    <row r="7399" spans="1:2" x14ac:dyDescent="0.2">
      <c r="A7399">
        <v>7393</v>
      </c>
      <c r="B7399">
        <v>0.55029972364847979</v>
      </c>
    </row>
    <row r="7400" spans="1:2" x14ac:dyDescent="0.2">
      <c r="A7400">
        <v>7394</v>
      </c>
      <c r="B7400">
        <v>0.75175588065216115</v>
      </c>
    </row>
    <row r="7401" spans="1:2" x14ac:dyDescent="0.2">
      <c r="A7401">
        <v>7395</v>
      </c>
      <c r="B7401">
        <v>0.15166178664006991</v>
      </c>
    </row>
    <row r="7402" spans="1:2" x14ac:dyDescent="0.2">
      <c r="A7402">
        <v>7396</v>
      </c>
      <c r="B7402">
        <v>0.14681263665848454</v>
      </c>
    </row>
    <row r="7403" spans="1:2" x14ac:dyDescent="0.2">
      <c r="A7403">
        <v>7397</v>
      </c>
      <c r="B7403">
        <v>0.91392689937302229</v>
      </c>
    </row>
    <row r="7404" spans="1:2" x14ac:dyDescent="0.2">
      <c r="A7404">
        <v>7398</v>
      </c>
      <c r="B7404">
        <v>0.1282238562681649</v>
      </c>
    </row>
    <row r="7405" spans="1:2" x14ac:dyDescent="0.2">
      <c r="A7405">
        <v>7399</v>
      </c>
      <c r="B7405">
        <v>0.1642927612294478</v>
      </c>
    </row>
    <row r="7406" spans="1:2" x14ac:dyDescent="0.2">
      <c r="A7406">
        <v>7400</v>
      </c>
      <c r="B7406">
        <v>0.25266742476500381</v>
      </c>
    </row>
    <row r="7407" spans="1:2" x14ac:dyDescent="0.2">
      <c r="A7407">
        <v>7401</v>
      </c>
      <c r="B7407">
        <v>0.83631604554300121</v>
      </c>
    </row>
    <row r="7408" spans="1:2" x14ac:dyDescent="0.2">
      <c r="A7408">
        <v>7402</v>
      </c>
      <c r="B7408">
        <v>0.63178804934931265</v>
      </c>
    </row>
    <row r="7409" spans="1:2" x14ac:dyDescent="0.2">
      <c r="A7409">
        <v>7403</v>
      </c>
      <c r="B7409">
        <v>0.52805115347743081</v>
      </c>
    </row>
    <row r="7410" spans="1:2" x14ac:dyDescent="0.2">
      <c r="A7410">
        <v>7404</v>
      </c>
      <c r="B7410">
        <v>0.49401594674073634</v>
      </c>
    </row>
    <row r="7411" spans="1:2" x14ac:dyDescent="0.2">
      <c r="A7411">
        <v>7405</v>
      </c>
      <c r="B7411">
        <v>0.6541115682638543</v>
      </c>
    </row>
    <row r="7412" spans="1:2" x14ac:dyDescent="0.2">
      <c r="A7412">
        <v>7406</v>
      </c>
      <c r="B7412">
        <v>0.75119103267506315</v>
      </c>
    </row>
    <row r="7413" spans="1:2" x14ac:dyDescent="0.2">
      <c r="A7413">
        <v>7407</v>
      </c>
      <c r="B7413">
        <v>0.92006735749465196</v>
      </c>
    </row>
    <row r="7414" spans="1:2" x14ac:dyDescent="0.2">
      <c r="A7414">
        <v>7408</v>
      </c>
      <c r="B7414">
        <v>0.17217082010284745</v>
      </c>
    </row>
    <row r="7415" spans="1:2" x14ac:dyDescent="0.2">
      <c r="A7415">
        <v>7409</v>
      </c>
      <c r="B7415">
        <v>0.6570081960586055</v>
      </c>
    </row>
    <row r="7416" spans="1:2" x14ac:dyDescent="0.2">
      <c r="A7416">
        <v>7410</v>
      </c>
      <c r="B7416">
        <v>0.74352049598480818</v>
      </c>
    </row>
    <row r="7417" spans="1:2" x14ac:dyDescent="0.2">
      <c r="A7417">
        <v>7411</v>
      </c>
      <c r="B7417">
        <v>0.50751408361124939</v>
      </c>
    </row>
    <row r="7418" spans="1:2" x14ac:dyDescent="0.2">
      <c r="A7418">
        <v>7412</v>
      </c>
      <c r="B7418">
        <v>0.77162341490269837</v>
      </c>
    </row>
    <row r="7419" spans="1:2" x14ac:dyDescent="0.2">
      <c r="A7419">
        <v>7413</v>
      </c>
      <c r="B7419">
        <v>0.61314841984843182</v>
      </c>
    </row>
    <row r="7420" spans="1:2" x14ac:dyDescent="0.2">
      <c r="A7420">
        <v>7414</v>
      </c>
      <c r="B7420">
        <v>0.58574987568459769</v>
      </c>
    </row>
    <row r="7421" spans="1:2" x14ac:dyDescent="0.2">
      <c r="A7421">
        <v>7415</v>
      </c>
      <c r="B7421">
        <v>0.99110186960617153</v>
      </c>
    </row>
    <row r="7422" spans="1:2" x14ac:dyDescent="0.2">
      <c r="A7422">
        <v>7416</v>
      </c>
      <c r="B7422">
        <v>0.23832293367032154</v>
      </c>
    </row>
    <row r="7423" spans="1:2" x14ac:dyDescent="0.2">
      <c r="A7423">
        <v>7417</v>
      </c>
      <c r="B7423">
        <v>0.38279460516415076</v>
      </c>
    </row>
    <row r="7424" spans="1:2" x14ac:dyDescent="0.2">
      <c r="A7424">
        <v>7418</v>
      </c>
      <c r="B7424">
        <v>0.73477272760725598</v>
      </c>
    </row>
    <row r="7425" spans="1:2" x14ac:dyDescent="0.2">
      <c r="A7425">
        <v>7419</v>
      </c>
      <c r="B7425">
        <v>0.69746055507159932</v>
      </c>
    </row>
    <row r="7426" spans="1:2" x14ac:dyDescent="0.2">
      <c r="A7426">
        <v>7420</v>
      </c>
      <c r="B7426">
        <v>0.49708379714726048</v>
      </c>
    </row>
    <row r="7427" spans="1:2" x14ac:dyDescent="0.2">
      <c r="A7427">
        <v>7421</v>
      </c>
      <c r="B7427">
        <v>0.69537789610342615</v>
      </c>
    </row>
    <row r="7428" spans="1:2" x14ac:dyDescent="0.2">
      <c r="A7428">
        <v>7422</v>
      </c>
      <c r="B7428">
        <v>0.39101872681643024</v>
      </c>
    </row>
    <row r="7429" spans="1:2" x14ac:dyDescent="0.2">
      <c r="A7429">
        <v>7423</v>
      </c>
      <c r="B7429">
        <v>0.56882603579366642</v>
      </c>
    </row>
    <row r="7430" spans="1:2" x14ac:dyDescent="0.2">
      <c r="A7430">
        <v>7424</v>
      </c>
      <c r="B7430">
        <v>0.65917006673307676</v>
      </c>
    </row>
    <row r="7431" spans="1:2" x14ac:dyDescent="0.2">
      <c r="A7431">
        <v>7425</v>
      </c>
      <c r="B7431">
        <v>0.10274739576730851</v>
      </c>
    </row>
    <row r="7432" spans="1:2" x14ac:dyDescent="0.2">
      <c r="A7432">
        <v>7426</v>
      </c>
      <c r="B7432">
        <v>0.34927049997663118</v>
      </c>
    </row>
    <row r="7433" spans="1:2" x14ac:dyDescent="0.2">
      <c r="A7433">
        <v>7427</v>
      </c>
      <c r="B7433">
        <v>0.68354544150303309</v>
      </c>
    </row>
    <row r="7434" spans="1:2" x14ac:dyDescent="0.2">
      <c r="A7434">
        <v>7428</v>
      </c>
      <c r="B7434">
        <v>0.37379060749531179</v>
      </c>
    </row>
    <row r="7435" spans="1:2" x14ac:dyDescent="0.2">
      <c r="A7435">
        <v>7429</v>
      </c>
      <c r="B7435">
        <v>0.41578493133158578</v>
      </c>
    </row>
    <row r="7436" spans="1:2" x14ac:dyDescent="0.2">
      <c r="A7436">
        <v>7430</v>
      </c>
      <c r="B7436">
        <v>0.90091668099421029</v>
      </c>
    </row>
    <row r="7437" spans="1:2" x14ac:dyDescent="0.2">
      <c r="A7437">
        <v>7431</v>
      </c>
      <c r="B7437">
        <v>0.18143838771939702</v>
      </c>
    </row>
    <row r="7438" spans="1:2" x14ac:dyDescent="0.2">
      <c r="A7438">
        <v>7432</v>
      </c>
      <c r="B7438">
        <v>0.19156590923970696</v>
      </c>
    </row>
    <row r="7439" spans="1:2" x14ac:dyDescent="0.2">
      <c r="A7439">
        <v>7433</v>
      </c>
      <c r="B7439">
        <v>0.37812592392727784</v>
      </c>
    </row>
    <row r="7440" spans="1:2" x14ac:dyDescent="0.2">
      <c r="A7440">
        <v>7434</v>
      </c>
      <c r="B7440">
        <v>0.14799549776720811</v>
      </c>
    </row>
    <row r="7441" spans="1:2" x14ac:dyDescent="0.2">
      <c r="A7441">
        <v>7435</v>
      </c>
      <c r="B7441">
        <v>6.3705820800188051E-2</v>
      </c>
    </row>
    <row r="7442" spans="1:2" x14ac:dyDescent="0.2">
      <c r="A7442">
        <v>7436</v>
      </c>
      <c r="B7442">
        <v>0.11083572133376818</v>
      </c>
    </row>
    <row r="7443" spans="1:2" x14ac:dyDescent="0.2">
      <c r="A7443">
        <v>7437</v>
      </c>
      <c r="B7443">
        <v>0.31873034223190189</v>
      </c>
    </row>
    <row r="7444" spans="1:2" x14ac:dyDescent="0.2">
      <c r="A7444">
        <v>7438</v>
      </c>
      <c r="B7444">
        <v>0.41415071633246603</v>
      </c>
    </row>
    <row r="7445" spans="1:2" x14ac:dyDescent="0.2">
      <c r="A7445">
        <v>7439</v>
      </c>
      <c r="B7445">
        <v>1.3170427513395144E-2</v>
      </c>
    </row>
    <row r="7446" spans="1:2" x14ac:dyDescent="0.2">
      <c r="A7446">
        <v>7440</v>
      </c>
      <c r="B7446">
        <v>0.19736940734529873</v>
      </c>
    </row>
    <row r="7447" spans="1:2" x14ac:dyDescent="0.2">
      <c r="A7447">
        <v>7441</v>
      </c>
      <c r="B7447">
        <v>0.99953236113796429</v>
      </c>
    </row>
    <row r="7448" spans="1:2" x14ac:dyDescent="0.2">
      <c r="A7448">
        <v>7442</v>
      </c>
      <c r="B7448">
        <v>0.73039021252236369</v>
      </c>
    </row>
    <row r="7449" spans="1:2" x14ac:dyDescent="0.2">
      <c r="A7449">
        <v>7443</v>
      </c>
      <c r="B7449">
        <v>5.7719154268892292E-2</v>
      </c>
    </row>
    <row r="7450" spans="1:2" x14ac:dyDescent="0.2">
      <c r="A7450">
        <v>7444</v>
      </c>
      <c r="B7450">
        <v>0.525363223175636</v>
      </c>
    </row>
    <row r="7451" spans="1:2" x14ac:dyDescent="0.2">
      <c r="A7451">
        <v>7445</v>
      </c>
      <c r="B7451">
        <v>0.95393436177741386</v>
      </c>
    </row>
    <row r="7452" spans="1:2" x14ac:dyDescent="0.2">
      <c r="A7452">
        <v>7446</v>
      </c>
      <c r="B7452">
        <v>0.29178589288452184</v>
      </c>
    </row>
    <row r="7453" spans="1:2" x14ac:dyDescent="0.2">
      <c r="A7453">
        <v>7447</v>
      </c>
      <c r="B7453">
        <v>0.29509686524798184</v>
      </c>
    </row>
    <row r="7454" spans="1:2" x14ac:dyDescent="0.2">
      <c r="A7454">
        <v>7448</v>
      </c>
      <c r="B7454">
        <v>0.19708026745299911</v>
      </c>
    </row>
    <row r="7455" spans="1:2" x14ac:dyDescent="0.2">
      <c r="A7455">
        <v>7449</v>
      </c>
      <c r="B7455">
        <v>0.92648751036663568</v>
      </c>
    </row>
    <row r="7456" spans="1:2" x14ac:dyDescent="0.2">
      <c r="A7456">
        <v>7450</v>
      </c>
      <c r="B7456">
        <v>0.79091028801618246</v>
      </c>
    </row>
    <row r="7457" spans="1:2" x14ac:dyDescent="0.2">
      <c r="A7457">
        <v>7451</v>
      </c>
      <c r="B7457">
        <v>7.1518349465410358E-2</v>
      </c>
    </row>
    <row r="7458" spans="1:2" x14ac:dyDescent="0.2">
      <c r="A7458">
        <v>7452</v>
      </c>
      <c r="B7458">
        <v>0.93997914005354866</v>
      </c>
    </row>
    <row r="7459" spans="1:2" x14ac:dyDescent="0.2">
      <c r="A7459">
        <v>7453</v>
      </c>
      <c r="B7459">
        <v>0.36513743242550456</v>
      </c>
    </row>
    <row r="7460" spans="1:2" x14ac:dyDescent="0.2">
      <c r="A7460">
        <v>7454</v>
      </c>
      <c r="B7460">
        <v>0.65117428127425547</v>
      </c>
    </row>
    <row r="7461" spans="1:2" x14ac:dyDescent="0.2">
      <c r="A7461">
        <v>7455</v>
      </c>
      <c r="B7461">
        <v>0.8582808558514341</v>
      </c>
    </row>
    <row r="7462" spans="1:2" x14ac:dyDescent="0.2">
      <c r="A7462">
        <v>7456</v>
      </c>
      <c r="B7462">
        <v>0.2420251446348195</v>
      </c>
    </row>
    <row r="7463" spans="1:2" x14ac:dyDescent="0.2">
      <c r="A7463">
        <v>7457</v>
      </c>
      <c r="B7463">
        <v>0.52924854215498029</v>
      </c>
    </row>
    <row r="7464" spans="1:2" x14ac:dyDescent="0.2">
      <c r="A7464">
        <v>7458</v>
      </c>
      <c r="B7464">
        <v>0.79219357084093334</v>
      </c>
    </row>
    <row r="7465" spans="1:2" x14ac:dyDescent="0.2">
      <c r="A7465">
        <v>7459</v>
      </c>
      <c r="B7465">
        <v>0.67235842435223647</v>
      </c>
    </row>
    <row r="7466" spans="1:2" x14ac:dyDescent="0.2">
      <c r="A7466">
        <v>7460</v>
      </c>
      <c r="B7466">
        <v>0.52942306102070102</v>
      </c>
    </row>
    <row r="7467" spans="1:2" x14ac:dyDescent="0.2">
      <c r="A7467">
        <v>7461</v>
      </c>
      <c r="B7467">
        <v>0.90757618538393903</v>
      </c>
    </row>
    <row r="7468" spans="1:2" x14ac:dyDescent="0.2">
      <c r="A7468">
        <v>7462</v>
      </c>
      <c r="B7468">
        <v>0.90546200936770038</v>
      </c>
    </row>
    <row r="7469" spans="1:2" x14ac:dyDescent="0.2">
      <c r="A7469">
        <v>7463</v>
      </c>
      <c r="B7469">
        <v>0.47524606676983439</v>
      </c>
    </row>
    <row r="7470" spans="1:2" x14ac:dyDescent="0.2">
      <c r="A7470">
        <v>7464</v>
      </c>
      <c r="B7470">
        <v>5.9166654626262916E-2</v>
      </c>
    </row>
    <row r="7471" spans="1:2" x14ac:dyDescent="0.2">
      <c r="A7471">
        <v>7465</v>
      </c>
      <c r="B7471">
        <v>0.98998370349061726</v>
      </c>
    </row>
    <row r="7472" spans="1:2" x14ac:dyDescent="0.2">
      <c r="A7472">
        <v>7466</v>
      </c>
      <c r="B7472">
        <v>0.9975044618247948</v>
      </c>
    </row>
    <row r="7473" spans="1:2" x14ac:dyDescent="0.2">
      <c r="A7473">
        <v>7467</v>
      </c>
      <c r="B7473">
        <v>0.82397472159801155</v>
      </c>
    </row>
    <row r="7474" spans="1:2" x14ac:dyDescent="0.2">
      <c r="A7474">
        <v>7468</v>
      </c>
      <c r="B7474">
        <v>1.7190263969040775E-2</v>
      </c>
    </row>
    <row r="7475" spans="1:2" x14ac:dyDescent="0.2">
      <c r="A7475">
        <v>7469</v>
      </c>
      <c r="B7475">
        <v>0.71590934455607569</v>
      </c>
    </row>
    <row r="7476" spans="1:2" x14ac:dyDescent="0.2">
      <c r="A7476">
        <v>7470</v>
      </c>
      <c r="B7476">
        <v>0.69573671138857363</v>
      </c>
    </row>
    <row r="7477" spans="1:2" x14ac:dyDescent="0.2">
      <c r="A7477">
        <v>7471</v>
      </c>
      <c r="B7477">
        <v>0.4034966033948103</v>
      </c>
    </row>
    <row r="7478" spans="1:2" x14ac:dyDescent="0.2">
      <c r="A7478">
        <v>7472</v>
      </c>
      <c r="B7478">
        <v>0.90584226547760227</v>
      </c>
    </row>
    <row r="7479" spans="1:2" x14ac:dyDescent="0.2">
      <c r="A7479">
        <v>7473</v>
      </c>
      <c r="B7479">
        <v>0.43951951145906454</v>
      </c>
    </row>
    <row r="7480" spans="1:2" x14ac:dyDescent="0.2">
      <c r="A7480">
        <v>7474</v>
      </c>
      <c r="B7480">
        <v>0.54069682420054199</v>
      </c>
    </row>
    <row r="7481" spans="1:2" x14ac:dyDescent="0.2">
      <c r="A7481">
        <v>7475</v>
      </c>
      <c r="B7481">
        <v>0.33495487944058011</v>
      </c>
    </row>
    <row r="7482" spans="1:2" x14ac:dyDescent="0.2">
      <c r="A7482">
        <v>7476</v>
      </c>
      <c r="B7482">
        <v>0.55727859460852036</v>
      </c>
    </row>
    <row r="7483" spans="1:2" x14ac:dyDescent="0.2">
      <c r="A7483">
        <v>7477</v>
      </c>
      <c r="B7483">
        <v>0.48810769709826396</v>
      </c>
    </row>
    <row r="7484" spans="1:2" x14ac:dyDescent="0.2">
      <c r="A7484">
        <v>7478</v>
      </c>
      <c r="B7484">
        <v>0.38269961968084454</v>
      </c>
    </row>
    <row r="7485" spans="1:2" x14ac:dyDescent="0.2">
      <c r="A7485">
        <v>7479</v>
      </c>
      <c r="B7485">
        <v>0.51534014919732329</v>
      </c>
    </row>
    <row r="7486" spans="1:2" x14ac:dyDescent="0.2">
      <c r="A7486">
        <v>7480</v>
      </c>
      <c r="B7486">
        <v>0.74712207751482629</v>
      </c>
    </row>
    <row r="7487" spans="1:2" x14ac:dyDescent="0.2">
      <c r="A7487">
        <v>7481</v>
      </c>
      <c r="B7487">
        <v>0.90309607744893006</v>
      </c>
    </row>
    <row r="7488" spans="1:2" x14ac:dyDescent="0.2">
      <c r="A7488">
        <v>7482</v>
      </c>
      <c r="B7488">
        <v>0.156055137252884</v>
      </c>
    </row>
    <row r="7489" spans="1:2" x14ac:dyDescent="0.2">
      <c r="A7489">
        <v>7483</v>
      </c>
      <c r="B7489">
        <v>0.72748626622739176</v>
      </c>
    </row>
    <row r="7490" spans="1:2" x14ac:dyDescent="0.2">
      <c r="A7490">
        <v>7484</v>
      </c>
      <c r="B7490">
        <v>0.41085247483057719</v>
      </c>
    </row>
    <row r="7491" spans="1:2" x14ac:dyDescent="0.2">
      <c r="A7491">
        <v>7485</v>
      </c>
      <c r="B7491">
        <v>0.41863032792857013</v>
      </c>
    </row>
    <row r="7492" spans="1:2" x14ac:dyDescent="0.2">
      <c r="A7492">
        <v>7486</v>
      </c>
      <c r="B7492">
        <v>0.29433764737248536</v>
      </c>
    </row>
    <row r="7493" spans="1:2" x14ac:dyDescent="0.2">
      <c r="A7493">
        <v>7487</v>
      </c>
      <c r="B7493">
        <v>0.32261945926058622</v>
      </c>
    </row>
    <row r="7494" spans="1:2" x14ac:dyDescent="0.2">
      <c r="A7494">
        <v>7488</v>
      </c>
      <c r="B7494">
        <v>0.67570532027535035</v>
      </c>
    </row>
    <row r="7495" spans="1:2" x14ac:dyDescent="0.2">
      <c r="A7495">
        <v>7489</v>
      </c>
      <c r="B7495">
        <v>0.40674230140301615</v>
      </c>
    </row>
    <row r="7496" spans="1:2" x14ac:dyDescent="0.2">
      <c r="A7496">
        <v>7490</v>
      </c>
      <c r="B7496">
        <v>0.12936460163974783</v>
      </c>
    </row>
    <row r="7497" spans="1:2" x14ac:dyDescent="0.2">
      <c r="A7497">
        <v>7491</v>
      </c>
      <c r="B7497">
        <v>0.53335062119211141</v>
      </c>
    </row>
    <row r="7498" spans="1:2" x14ac:dyDescent="0.2">
      <c r="A7498">
        <v>7492</v>
      </c>
      <c r="B7498">
        <v>0.34003171100890794</v>
      </c>
    </row>
    <row r="7499" spans="1:2" x14ac:dyDescent="0.2">
      <c r="A7499">
        <v>7493</v>
      </c>
      <c r="B7499">
        <v>0.23112007491971609</v>
      </c>
    </row>
    <row r="7500" spans="1:2" x14ac:dyDescent="0.2">
      <c r="A7500">
        <v>7494</v>
      </c>
      <c r="B7500">
        <v>0.76543374548023979</v>
      </c>
    </row>
    <row r="7501" spans="1:2" x14ac:dyDescent="0.2">
      <c r="A7501">
        <v>7495</v>
      </c>
      <c r="B7501">
        <v>0.15019257438809097</v>
      </c>
    </row>
    <row r="7502" spans="1:2" x14ac:dyDescent="0.2">
      <c r="A7502">
        <v>7496</v>
      </c>
      <c r="B7502">
        <v>0.28032648749506528</v>
      </c>
    </row>
    <row r="7503" spans="1:2" x14ac:dyDescent="0.2">
      <c r="A7503">
        <v>7497</v>
      </c>
      <c r="B7503">
        <v>0.46761430854230523</v>
      </c>
    </row>
    <row r="7504" spans="1:2" x14ac:dyDescent="0.2">
      <c r="A7504">
        <v>7498</v>
      </c>
      <c r="B7504">
        <v>0.24976813508945228</v>
      </c>
    </row>
    <row r="7505" spans="1:2" x14ac:dyDescent="0.2">
      <c r="A7505">
        <v>7499</v>
      </c>
      <c r="B7505">
        <v>6.456387048948431E-2</v>
      </c>
    </row>
    <row r="7506" spans="1:2" x14ac:dyDescent="0.2">
      <c r="A7506">
        <v>7500</v>
      </c>
      <c r="B7506">
        <v>0.42199719961269833</v>
      </c>
    </row>
    <row r="7507" spans="1:2" x14ac:dyDescent="0.2">
      <c r="A7507">
        <v>7501</v>
      </c>
      <c r="B7507">
        <v>0.55179682047221634</v>
      </c>
    </row>
    <row r="7508" spans="1:2" x14ac:dyDescent="0.2">
      <c r="A7508">
        <v>7502</v>
      </c>
      <c r="B7508">
        <v>0.72343014662639171</v>
      </c>
    </row>
    <row r="7509" spans="1:2" x14ac:dyDescent="0.2">
      <c r="A7509">
        <v>7503</v>
      </c>
      <c r="B7509">
        <v>0.43043206954273994</v>
      </c>
    </row>
    <row r="7510" spans="1:2" x14ac:dyDescent="0.2">
      <c r="A7510">
        <v>7504</v>
      </c>
      <c r="B7510">
        <v>0.39344026860849268</v>
      </c>
    </row>
    <row r="7511" spans="1:2" x14ac:dyDescent="0.2">
      <c r="A7511">
        <v>7505</v>
      </c>
      <c r="B7511">
        <v>0.92782078735167672</v>
      </c>
    </row>
    <row r="7512" spans="1:2" x14ac:dyDescent="0.2">
      <c r="A7512">
        <v>7506</v>
      </c>
      <c r="B7512">
        <v>0.85929575278373982</v>
      </c>
    </row>
    <row r="7513" spans="1:2" x14ac:dyDescent="0.2">
      <c r="A7513">
        <v>7507</v>
      </c>
      <c r="B7513">
        <v>0.35730708052105797</v>
      </c>
    </row>
    <row r="7514" spans="1:2" x14ac:dyDescent="0.2">
      <c r="A7514">
        <v>7508</v>
      </c>
      <c r="B7514">
        <v>0.85467081621122443</v>
      </c>
    </row>
    <row r="7515" spans="1:2" x14ac:dyDescent="0.2">
      <c r="A7515">
        <v>7509</v>
      </c>
      <c r="B7515">
        <v>0.40319058555403664</v>
      </c>
    </row>
    <row r="7516" spans="1:2" x14ac:dyDescent="0.2">
      <c r="A7516">
        <v>7510</v>
      </c>
      <c r="B7516">
        <v>0.74018416875859094</v>
      </c>
    </row>
    <row r="7517" spans="1:2" x14ac:dyDescent="0.2">
      <c r="A7517">
        <v>7511</v>
      </c>
      <c r="B7517">
        <v>0.98815036224453645</v>
      </c>
    </row>
    <row r="7518" spans="1:2" x14ac:dyDescent="0.2">
      <c r="A7518">
        <v>7512</v>
      </c>
      <c r="B7518">
        <v>0.41162246646416467</v>
      </c>
    </row>
    <row r="7519" spans="1:2" x14ac:dyDescent="0.2">
      <c r="A7519">
        <v>7513</v>
      </c>
      <c r="B7519">
        <v>6.3820223161308753E-2</v>
      </c>
    </row>
    <row r="7520" spans="1:2" x14ac:dyDescent="0.2">
      <c r="A7520">
        <v>7514</v>
      </c>
      <c r="B7520">
        <v>0.97616632223396516</v>
      </c>
    </row>
    <row r="7521" spans="1:2" x14ac:dyDescent="0.2">
      <c r="A7521">
        <v>7515</v>
      </c>
      <c r="B7521">
        <v>0.62019517946679659</v>
      </c>
    </row>
    <row r="7522" spans="1:2" x14ac:dyDescent="0.2">
      <c r="A7522">
        <v>7516</v>
      </c>
      <c r="B7522">
        <v>0.87162902539534848</v>
      </c>
    </row>
    <row r="7523" spans="1:2" x14ac:dyDescent="0.2">
      <c r="A7523">
        <v>7517</v>
      </c>
      <c r="B7523">
        <v>0.71717370583187012</v>
      </c>
    </row>
    <row r="7524" spans="1:2" x14ac:dyDescent="0.2">
      <c r="A7524">
        <v>7518</v>
      </c>
      <c r="B7524">
        <v>0.84491019884802554</v>
      </c>
    </row>
    <row r="7525" spans="1:2" x14ac:dyDescent="0.2">
      <c r="A7525">
        <v>7519</v>
      </c>
      <c r="B7525">
        <v>0.89816982924701672</v>
      </c>
    </row>
    <row r="7526" spans="1:2" x14ac:dyDescent="0.2">
      <c r="A7526">
        <v>7520</v>
      </c>
      <c r="B7526">
        <v>0.83095612192001644</v>
      </c>
    </row>
    <row r="7527" spans="1:2" x14ac:dyDescent="0.2">
      <c r="A7527">
        <v>7521</v>
      </c>
      <c r="B7527">
        <v>0.8196146170606845</v>
      </c>
    </row>
    <row r="7528" spans="1:2" x14ac:dyDescent="0.2">
      <c r="A7528">
        <v>7522</v>
      </c>
      <c r="B7528">
        <v>0.30816246185515517</v>
      </c>
    </row>
    <row r="7529" spans="1:2" x14ac:dyDescent="0.2">
      <c r="A7529">
        <v>7523</v>
      </c>
      <c r="B7529">
        <v>0.82780678729419666</v>
      </c>
    </row>
    <row r="7530" spans="1:2" x14ac:dyDescent="0.2">
      <c r="A7530">
        <v>7524</v>
      </c>
      <c r="B7530">
        <v>0.34843997917473768</v>
      </c>
    </row>
    <row r="7531" spans="1:2" x14ac:dyDescent="0.2">
      <c r="A7531">
        <v>7525</v>
      </c>
      <c r="B7531">
        <v>0.59852097584134734</v>
      </c>
    </row>
    <row r="7532" spans="1:2" x14ac:dyDescent="0.2">
      <c r="A7532">
        <v>7526</v>
      </c>
      <c r="B7532">
        <v>0.93623975159949258</v>
      </c>
    </row>
    <row r="7533" spans="1:2" x14ac:dyDescent="0.2">
      <c r="A7533">
        <v>7527</v>
      </c>
      <c r="B7533">
        <v>0.50781557819321999</v>
      </c>
    </row>
    <row r="7534" spans="1:2" x14ac:dyDescent="0.2">
      <c r="A7534">
        <v>7528</v>
      </c>
      <c r="B7534">
        <v>0.16349903857977677</v>
      </c>
    </row>
    <row r="7535" spans="1:2" x14ac:dyDescent="0.2">
      <c r="A7535">
        <v>7529</v>
      </c>
      <c r="B7535">
        <v>0.13029822610912878</v>
      </c>
    </row>
    <row r="7536" spans="1:2" x14ac:dyDescent="0.2">
      <c r="A7536">
        <v>7530</v>
      </c>
      <c r="B7536">
        <v>0.95377211331915357</v>
      </c>
    </row>
    <row r="7537" spans="1:2" x14ac:dyDescent="0.2">
      <c r="A7537">
        <v>7531</v>
      </c>
      <c r="B7537">
        <v>0.42908188977551964</v>
      </c>
    </row>
    <row r="7538" spans="1:2" x14ac:dyDescent="0.2">
      <c r="A7538">
        <v>7532</v>
      </c>
      <c r="B7538">
        <v>0.15578746947909827</v>
      </c>
    </row>
    <row r="7539" spans="1:2" x14ac:dyDescent="0.2">
      <c r="A7539">
        <v>7533</v>
      </c>
      <c r="B7539">
        <v>0.81882470628043824</v>
      </c>
    </row>
    <row r="7540" spans="1:2" x14ac:dyDescent="0.2">
      <c r="A7540">
        <v>7534</v>
      </c>
      <c r="B7540">
        <v>4.1633533192429684E-2</v>
      </c>
    </row>
    <row r="7541" spans="1:2" x14ac:dyDescent="0.2">
      <c r="A7541">
        <v>7535</v>
      </c>
      <c r="B7541">
        <v>0.40576586885569332</v>
      </c>
    </row>
    <row r="7542" spans="1:2" x14ac:dyDescent="0.2">
      <c r="A7542">
        <v>7536</v>
      </c>
      <c r="B7542">
        <v>0.71475684285475138</v>
      </c>
    </row>
    <row r="7543" spans="1:2" x14ac:dyDescent="0.2">
      <c r="A7543">
        <v>7537</v>
      </c>
      <c r="B7543">
        <v>0.40551084377448332</v>
      </c>
    </row>
    <row r="7544" spans="1:2" x14ac:dyDescent="0.2">
      <c r="A7544">
        <v>7538</v>
      </c>
      <c r="B7544">
        <v>0.3433562378910241</v>
      </c>
    </row>
    <row r="7545" spans="1:2" x14ac:dyDescent="0.2">
      <c r="A7545">
        <v>7539</v>
      </c>
      <c r="B7545">
        <v>0.56231034071919073</v>
      </c>
    </row>
    <row r="7546" spans="1:2" x14ac:dyDescent="0.2">
      <c r="A7546">
        <v>7540</v>
      </c>
      <c r="B7546">
        <v>0.91080405728710823</v>
      </c>
    </row>
    <row r="7547" spans="1:2" x14ac:dyDescent="0.2">
      <c r="A7547">
        <v>7541</v>
      </c>
      <c r="B7547">
        <v>0.10336222686814134</v>
      </c>
    </row>
    <row r="7548" spans="1:2" x14ac:dyDescent="0.2">
      <c r="A7548">
        <v>7542</v>
      </c>
      <c r="B7548">
        <v>0.38786579784972153</v>
      </c>
    </row>
    <row r="7549" spans="1:2" x14ac:dyDescent="0.2">
      <c r="A7549">
        <v>7543</v>
      </c>
      <c r="B7549">
        <v>0.82092468271470942</v>
      </c>
    </row>
    <row r="7550" spans="1:2" x14ac:dyDescent="0.2">
      <c r="A7550">
        <v>7544</v>
      </c>
      <c r="B7550">
        <v>0.61276615853552285</v>
      </c>
    </row>
    <row r="7551" spans="1:2" x14ac:dyDescent="0.2">
      <c r="A7551">
        <v>7545</v>
      </c>
      <c r="B7551">
        <v>2.5075376180326736E-2</v>
      </c>
    </row>
    <row r="7552" spans="1:2" x14ac:dyDescent="0.2">
      <c r="A7552">
        <v>7546</v>
      </c>
      <c r="B7552">
        <v>0.84172318082330333</v>
      </c>
    </row>
    <row r="7553" spans="1:2" x14ac:dyDescent="0.2">
      <c r="A7553">
        <v>7547</v>
      </c>
      <c r="B7553">
        <v>0.2052600329946529</v>
      </c>
    </row>
    <row r="7554" spans="1:2" x14ac:dyDescent="0.2">
      <c r="A7554">
        <v>7548</v>
      </c>
      <c r="B7554">
        <v>0.40566707961321491</v>
      </c>
    </row>
    <row r="7555" spans="1:2" x14ac:dyDescent="0.2">
      <c r="A7555">
        <v>7549</v>
      </c>
      <c r="B7555">
        <v>0.88566548025046654</v>
      </c>
    </row>
    <row r="7556" spans="1:2" x14ac:dyDescent="0.2">
      <c r="A7556">
        <v>7550</v>
      </c>
      <c r="B7556">
        <v>0.25139836145590666</v>
      </c>
    </row>
    <row r="7557" spans="1:2" x14ac:dyDescent="0.2">
      <c r="A7557">
        <v>7551</v>
      </c>
      <c r="B7557">
        <v>0.26114861081455865</v>
      </c>
    </row>
    <row r="7558" spans="1:2" x14ac:dyDescent="0.2">
      <c r="A7558">
        <v>7552</v>
      </c>
      <c r="B7558">
        <v>0.55658622442562156</v>
      </c>
    </row>
    <row r="7559" spans="1:2" x14ac:dyDescent="0.2">
      <c r="A7559">
        <v>7553</v>
      </c>
      <c r="B7559">
        <v>0.13826419400605228</v>
      </c>
    </row>
    <row r="7560" spans="1:2" x14ac:dyDescent="0.2">
      <c r="A7560">
        <v>7554</v>
      </c>
      <c r="B7560">
        <v>0.67135023486254486</v>
      </c>
    </row>
    <row r="7561" spans="1:2" x14ac:dyDescent="0.2">
      <c r="A7561">
        <v>7555</v>
      </c>
      <c r="B7561">
        <v>0.52031679706169931</v>
      </c>
    </row>
    <row r="7562" spans="1:2" x14ac:dyDescent="0.2">
      <c r="A7562">
        <v>7556</v>
      </c>
      <c r="B7562">
        <v>0.47510775094774615</v>
      </c>
    </row>
    <row r="7563" spans="1:2" x14ac:dyDescent="0.2">
      <c r="A7563">
        <v>7557</v>
      </c>
      <c r="B7563">
        <v>0.5058609034285011</v>
      </c>
    </row>
    <row r="7564" spans="1:2" x14ac:dyDescent="0.2">
      <c r="A7564">
        <v>7558</v>
      </c>
      <c r="B7564">
        <v>0.47386581923861482</v>
      </c>
    </row>
    <row r="7565" spans="1:2" x14ac:dyDescent="0.2">
      <c r="A7565">
        <v>7559</v>
      </c>
      <c r="B7565">
        <v>5.8568833317079627E-2</v>
      </c>
    </row>
    <row r="7566" spans="1:2" x14ac:dyDescent="0.2">
      <c r="A7566">
        <v>7560</v>
      </c>
      <c r="B7566">
        <v>0.98426560803724827</v>
      </c>
    </row>
    <row r="7567" spans="1:2" x14ac:dyDescent="0.2">
      <c r="A7567">
        <v>7561</v>
      </c>
      <c r="B7567">
        <v>0.89109057465414354</v>
      </c>
    </row>
    <row r="7568" spans="1:2" x14ac:dyDescent="0.2">
      <c r="A7568">
        <v>7562</v>
      </c>
      <c r="B7568">
        <v>0.83189545522103348</v>
      </c>
    </row>
    <row r="7569" spans="1:2" x14ac:dyDescent="0.2">
      <c r="A7569">
        <v>7563</v>
      </c>
      <c r="B7569">
        <v>0.73649960623841615</v>
      </c>
    </row>
    <row r="7570" spans="1:2" x14ac:dyDescent="0.2">
      <c r="A7570">
        <v>7564</v>
      </c>
      <c r="B7570">
        <v>0.19812520654132271</v>
      </c>
    </row>
    <row r="7571" spans="1:2" x14ac:dyDescent="0.2">
      <c r="A7571">
        <v>7565</v>
      </c>
      <c r="B7571">
        <v>0.42423270430306947</v>
      </c>
    </row>
    <row r="7572" spans="1:2" x14ac:dyDescent="0.2">
      <c r="A7572">
        <v>7566</v>
      </c>
      <c r="B7572">
        <v>0.1878296242803319</v>
      </c>
    </row>
    <row r="7573" spans="1:2" x14ac:dyDescent="0.2">
      <c r="A7573">
        <v>7567</v>
      </c>
      <c r="B7573">
        <v>2.746046399902724E-2</v>
      </c>
    </row>
    <row r="7574" spans="1:2" x14ac:dyDescent="0.2">
      <c r="A7574">
        <v>7568</v>
      </c>
      <c r="B7574">
        <v>0.34123134045093617</v>
      </c>
    </row>
    <row r="7575" spans="1:2" x14ac:dyDescent="0.2">
      <c r="A7575">
        <v>7569</v>
      </c>
      <c r="B7575">
        <v>0.43195344576462857</v>
      </c>
    </row>
    <row r="7576" spans="1:2" x14ac:dyDescent="0.2">
      <c r="A7576">
        <v>7570</v>
      </c>
      <c r="B7576">
        <v>0.5422512646342984</v>
      </c>
    </row>
    <row r="7577" spans="1:2" x14ac:dyDescent="0.2">
      <c r="A7577">
        <v>7571</v>
      </c>
      <c r="B7577">
        <v>0.60376934260385806</v>
      </c>
    </row>
    <row r="7578" spans="1:2" x14ac:dyDescent="0.2">
      <c r="A7578">
        <v>7572</v>
      </c>
      <c r="B7578">
        <v>0.57657188107933588</v>
      </c>
    </row>
    <row r="7579" spans="1:2" x14ac:dyDescent="0.2">
      <c r="A7579">
        <v>7573</v>
      </c>
      <c r="B7579">
        <v>0.26628496193460982</v>
      </c>
    </row>
    <row r="7580" spans="1:2" x14ac:dyDescent="0.2">
      <c r="A7580">
        <v>7574</v>
      </c>
      <c r="B7580">
        <v>0.79735136623133529</v>
      </c>
    </row>
    <row r="7581" spans="1:2" x14ac:dyDescent="0.2">
      <c r="A7581">
        <v>7575</v>
      </c>
      <c r="B7581">
        <v>0.44162834360786651</v>
      </c>
    </row>
    <row r="7582" spans="1:2" x14ac:dyDescent="0.2">
      <c r="A7582">
        <v>7576</v>
      </c>
      <c r="B7582">
        <v>0.67467030574643361</v>
      </c>
    </row>
    <row r="7583" spans="1:2" x14ac:dyDescent="0.2">
      <c r="A7583">
        <v>7577</v>
      </c>
      <c r="B7583">
        <v>0.92255506568623913</v>
      </c>
    </row>
    <row r="7584" spans="1:2" x14ac:dyDescent="0.2">
      <c r="A7584">
        <v>7578</v>
      </c>
      <c r="B7584">
        <v>0.38995234323642625</v>
      </c>
    </row>
    <row r="7585" spans="1:2" x14ac:dyDescent="0.2">
      <c r="A7585">
        <v>7579</v>
      </c>
      <c r="B7585">
        <v>0.32550061361126326</v>
      </c>
    </row>
    <row r="7586" spans="1:2" x14ac:dyDescent="0.2">
      <c r="A7586">
        <v>7580</v>
      </c>
      <c r="B7586">
        <v>0.1301116788280956</v>
      </c>
    </row>
    <row r="7587" spans="1:2" x14ac:dyDescent="0.2">
      <c r="A7587">
        <v>7581</v>
      </c>
      <c r="B7587">
        <v>0.9418609533716743</v>
      </c>
    </row>
    <row r="7588" spans="1:2" x14ac:dyDescent="0.2">
      <c r="A7588">
        <v>7582</v>
      </c>
      <c r="B7588">
        <v>2.9349181110656986E-2</v>
      </c>
    </row>
    <row r="7589" spans="1:2" x14ac:dyDescent="0.2">
      <c r="A7589">
        <v>7583</v>
      </c>
      <c r="B7589">
        <v>0.28334778607063982</v>
      </c>
    </row>
    <row r="7590" spans="1:2" x14ac:dyDescent="0.2">
      <c r="A7590">
        <v>7584</v>
      </c>
      <c r="B7590">
        <v>0.3640616725684509</v>
      </c>
    </row>
    <row r="7591" spans="1:2" x14ac:dyDescent="0.2">
      <c r="A7591">
        <v>7585</v>
      </c>
      <c r="B7591">
        <v>0.91764612798954304</v>
      </c>
    </row>
    <row r="7592" spans="1:2" x14ac:dyDescent="0.2">
      <c r="A7592">
        <v>7586</v>
      </c>
      <c r="B7592">
        <v>0.37341715905973283</v>
      </c>
    </row>
    <row r="7593" spans="1:2" x14ac:dyDescent="0.2">
      <c r="A7593">
        <v>7587</v>
      </c>
      <c r="B7593">
        <v>0.55016006360414849</v>
      </c>
    </row>
    <row r="7594" spans="1:2" x14ac:dyDescent="0.2">
      <c r="A7594">
        <v>7588</v>
      </c>
      <c r="B7594">
        <v>0.96847157954963359</v>
      </c>
    </row>
    <row r="7595" spans="1:2" x14ac:dyDescent="0.2">
      <c r="A7595">
        <v>7589</v>
      </c>
      <c r="B7595">
        <v>0.32167935189881058</v>
      </c>
    </row>
    <row r="7596" spans="1:2" x14ac:dyDescent="0.2">
      <c r="A7596">
        <v>7590</v>
      </c>
      <c r="B7596">
        <v>0.55443157669743148</v>
      </c>
    </row>
    <row r="7597" spans="1:2" x14ac:dyDescent="0.2">
      <c r="A7597">
        <v>7591</v>
      </c>
      <c r="B7597">
        <v>0.12574370596580198</v>
      </c>
    </row>
    <row r="7598" spans="1:2" x14ac:dyDescent="0.2">
      <c r="A7598">
        <v>7592</v>
      </c>
      <c r="B7598">
        <v>0.63942139293407607</v>
      </c>
    </row>
    <row r="7599" spans="1:2" x14ac:dyDescent="0.2">
      <c r="A7599">
        <v>7593</v>
      </c>
      <c r="B7599">
        <v>0.51779298708654808</v>
      </c>
    </row>
    <row r="7600" spans="1:2" x14ac:dyDescent="0.2">
      <c r="A7600">
        <v>7594</v>
      </c>
      <c r="B7600">
        <v>0.77922738086167431</v>
      </c>
    </row>
    <row r="7601" spans="1:2" x14ac:dyDescent="0.2">
      <c r="A7601">
        <v>7595</v>
      </c>
      <c r="B7601">
        <v>0.38960556864987228</v>
      </c>
    </row>
    <row r="7602" spans="1:2" x14ac:dyDescent="0.2">
      <c r="A7602">
        <v>7596</v>
      </c>
      <c r="B7602">
        <v>0.69352281308103647</v>
      </c>
    </row>
    <row r="7603" spans="1:2" x14ac:dyDescent="0.2">
      <c r="A7603">
        <v>7597</v>
      </c>
      <c r="B7603">
        <v>0.50718550437937626</v>
      </c>
    </row>
    <row r="7604" spans="1:2" x14ac:dyDescent="0.2">
      <c r="A7604">
        <v>7598</v>
      </c>
      <c r="B7604">
        <v>0.44433730359421597</v>
      </c>
    </row>
    <row r="7605" spans="1:2" x14ac:dyDescent="0.2">
      <c r="A7605">
        <v>7599</v>
      </c>
      <c r="B7605">
        <v>0.51542288905266687</v>
      </c>
    </row>
    <row r="7606" spans="1:2" x14ac:dyDescent="0.2">
      <c r="A7606">
        <v>7600</v>
      </c>
      <c r="B7606">
        <v>0.19709577575106352</v>
      </c>
    </row>
    <row r="7607" spans="1:2" x14ac:dyDescent="0.2">
      <c r="A7607">
        <v>7601</v>
      </c>
      <c r="B7607">
        <v>0.17954125838814994</v>
      </c>
    </row>
    <row r="7608" spans="1:2" x14ac:dyDescent="0.2">
      <c r="A7608">
        <v>7602</v>
      </c>
      <c r="B7608">
        <v>4.7067300030504078E-2</v>
      </c>
    </row>
    <row r="7609" spans="1:2" x14ac:dyDescent="0.2">
      <c r="A7609">
        <v>7603</v>
      </c>
      <c r="B7609">
        <v>0.96230922735520674</v>
      </c>
    </row>
    <row r="7610" spans="1:2" x14ac:dyDescent="0.2">
      <c r="A7610">
        <v>7604</v>
      </c>
      <c r="B7610">
        <v>0.70286035360535137</v>
      </c>
    </row>
    <row r="7611" spans="1:2" x14ac:dyDescent="0.2">
      <c r="A7611">
        <v>7605</v>
      </c>
      <c r="B7611">
        <v>0.57547788009340473</v>
      </c>
    </row>
    <row r="7612" spans="1:2" x14ac:dyDescent="0.2">
      <c r="A7612">
        <v>7606</v>
      </c>
      <c r="B7612">
        <v>0.78695888711111461</v>
      </c>
    </row>
    <row r="7613" spans="1:2" x14ac:dyDescent="0.2">
      <c r="A7613">
        <v>7607</v>
      </c>
      <c r="B7613">
        <v>0.71467724678901845</v>
      </c>
    </row>
    <row r="7614" spans="1:2" x14ac:dyDescent="0.2">
      <c r="A7614">
        <v>7608</v>
      </c>
      <c r="B7614">
        <v>0.77157915032547109</v>
      </c>
    </row>
    <row r="7615" spans="1:2" x14ac:dyDescent="0.2">
      <c r="A7615">
        <v>7609</v>
      </c>
      <c r="B7615">
        <v>0.44566741767142781</v>
      </c>
    </row>
    <row r="7616" spans="1:2" x14ac:dyDescent="0.2">
      <c r="A7616">
        <v>7610</v>
      </c>
      <c r="B7616">
        <v>0.20535703062489941</v>
      </c>
    </row>
    <row r="7617" spans="1:2" x14ac:dyDescent="0.2">
      <c r="A7617">
        <v>7611</v>
      </c>
      <c r="B7617">
        <v>3.6456582402981663E-2</v>
      </c>
    </row>
    <row r="7618" spans="1:2" x14ac:dyDescent="0.2">
      <c r="A7618">
        <v>7612</v>
      </c>
      <c r="B7618">
        <v>0.238621142713068</v>
      </c>
    </row>
    <row r="7619" spans="1:2" x14ac:dyDescent="0.2">
      <c r="A7619">
        <v>7613</v>
      </c>
      <c r="B7619">
        <v>0.27105072701763089</v>
      </c>
    </row>
    <row r="7620" spans="1:2" x14ac:dyDescent="0.2">
      <c r="A7620">
        <v>7614</v>
      </c>
      <c r="B7620">
        <v>0.39165526918170646</v>
      </c>
    </row>
    <row r="7621" spans="1:2" x14ac:dyDescent="0.2">
      <c r="A7621">
        <v>7615</v>
      </c>
      <c r="B7621">
        <v>0.80983327712429132</v>
      </c>
    </row>
    <row r="7622" spans="1:2" x14ac:dyDescent="0.2">
      <c r="A7622">
        <v>7616</v>
      </c>
      <c r="B7622">
        <v>0.76850670820764933</v>
      </c>
    </row>
    <row r="7623" spans="1:2" x14ac:dyDescent="0.2">
      <c r="A7623">
        <v>7617</v>
      </c>
      <c r="B7623">
        <v>0.19508334758549606</v>
      </c>
    </row>
    <row r="7624" spans="1:2" x14ac:dyDescent="0.2">
      <c r="A7624">
        <v>7618</v>
      </c>
      <c r="B7624">
        <v>0.39602388932705268</v>
      </c>
    </row>
    <row r="7625" spans="1:2" x14ac:dyDescent="0.2">
      <c r="A7625">
        <v>7619</v>
      </c>
      <c r="B7625">
        <v>0.13423332810322341</v>
      </c>
    </row>
    <row r="7626" spans="1:2" x14ac:dyDescent="0.2">
      <c r="A7626">
        <v>7620</v>
      </c>
      <c r="B7626">
        <v>0.4185171353561371</v>
      </c>
    </row>
    <row r="7627" spans="1:2" x14ac:dyDescent="0.2">
      <c r="A7627">
        <v>7621</v>
      </c>
      <c r="B7627">
        <v>0.29365049678896593</v>
      </c>
    </row>
    <row r="7628" spans="1:2" x14ac:dyDescent="0.2">
      <c r="A7628">
        <v>7622</v>
      </c>
      <c r="B7628">
        <v>0.78975614185881549</v>
      </c>
    </row>
    <row r="7629" spans="1:2" x14ac:dyDescent="0.2">
      <c r="A7629">
        <v>7623</v>
      </c>
      <c r="B7629">
        <v>0.36171795119043637</v>
      </c>
    </row>
    <row r="7630" spans="1:2" x14ac:dyDescent="0.2">
      <c r="A7630">
        <v>7624</v>
      </c>
      <c r="B7630">
        <v>3.9961242746231362E-2</v>
      </c>
    </row>
    <row r="7631" spans="1:2" x14ac:dyDescent="0.2">
      <c r="A7631">
        <v>7625</v>
      </c>
      <c r="B7631">
        <v>0.31277049114230515</v>
      </c>
    </row>
    <row r="7632" spans="1:2" x14ac:dyDescent="0.2">
      <c r="A7632">
        <v>7626</v>
      </c>
      <c r="B7632">
        <v>0.29391901720657299</v>
      </c>
    </row>
    <row r="7633" spans="1:2" x14ac:dyDescent="0.2">
      <c r="A7633">
        <v>7627</v>
      </c>
      <c r="B7633">
        <v>0.70552824457428387</v>
      </c>
    </row>
    <row r="7634" spans="1:2" x14ac:dyDescent="0.2">
      <c r="A7634">
        <v>7628</v>
      </c>
      <c r="B7634">
        <v>0.48166295933733116</v>
      </c>
    </row>
    <row r="7635" spans="1:2" x14ac:dyDescent="0.2">
      <c r="A7635">
        <v>7629</v>
      </c>
      <c r="B7635">
        <v>0.5169441164516867</v>
      </c>
    </row>
    <row r="7636" spans="1:2" x14ac:dyDescent="0.2">
      <c r="A7636">
        <v>7630</v>
      </c>
      <c r="B7636">
        <v>0.76531448006053449</v>
      </c>
    </row>
    <row r="7637" spans="1:2" x14ac:dyDescent="0.2">
      <c r="A7637">
        <v>7631</v>
      </c>
      <c r="B7637">
        <v>0.45749467161127555</v>
      </c>
    </row>
    <row r="7638" spans="1:2" x14ac:dyDescent="0.2">
      <c r="A7638">
        <v>7632</v>
      </c>
      <c r="B7638">
        <v>0.5693046509060451</v>
      </c>
    </row>
    <row r="7639" spans="1:2" x14ac:dyDescent="0.2">
      <c r="A7639">
        <v>7633</v>
      </c>
      <c r="B7639">
        <v>0.33216229432309685</v>
      </c>
    </row>
    <row r="7640" spans="1:2" x14ac:dyDescent="0.2">
      <c r="A7640">
        <v>7634</v>
      </c>
      <c r="B7640">
        <v>0.56897920788131973</v>
      </c>
    </row>
    <row r="7641" spans="1:2" x14ac:dyDescent="0.2">
      <c r="A7641">
        <v>7635</v>
      </c>
      <c r="B7641">
        <v>0.34114070554496634</v>
      </c>
    </row>
    <row r="7642" spans="1:2" x14ac:dyDescent="0.2">
      <c r="A7642">
        <v>7636</v>
      </c>
      <c r="B7642">
        <v>3.922181615295417E-2</v>
      </c>
    </row>
    <row r="7643" spans="1:2" x14ac:dyDescent="0.2">
      <c r="A7643">
        <v>7637</v>
      </c>
      <c r="B7643">
        <v>0.57481207306569848</v>
      </c>
    </row>
    <row r="7644" spans="1:2" x14ac:dyDescent="0.2">
      <c r="A7644">
        <v>7638</v>
      </c>
      <c r="B7644">
        <v>0.37607997388037917</v>
      </c>
    </row>
    <row r="7645" spans="1:2" x14ac:dyDescent="0.2">
      <c r="A7645">
        <v>7639</v>
      </c>
      <c r="B7645">
        <v>0.88704122149015685</v>
      </c>
    </row>
    <row r="7646" spans="1:2" x14ac:dyDescent="0.2">
      <c r="A7646">
        <v>7640</v>
      </c>
      <c r="B7646">
        <v>0.29466398563869056</v>
      </c>
    </row>
    <row r="7647" spans="1:2" x14ac:dyDescent="0.2">
      <c r="A7647">
        <v>7641</v>
      </c>
      <c r="B7647">
        <v>0.17214444344046009</v>
      </c>
    </row>
    <row r="7648" spans="1:2" x14ac:dyDescent="0.2">
      <c r="A7648">
        <v>7642</v>
      </c>
      <c r="B7648">
        <v>0.87923211700631443</v>
      </c>
    </row>
    <row r="7649" spans="1:2" x14ac:dyDescent="0.2">
      <c r="A7649">
        <v>7643</v>
      </c>
      <c r="B7649">
        <v>0.50168432321585332</v>
      </c>
    </row>
    <row r="7650" spans="1:2" x14ac:dyDescent="0.2">
      <c r="A7650">
        <v>7644</v>
      </c>
      <c r="B7650">
        <v>0.56735474273301123</v>
      </c>
    </row>
    <row r="7651" spans="1:2" x14ac:dyDescent="0.2">
      <c r="A7651">
        <v>7645</v>
      </c>
      <c r="B7651">
        <v>0.79824257182525149</v>
      </c>
    </row>
    <row r="7652" spans="1:2" x14ac:dyDescent="0.2">
      <c r="A7652">
        <v>7646</v>
      </c>
      <c r="B7652">
        <v>0.25062937006827513</v>
      </c>
    </row>
    <row r="7653" spans="1:2" x14ac:dyDescent="0.2">
      <c r="A7653">
        <v>7647</v>
      </c>
      <c r="B7653">
        <v>0.20232409767424042</v>
      </c>
    </row>
    <row r="7654" spans="1:2" x14ac:dyDescent="0.2">
      <c r="A7654">
        <v>7648</v>
      </c>
      <c r="B7654">
        <v>0.46896974189181651</v>
      </c>
    </row>
    <row r="7655" spans="1:2" x14ac:dyDescent="0.2">
      <c r="A7655">
        <v>7649</v>
      </c>
      <c r="B7655">
        <v>0.89665804031503926</v>
      </c>
    </row>
    <row r="7656" spans="1:2" x14ac:dyDescent="0.2">
      <c r="A7656">
        <v>7650</v>
      </c>
      <c r="B7656">
        <v>0.78839147475434013</v>
      </c>
    </row>
    <row r="7657" spans="1:2" x14ac:dyDescent="0.2">
      <c r="A7657">
        <v>7651</v>
      </c>
      <c r="B7657">
        <v>0.51070224576820122</v>
      </c>
    </row>
    <row r="7658" spans="1:2" x14ac:dyDescent="0.2">
      <c r="A7658">
        <v>7652</v>
      </c>
      <c r="B7658">
        <v>0.52217662777738671</v>
      </c>
    </row>
    <row r="7659" spans="1:2" x14ac:dyDescent="0.2">
      <c r="A7659">
        <v>7653</v>
      </c>
      <c r="B7659">
        <v>0.4713186688934744</v>
      </c>
    </row>
    <row r="7660" spans="1:2" x14ac:dyDescent="0.2">
      <c r="A7660">
        <v>7654</v>
      </c>
      <c r="B7660">
        <v>0.54222656084743071</v>
      </c>
    </row>
    <row r="7661" spans="1:2" x14ac:dyDescent="0.2">
      <c r="A7661">
        <v>7655</v>
      </c>
      <c r="B7661">
        <v>0.55280558979915273</v>
      </c>
    </row>
    <row r="7662" spans="1:2" x14ac:dyDescent="0.2">
      <c r="A7662">
        <v>7656</v>
      </c>
      <c r="B7662">
        <v>0.82256422554120723</v>
      </c>
    </row>
    <row r="7663" spans="1:2" x14ac:dyDescent="0.2">
      <c r="A7663">
        <v>7657</v>
      </c>
      <c r="B7663">
        <v>0.44845388962528987</v>
      </c>
    </row>
    <row r="7664" spans="1:2" x14ac:dyDescent="0.2">
      <c r="A7664">
        <v>7658</v>
      </c>
      <c r="B7664">
        <v>0.90681142978054385</v>
      </c>
    </row>
    <row r="7665" spans="1:2" x14ac:dyDescent="0.2">
      <c r="A7665">
        <v>7659</v>
      </c>
      <c r="B7665">
        <v>0.73782832258209852</v>
      </c>
    </row>
    <row r="7666" spans="1:2" x14ac:dyDescent="0.2">
      <c r="A7666">
        <v>7660</v>
      </c>
      <c r="B7666">
        <v>0.39482053112544413</v>
      </c>
    </row>
    <row r="7667" spans="1:2" x14ac:dyDescent="0.2">
      <c r="A7667">
        <v>7661</v>
      </c>
      <c r="B7667">
        <v>0.22659663117181728</v>
      </c>
    </row>
    <row r="7668" spans="1:2" x14ac:dyDescent="0.2">
      <c r="A7668">
        <v>7662</v>
      </c>
      <c r="B7668">
        <v>0.86081826486932578</v>
      </c>
    </row>
    <row r="7669" spans="1:2" x14ac:dyDescent="0.2">
      <c r="A7669">
        <v>7663</v>
      </c>
      <c r="B7669">
        <v>0.18060949576752283</v>
      </c>
    </row>
    <row r="7670" spans="1:2" x14ac:dyDescent="0.2">
      <c r="A7670">
        <v>7664</v>
      </c>
      <c r="B7670">
        <v>7.4773156292206155E-2</v>
      </c>
    </row>
    <row r="7671" spans="1:2" x14ac:dyDescent="0.2">
      <c r="A7671">
        <v>7665</v>
      </c>
      <c r="B7671">
        <v>0.52869236788609719</v>
      </c>
    </row>
    <row r="7672" spans="1:2" x14ac:dyDescent="0.2">
      <c r="A7672">
        <v>7666</v>
      </c>
      <c r="B7672">
        <v>0.85339628468600581</v>
      </c>
    </row>
    <row r="7673" spans="1:2" x14ac:dyDescent="0.2">
      <c r="A7673">
        <v>7667</v>
      </c>
      <c r="B7673">
        <v>0.75323759757031983</v>
      </c>
    </row>
    <row r="7674" spans="1:2" x14ac:dyDescent="0.2">
      <c r="A7674">
        <v>7668</v>
      </c>
      <c r="B7674">
        <v>1.001414706465209E-2</v>
      </c>
    </row>
    <row r="7675" spans="1:2" x14ac:dyDescent="0.2">
      <c r="A7675">
        <v>7669</v>
      </c>
      <c r="B7675">
        <v>0.98399241893116818</v>
      </c>
    </row>
    <row r="7676" spans="1:2" x14ac:dyDescent="0.2">
      <c r="A7676">
        <v>7670</v>
      </c>
      <c r="B7676">
        <v>0.94335309254996524</v>
      </c>
    </row>
    <row r="7677" spans="1:2" x14ac:dyDescent="0.2">
      <c r="A7677">
        <v>7671</v>
      </c>
      <c r="B7677">
        <v>0.53132511850408792</v>
      </c>
    </row>
    <row r="7678" spans="1:2" x14ac:dyDescent="0.2">
      <c r="A7678">
        <v>7672</v>
      </c>
      <c r="B7678">
        <v>0.95644205967867912</v>
      </c>
    </row>
    <row r="7679" spans="1:2" x14ac:dyDescent="0.2">
      <c r="A7679">
        <v>7673</v>
      </c>
      <c r="B7679">
        <v>0.12973919656494259</v>
      </c>
    </row>
    <row r="7680" spans="1:2" x14ac:dyDescent="0.2">
      <c r="A7680">
        <v>7674</v>
      </c>
      <c r="B7680">
        <v>0.28642573785022141</v>
      </c>
    </row>
    <row r="7681" spans="1:2" x14ac:dyDescent="0.2">
      <c r="A7681">
        <v>7675</v>
      </c>
      <c r="B7681">
        <v>0.73391001134709277</v>
      </c>
    </row>
    <row r="7682" spans="1:2" x14ac:dyDescent="0.2">
      <c r="A7682">
        <v>7676</v>
      </c>
      <c r="B7682">
        <v>0.13575793963774019</v>
      </c>
    </row>
    <row r="7683" spans="1:2" x14ac:dyDescent="0.2">
      <c r="A7683">
        <v>7677</v>
      </c>
      <c r="B7683">
        <v>0.27047960427246187</v>
      </c>
    </row>
    <row r="7684" spans="1:2" x14ac:dyDescent="0.2">
      <c r="A7684">
        <v>7678</v>
      </c>
      <c r="B7684">
        <v>0.5008877946154987</v>
      </c>
    </row>
    <row r="7685" spans="1:2" x14ac:dyDescent="0.2">
      <c r="A7685">
        <v>7679</v>
      </c>
      <c r="B7685">
        <v>0.8155087754128475</v>
      </c>
    </row>
    <row r="7686" spans="1:2" x14ac:dyDescent="0.2">
      <c r="A7686">
        <v>7680</v>
      </c>
      <c r="B7686">
        <v>0.77056764132591493</v>
      </c>
    </row>
    <row r="7687" spans="1:2" x14ac:dyDescent="0.2">
      <c r="A7687">
        <v>7681</v>
      </c>
      <c r="B7687">
        <v>0.66676962540753426</v>
      </c>
    </row>
    <row r="7688" spans="1:2" x14ac:dyDescent="0.2">
      <c r="A7688">
        <v>7682</v>
      </c>
      <c r="B7688">
        <v>1.2922736887281183E-2</v>
      </c>
    </row>
    <row r="7689" spans="1:2" x14ac:dyDescent="0.2">
      <c r="A7689">
        <v>7683</v>
      </c>
      <c r="B7689">
        <v>0.8706953897105949</v>
      </c>
    </row>
    <row r="7690" spans="1:2" x14ac:dyDescent="0.2">
      <c r="A7690">
        <v>7684</v>
      </c>
      <c r="B7690">
        <v>0.12644976189502644</v>
      </c>
    </row>
    <row r="7691" spans="1:2" x14ac:dyDescent="0.2">
      <c r="A7691">
        <v>7685</v>
      </c>
      <c r="B7691">
        <v>0.11788010618335887</v>
      </c>
    </row>
    <row r="7692" spans="1:2" x14ac:dyDescent="0.2">
      <c r="A7692">
        <v>7686</v>
      </c>
      <c r="B7692">
        <v>0.27428871068293759</v>
      </c>
    </row>
    <row r="7693" spans="1:2" x14ac:dyDescent="0.2">
      <c r="A7693">
        <v>7687</v>
      </c>
      <c r="B7693">
        <v>0.24566349936187115</v>
      </c>
    </row>
    <row r="7694" spans="1:2" x14ac:dyDescent="0.2">
      <c r="A7694">
        <v>7688</v>
      </c>
      <c r="B7694">
        <v>0.96397946172031768</v>
      </c>
    </row>
    <row r="7695" spans="1:2" x14ac:dyDescent="0.2">
      <c r="A7695">
        <v>7689</v>
      </c>
      <c r="B7695">
        <v>0.14396405268838908</v>
      </c>
    </row>
    <row r="7696" spans="1:2" x14ac:dyDescent="0.2">
      <c r="A7696">
        <v>7690</v>
      </c>
      <c r="B7696">
        <v>0.86530858994761561</v>
      </c>
    </row>
    <row r="7697" spans="1:2" x14ac:dyDescent="0.2">
      <c r="A7697">
        <v>7691</v>
      </c>
      <c r="B7697">
        <v>0.7756787259495167</v>
      </c>
    </row>
    <row r="7698" spans="1:2" x14ac:dyDescent="0.2">
      <c r="A7698">
        <v>7692</v>
      </c>
      <c r="B7698">
        <v>8.8944928845625437E-2</v>
      </c>
    </row>
    <row r="7699" spans="1:2" x14ac:dyDescent="0.2">
      <c r="A7699">
        <v>7693</v>
      </c>
      <c r="B7699">
        <v>0.47961989184418441</v>
      </c>
    </row>
    <row r="7700" spans="1:2" x14ac:dyDescent="0.2">
      <c r="A7700">
        <v>7694</v>
      </c>
      <c r="B7700">
        <v>0.13504089022044174</v>
      </c>
    </row>
    <row r="7701" spans="1:2" x14ac:dyDescent="0.2">
      <c r="A7701">
        <v>7695</v>
      </c>
      <c r="B7701">
        <v>0.42407779447512928</v>
      </c>
    </row>
    <row r="7702" spans="1:2" x14ac:dyDescent="0.2">
      <c r="A7702">
        <v>7696</v>
      </c>
      <c r="B7702">
        <v>0.84617968219031725</v>
      </c>
    </row>
    <row r="7703" spans="1:2" x14ac:dyDescent="0.2">
      <c r="A7703">
        <v>7697</v>
      </c>
      <c r="B7703">
        <v>0.74221346474670225</v>
      </c>
    </row>
    <row r="7704" spans="1:2" x14ac:dyDescent="0.2">
      <c r="A7704">
        <v>7698</v>
      </c>
      <c r="B7704">
        <v>0.83634500208788398</v>
      </c>
    </row>
    <row r="7705" spans="1:2" x14ac:dyDescent="0.2">
      <c r="A7705">
        <v>7699</v>
      </c>
      <c r="B7705">
        <v>0.76467735840567308</v>
      </c>
    </row>
    <row r="7706" spans="1:2" x14ac:dyDescent="0.2">
      <c r="A7706">
        <v>7700</v>
      </c>
      <c r="B7706">
        <v>0.97149110191899846</v>
      </c>
    </row>
    <row r="7707" spans="1:2" x14ac:dyDescent="0.2">
      <c r="A7707">
        <v>7701</v>
      </c>
      <c r="B7707">
        <v>7.4082623607849007E-2</v>
      </c>
    </row>
    <row r="7708" spans="1:2" x14ac:dyDescent="0.2">
      <c r="A7708">
        <v>7702</v>
      </c>
      <c r="B7708">
        <v>0.4213229283744554</v>
      </c>
    </row>
    <row r="7709" spans="1:2" x14ac:dyDescent="0.2">
      <c r="A7709">
        <v>7703</v>
      </c>
      <c r="B7709">
        <v>0.51020377404339323</v>
      </c>
    </row>
    <row r="7710" spans="1:2" x14ac:dyDescent="0.2">
      <c r="A7710">
        <v>7704</v>
      </c>
      <c r="B7710">
        <v>2.4012399820960484E-2</v>
      </c>
    </row>
    <row r="7711" spans="1:2" x14ac:dyDescent="0.2">
      <c r="A7711">
        <v>7705</v>
      </c>
      <c r="B7711">
        <v>0.16205755718642167</v>
      </c>
    </row>
    <row r="7712" spans="1:2" x14ac:dyDescent="0.2">
      <c r="A7712">
        <v>7706</v>
      </c>
      <c r="B7712">
        <v>9.2720752056463462E-2</v>
      </c>
    </row>
    <row r="7713" spans="1:2" x14ac:dyDescent="0.2">
      <c r="A7713">
        <v>7707</v>
      </c>
      <c r="B7713">
        <v>0.77485091779279258</v>
      </c>
    </row>
    <row r="7714" spans="1:2" x14ac:dyDescent="0.2">
      <c r="A7714">
        <v>7708</v>
      </c>
      <c r="B7714">
        <v>0.91620804565388747</v>
      </c>
    </row>
    <row r="7715" spans="1:2" x14ac:dyDescent="0.2">
      <c r="A7715">
        <v>7709</v>
      </c>
      <c r="B7715">
        <v>0.99882315067349836</v>
      </c>
    </row>
    <row r="7716" spans="1:2" x14ac:dyDescent="0.2">
      <c r="A7716">
        <v>7710</v>
      </c>
      <c r="B7716">
        <v>0.87829996968557189</v>
      </c>
    </row>
    <row r="7717" spans="1:2" x14ac:dyDescent="0.2">
      <c r="A7717">
        <v>7711</v>
      </c>
      <c r="B7717">
        <v>0.46510697055207773</v>
      </c>
    </row>
    <row r="7718" spans="1:2" x14ac:dyDescent="0.2">
      <c r="A7718">
        <v>7712</v>
      </c>
      <c r="B7718">
        <v>0.55267363057325725</v>
      </c>
    </row>
    <row r="7719" spans="1:2" x14ac:dyDescent="0.2">
      <c r="A7719">
        <v>7713</v>
      </c>
      <c r="B7719">
        <v>0.83795676782818473</v>
      </c>
    </row>
    <row r="7720" spans="1:2" x14ac:dyDescent="0.2">
      <c r="A7720">
        <v>7714</v>
      </c>
      <c r="B7720">
        <v>0.82487885014793394</v>
      </c>
    </row>
    <row r="7721" spans="1:2" x14ac:dyDescent="0.2">
      <c r="A7721">
        <v>7715</v>
      </c>
      <c r="B7721">
        <v>0.82679694789055369</v>
      </c>
    </row>
    <row r="7722" spans="1:2" x14ac:dyDescent="0.2">
      <c r="A7722">
        <v>7716</v>
      </c>
      <c r="B7722">
        <v>0.14413711153623832</v>
      </c>
    </row>
    <row r="7723" spans="1:2" x14ac:dyDescent="0.2">
      <c r="A7723">
        <v>7717</v>
      </c>
      <c r="B7723">
        <v>0.95686140744711512</v>
      </c>
    </row>
    <row r="7724" spans="1:2" x14ac:dyDescent="0.2">
      <c r="A7724">
        <v>7718</v>
      </c>
      <c r="B7724">
        <v>0.36538857795811097</v>
      </c>
    </row>
    <row r="7725" spans="1:2" x14ac:dyDescent="0.2">
      <c r="A7725">
        <v>7719</v>
      </c>
      <c r="B7725">
        <v>0.16969628845093199</v>
      </c>
    </row>
    <row r="7726" spans="1:2" x14ac:dyDescent="0.2">
      <c r="A7726">
        <v>7720</v>
      </c>
      <c r="B7726">
        <v>0.97993275915878797</v>
      </c>
    </row>
    <row r="7727" spans="1:2" x14ac:dyDescent="0.2">
      <c r="A7727">
        <v>7721</v>
      </c>
      <c r="B7727">
        <v>0.98222934138960138</v>
      </c>
    </row>
    <row r="7728" spans="1:2" x14ac:dyDescent="0.2">
      <c r="A7728">
        <v>7722</v>
      </c>
      <c r="B7728">
        <v>6.7591665725712846E-2</v>
      </c>
    </row>
    <row r="7729" spans="1:2" x14ac:dyDescent="0.2">
      <c r="A7729">
        <v>7723</v>
      </c>
      <c r="B7729">
        <v>0.39103542692388948</v>
      </c>
    </row>
    <row r="7730" spans="1:2" x14ac:dyDescent="0.2">
      <c r="A7730">
        <v>7724</v>
      </c>
      <c r="B7730">
        <v>0.28066088674887169</v>
      </c>
    </row>
    <row r="7731" spans="1:2" x14ac:dyDescent="0.2">
      <c r="A7731">
        <v>7725</v>
      </c>
      <c r="B7731">
        <v>0.3171583948132044</v>
      </c>
    </row>
    <row r="7732" spans="1:2" x14ac:dyDescent="0.2">
      <c r="A7732">
        <v>7726</v>
      </c>
      <c r="B7732">
        <v>0.66036083080657093</v>
      </c>
    </row>
    <row r="7733" spans="1:2" x14ac:dyDescent="0.2">
      <c r="A7733">
        <v>7727</v>
      </c>
      <c r="B7733">
        <v>0.11021018853706743</v>
      </c>
    </row>
    <row r="7734" spans="1:2" x14ac:dyDescent="0.2">
      <c r="A7734">
        <v>7728</v>
      </c>
      <c r="B7734">
        <v>0.24347860413281397</v>
      </c>
    </row>
    <row r="7735" spans="1:2" x14ac:dyDescent="0.2">
      <c r="A7735">
        <v>7729</v>
      </c>
      <c r="B7735">
        <v>0.84053962705680807</v>
      </c>
    </row>
    <row r="7736" spans="1:2" x14ac:dyDescent="0.2">
      <c r="A7736">
        <v>7730</v>
      </c>
      <c r="B7736">
        <v>6.4635575164865289E-2</v>
      </c>
    </row>
    <row r="7737" spans="1:2" x14ac:dyDescent="0.2">
      <c r="A7737">
        <v>7731</v>
      </c>
      <c r="B7737">
        <v>0.81086809437124918</v>
      </c>
    </row>
    <row r="7738" spans="1:2" x14ac:dyDescent="0.2">
      <c r="A7738">
        <v>7732</v>
      </c>
      <c r="B7738">
        <v>0.48737513548723965</v>
      </c>
    </row>
    <row r="7739" spans="1:2" x14ac:dyDescent="0.2">
      <c r="A7739">
        <v>7733</v>
      </c>
      <c r="B7739">
        <v>0.43197357390723301</v>
      </c>
    </row>
    <row r="7740" spans="1:2" x14ac:dyDescent="0.2">
      <c r="A7740">
        <v>7734</v>
      </c>
      <c r="B7740">
        <v>0.24551389185385541</v>
      </c>
    </row>
    <row r="7741" spans="1:2" x14ac:dyDescent="0.2">
      <c r="A7741">
        <v>7735</v>
      </c>
      <c r="B7741">
        <v>0.97790916230202141</v>
      </c>
    </row>
    <row r="7742" spans="1:2" x14ac:dyDescent="0.2">
      <c r="A7742">
        <v>7736</v>
      </c>
      <c r="B7742">
        <v>0.99540774430260304</v>
      </c>
    </row>
    <row r="7743" spans="1:2" x14ac:dyDescent="0.2">
      <c r="A7743">
        <v>7737</v>
      </c>
      <c r="B7743">
        <v>0.48640865667624589</v>
      </c>
    </row>
    <row r="7744" spans="1:2" x14ac:dyDescent="0.2">
      <c r="A7744">
        <v>7738</v>
      </c>
      <c r="B7744">
        <v>0.23966765215550889</v>
      </c>
    </row>
    <row r="7745" spans="1:2" x14ac:dyDescent="0.2">
      <c r="A7745">
        <v>7739</v>
      </c>
      <c r="B7745">
        <v>0.92470387114726194</v>
      </c>
    </row>
    <row r="7746" spans="1:2" x14ac:dyDescent="0.2">
      <c r="A7746">
        <v>7740</v>
      </c>
      <c r="B7746">
        <v>0.14466052620878045</v>
      </c>
    </row>
    <row r="7747" spans="1:2" x14ac:dyDescent="0.2">
      <c r="A7747">
        <v>7741</v>
      </c>
      <c r="B7747">
        <v>3.2158721038338722E-2</v>
      </c>
    </row>
    <row r="7748" spans="1:2" x14ac:dyDescent="0.2">
      <c r="A7748">
        <v>7742</v>
      </c>
      <c r="B7748">
        <v>9.8614527955636966E-2</v>
      </c>
    </row>
    <row r="7749" spans="1:2" x14ac:dyDescent="0.2">
      <c r="A7749">
        <v>7743</v>
      </c>
      <c r="B7749">
        <v>0.13265828762903009</v>
      </c>
    </row>
    <row r="7750" spans="1:2" x14ac:dyDescent="0.2">
      <c r="A7750">
        <v>7744</v>
      </c>
      <c r="B7750">
        <v>0.77751369000943116</v>
      </c>
    </row>
    <row r="7751" spans="1:2" x14ac:dyDescent="0.2">
      <c r="A7751">
        <v>7745</v>
      </c>
      <c r="B7751">
        <v>0.64317098865302724</v>
      </c>
    </row>
    <row r="7752" spans="1:2" x14ac:dyDescent="0.2">
      <c r="A7752">
        <v>7746</v>
      </c>
      <c r="B7752">
        <v>0.61702343259747505</v>
      </c>
    </row>
    <row r="7753" spans="1:2" x14ac:dyDescent="0.2">
      <c r="A7753">
        <v>7747</v>
      </c>
      <c r="B7753">
        <v>0.4548559586540103</v>
      </c>
    </row>
    <row r="7754" spans="1:2" x14ac:dyDescent="0.2">
      <c r="A7754">
        <v>7748</v>
      </c>
      <c r="B7754">
        <v>8.0566537809190986E-2</v>
      </c>
    </row>
    <row r="7755" spans="1:2" x14ac:dyDescent="0.2">
      <c r="A7755">
        <v>7749</v>
      </c>
      <c r="B7755">
        <v>0.17175083720804241</v>
      </c>
    </row>
    <row r="7756" spans="1:2" x14ac:dyDescent="0.2">
      <c r="A7756">
        <v>7750</v>
      </c>
      <c r="B7756">
        <v>0.38920151217465981</v>
      </c>
    </row>
    <row r="7757" spans="1:2" x14ac:dyDescent="0.2">
      <c r="A7757">
        <v>7751</v>
      </c>
      <c r="B7757">
        <v>0.15732672222835975</v>
      </c>
    </row>
    <row r="7758" spans="1:2" x14ac:dyDescent="0.2">
      <c r="A7758">
        <v>7752</v>
      </c>
      <c r="B7758">
        <v>0.79852868307552172</v>
      </c>
    </row>
    <row r="7759" spans="1:2" x14ac:dyDescent="0.2">
      <c r="A7759">
        <v>7753</v>
      </c>
      <c r="B7759">
        <v>0.88706056119739896</v>
      </c>
    </row>
    <row r="7760" spans="1:2" x14ac:dyDescent="0.2">
      <c r="A7760">
        <v>7754</v>
      </c>
      <c r="B7760">
        <v>0.89673690878182333</v>
      </c>
    </row>
    <row r="7761" spans="1:2" x14ac:dyDescent="0.2">
      <c r="A7761">
        <v>7755</v>
      </c>
      <c r="B7761">
        <v>0.62213215311287573</v>
      </c>
    </row>
    <row r="7762" spans="1:2" x14ac:dyDescent="0.2">
      <c r="A7762">
        <v>7756</v>
      </c>
      <c r="B7762">
        <v>0.55428625871566861</v>
      </c>
    </row>
    <row r="7763" spans="1:2" x14ac:dyDescent="0.2">
      <c r="A7763">
        <v>7757</v>
      </c>
      <c r="B7763">
        <v>0.38416543564625361</v>
      </c>
    </row>
    <row r="7764" spans="1:2" x14ac:dyDescent="0.2">
      <c r="A7764">
        <v>7758</v>
      </c>
      <c r="B7764">
        <v>0.8296245386971044</v>
      </c>
    </row>
    <row r="7765" spans="1:2" x14ac:dyDescent="0.2">
      <c r="A7765">
        <v>7759</v>
      </c>
      <c r="B7765">
        <v>0.46445766948532641</v>
      </c>
    </row>
    <row r="7766" spans="1:2" x14ac:dyDescent="0.2">
      <c r="A7766">
        <v>7760</v>
      </c>
      <c r="B7766">
        <v>0.84048520967356988</v>
      </c>
    </row>
    <row r="7767" spans="1:2" x14ac:dyDescent="0.2">
      <c r="A7767">
        <v>7761</v>
      </c>
      <c r="B7767">
        <v>0.477170017148836</v>
      </c>
    </row>
    <row r="7768" spans="1:2" x14ac:dyDescent="0.2">
      <c r="A7768">
        <v>7762</v>
      </c>
      <c r="B7768">
        <v>0.87529865796146444</v>
      </c>
    </row>
    <row r="7769" spans="1:2" x14ac:dyDescent="0.2">
      <c r="A7769">
        <v>7763</v>
      </c>
      <c r="B7769">
        <v>0.48473041109164083</v>
      </c>
    </row>
    <row r="7770" spans="1:2" x14ac:dyDescent="0.2">
      <c r="A7770">
        <v>7764</v>
      </c>
      <c r="B7770">
        <v>8.7086091388844822E-2</v>
      </c>
    </row>
    <row r="7771" spans="1:2" x14ac:dyDescent="0.2">
      <c r="A7771">
        <v>7765</v>
      </c>
      <c r="B7771">
        <v>0.70999062240725419</v>
      </c>
    </row>
    <row r="7772" spans="1:2" x14ac:dyDescent="0.2">
      <c r="A7772">
        <v>7766</v>
      </c>
      <c r="B7772">
        <v>0.12292453838132389</v>
      </c>
    </row>
    <row r="7773" spans="1:2" x14ac:dyDescent="0.2">
      <c r="A7773">
        <v>7767</v>
      </c>
      <c r="B7773">
        <v>0.44244019029850967</v>
      </c>
    </row>
    <row r="7774" spans="1:2" x14ac:dyDescent="0.2">
      <c r="A7774">
        <v>7768</v>
      </c>
      <c r="B7774">
        <v>8.1872255211699163E-2</v>
      </c>
    </row>
    <row r="7775" spans="1:2" x14ac:dyDescent="0.2">
      <c r="A7775">
        <v>7769</v>
      </c>
      <c r="B7775">
        <v>0.84062404104610566</v>
      </c>
    </row>
    <row r="7776" spans="1:2" x14ac:dyDescent="0.2">
      <c r="A7776">
        <v>7770</v>
      </c>
      <c r="B7776">
        <v>0.67117888187921415</v>
      </c>
    </row>
    <row r="7777" spans="1:2" x14ac:dyDescent="0.2">
      <c r="A7777">
        <v>7771</v>
      </c>
      <c r="B7777">
        <v>0.49717558126369776</v>
      </c>
    </row>
    <row r="7778" spans="1:2" x14ac:dyDescent="0.2">
      <c r="A7778">
        <v>7772</v>
      </c>
      <c r="B7778">
        <v>0.72552519534363469</v>
      </c>
    </row>
    <row r="7779" spans="1:2" x14ac:dyDescent="0.2">
      <c r="A7779">
        <v>7773</v>
      </c>
      <c r="B7779">
        <v>0.72674189818000234</v>
      </c>
    </row>
    <row r="7780" spans="1:2" x14ac:dyDescent="0.2">
      <c r="A7780">
        <v>7774</v>
      </c>
      <c r="B7780">
        <v>0.47051877854547397</v>
      </c>
    </row>
    <row r="7781" spans="1:2" x14ac:dyDescent="0.2">
      <c r="A7781">
        <v>7775</v>
      </c>
      <c r="B7781">
        <v>0.20433596353856764</v>
      </c>
    </row>
    <row r="7782" spans="1:2" x14ac:dyDescent="0.2">
      <c r="A7782">
        <v>7776</v>
      </c>
      <c r="B7782">
        <v>0.15020509758979528</v>
      </c>
    </row>
    <row r="7783" spans="1:2" x14ac:dyDescent="0.2">
      <c r="A7783">
        <v>7777</v>
      </c>
      <c r="B7783">
        <v>0.71510121592743292</v>
      </c>
    </row>
    <row r="7784" spans="1:2" x14ac:dyDescent="0.2">
      <c r="A7784">
        <v>7778</v>
      </c>
      <c r="B7784">
        <v>0.99551846617263562</v>
      </c>
    </row>
    <row r="7785" spans="1:2" x14ac:dyDescent="0.2">
      <c r="A7785">
        <v>7779</v>
      </c>
      <c r="B7785">
        <v>0.71841126982053838</v>
      </c>
    </row>
    <row r="7786" spans="1:2" x14ac:dyDescent="0.2">
      <c r="A7786">
        <v>7780</v>
      </c>
      <c r="B7786">
        <v>0.70059602873176208</v>
      </c>
    </row>
    <row r="7787" spans="1:2" x14ac:dyDescent="0.2">
      <c r="A7787">
        <v>7781</v>
      </c>
      <c r="B7787">
        <v>0.69396653374965422</v>
      </c>
    </row>
    <row r="7788" spans="1:2" x14ac:dyDescent="0.2">
      <c r="A7788">
        <v>7782</v>
      </c>
      <c r="B7788">
        <v>0.25990356433774597</v>
      </c>
    </row>
    <row r="7789" spans="1:2" x14ac:dyDescent="0.2">
      <c r="A7789">
        <v>7783</v>
      </c>
      <c r="B7789">
        <v>0.94403808637099396</v>
      </c>
    </row>
    <row r="7790" spans="1:2" x14ac:dyDescent="0.2">
      <c r="A7790">
        <v>7784</v>
      </c>
      <c r="B7790">
        <v>0.53893063593782631</v>
      </c>
    </row>
    <row r="7791" spans="1:2" x14ac:dyDescent="0.2">
      <c r="A7791">
        <v>7785</v>
      </c>
      <c r="B7791">
        <v>6.0080642147822605E-2</v>
      </c>
    </row>
    <row r="7792" spans="1:2" x14ac:dyDescent="0.2">
      <c r="A7792">
        <v>7786</v>
      </c>
      <c r="B7792">
        <v>0.2295461739437602</v>
      </c>
    </row>
    <row r="7793" spans="1:2" x14ac:dyDescent="0.2">
      <c r="A7793">
        <v>7787</v>
      </c>
      <c r="B7793">
        <v>0.77907564608534086</v>
      </c>
    </row>
    <row r="7794" spans="1:2" x14ac:dyDescent="0.2">
      <c r="A7794">
        <v>7788</v>
      </c>
      <c r="B7794">
        <v>0.13436427937795181</v>
      </c>
    </row>
    <row r="7795" spans="1:2" x14ac:dyDescent="0.2">
      <c r="A7795">
        <v>7789</v>
      </c>
      <c r="B7795">
        <v>0.33286455290471295</v>
      </c>
    </row>
    <row r="7796" spans="1:2" x14ac:dyDescent="0.2">
      <c r="A7796">
        <v>7790</v>
      </c>
      <c r="B7796">
        <v>0.84008479925514223</v>
      </c>
    </row>
    <row r="7797" spans="1:2" x14ac:dyDescent="0.2">
      <c r="A7797">
        <v>7791</v>
      </c>
      <c r="B7797">
        <v>0.96161575211272277</v>
      </c>
    </row>
    <row r="7798" spans="1:2" x14ac:dyDescent="0.2">
      <c r="A7798">
        <v>7792</v>
      </c>
      <c r="B7798">
        <v>0.1157658538295292</v>
      </c>
    </row>
    <row r="7799" spans="1:2" x14ac:dyDescent="0.2">
      <c r="A7799">
        <v>7793</v>
      </c>
      <c r="B7799">
        <v>0.2007387500146548</v>
      </c>
    </row>
    <row r="7800" spans="1:2" x14ac:dyDescent="0.2">
      <c r="A7800">
        <v>7794</v>
      </c>
      <c r="B7800">
        <v>0.5590594172407034</v>
      </c>
    </row>
    <row r="7801" spans="1:2" x14ac:dyDescent="0.2">
      <c r="A7801">
        <v>7795</v>
      </c>
      <c r="B7801">
        <v>0.8642104987604573</v>
      </c>
    </row>
    <row r="7802" spans="1:2" x14ac:dyDescent="0.2">
      <c r="A7802">
        <v>7796</v>
      </c>
      <c r="B7802">
        <v>0.24058877572185955</v>
      </c>
    </row>
    <row r="7803" spans="1:2" x14ac:dyDescent="0.2">
      <c r="A7803">
        <v>7797</v>
      </c>
      <c r="B7803">
        <v>0.16605952895244036</v>
      </c>
    </row>
    <row r="7804" spans="1:2" x14ac:dyDescent="0.2">
      <c r="A7804">
        <v>7798</v>
      </c>
      <c r="B7804">
        <v>0.74140243245928328</v>
      </c>
    </row>
    <row r="7805" spans="1:2" x14ac:dyDescent="0.2">
      <c r="A7805">
        <v>7799</v>
      </c>
      <c r="B7805">
        <v>0.92857008601743196</v>
      </c>
    </row>
    <row r="7806" spans="1:2" x14ac:dyDescent="0.2">
      <c r="A7806">
        <v>7800</v>
      </c>
      <c r="B7806">
        <v>0.75632027111055755</v>
      </c>
    </row>
    <row r="7807" spans="1:2" x14ac:dyDescent="0.2">
      <c r="A7807">
        <v>7801</v>
      </c>
      <c r="B7807">
        <v>2.2961198081754897E-2</v>
      </c>
    </row>
    <row r="7808" spans="1:2" x14ac:dyDescent="0.2">
      <c r="A7808">
        <v>7802</v>
      </c>
      <c r="B7808">
        <v>1.939358191653251E-3</v>
      </c>
    </row>
    <row r="7809" spans="1:2" x14ac:dyDescent="0.2">
      <c r="A7809">
        <v>7803</v>
      </c>
      <c r="B7809">
        <v>0.34929619109686927</v>
      </c>
    </row>
    <row r="7810" spans="1:2" x14ac:dyDescent="0.2">
      <c r="A7810">
        <v>7804</v>
      </c>
      <c r="B7810">
        <v>0.22299140379790827</v>
      </c>
    </row>
    <row r="7811" spans="1:2" x14ac:dyDescent="0.2">
      <c r="A7811">
        <v>7805</v>
      </c>
      <c r="B7811">
        <v>0.33955507874504065</v>
      </c>
    </row>
    <row r="7812" spans="1:2" x14ac:dyDescent="0.2">
      <c r="A7812">
        <v>7806</v>
      </c>
      <c r="B7812">
        <v>0.69442234074182607</v>
      </c>
    </row>
    <row r="7813" spans="1:2" x14ac:dyDescent="0.2">
      <c r="A7813">
        <v>7807</v>
      </c>
      <c r="B7813">
        <v>0.95979392134965069</v>
      </c>
    </row>
    <row r="7814" spans="1:2" x14ac:dyDescent="0.2">
      <c r="A7814">
        <v>7808</v>
      </c>
      <c r="B7814">
        <v>0.6464846536061285</v>
      </c>
    </row>
    <row r="7815" spans="1:2" x14ac:dyDescent="0.2">
      <c r="A7815">
        <v>7809</v>
      </c>
      <c r="B7815">
        <v>0.36467043238821029</v>
      </c>
    </row>
    <row r="7816" spans="1:2" x14ac:dyDescent="0.2">
      <c r="A7816">
        <v>7810</v>
      </c>
      <c r="B7816">
        <v>0.96031909532855264</v>
      </c>
    </row>
    <row r="7817" spans="1:2" x14ac:dyDescent="0.2">
      <c r="A7817">
        <v>7811</v>
      </c>
      <c r="B7817">
        <v>0.7032274167549627</v>
      </c>
    </row>
    <row r="7818" spans="1:2" x14ac:dyDescent="0.2">
      <c r="A7818">
        <v>7812</v>
      </c>
      <c r="B7818">
        <v>0.36576551434321103</v>
      </c>
    </row>
    <row r="7819" spans="1:2" x14ac:dyDescent="0.2">
      <c r="A7819">
        <v>7813</v>
      </c>
      <c r="B7819">
        <v>0.78544048880729611</v>
      </c>
    </row>
    <row r="7820" spans="1:2" x14ac:dyDescent="0.2">
      <c r="A7820">
        <v>7814</v>
      </c>
      <c r="B7820">
        <v>0.17529076483138761</v>
      </c>
    </row>
    <row r="7821" spans="1:2" x14ac:dyDescent="0.2">
      <c r="A7821">
        <v>7815</v>
      </c>
      <c r="B7821">
        <v>0.93015993366208638</v>
      </c>
    </row>
    <row r="7822" spans="1:2" x14ac:dyDescent="0.2">
      <c r="A7822">
        <v>7816</v>
      </c>
      <c r="B7822">
        <v>0.38872112431810235</v>
      </c>
    </row>
    <row r="7823" spans="1:2" x14ac:dyDescent="0.2">
      <c r="A7823">
        <v>7817</v>
      </c>
      <c r="B7823">
        <v>0.56925543446243565</v>
      </c>
    </row>
    <row r="7824" spans="1:2" x14ac:dyDescent="0.2">
      <c r="A7824">
        <v>7818</v>
      </c>
      <c r="B7824">
        <v>0.77303526546829604</v>
      </c>
    </row>
    <row r="7825" spans="1:2" x14ac:dyDescent="0.2">
      <c r="A7825">
        <v>7819</v>
      </c>
      <c r="B7825">
        <v>0.80466666167036893</v>
      </c>
    </row>
    <row r="7826" spans="1:2" x14ac:dyDescent="0.2">
      <c r="A7826">
        <v>7820</v>
      </c>
      <c r="B7826">
        <v>9.4469362043610561E-2</v>
      </c>
    </row>
    <row r="7827" spans="1:2" x14ac:dyDescent="0.2">
      <c r="A7827">
        <v>7821</v>
      </c>
      <c r="B7827">
        <v>0.54713068800670739</v>
      </c>
    </row>
    <row r="7828" spans="1:2" x14ac:dyDescent="0.2">
      <c r="A7828">
        <v>7822</v>
      </c>
      <c r="B7828">
        <v>0.43678092850196115</v>
      </c>
    </row>
    <row r="7829" spans="1:2" x14ac:dyDescent="0.2">
      <c r="A7829">
        <v>7823</v>
      </c>
      <c r="B7829">
        <v>0.20947245333971132</v>
      </c>
    </row>
    <row r="7830" spans="1:2" x14ac:dyDescent="0.2">
      <c r="A7830">
        <v>7824</v>
      </c>
      <c r="B7830">
        <v>0.91404416021875534</v>
      </c>
    </row>
    <row r="7831" spans="1:2" x14ac:dyDescent="0.2">
      <c r="A7831">
        <v>7825</v>
      </c>
      <c r="B7831">
        <v>0.54340554819163123</v>
      </c>
    </row>
    <row r="7832" spans="1:2" x14ac:dyDescent="0.2">
      <c r="A7832">
        <v>7826</v>
      </c>
      <c r="B7832">
        <v>0.85451266432299899</v>
      </c>
    </row>
    <row r="7833" spans="1:2" x14ac:dyDescent="0.2">
      <c r="A7833">
        <v>7827</v>
      </c>
      <c r="B7833">
        <v>0.88122615433116769</v>
      </c>
    </row>
    <row r="7834" spans="1:2" x14ac:dyDescent="0.2">
      <c r="A7834">
        <v>7828</v>
      </c>
      <c r="B7834">
        <v>0.45808802852068631</v>
      </c>
    </row>
    <row r="7835" spans="1:2" x14ac:dyDescent="0.2">
      <c r="A7835">
        <v>7829</v>
      </c>
      <c r="B7835">
        <v>0.68923791212916774</v>
      </c>
    </row>
    <row r="7836" spans="1:2" x14ac:dyDescent="0.2">
      <c r="A7836">
        <v>7830</v>
      </c>
      <c r="B7836">
        <v>0.79840464669462552</v>
      </c>
    </row>
    <row r="7837" spans="1:2" x14ac:dyDescent="0.2">
      <c r="A7837">
        <v>7831</v>
      </c>
      <c r="B7837">
        <v>0.97114504018833692</v>
      </c>
    </row>
    <row r="7838" spans="1:2" x14ac:dyDescent="0.2">
      <c r="A7838">
        <v>7832</v>
      </c>
      <c r="B7838">
        <v>0.2163004203958645</v>
      </c>
    </row>
    <row r="7839" spans="1:2" x14ac:dyDescent="0.2">
      <c r="A7839">
        <v>7833</v>
      </c>
      <c r="B7839">
        <v>0.78821142257107024</v>
      </c>
    </row>
    <row r="7840" spans="1:2" x14ac:dyDescent="0.2">
      <c r="A7840">
        <v>7834</v>
      </c>
      <c r="B7840">
        <v>0.30901442185780426</v>
      </c>
    </row>
    <row r="7841" spans="1:2" x14ac:dyDescent="0.2">
      <c r="A7841">
        <v>7835</v>
      </c>
      <c r="B7841">
        <v>0.69048011133280296</v>
      </c>
    </row>
    <row r="7842" spans="1:2" x14ac:dyDescent="0.2">
      <c r="A7842">
        <v>7836</v>
      </c>
      <c r="B7842">
        <v>0.30655686317960451</v>
      </c>
    </row>
    <row r="7843" spans="1:2" x14ac:dyDescent="0.2">
      <c r="A7843">
        <v>7837</v>
      </c>
      <c r="B7843">
        <v>0.77865592376200454</v>
      </c>
    </row>
    <row r="7844" spans="1:2" x14ac:dyDescent="0.2">
      <c r="A7844">
        <v>7838</v>
      </c>
      <c r="B7844">
        <v>0.75691928562112631</v>
      </c>
    </row>
    <row r="7845" spans="1:2" x14ac:dyDescent="0.2">
      <c r="A7845">
        <v>7839</v>
      </c>
      <c r="B7845">
        <v>0.3223016547613069</v>
      </c>
    </row>
    <row r="7846" spans="1:2" x14ac:dyDescent="0.2">
      <c r="A7846">
        <v>7840</v>
      </c>
      <c r="B7846">
        <v>0.73963938194926604</v>
      </c>
    </row>
    <row r="7847" spans="1:2" x14ac:dyDescent="0.2">
      <c r="A7847">
        <v>7841</v>
      </c>
      <c r="B7847">
        <v>0.96883987078653355</v>
      </c>
    </row>
    <row r="7848" spans="1:2" x14ac:dyDescent="0.2">
      <c r="A7848">
        <v>7842</v>
      </c>
      <c r="B7848">
        <v>0.21142284850984283</v>
      </c>
    </row>
    <row r="7849" spans="1:2" x14ac:dyDescent="0.2">
      <c r="A7849">
        <v>7843</v>
      </c>
      <c r="B7849">
        <v>0.36274725819227316</v>
      </c>
    </row>
    <row r="7850" spans="1:2" x14ac:dyDescent="0.2">
      <c r="A7850">
        <v>7844</v>
      </c>
      <c r="B7850">
        <v>1.6539029757668966E-2</v>
      </c>
    </row>
    <row r="7851" spans="1:2" x14ac:dyDescent="0.2">
      <c r="A7851">
        <v>7845</v>
      </c>
      <c r="B7851">
        <v>6.5488777977281032E-2</v>
      </c>
    </row>
    <row r="7852" spans="1:2" x14ac:dyDescent="0.2">
      <c r="A7852">
        <v>7846</v>
      </c>
      <c r="B7852">
        <v>0.67799439301733311</v>
      </c>
    </row>
    <row r="7853" spans="1:2" x14ac:dyDescent="0.2">
      <c r="A7853">
        <v>7847</v>
      </c>
      <c r="B7853">
        <v>0.66491981740282879</v>
      </c>
    </row>
    <row r="7854" spans="1:2" x14ac:dyDescent="0.2">
      <c r="A7854">
        <v>7848</v>
      </c>
      <c r="B7854">
        <v>0.12521592115560454</v>
      </c>
    </row>
    <row r="7855" spans="1:2" x14ac:dyDescent="0.2">
      <c r="A7855">
        <v>7849</v>
      </c>
      <c r="B7855">
        <v>0.43272159332836424</v>
      </c>
    </row>
    <row r="7856" spans="1:2" x14ac:dyDescent="0.2">
      <c r="A7856">
        <v>7850</v>
      </c>
      <c r="B7856">
        <v>0.60086460784551077</v>
      </c>
    </row>
    <row r="7857" spans="1:2" x14ac:dyDescent="0.2">
      <c r="A7857">
        <v>7851</v>
      </c>
      <c r="B7857">
        <v>0.58628778900615519</v>
      </c>
    </row>
    <row r="7858" spans="1:2" x14ac:dyDescent="0.2">
      <c r="A7858">
        <v>7852</v>
      </c>
      <c r="B7858">
        <v>0.93482458220231879</v>
      </c>
    </row>
    <row r="7859" spans="1:2" x14ac:dyDescent="0.2">
      <c r="A7859">
        <v>7853</v>
      </c>
      <c r="B7859">
        <v>0.22324060689495162</v>
      </c>
    </row>
    <row r="7860" spans="1:2" x14ac:dyDescent="0.2">
      <c r="A7860">
        <v>7854</v>
      </c>
      <c r="B7860">
        <v>0.29081453114476963</v>
      </c>
    </row>
    <row r="7861" spans="1:2" x14ac:dyDescent="0.2">
      <c r="A7861">
        <v>7855</v>
      </c>
      <c r="B7861">
        <v>0.948326959665441</v>
      </c>
    </row>
    <row r="7862" spans="1:2" x14ac:dyDescent="0.2">
      <c r="A7862">
        <v>7856</v>
      </c>
      <c r="B7862">
        <v>1.881010310121356E-2</v>
      </c>
    </row>
    <row r="7863" spans="1:2" x14ac:dyDescent="0.2">
      <c r="A7863">
        <v>7857</v>
      </c>
      <c r="B7863">
        <v>0.6487466068448714</v>
      </c>
    </row>
    <row r="7864" spans="1:2" x14ac:dyDescent="0.2">
      <c r="A7864">
        <v>7858</v>
      </c>
      <c r="B7864">
        <v>8.3653022986128422E-2</v>
      </c>
    </row>
    <row r="7865" spans="1:2" x14ac:dyDescent="0.2">
      <c r="A7865">
        <v>7859</v>
      </c>
      <c r="B7865">
        <v>0.50793050079745139</v>
      </c>
    </row>
    <row r="7866" spans="1:2" x14ac:dyDescent="0.2">
      <c r="A7866">
        <v>7860</v>
      </c>
      <c r="B7866">
        <v>0.24524638082516326</v>
      </c>
    </row>
    <row r="7867" spans="1:2" x14ac:dyDescent="0.2">
      <c r="A7867">
        <v>7861</v>
      </c>
      <c r="B7867">
        <v>0.93447636464816508</v>
      </c>
    </row>
    <row r="7868" spans="1:2" x14ac:dyDescent="0.2">
      <c r="A7868">
        <v>7862</v>
      </c>
      <c r="B7868">
        <v>0.62361215976657769</v>
      </c>
    </row>
    <row r="7869" spans="1:2" x14ac:dyDescent="0.2">
      <c r="A7869">
        <v>7863</v>
      </c>
      <c r="B7869">
        <v>0.95593651407402458</v>
      </c>
    </row>
    <row r="7870" spans="1:2" x14ac:dyDescent="0.2">
      <c r="A7870">
        <v>7864</v>
      </c>
      <c r="B7870">
        <v>0.99985428564084167</v>
      </c>
    </row>
    <row r="7871" spans="1:2" x14ac:dyDescent="0.2">
      <c r="A7871">
        <v>7865</v>
      </c>
      <c r="B7871">
        <v>0.10767036717058787</v>
      </c>
    </row>
    <row r="7872" spans="1:2" x14ac:dyDescent="0.2">
      <c r="A7872">
        <v>7866</v>
      </c>
      <c r="B7872">
        <v>0.41304064719101619</v>
      </c>
    </row>
    <row r="7873" spans="1:2" x14ac:dyDescent="0.2">
      <c r="A7873">
        <v>7867</v>
      </c>
      <c r="B7873">
        <v>5.9629729815154575E-2</v>
      </c>
    </row>
    <row r="7874" spans="1:2" x14ac:dyDescent="0.2">
      <c r="A7874">
        <v>7868</v>
      </c>
      <c r="B7874">
        <v>0.87587009194400822</v>
      </c>
    </row>
    <row r="7875" spans="1:2" x14ac:dyDescent="0.2">
      <c r="A7875">
        <v>7869</v>
      </c>
      <c r="B7875">
        <v>0.1005427257695215</v>
      </c>
    </row>
    <row r="7876" spans="1:2" x14ac:dyDescent="0.2">
      <c r="A7876">
        <v>7870</v>
      </c>
      <c r="B7876">
        <v>0.38862292963814127</v>
      </c>
    </row>
    <row r="7877" spans="1:2" x14ac:dyDescent="0.2">
      <c r="A7877">
        <v>7871</v>
      </c>
      <c r="B7877">
        <v>0.30255781763442757</v>
      </c>
    </row>
    <row r="7878" spans="1:2" x14ac:dyDescent="0.2">
      <c r="A7878">
        <v>7872</v>
      </c>
      <c r="B7878">
        <v>0.20917702814194661</v>
      </c>
    </row>
    <row r="7879" spans="1:2" x14ac:dyDescent="0.2">
      <c r="A7879">
        <v>7873</v>
      </c>
      <c r="B7879">
        <v>0.47099371528273681</v>
      </c>
    </row>
    <row r="7880" spans="1:2" x14ac:dyDescent="0.2">
      <c r="A7880">
        <v>7874</v>
      </c>
      <c r="B7880">
        <v>0.40454363767605572</v>
      </c>
    </row>
    <row r="7881" spans="1:2" x14ac:dyDescent="0.2">
      <c r="A7881">
        <v>7875</v>
      </c>
      <c r="B7881">
        <v>0.54342209026678323</v>
      </c>
    </row>
    <row r="7882" spans="1:2" x14ac:dyDescent="0.2">
      <c r="A7882">
        <v>7876</v>
      </c>
      <c r="B7882">
        <v>0.87419217419759132</v>
      </c>
    </row>
    <row r="7883" spans="1:2" x14ac:dyDescent="0.2">
      <c r="A7883">
        <v>7877</v>
      </c>
      <c r="B7883">
        <v>0.85557458896626581</v>
      </c>
    </row>
    <row r="7884" spans="1:2" x14ac:dyDescent="0.2">
      <c r="A7884">
        <v>7878</v>
      </c>
      <c r="B7884">
        <v>0.57280614236645999</v>
      </c>
    </row>
    <row r="7885" spans="1:2" x14ac:dyDescent="0.2">
      <c r="A7885">
        <v>7879</v>
      </c>
      <c r="B7885">
        <v>0.71776421529648105</v>
      </c>
    </row>
    <row r="7886" spans="1:2" x14ac:dyDescent="0.2">
      <c r="A7886">
        <v>7880</v>
      </c>
      <c r="B7886">
        <v>0.28087838273525401</v>
      </c>
    </row>
    <row r="7887" spans="1:2" x14ac:dyDescent="0.2">
      <c r="A7887">
        <v>7881</v>
      </c>
      <c r="B7887">
        <v>0.13438501879816234</v>
      </c>
    </row>
    <row r="7888" spans="1:2" x14ac:dyDescent="0.2">
      <c r="A7888">
        <v>7882</v>
      </c>
      <c r="B7888">
        <v>0.72996659916918916</v>
      </c>
    </row>
    <row r="7889" spans="1:2" x14ac:dyDescent="0.2">
      <c r="A7889">
        <v>7883</v>
      </c>
      <c r="B7889">
        <v>0.90779735207157131</v>
      </c>
    </row>
    <row r="7890" spans="1:2" x14ac:dyDescent="0.2">
      <c r="A7890">
        <v>7884</v>
      </c>
      <c r="B7890">
        <v>0.78826337856255846</v>
      </c>
    </row>
    <row r="7891" spans="1:2" x14ac:dyDescent="0.2">
      <c r="A7891">
        <v>7885</v>
      </c>
      <c r="B7891">
        <v>0.8750656522482867</v>
      </c>
    </row>
    <row r="7892" spans="1:2" x14ac:dyDescent="0.2">
      <c r="A7892">
        <v>7886</v>
      </c>
      <c r="B7892">
        <v>0.52965374886028627</v>
      </c>
    </row>
    <row r="7893" spans="1:2" x14ac:dyDescent="0.2">
      <c r="A7893">
        <v>7887</v>
      </c>
      <c r="B7893">
        <v>0.34892107419098062</v>
      </c>
    </row>
    <row r="7894" spans="1:2" x14ac:dyDescent="0.2">
      <c r="A7894">
        <v>7888</v>
      </c>
      <c r="B7894">
        <v>0.80625978010844968</v>
      </c>
    </row>
    <row r="7895" spans="1:2" x14ac:dyDescent="0.2">
      <c r="A7895">
        <v>7889</v>
      </c>
      <c r="B7895">
        <v>0.12926042319386433</v>
      </c>
    </row>
    <row r="7896" spans="1:2" x14ac:dyDescent="0.2">
      <c r="A7896">
        <v>7890</v>
      </c>
      <c r="B7896">
        <v>9.9746479386680686E-2</v>
      </c>
    </row>
    <row r="7897" spans="1:2" x14ac:dyDescent="0.2">
      <c r="A7897">
        <v>7891</v>
      </c>
      <c r="B7897">
        <v>0.52265897466300215</v>
      </c>
    </row>
    <row r="7898" spans="1:2" x14ac:dyDescent="0.2">
      <c r="A7898">
        <v>7892</v>
      </c>
      <c r="B7898">
        <v>0.73439811716038139</v>
      </c>
    </row>
    <row r="7899" spans="1:2" x14ac:dyDescent="0.2">
      <c r="A7899">
        <v>7893</v>
      </c>
      <c r="B7899">
        <v>0.45299255006221373</v>
      </c>
    </row>
    <row r="7900" spans="1:2" x14ac:dyDescent="0.2">
      <c r="A7900">
        <v>7894</v>
      </c>
      <c r="B7900">
        <v>0.42696998433203215</v>
      </c>
    </row>
    <row r="7901" spans="1:2" x14ac:dyDescent="0.2">
      <c r="A7901">
        <v>7895</v>
      </c>
      <c r="B7901">
        <v>1.7156441913270148E-2</v>
      </c>
    </row>
    <row r="7902" spans="1:2" x14ac:dyDescent="0.2">
      <c r="A7902">
        <v>7896</v>
      </c>
      <c r="B7902">
        <v>0.86315917784095297</v>
      </c>
    </row>
    <row r="7903" spans="1:2" x14ac:dyDescent="0.2">
      <c r="A7903">
        <v>7897</v>
      </c>
      <c r="B7903">
        <v>0.43542098458011347</v>
      </c>
    </row>
    <row r="7904" spans="1:2" x14ac:dyDescent="0.2">
      <c r="A7904">
        <v>7898</v>
      </c>
      <c r="B7904">
        <v>0.39972211378011735</v>
      </c>
    </row>
    <row r="7905" spans="1:2" x14ac:dyDescent="0.2">
      <c r="A7905">
        <v>7899</v>
      </c>
      <c r="B7905">
        <v>2.9186550173530446E-2</v>
      </c>
    </row>
    <row r="7906" spans="1:2" x14ac:dyDescent="0.2">
      <c r="A7906">
        <v>7900</v>
      </c>
      <c r="B7906">
        <v>0.20126789475837836</v>
      </c>
    </row>
    <row r="7907" spans="1:2" x14ac:dyDescent="0.2">
      <c r="A7907">
        <v>7901</v>
      </c>
      <c r="B7907">
        <v>0.97651360426682254</v>
      </c>
    </row>
    <row r="7908" spans="1:2" x14ac:dyDescent="0.2">
      <c r="A7908">
        <v>7902</v>
      </c>
      <c r="B7908">
        <v>0.84251254431732514</v>
      </c>
    </row>
    <row r="7909" spans="1:2" x14ac:dyDescent="0.2">
      <c r="A7909">
        <v>7903</v>
      </c>
      <c r="B7909">
        <v>0.17182430577775665</v>
      </c>
    </row>
    <row r="7910" spans="1:2" x14ac:dyDescent="0.2">
      <c r="A7910">
        <v>7904</v>
      </c>
      <c r="B7910">
        <v>0.39273027239540581</v>
      </c>
    </row>
    <row r="7911" spans="1:2" x14ac:dyDescent="0.2">
      <c r="A7911">
        <v>7905</v>
      </c>
      <c r="B7911">
        <v>0.71210907218494657</v>
      </c>
    </row>
    <row r="7912" spans="1:2" x14ac:dyDescent="0.2">
      <c r="A7912">
        <v>7906</v>
      </c>
      <c r="B7912">
        <v>0.20361475625945702</v>
      </c>
    </row>
    <row r="7913" spans="1:2" x14ac:dyDescent="0.2">
      <c r="A7913">
        <v>7907</v>
      </c>
      <c r="B7913">
        <v>0.60050827927176353</v>
      </c>
    </row>
    <row r="7914" spans="1:2" x14ac:dyDescent="0.2">
      <c r="A7914">
        <v>7908</v>
      </c>
      <c r="B7914">
        <v>0.31820523575605142</v>
      </c>
    </row>
    <row r="7915" spans="1:2" x14ac:dyDescent="0.2">
      <c r="A7915">
        <v>7909</v>
      </c>
      <c r="B7915">
        <v>0.88611460828927402</v>
      </c>
    </row>
    <row r="7916" spans="1:2" x14ac:dyDescent="0.2">
      <c r="A7916">
        <v>7910</v>
      </c>
      <c r="B7916">
        <v>0.33123964240021198</v>
      </c>
    </row>
    <row r="7917" spans="1:2" x14ac:dyDescent="0.2">
      <c r="A7917">
        <v>7911</v>
      </c>
      <c r="B7917">
        <v>0.86249588969772739</v>
      </c>
    </row>
    <row r="7918" spans="1:2" x14ac:dyDescent="0.2">
      <c r="A7918">
        <v>7912</v>
      </c>
      <c r="B7918">
        <v>0.32255378488736941</v>
      </c>
    </row>
    <row r="7919" spans="1:2" x14ac:dyDescent="0.2">
      <c r="A7919">
        <v>7913</v>
      </c>
      <c r="B7919">
        <v>0.37984349930718553</v>
      </c>
    </row>
    <row r="7920" spans="1:2" x14ac:dyDescent="0.2">
      <c r="A7920">
        <v>7914</v>
      </c>
      <c r="B7920">
        <v>0.56706401101331649</v>
      </c>
    </row>
    <row r="7921" spans="1:2" x14ac:dyDescent="0.2">
      <c r="A7921">
        <v>7915</v>
      </c>
      <c r="B7921">
        <v>0.85213319066097104</v>
      </c>
    </row>
    <row r="7922" spans="1:2" x14ac:dyDescent="0.2">
      <c r="A7922">
        <v>7916</v>
      </c>
      <c r="B7922">
        <v>0.45175121692502118</v>
      </c>
    </row>
    <row r="7923" spans="1:2" x14ac:dyDescent="0.2">
      <c r="A7923">
        <v>7917</v>
      </c>
      <c r="B7923">
        <v>0.31879844383083411</v>
      </c>
    </row>
    <row r="7924" spans="1:2" x14ac:dyDescent="0.2">
      <c r="A7924">
        <v>7918</v>
      </c>
      <c r="B7924">
        <v>0.27179669482799929</v>
      </c>
    </row>
    <row r="7925" spans="1:2" x14ac:dyDescent="0.2">
      <c r="A7925">
        <v>7919</v>
      </c>
      <c r="B7925">
        <v>0.36666480076670527</v>
      </c>
    </row>
    <row r="7926" spans="1:2" x14ac:dyDescent="0.2">
      <c r="A7926">
        <v>7920</v>
      </c>
      <c r="B7926">
        <v>0.39359228026046289</v>
      </c>
    </row>
    <row r="7927" spans="1:2" x14ac:dyDescent="0.2">
      <c r="A7927">
        <v>7921</v>
      </c>
      <c r="B7927">
        <v>0.45316239383467605</v>
      </c>
    </row>
    <row r="7928" spans="1:2" x14ac:dyDescent="0.2">
      <c r="A7928">
        <v>7922</v>
      </c>
      <c r="B7928">
        <v>0.87498114248461401</v>
      </c>
    </row>
    <row r="7929" spans="1:2" x14ac:dyDescent="0.2">
      <c r="A7929">
        <v>7923</v>
      </c>
      <c r="B7929">
        <v>0.19792204973200245</v>
      </c>
    </row>
    <row r="7930" spans="1:2" x14ac:dyDescent="0.2">
      <c r="A7930">
        <v>7924</v>
      </c>
      <c r="B7930">
        <v>0.62828643084731362</v>
      </c>
    </row>
    <row r="7931" spans="1:2" x14ac:dyDescent="0.2">
      <c r="A7931">
        <v>7925</v>
      </c>
      <c r="B7931">
        <v>0.43666318092356671</v>
      </c>
    </row>
    <row r="7932" spans="1:2" x14ac:dyDescent="0.2">
      <c r="A7932">
        <v>7926</v>
      </c>
      <c r="B7932">
        <v>0.79165824234873183</v>
      </c>
    </row>
    <row r="7933" spans="1:2" x14ac:dyDescent="0.2">
      <c r="A7933">
        <v>7927</v>
      </c>
      <c r="B7933">
        <v>0.84389429620163414</v>
      </c>
    </row>
    <row r="7934" spans="1:2" x14ac:dyDescent="0.2">
      <c r="A7934">
        <v>7928</v>
      </c>
      <c r="B7934">
        <v>0.30501448125981001</v>
      </c>
    </row>
    <row r="7935" spans="1:2" x14ac:dyDescent="0.2">
      <c r="A7935">
        <v>7929</v>
      </c>
      <c r="B7935">
        <v>0.4802095375326626</v>
      </c>
    </row>
    <row r="7936" spans="1:2" x14ac:dyDescent="0.2">
      <c r="A7936">
        <v>7930</v>
      </c>
      <c r="B7936">
        <v>0.63007146493858712</v>
      </c>
    </row>
    <row r="7937" spans="1:2" x14ac:dyDescent="0.2">
      <c r="A7937">
        <v>7931</v>
      </c>
      <c r="B7937">
        <v>0.86655744867929174</v>
      </c>
    </row>
    <row r="7938" spans="1:2" x14ac:dyDescent="0.2">
      <c r="A7938">
        <v>7932</v>
      </c>
      <c r="B7938">
        <v>0.41380351261132309</v>
      </c>
    </row>
    <row r="7939" spans="1:2" x14ac:dyDescent="0.2">
      <c r="A7939">
        <v>7933</v>
      </c>
      <c r="B7939">
        <v>0.33109705243864052</v>
      </c>
    </row>
    <row r="7940" spans="1:2" x14ac:dyDescent="0.2">
      <c r="A7940">
        <v>7934</v>
      </c>
      <c r="B7940">
        <v>0.27282477722566667</v>
      </c>
    </row>
    <row r="7941" spans="1:2" x14ac:dyDescent="0.2">
      <c r="A7941">
        <v>7935</v>
      </c>
      <c r="B7941">
        <v>0.88416763789188046</v>
      </c>
    </row>
    <row r="7942" spans="1:2" x14ac:dyDescent="0.2">
      <c r="A7942">
        <v>7936</v>
      </c>
      <c r="B7942">
        <v>0.3097019797107301</v>
      </c>
    </row>
    <row r="7943" spans="1:2" x14ac:dyDescent="0.2">
      <c r="A7943">
        <v>7937</v>
      </c>
      <c r="B7943">
        <v>0.51085067280268226</v>
      </c>
    </row>
    <row r="7944" spans="1:2" x14ac:dyDescent="0.2">
      <c r="A7944">
        <v>7938</v>
      </c>
      <c r="B7944">
        <v>0.17976413826189541</v>
      </c>
    </row>
    <row r="7945" spans="1:2" x14ac:dyDescent="0.2">
      <c r="A7945">
        <v>7939</v>
      </c>
      <c r="B7945">
        <v>0.17084835372085649</v>
      </c>
    </row>
    <row r="7946" spans="1:2" x14ac:dyDescent="0.2">
      <c r="A7946">
        <v>7940</v>
      </c>
      <c r="B7946">
        <v>0.97894670068221279</v>
      </c>
    </row>
    <row r="7947" spans="1:2" x14ac:dyDescent="0.2">
      <c r="A7947">
        <v>7941</v>
      </c>
      <c r="B7947">
        <v>0.6498915697414045</v>
      </c>
    </row>
    <row r="7948" spans="1:2" x14ac:dyDescent="0.2">
      <c r="A7948">
        <v>7942</v>
      </c>
      <c r="B7948">
        <v>2.1283764388209114E-2</v>
      </c>
    </row>
    <row r="7949" spans="1:2" x14ac:dyDescent="0.2">
      <c r="A7949">
        <v>7943</v>
      </c>
      <c r="B7949">
        <v>0.46085833343394056</v>
      </c>
    </row>
    <row r="7950" spans="1:2" x14ac:dyDescent="0.2">
      <c r="A7950">
        <v>7944</v>
      </c>
      <c r="B7950">
        <v>0.37676200010816796</v>
      </c>
    </row>
    <row r="7951" spans="1:2" x14ac:dyDescent="0.2">
      <c r="A7951">
        <v>7945</v>
      </c>
      <c r="B7951">
        <v>0.77172491904836571</v>
      </c>
    </row>
    <row r="7952" spans="1:2" x14ac:dyDescent="0.2">
      <c r="A7952">
        <v>7946</v>
      </c>
      <c r="B7952">
        <v>0.1927749140622258</v>
      </c>
    </row>
    <row r="7953" spans="1:2" x14ac:dyDescent="0.2">
      <c r="A7953">
        <v>7947</v>
      </c>
      <c r="B7953">
        <v>0.28055862335634818</v>
      </c>
    </row>
    <row r="7954" spans="1:2" x14ac:dyDescent="0.2">
      <c r="A7954">
        <v>7948</v>
      </c>
      <c r="B7954">
        <v>0.50211178278503121</v>
      </c>
    </row>
    <row r="7955" spans="1:2" x14ac:dyDescent="0.2">
      <c r="A7955">
        <v>7949</v>
      </c>
      <c r="B7955">
        <v>0.17106297455991659</v>
      </c>
    </row>
    <row r="7956" spans="1:2" x14ac:dyDescent="0.2">
      <c r="A7956">
        <v>7950</v>
      </c>
      <c r="B7956">
        <v>0.98531690968939056</v>
      </c>
    </row>
    <row r="7957" spans="1:2" x14ac:dyDescent="0.2">
      <c r="A7957">
        <v>7951</v>
      </c>
      <c r="B7957">
        <v>0.51996724676424899</v>
      </c>
    </row>
    <row r="7958" spans="1:2" x14ac:dyDescent="0.2">
      <c r="A7958">
        <v>7952</v>
      </c>
      <c r="B7958">
        <v>0.46733159800495783</v>
      </c>
    </row>
    <row r="7959" spans="1:2" x14ac:dyDescent="0.2">
      <c r="A7959">
        <v>7953</v>
      </c>
      <c r="B7959">
        <v>0.67930545541918441</v>
      </c>
    </row>
    <row r="7960" spans="1:2" x14ac:dyDescent="0.2">
      <c r="A7960">
        <v>7954</v>
      </c>
      <c r="B7960">
        <v>1.5266197311377017E-2</v>
      </c>
    </row>
    <row r="7961" spans="1:2" x14ac:dyDescent="0.2">
      <c r="A7961">
        <v>7955</v>
      </c>
      <c r="B7961">
        <v>0.56468271417975235</v>
      </c>
    </row>
    <row r="7962" spans="1:2" x14ac:dyDescent="0.2">
      <c r="A7962">
        <v>7956</v>
      </c>
      <c r="B7962">
        <v>0.94232182115829921</v>
      </c>
    </row>
    <row r="7963" spans="1:2" x14ac:dyDescent="0.2">
      <c r="A7963">
        <v>7957</v>
      </c>
      <c r="B7963">
        <v>0.86787076330344004</v>
      </c>
    </row>
    <row r="7964" spans="1:2" x14ac:dyDescent="0.2">
      <c r="A7964">
        <v>7958</v>
      </c>
      <c r="B7964">
        <v>0.29310065573569966</v>
      </c>
    </row>
    <row r="7965" spans="1:2" x14ac:dyDescent="0.2">
      <c r="A7965">
        <v>7959</v>
      </c>
      <c r="B7965">
        <v>0.658638758914734</v>
      </c>
    </row>
    <row r="7966" spans="1:2" x14ac:dyDescent="0.2">
      <c r="A7966">
        <v>7960</v>
      </c>
      <c r="B7966">
        <v>0.43352521913743824</v>
      </c>
    </row>
    <row r="7967" spans="1:2" x14ac:dyDescent="0.2">
      <c r="A7967">
        <v>7961</v>
      </c>
      <c r="B7967">
        <v>0.66481799732180535</v>
      </c>
    </row>
    <row r="7968" spans="1:2" x14ac:dyDescent="0.2">
      <c r="A7968">
        <v>7962</v>
      </c>
      <c r="B7968">
        <v>0.57620840682923147</v>
      </c>
    </row>
    <row r="7969" spans="1:2" x14ac:dyDescent="0.2">
      <c r="A7969">
        <v>7963</v>
      </c>
      <c r="B7969">
        <v>0.43403363027732988</v>
      </c>
    </row>
    <row r="7970" spans="1:2" x14ac:dyDescent="0.2">
      <c r="A7970">
        <v>7964</v>
      </c>
      <c r="B7970">
        <v>0.49574044536951478</v>
      </c>
    </row>
    <row r="7971" spans="1:2" x14ac:dyDescent="0.2">
      <c r="A7971">
        <v>7965</v>
      </c>
      <c r="B7971">
        <v>0.42418960638108605</v>
      </c>
    </row>
    <row r="7972" spans="1:2" x14ac:dyDescent="0.2">
      <c r="A7972">
        <v>7966</v>
      </c>
      <c r="B7972">
        <v>0.27318309082577119</v>
      </c>
    </row>
    <row r="7973" spans="1:2" x14ac:dyDescent="0.2">
      <c r="A7973">
        <v>7967</v>
      </c>
      <c r="B7973">
        <v>0.7933484600485865</v>
      </c>
    </row>
    <row r="7974" spans="1:2" x14ac:dyDescent="0.2">
      <c r="A7974">
        <v>7968</v>
      </c>
      <c r="B7974">
        <v>0.91015722784815067</v>
      </c>
    </row>
    <row r="7975" spans="1:2" x14ac:dyDescent="0.2">
      <c r="A7975">
        <v>7969</v>
      </c>
      <c r="B7975">
        <v>0.73350684677898725</v>
      </c>
    </row>
    <row r="7976" spans="1:2" x14ac:dyDescent="0.2">
      <c r="A7976">
        <v>7970</v>
      </c>
      <c r="B7976">
        <v>0.83495049088382889</v>
      </c>
    </row>
    <row r="7977" spans="1:2" x14ac:dyDescent="0.2">
      <c r="A7977">
        <v>7971</v>
      </c>
      <c r="B7977">
        <v>0.55817141447167595</v>
      </c>
    </row>
    <row r="7978" spans="1:2" x14ac:dyDescent="0.2">
      <c r="A7978">
        <v>7972</v>
      </c>
      <c r="B7978">
        <v>8.9173367708047513E-3</v>
      </c>
    </row>
    <row r="7979" spans="1:2" x14ac:dyDescent="0.2">
      <c r="A7979">
        <v>7973</v>
      </c>
      <c r="B7979">
        <v>4.6055056564633934E-2</v>
      </c>
    </row>
    <row r="7980" spans="1:2" x14ac:dyDescent="0.2">
      <c r="A7980">
        <v>7974</v>
      </c>
      <c r="B7980">
        <v>0.49508639085576134</v>
      </c>
    </row>
    <row r="7981" spans="1:2" x14ac:dyDescent="0.2">
      <c r="A7981">
        <v>7975</v>
      </c>
      <c r="B7981">
        <v>0.16129846622142707</v>
      </c>
    </row>
    <row r="7982" spans="1:2" x14ac:dyDescent="0.2">
      <c r="A7982">
        <v>7976</v>
      </c>
      <c r="B7982">
        <v>0.79216065111708911</v>
      </c>
    </row>
    <row r="7983" spans="1:2" x14ac:dyDescent="0.2">
      <c r="A7983">
        <v>7977</v>
      </c>
      <c r="B7983">
        <v>0.85308504787890449</v>
      </c>
    </row>
    <row r="7984" spans="1:2" x14ac:dyDescent="0.2">
      <c r="A7984">
        <v>7978</v>
      </c>
      <c r="B7984">
        <v>0.17325802751890929</v>
      </c>
    </row>
    <row r="7985" spans="1:2" x14ac:dyDescent="0.2">
      <c r="A7985">
        <v>7979</v>
      </c>
      <c r="B7985">
        <v>0.97490546343096285</v>
      </c>
    </row>
    <row r="7986" spans="1:2" x14ac:dyDescent="0.2">
      <c r="A7986">
        <v>7980</v>
      </c>
      <c r="B7986">
        <v>0.30529438547490961</v>
      </c>
    </row>
    <row r="7987" spans="1:2" x14ac:dyDescent="0.2">
      <c r="A7987">
        <v>7981</v>
      </c>
      <c r="B7987">
        <v>0.85446200851602461</v>
      </c>
    </row>
    <row r="7988" spans="1:2" x14ac:dyDescent="0.2">
      <c r="A7988">
        <v>7982</v>
      </c>
      <c r="B7988">
        <v>0.2949269519819494</v>
      </c>
    </row>
    <row r="7989" spans="1:2" x14ac:dyDescent="0.2">
      <c r="A7989">
        <v>7983</v>
      </c>
      <c r="B7989">
        <v>7.8940199639187858E-2</v>
      </c>
    </row>
    <row r="7990" spans="1:2" x14ac:dyDescent="0.2">
      <c r="A7990">
        <v>7984</v>
      </c>
      <c r="B7990">
        <v>0.3457010010974666</v>
      </c>
    </row>
    <row r="7991" spans="1:2" x14ac:dyDescent="0.2">
      <c r="A7991">
        <v>7985</v>
      </c>
      <c r="B7991">
        <v>0.7858808721053383</v>
      </c>
    </row>
    <row r="7992" spans="1:2" x14ac:dyDescent="0.2">
      <c r="A7992">
        <v>7986</v>
      </c>
      <c r="B7992">
        <v>0.4967533698422143</v>
      </c>
    </row>
    <row r="7993" spans="1:2" x14ac:dyDescent="0.2">
      <c r="A7993">
        <v>7987</v>
      </c>
      <c r="B7993">
        <v>0.5197384900186629</v>
      </c>
    </row>
    <row r="7994" spans="1:2" x14ac:dyDescent="0.2">
      <c r="A7994">
        <v>7988</v>
      </c>
      <c r="B7994">
        <v>0.33305072151237858</v>
      </c>
    </row>
    <row r="7995" spans="1:2" x14ac:dyDescent="0.2">
      <c r="A7995">
        <v>7989</v>
      </c>
      <c r="B7995">
        <v>0.18987662198018773</v>
      </c>
    </row>
    <row r="7996" spans="1:2" x14ac:dyDescent="0.2">
      <c r="A7996">
        <v>7990</v>
      </c>
      <c r="B7996">
        <v>0.52421465956856539</v>
      </c>
    </row>
    <row r="7997" spans="1:2" x14ac:dyDescent="0.2">
      <c r="A7997">
        <v>7991</v>
      </c>
      <c r="B7997">
        <v>0.65166757740339043</v>
      </c>
    </row>
    <row r="7998" spans="1:2" x14ac:dyDescent="0.2">
      <c r="A7998">
        <v>7992</v>
      </c>
      <c r="B7998">
        <v>0.46386768827061675</v>
      </c>
    </row>
    <row r="7999" spans="1:2" x14ac:dyDescent="0.2">
      <c r="A7999">
        <v>7993</v>
      </c>
      <c r="B7999">
        <v>0.53375484207867729</v>
      </c>
    </row>
    <row r="8000" spans="1:2" x14ac:dyDescent="0.2">
      <c r="A8000">
        <v>7994</v>
      </c>
      <c r="B8000">
        <v>0.81768103153865868</v>
      </c>
    </row>
    <row r="8001" spans="1:2" x14ac:dyDescent="0.2">
      <c r="A8001">
        <v>7995</v>
      </c>
      <c r="B8001">
        <v>2.3107381426265783E-2</v>
      </c>
    </row>
    <row r="8002" spans="1:2" x14ac:dyDescent="0.2">
      <c r="A8002">
        <v>7996</v>
      </c>
      <c r="B8002">
        <v>0.57827993667991118</v>
      </c>
    </row>
    <row r="8003" spans="1:2" x14ac:dyDescent="0.2">
      <c r="A8003">
        <v>7997</v>
      </c>
      <c r="B8003">
        <v>0.63787707402332672</v>
      </c>
    </row>
    <row r="8004" spans="1:2" x14ac:dyDescent="0.2">
      <c r="A8004">
        <v>7998</v>
      </c>
      <c r="B8004">
        <v>0.62335793168544706</v>
      </c>
    </row>
    <row r="8005" spans="1:2" x14ac:dyDescent="0.2">
      <c r="A8005">
        <v>7999</v>
      </c>
      <c r="B8005">
        <v>0.33632174093628098</v>
      </c>
    </row>
    <row r="8006" spans="1:2" x14ac:dyDescent="0.2">
      <c r="A8006">
        <v>8000</v>
      </c>
      <c r="B8006">
        <v>0.41032854905185445</v>
      </c>
    </row>
    <row r="8007" spans="1:2" x14ac:dyDescent="0.2">
      <c r="A8007">
        <v>8001</v>
      </c>
      <c r="B8007">
        <v>0.52011556290891836</v>
      </c>
    </row>
    <row r="8008" spans="1:2" x14ac:dyDescent="0.2">
      <c r="A8008">
        <v>8002</v>
      </c>
      <c r="B8008">
        <v>0.80445735155324805</v>
      </c>
    </row>
    <row r="8009" spans="1:2" x14ac:dyDescent="0.2">
      <c r="A8009">
        <v>8003</v>
      </c>
      <c r="B8009">
        <v>0.8038639291061408</v>
      </c>
    </row>
    <row r="8010" spans="1:2" x14ac:dyDescent="0.2">
      <c r="A8010">
        <v>8004</v>
      </c>
      <c r="B8010">
        <v>9.888405678924439E-2</v>
      </c>
    </row>
    <row r="8011" spans="1:2" x14ac:dyDescent="0.2">
      <c r="A8011">
        <v>8005</v>
      </c>
      <c r="B8011">
        <v>0.17448275828677906</v>
      </c>
    </row>
    <row r="8012" spans="1:2" x14ac:dyDescent="0.2">
      <c r="A8012">
        <v>8006</v>
      </c>
      <c r="B8012">
        <v>0.43443259277432789</v>
      </c>
    </row>
    <row r="8013" spans="1:2" x14ac:dyDescent="0.2">
      <c r="A8013">
        <v>8007</v>
      </c>
      <c r="B8013">
        <v>0.29814232805039398</v>
      </c>
    </row>
    <row r="8014" spans="1:2" x14ac:dyDescent="0.2">
      <c r="A8014">
        <v>8008</v>
      </c>
      <c r="B8014">
        <v>0.20626870170994305</v>
      </c>
    </row>
    <row r="8015" spans="1:2" x14ac:dyDescent="0.2">
      <c r="A8015">
        <v>8009</v>
      </c>
      <c r="B8015">
        <v>3.9525821220117718E-2</v>
      </c>
    </row>
    <row r="8016" spans="1:2" x14ac:dyDescent="0.2">
      <c r="A8016">
        <v>8010</v>
      </c>
      <c r="B8016">
        <v>0.64585617616152136</v>
      </c>
    </row>
    <row r="8017" spans="1:2" x14ac:dyDescent="0.2">
      <c r="A8017">
        <v>8011</v>
      </c>
      <c r="B8017">
        <v>0.56207995596676852</v>
      </c>
    </row>
    <row r="8018" spans="1:2" x14ac:dyDescent="0.2">
      <c r="A8018">
        <v>8012</v>
      </c>
      <c r="B8018">
        <v>0.65414921697454798</v>
      </c>
    </row>
    <row r="8019" spans="1:2" x14ac:dyDescent="0.2">
      <c r="A8019">
        <v>8013</v>
      </c>
      <c r="B8019">
        <v>0.92913761470814149</v>
      </c>
    </row>
    <row r="8020" spans="1:2" x14ac:dyDescent="0.2">
      <c r="A8020">
        <v>8014</v>
      </c>
      <c r="B8020">
        <v>0.73631835972068971</v>
      </c>
    </row>
    <row r="8021" spans="1:2" x14ac:dyDescent="0.2">
      <c r="A8021">
        <v>8015</v>
      </c>
      <c r="B8021">
        <v>0.86750599909597015</v>
      </c>
    </row>
    <row r="8022" spans="1:2" x14ac:dyDescent="0.2">
      <c r="A8022">
        <v>8016</v>
      </c>
      <c r="B8022">
        <v>0.79917133021949949</v>
      </c>
    </row>
    <row r="8023" spans="1:2" x14ac:dyDescent="0.2">
      <c r="A8023">
        <v>8017</v>
      </c>
      <c r="B8023">
        <v>0.35142581598803779</v>
      </c>
    </row>
    <row r="8024" spans="1:2" x14ac:dyDescent="0.2">
      <c r="A8024">
        <v>8018</v>
      </c>
      <c r="B8024">
        <v>0.3389878664269711</v>
      </c>
    </row>
    <row r="8025" spans="1:2" x14ac:dyDescent="0.2">
      <c r="A8025">
        <v>8019</v>
      </c>
      <c r="B8025">
        <v>0.71553592714155356</v>
      </c>
    </row>
    <row r="8026" spans="1:2" x14ac:dyDescent="0.2">
      <c r="A8026">
        <v>8020</v>
      </c>
      <c r="B8026">
        <v>0.36962057756016242</v>
      </c>
    </row>
    <row r="8027" spans="1:2" x14ac:dyDescent="0.2">
      <c r="A8027">
        <v>8021</v>
      </c>
      <c r="B8027">
        <v>0.26192255569573553</v>
      </c>
    </row>
    <row r="8028" spans="1:2" x14ac:dyDescent="0.2">
      <c r="A8028">
        <v>8022</v>
      </c>
      <c r="B8028">
        <v>0.9671985013085076</v>
      </c>
    </row>
    <row r="8029" spans="1:2" x14ac:dyDescent="0.2">
      <c r="A8029">
        <v>8023</v>
      </c>
      <c r="B8029">
        <v>0.10416357537170096</v>
      </c>
    </row>
    <row r="8030" spans="1:2" x14ac:dyDescent="0.2">
      <c r="A8030">
        <v>8024</v>
      </c>
      <c r="B8030">
        <v>0.34073697346074006</v>
      </c>
    </row>
    <row r="8031" spans="1:2" x14ac:dyDescent="0.2">
      <c r="A8031">
        <v>8025</v>
      </c>
      <c r="B8031">
        <v>1.7703267535026379E-3</v>
      </c>
    </row>
    <row r="8032" spans="1:2" x14ac:dyDescent="0.2">
      <c r="A8032">
        <v>8026</v>
      </c>
      <c r="B8032">
        <v>0.21931123189710255</v>
      </c>
    </row>
    <row r="8033" spans="1:2" x14ac:dyDescent="0.2">
      <c r="A8033">
        <v>8027</v>
      </c>
      <c r="B8033">
        <v>9.3035224399448557E-2</v>
      </c>
    </row>
    <row r="8034" spans="1:2" x14ac:dyDescent="0.2">
      <c r="A8034">
        <v>8028</v>
      </c>
      <c r="B8034">
        <v>0.65762355225933744</v>
      </c>
    </row>
    <row r="8035" spans="1:2" x14ac:dyDescent="0.2">
      <c r="A8035">
        <v>8029</v>
      </c>
      <c r="B8035">
        <v>0.18111034952259064</v>
      </c>
    </row>
    <row r="8036" spans="1:2" x14ac:dyDescent="0.2">
      <c r="A8036">
        <v>8030</v>
      </c>
      <c r="B8036">
        <v>0.66210089488155388</v>
      </c>
    </row>
    <row r="8037" spans="1:2" x14ac:dyDescent="0.2">
      <c r="A8037">
        <v>8031</v>
      </c>
      <c r="B8037">
        <v>0.28863598155179604</v>
      </c>
    </row>
    <row r="8038" spans="1:2" x14ac:dyDescent="0.2">
      <c r="A8038">
        <v>8032</v>
      </c>
      <c r="B8038">
        <v>0.65753406180008911</v>
      </c>
    </row>
    <row r="8039" spans="1:2" x14ac:dyDescent="0.2">
      <c r="A8039">
        <v>8033</v>
      </c>
      <c r="B8039">
        <v>0.29435688697840345</v>
      </c>
    </row>
    <row r="8040" spans="1:2" x14ac:dyDescent="0.2">
      <c r="A8040">
        <v>8034</v>
      </c>
      <c r="B8040">
        <v>0.44132184726626089</v>
      </c>
    </row>
    <row r="8041" spans="1:2" x14ac:dyDescent="0.2">
      <c r="A8041">
        <v>8035</v>
      </c>
      <c r="B8041">
        <v>0.57633506637723808</v>
      </c>
    </row>
    <row r="8042" spans="1:2" x14ac:dyDescent="0.2">
      <c r="A8042">
        <v>8036</v>
      </c>
      <c r="B8042">
        <v>0.96855488204828399</v>
      </c>
    </row>
    <row r="8043" spans="1:2" x14ac:dyDescent="0.2">
      <c r="A8043">
        <v>8037</v>
      </c>
      <c r="B8043">
        <v>0.75709351141363224</v>
      </c>
    </row>
    <row r="8044" spans="1:2" x14ac:dyDescent="0.2">
      <c r="A8044">
        <v>8038</v>
      </c>
      <c r="B8044">
        <v>0.85475828858751035</v>
      </c>
    </row>
    <row r="8045" spans="1:2" x14ac:dyDescent="0.2">
      <c r="A8045">
        <v>8039</v>
      </c>
      <c r="B8045">
        <v>0.26717585958920542</v>
      </c>
    </row>
    <row r="8046" spans="1:2" x14ac:dyDescent="0.2">
      <c r="A8046">
        <v>8040</v>
      </c>
      <c r="B8046">
        <v>4.1639718962494299E-2</v>
      </c>
    </row>
    <row r="8047" spans="1:2" x14ac:dyDescent="0.2">
      <c r="A8047">
        <v>8041</v>
      </c>
      <c r="B8047">
        <v>0.80168046750998068</v>
      </c>
    </row>
    <row r="8048" spans="1:2" x14ac:dyDescent="0.2">
      <c r="A8048">
        <v>8042</v>
      </c>
      <c r="B8048">
        <v>0.90960051334550363</v>
      </c>
    </row>
    <row r="8049" spans="1:2" x14ac:dyDescent="0.2">
      <c r="A8049">
        <v>8043</v>
      </c>
      <c r="B8049">
        <v>7.2369414942936028E-2</v>
      </c>
    </row>
    <row r="8050" spans="1:2" x14ac:dyDescent="0.2">
      <c r="A8050">
        <v>8044</v>
      </c>
      <c r="B8050">
        <v>0.84683437826492935</v>
      </c>
    </row>
    <row r="8051" spans="1:2" x14ac:dyDescent="0.2">
      <c r="A8051">
        <v>8045</v>
      </c>
      <c r="B8051">
        <v>0.7002111019207794</v>
      </c>
    </row>
    <row r="8052" spans="1:2" x14ac:dyDescent="0.2">
      <c r="A8052">
        <v>8046</v>
      </c>
      <c r="B8052">
        <v>0.44046249582749641</v>
      </c>
    </row>
    <row r="8053" spans="1:2" x14ac:dyDescent="0.2">
      <c r="A8053">
        <v>8047</v>
      </c>
      <c r="B8053">
        <v>0.44960258189701674</v>
      </c>
    </row>
    <row r="8054" spans="1:2" x14ac:dyDescent="0.2">
      <c r="A8054">
        <v>8048</v>
      </c>
      <c r="B8054">
        <v>0.21704729732496408</v>
      </c>
    </row>
    <row r="8055" spans="1:2" x14ac:dyDescent="0.2">
      <c r="A8055">
        <v>8049</v>
      </c>
      <c r="B8055">
        <v>0.66263838617645354</v>
      </c>
    </row>
    <row r="8056" spans="1:2" x14ac:dyDescent="0.2">
      <c r="A8056">
        <v>8050</v>
      </c>
      <c r="B8056">
        <v>0.86783641632235353</v>
      </c>
    </row>
    <row r="8057" spans="1:2" x14ac:dyDescent="0.2">
      <c r="A8057">
        <v>8051</v>
      </c>
      <c r="B8057">
        <v>0.1302818643653878</v>
      </c>
    </row>
    <row r="8058" spans="1:2" x14ac:dyDescent="0.2">
      <c r="A8058">
        <v>8052</v>
      </c>
      <c r="B8058">
        <v>0.10346305280730461</v>
      </c>
    </row>
    <row r="8059" spans="1:2" x14ac:dyDescent="0.2">
      <c r="A8059">
        <v>8053</v>
      </c>
      <c r="B8059">
        <v>0.9467784428143835</v>
      </c>
    </row>
    <row r="8060" spans="1:2" x14ac:dyDescent="0.2">
      <c r="A8060">
        <v>8054</v>
      </c>
      <c r="B8060">
        <v>0.37163999936360914</v>
      </c>
    </row>
    <row r="8061" spans="1:2" x14ac:dyDescent="0.2">
      <c r="A8061">
        <v>8055</v>
      </c>
      <c r="B8061">
        <v>0.74848710322671064</v>
      </c>
    </row>
    <row r="8062" spans="1:2" x14ac:dyDescent="0.2">
      <c r="A8062">
        <v>8056</v>
      </c>
      <c r="B8062">
        <v>0.15034413185538797</v>
      </c>
    </row>
    <row r="8063" spans="1:2" x14ac:dyDescent="0.2">
      <c r="A8063">
        <v>8057</v>
      </c>
      <c r="B8063">
        <v>0.94497977234256358</v>
      </c>
    </row>
    <row r="8064" spans="1:2" x14ac:dyDescent="0.2">
      <c r="A8064">
        <v>8058</v>
      </c>
      <c r="B8064">
        <v>0.38554909172287011</v>
      </c>
    </row>
    <row r="8065" spans="1:2" x14ac:dyDescent="0.2">
      <c r="A8065">
        <v>8059</v>
      </c>
      <c r="B8065">
        <v>0.30463284195846196</v>
      </c>
    </row>
    <row r="8066" spans="1:2" x14ac:dyDescent="0.2">
      <c r="A8066">
        <v>8060</v>
      </c>
      <c r="B8066">
        <v>0.42636116913115996</v>
      </c>
    </row>
    <row r="8067" spans="1:2" x14ac:dyDescent="0.2">
      <c r="A8067">
        <v>8061</v>
      </c>
      <c r="B8067">
        <v>0.68280659415743628</v>
      </c>
    </row>
    <row r="8068" spans="1:2" x14ac:dyDescent="0.2">
      <c r="A8068">
        <v>8062</v>
      </c>
      <c r="B8068">
        <v>0.53045458661660672</v>
      </c>
    </row>
    <row r="8069" spans="1:2" x14ac:dyDescent="0.2">
      <c r="A8069">
        <v>8063</v>
      </c>
      <c r="B8069">
        <v>0.33094792609198864</v>
      </c>
    </row>
    <row r="8070" spans="1:2" x14ac:dyDescent="0.2">
      <c r="A8070">
        <v>8064</v>
      </c>
      <c r="B8070">
        <v>0.84405033522809447</v>
      </c>
    </row>
    <row r="8071" spans="1:2" x14ac:dyDescent="0.2">
      <c r="A8071">
        <v>8065</v>
      </c>
      <c r="B8071">
        <v>0.50344397462802937</v>
      </c>
    </row>
    <row r="8072" spans="1:2" x14ac:dyDescent="0.2">
      <c r="A8072">
        <v>8066</v>
      </c>
      <c r="B8072">
        <v>0.6978444614103122</v>
      </c>
    </row>
    <row r="8073" spans="1:2" x14ac:dyDescent="0.2">
      <c r="A8073">
        <v>8067</v>
      </c>
      <c r="B8073">
        <v>0.5487414602585815</v>
      </c>
    </row>
    <row r="8074" spans="1:2" x14ac:dyDescent="0.2">
      <c r="A8074">
        <v>8068</v>
      </c>
      <c r="B8074">
        <v>0.98143112355084283</v>
      </c>
    </row>
    <row r="8075" spans="1:2" x14ac:dyDescent="0.2">
      <c r="A8075">
        <v>8069</v>
      </c>
      <c r="B8075">
        <v>0.69515585162530247</v>
      </c>
    </row>
    <row r="8076" spans="1:2" x14ac:dyDescent="0.2">
      <c r="A8076">
        <v>8070</v>
      </c>
      <c r="B8076">
        <v>0.98351096719631725</v>
      </c>
    </row>
    <row r="8077" spans="1:2" x14ac:dyDescent="0.2">
      <c r="A8077">
        <v>8071</v>
      </c>
      <c r="B8077">
        <v>0.73121666378831485</v>
      </c>
    </row>
    <row r="8078" spans="1:2" x14ac:dyDescent="0.2">
      <c r="A8078">
        <v>8072</v>
      </c>
      <c r="B8078">
        <v>0.29734388243001864</v>
      </c>
    </row>
    <row r="8079" spans="1:2" x14ac:dyDescent="0.2">
      <c r="A8079">
        <v>8073</v>
      </c>
      <c r="B8079">
        <v>0.52302637250896555</v>
      </c>
    </row>
    <row r="8080" spans="1:2" x14ac:dyDescent="0.2">
      <c r="A8080">
        <v>8074</v>
      </c>
      <c r="B8080">
        <v>0.14863504846745856</v>
      </c>
    </row>
    <row r="8081" spans="1:2" x14ac:dyDescent="0.2">
      <c r="A8081">
        <v>8075</v>
      </c>
      <c r="B8081">
        <v>0.43942167064684401</v>
      </c>
    </row>
    <row r="8082" spans="1:2" x14ac:dyDescent="0.2">
      <c r="A8082">
        <v>8076</v>
      </c>
      <c r="B8082">
        <v>0.18324009693337862</v>
      </c>
    </row>
    <row r="8083" spans="1:2" x14ac:dyDescent="0.2">
      <c r="A8083">
        <v>8077</v>
      </c>
      <c r="B8083">
        <v>0.20020720462395802</v>
      </c>
    </row>
    <row r="8084" spans="1:2" x14ac:dyDescent="0.2">
      <c r="A8084">
        <v>8078</v>
      </c>
      <c r="B8084">
        <v>0.10697721450392761</v>
      </c>
    </row>
    <row r="8085" spans="1:2" x14ac:dyDescent="0.2">
      <c r="A8085">
        <v>8079</v>
      </c>
      <c r="B8085">
        <v>0.72735398645792948</v>
      </c>
    </row>
    <row r="8086" spans="1:2" x14ac:dyDescent="0.2">
      <c r="A8086">
        <v>8080</v>
      </c>
      <c r="B8086">
        <v>0.30001569171261755</v>
      </c>
    </row>
    <row r="8087" spans="1:2" x14ac:dyDescent="0.2">
      <c r="A8087">
        <v>8081</v>
      </c>
      <c r="B8087">
        <v>0.9594682720640364</v>
      </c>
    </row>
    <row r="8088" spans="1:2" x14ac:dyDescent="0.2">
      <c r="A8088">
        <v>8082</v>
      </c>
      <c r="B8088">
        <v>0.2172427916376195</v>
      </c>
    </row>
    <row r="8089" spans="1:2" x14ac:dyDescent="0.2">
      <c r="A8089">
        <v>8083</v>
      </c>
      <c r="B8089">
        <v>2.4699220294252422E-2</v>
      </c>
    </row>
    <row r="8090" spans="1:2" x14ac:dyDescent="0.2">
      <c r="A8090">
        <v>8084</v>
      </c>
      <c r="B8090">
        <v>0.43592749331163849</v>
      </c>
    </row>
    <row r="8091" spans="1:2" x14ac:dyDescent="0.2">
      <c r="A8091">
        <v>8085</v>
      </c>
      <c r="B8091">
        <v>0.19489088713555325</v>
      </c>
    </row>
    <row r="8092" spans="1:2" x14ac:dyDescent="0.2">
      <c r="A8092">
        <v>8086</v>
      </c>
      <c r="B8092">
        <v>0.22266066320099942</v>
      </c>
    </row>
    <row r="8093" spans="1:2" x14ac:dyDescent="0.2">
      <c r="A8093">
        <v>8087</v>
      </c>
      <c r="B8093">
        <v>0.53122691408600442</v>
      </c>
    </row>
    <row r="8094" spans="1:2" x14ac:dyDescent="0.2">
      <c r="A8094">
        <v>8088</v>
      </c>
      <c r="B8094">
        <v>4.257601183205062E-3</v>
      </c>
    </row>
    <row r="8095" spans="1:2" x14ac:dyDescent="0.2">
      <c r="A8095">
        <v>8089</v>
      </c>
      <c r="B8095">
        <v>0.58833024905681164</v>
      </c>
    </row>
    <row r="8096" spans="1:2" x14ac:dyDescent="0.2">
      <c r="A8096">
        <v>8090</v>
      </c>
      <c r="B8096">
        <v>0.66258421105123344</v>
      </c>
    </row>
    <row r="8097" spans="1:2" x14ac:dyDescent="0.2">
      <c r="A8097">
        <v>8091</v>
      </c>
      <c r="B8097">
        <v>0.59260780011515757</v>
      </c>
    </row>
    <row r="8098" spans="1:2" x14ac:dyDescent="0.2">
      <c r="A8098">
        <v>8092</v>
      </c>
      <c r="B8098">
        <v>0.67675657043629034</v>
      </c>
    </row>
    <row r="8099" spans="1:2" x14ac:dyDescent="0.2">
      <c r="A8099">
        <v>8093</v>
      </c>
      <c r="B8099">
        <v>0.74292304692933808</v>
      </c>
    </row>
    <row r="8100" spans="1:2" x14ac:dyDescent="0.2">
      <c r="A8100">
        <v>8094</v>
      </c>
      <c r="B8100">
        <v>0.75144729892043693</v>
      </c>
    </row>
    <row r="8101" spans="1:2" x14ac:dyDescent="0.2">
      <c r="A8101">
        <v>8095</v>
      </c>
      <c r="B8101">
        <v>7.7139793694718017E-2</v>
      </c>
    </row>
    <row r="8102" spans="1:2" x14ac:dyDescent="0.2">
      <c r="A8102">
        <v>8096</v>
      </c>
      <c r="B8102">
        <v>0.9789855683278591</v>
      </c>
    </row>
    <row r="8103" spans="1:2" x14ac:dyDescent="0.2">
      <c r="A8103">
        <v>8097</v>
      </c>
      <c r="B8103">
        <v>3.1271739066343951E-2</v>
      </c>
    </row>
    <row r="8104" spans="1:2" x14ac:dyDescent="0.2">
      <c r="A8104">
        <v>8098</v>
      </c>
      <c r="B8104">
        <v>0.4705783174080358</v>
      </c>
    </row>
    <row r="8105" spans="1:2" x14ac:dyDescent="0.2">
      <c r="A8105">
        <v>8099</v>
      </c>
      <c r="B8105">
        <v>0.15359362616754035</v>
      </c>
    </row>
    <row r="8106" spans="1:2" x14ac:dyDescent="0.2">
      <c r="A8106">
        <v>8100</v>
      </c>
      <c r="B8106">
        <v>0.30781230038445795</v>
      </c>
    </row>
    <row r="8107" spans="1:2" x14ac:dyDescent="0.2">
      <c r="A8107">
        <v>8101</v>
      </c>
      <c r="B8107">
        <v>0.1786438854825908</v>
      </c>
    </row>
    <row r="8108" spans="1:2" x14ac:dyDescent="0.2">
      <c r="A8108">
        <v>8102</v>
      </c>
      <c r="B8108">
        <v>0.28133626991116778</v>
      </c>
    </row>
    <row r="8109" spans="1:2" x14ac:dyDescent="0.2">
      <c r="A8109">
        <v>8103</v>
      </c>
      <c r="B8109">
        <v>0.7716001954328946</v>
      </c>
    </row>
    <row r="8110" spans="1:2" x14ac:dyDescent="0.2">
      <c r="A8110">
        <v>8104</v>
      </c>
      <c r="B8110">
        <v>0.96994046670700873</v>
      </c>
    </row>
    <row r="8111" spans="1:2" x14ac:dyDescent="0.2">
      <c r="A8111">
        <v>8105</v>
      </c>
      <c r="B8111">
        <v>0.56290878295462543</v>
      </c>
    </row>
    <row r="8112" spans="1:2" x14ac:dyDescent="0.2">
      <c r="A8112">
        <v>8106</v>
      </c>
      <c r="B8112">
        <v>0.25520216160191023</v>
      </c>
    </row>
    <row r="8113" spans="1:2" x14ac:dyDescent="0.2">
      <c r="A8113">
        <v>8107</v>
      </c>
      <c r="B8113">
        <v>0.72676028651299418</v>
      </c>
    </row>
    <row r="8114" spans="1:2" x14ac:dyDescent="0.2">
      <c r="A8114">
        <v>8108</v>
      </c>
      <c r="B8114">
        <v>0.99874543343570277</v>
      </c>
    </row>
    <row r="8115" spans="1:2" x14ac:dyDescent="0.2">
      <c r="A8115">
        <v>8109</v>
      </c>
      <c r="B8115">
        <v>0.47121903564192857</v>
      </c>
    </row>
    <row r="8116" spans="1:2" x14ac:dyDescent="0.2">
      <c r="A8116">
        <v>8110</v>
      </c>
      <c r="B8116">
        <v>7.7728816005463441E-2</v>
      </c>
    </row>
    <row r="8117" spans="1:2" x14ac:dyDescent="0.2">
      <c r="A8117">
        <v>8111</v>
      </c>
      <c r="B8117">
        <v>0.36253019687496479</v>
      </c>
    </row>
    <row r="8118" spans="1:2" x14ac:dyDescent="0.2">
      <c r="A8118">
        <v>8112</v>
      </c>
      <c r="B8118">
        <v>3.4967784166867522E-2</v>
      </c>
    </row>
    <row r="8119" spans="1:2" x14ac:dyDescent="0.2">
      <c r="A8119">
        <v>8113</v>
      </c>
      <c r="B8119">
        <v>0.51813556876936617</v>
      </c>
    </row>
    <row r="8120" spans="1:2" x14ac:dyDescent="0.2">
      <c r="A8120">
        <v>8114</v>
      </c>
      <c r="B8120">
        <v>0.75452184822311019</v>
      </c>
    </row>
    <row r="8121" spans="1:2" x14ac:dyDescent="0.2">
      <c r="A8121">
        <v>8115</v>
      </c>
      <c r="B8121">
        <v>0.21379573343369396</v>
      </c>
    </row>
    <row r="8122" spans="1:2" x14ac:dyDescent="0.2">
      <c r="A8122">
        <v>8116</v>
      </c>
      <c r="B8122">
        <v>0.25498480711646898</v>
      </c>
    </row>
    <row r="8123" spans="1:2" x14ac:dyDescent="0.2">
      <c r="A8123">
        <v>8117</v>
      </c>
      <c r="B8123">
        <v>0.12154911470634755</v>
      </c>
    </row>
    <row r="8124" spans="1:2" x14ac:dyDescent="0.2">
      <c r="A8124">
        <v>8118</v>
      </c>
      <c r="B8124">
        <v>0.70446679382681354</v>
      </c>
    </row>
    <row r="8125" spans="1:2" x14ac:dyDescent="0.2">
      <c r="A8125">
        <v>8119</v>
      </c>
      <c r="B8125">
        <v>0.16571782641456334</v>
      </c>
    </row>
    <row r="8126" spans="1:2" x14ac:dyDescent="0.2">
      <c r="A8126">
        <v>8120</v>
      </c>
      <c r="B8126">
        <v>0.35566364258357253</v>
      </c>
    </row>
    <row r="8127" spans="1:2" x14ac:dyDescent="0.2">
      <c r="A8127">
        <v>8121</v>
      </c>
      <c r="B8127">
        <v>0.73738487647639395</v>
      </c>
    </row>
    <row r="8128" spans="1:2" x14ac:dyDescent="0.2">
      <c r="A8128">
        <v>8122</v>
      </c>
      <c r="B8128">
        <v>0.74947590086772697</v>
      </c>
    </row>
    <row r="8129" spans="1:2" x14ac:dyDescent="0.2">
      <c r="A8129">
        <v>8123</v>
      </c>
      <c r="B8129">
        <v>0.48841119705268154</v>
      </c>
    </row>
    <row r="8130" spans="1:2" x14ac:dyDescent="0.2">
      <c r="A8130">
        <v>8124</v>
      </c>
      <c r="B8130">
        <v>0.86968714691139959</v>
      </c>
    </row>
    <row r="8131" spans="1:2" x14ac:dyDescent="0.2">
      <c r="A8131">
        <v>8125</v>
      </c>
      <c r="B8131">
        <v>0.31885618925110837</v>
      </c>
    </row>
    <row r="8132" spans="1:2" x14ac:dyDescent="0.2">
      <c r="A8132">
        <v>8126</v>
      </c>
      <c r="B8132">
        <v>0.65973693476790729</v>
      </c>
    </row>
    <row r="8133" spans="1:2" x14ac:dyDescent="0.2">
      <c r="A8133">
        <v>8127</v>
      </c>
      <c r="B8133">
        <v>0.94351306272768987</v>
      </c>
    </row>
    <row r="8134" spans="1:2" x14ac:dyDescent="0.2">
      <c r="A8134">
        <v>8128</v>
      </c>
      <c r="B8134">
        <v>8.4681508821389251E-3</v>
      </c>
    </row>
    <row r="8135" spans="1:2" x14ac:dyDescent="0.2">
      <c r="A8135">
        <v>8129</v>
      </c>
      <c r="B8135">
        <v>0.53547051430114667</v>
      </c>
    </row>
    <row r="8136" spans="1:2" x14ac:dyDescent="0.2">
      <c r="A8136">
        <v>8130</v>
      </c>
      <c r="B8136">
        <v>0.64395700888971596</v>
      </c>
    </row>
    <row r="8137" spans="1:2" x14ac:dyDescent="0.2">
      <c r="A8137">
        <v>8131</v>
      </c>
      <c r="B8137">
        <v>0.99287008541821653</v>
      </c>
    </row>
    <row r="8138" spans="1:2" x14ac:dyDescent="0.2">
      <c r="A8138">
        <v>8132</v>
      </c>
      <c r="B8138">
        <v>0.35050038018218488</v>
      </c>
    </row>
    <row r="8139" spans="1:2" x14ac:dyDescent="0.2">
      <c r="A8139">
        <v>8133</v>
      </c>
      <c r="B8139">
        <v>0.83074224840905531</v>
      </c>
    </row>
    <row r="8140" spans="1:2" x14ac:dyDescent="0.2">
      <c r="A8140">
        <v>8134</v>
      </c>
      <c r="B8140">
        <v>0.77032733510356699</v>
      </c>
    </row>
    <row r="8141" spans="1:2" x14ac:dyDescent="0.2">
      <c r="A8141">
        <v>8135</v>
      </c>
      <c r="B8141">
        <v>0.32845892798305798</v>
      </c>
    </row>
    <row r="8142" spans="1:2" x14ac:dyDescent="0.2">
      <c r="A8142">
        <v>8136</v>
      </c>
      <c r="B8142">
        <v>2.026156753610775E-2</v>
      </c>
    </row>
    <row r="8143" spans="1:2" x14ac:dyDescent="0.2">
      <c r="A8143">
        <v>8137</v>
      </c>
      <c r="B8143">
        <v>0.13909417308746808</v>
      </c>
    </row>
    <row r="8144" spans="1:2" x14ac:dyDescent="0.2">
      <c r="A8144">
        <v>8138</v>
      </c>
      <c r="B8144">
        <v>0.78496461341645629</v>
      </c>
    </row>
    <row r="8145" spans="1:2" x14ac:dyDescent="0.2">
      <c r="A8145">
        <v>8139</v>
      </c>
      <c r="B8145">
        <v>0.27293602734948463</v>
      </c>
    </row>
    <row r="8146" spans="1:2" x14ac:dyDescent="0.2">
      <c r="A8146">
        <v>8140</v>
      </c>
      <c r="B8146">
        <v>0.8807972079514611</v>
      </c>
    </row>
    <row r="8147" spans="1:2" x14ac:dyDescent="0.2">
      <c r="A8147">
        <v>8141</v>
      </c>
      <c r="B8147">
        <v>0.18002799659743884</v>
      </c>
    </row>
    <row r="8148" spans="1:2" x14ac:dyDescent="0.2">
      <c r="A8148">
        <v>8142</v>
      </c>
      <c r="B8148">
        <v>0.12453079577073034</v>
      </c>
    </row>
    <row r="8149" spans="1:2" x14ac:dyDescent="0.2">
      <c r="A8149">
        <v>8143</v>
      </c>
      <c r="B8149">
        <v>0.15007284927208608</v>
      </c>
    </row>
    <row r="8150" spans="1:2" x14ac:dyDescent="0.2">
      <c r="A8150">
        <v>8144</v>
      </c>
      <c r="B8150">
        <v>0.32838242070121593</v>
      </c>
    </row>
    <row r="8151" spans="1:2" x14ac:dyDescent="0.2">
      <c r="A8151">
        <v>8145</v>
      </c>
      <c r="B8151">
        <v>0.42935852963401688</v>
      </c>
    </row>
    <row r="8152" spans="1:2" x14ac:dyDescent="0.2">
      <c r="A8152">
        <v>8146</v>
      </c>
      <c r="B8152">
        <v>7.3426684447001622E-2</v>
      </c>
    </row>
    <row r="8153" spans="1:2" x14ac:dyDescent="0.2">
      <c r="A8153">
        <v>8147</v>
      </c>
      <c r="B8153">
        <v>0.8023276414278615</v>
      </c>
    </row>
    <row r="8154" spans="1:2" x14ac:dyDescent="0.2">
      <c r="A8154">
        <v>8148</v>
      </c>
      <c r="B8154">
        <v>0.69673749120254824</v>
      </c>
    </row>
    <row r="8155" spans="1:2" x14ac:dyDescent="0.2">
      <c r="A8155">
        <v>8149</v>
      </c>
      <c r="B8155">
        <v>0.57917964007821454</v>
      </c>
    </row>
    <row r="8156" spans="1:2" x14ac:dyDescent="0.2">
      <c r="A8156">
        <v>8150</v>
      </c>
      <c r="B8156">
        <v>0.42706473431047343</v>
      </c>
    </row>
    <row r="8157" spans="1:2" x14ac:dyDescent="0.2">
      <c r="A8157">
        <v>8151</v>
      </c>
      <c r="B8157">
        <v>0.6207746825141417</v>
      </c>
    </row>
    <row r="8158" spans="1:2" x14ac:dyDescent="0.2">
      <c r="A8158">
        <v>8152</v>
      </c>
      <c r="B8158">
        <v>0.36935729749690394</v>
      </c>
    </row>
    <row r="8159" spans="1:2" x14ac:dyDescent="0.2">
      <c r="A8159">
        <v>8153</v>
      </c>
      <c r="B8159">
        <v>0.99516654712492381</v>
      </c>
    </row>
    <row r="8160" spans="1:2" x14ac:dyDescent="0.2">
      <c r="A8160">
        <v>8154</v>
      </c>
      <c r="B8160">
        <v>0.17069563521994346</v>
      </c>
    </row>
    <row r="8161" spans="1:2" x14ac:dyDescent="0.2">
      <c r="A8161">
        <v>8155</v>
      </c>
      <c r="B8161">
        <v>0.66428359419494176</v>
      </c>
    </row>
    <row r="8162" spans="1:2" x14ac:dyDescent="0.2">
      <c r="A8162">
        <v>8156</v>
      </c>
      <c r="B8162">
        <v>0.52698738706457871</v>
      </c>
    </row>
    <row r="8163" spans="1:2" x14ac:dyDescent="0.2">
      <c r="A8163">
        <v>8157</v>
      </c>
      <c r="B8163">
        <v>0.37744863192999323</v>
      </c>
    </row>
    <row r="8164" spans="1:2" x14ac:dyDescent="0.2">
      <c r="A8164">
        <v>8158</v>
      </c>
      <c r="B8164">
        <v>0.34715347782834793</v>
      </c>
    </row>
    <row r="8165" spans="1:2" x14ac:dyDescent="0.2">
      <c r="A8165">
        <v>8159</v>
      </c>
      <c r="B8165">
        <v>2.139481310133895E-2</v>
      </c>
    </row>
    <row r="8166" spans="1:2" x14ac:dyDescent="0.2">
      <c r="A8166">
        <v>8160</v>
      </c>
      <c r="B8166">
        <v>4.8403486809600604E-2</v>
      </c>
    </row>
    <row r="8167" spans="1:2" x14ac:dyDescent="0.2">
      <c r="A8167">
        <v>8161</v>
      </c>
      <c r="B8167">
        <v>0.96616816616269197</v>
      </c>
    </row>
    <row r="8168" spans="1:2" x14ac:dyDescent="0.2">
      <c r="A8168">
        <v>8162</v>
      </c>
      <c r="B8168">
        <v>0.47617852737568489</v>
      </c>
    </row>
    <row r="8169" spans="1:2" x14ac:dyDescent="0.2">
      <c r="A8169">
        <v>8163</v>
      </c>
      <c r="B8169">
        <v>0.3500032179044259</v>
      </c>
    </row>
    <row r="8170" spans="1:2" x14ac:dyDescent="0.2">
      <c r="A8170">
        <v>8164</v>
      </c>
      <c r="B8170">
        <v>0.69772072941401353</v>
      </c>
    </row>
    <row r="8171" spans="1:2" x14ac:dyDescent="0.2">
      <c r="A8171">
        <v>8165</v>
      </c>
      <c r="B8171">
        <v>0.89071175940091318</v>
      </c>
    </row>
    <row r="8172" spans="1:2" x14ac:dyDescent="0.2">
      <c r="A8172">
        <v>8166</v>
      </c>
      <c r="B8172">
        <v>0.32356638318871001</v>
      </c>
    </row>
    <row r="8173" spans="1:2" x14ac:dyDescent="0.2">
      <c r="A8173">
        <v>8167</v>
      </c>
      <c r="B8173">
        <v>0.32546557977019475</v>
      </c>
    </row>
    <row r="8174" spans="1:2" x14ac:dyDescent="0.2">
      <c r="A8174">
        <v>8168</v>
      </c>
      <c r="B8174">
        <v>0.12135133378260132</v>
      </c>
    </row>
    <row r="8175" spans="1:2" x14ac:dyDescent="0.2">
      <c r="A8175">
        <v>8169</v>
      </c>
      <c r="B8175">
        <v>0.32718760461219087</v>
      </c>
    </row>
    <row r="8176" spans="1:2" x14ac:dyDescent="0.2">
      <c r="A8176">
        <v>8170</v>
      </c>
      <c r="B8176">
        <v>0.47271105725592311</v>
      </c>
    </row>
    <row r="8177" spans="1:2" x14ac:dyDescent="0.2">
      <c r="A8177">
        <v>8171</v>
      </c>
      <c r="B8177">
        <v>0.49462107231320085</v>
      </c>
    </row>
    <row r="8178" spans="1:2" x14ac:dyDescent="0.2">
      <c r="A8178">
        <v>8172</v>
      </c>
      <c r="B8178">
        <v>0.96611546010318528</v>
      </c>
    </row>
    <row r="8179" spans="1:2" x14ac:dyDescent="0.2">
      <c r="A8179">
        <v>8173</v>
      </c>
      <c r="B8179">
        <v>0.59758530551968858</v>
      </c>
    </row>
    <row r="8180" spans="1:2" x14ac:dyDescent="0.2">
      <c r="A8180">
        <v>8174</v>
      </c>
      <c r="B8180">
        <v>0.39660776307308598</v>
      </c>
    </row>
    <row r="8181" spans="1:2" x14ac:dyDescent="0.2">
      <c r="A8181">
        <v>8175</v>
      </c>
      <c r="B8181">
        <v>0.53550135972987722</v>
      </c>
    </row>
    <row r="8182" spans="1:2" x14ac:dyDescent="0.2">
      <c r="A8182">
        <v>8176</v>
      </c>
      <c r="B8182">
        <v>0.82639701485597106</v>
      </c>
    </row>
    <row r="8183" spans="1:2" x14ac:dyDescent="0.2">
      <c r="A8183">
        <v>8177</v>
      </c>
      <c r="B8183">
        <v>0.62833374534451181</v>
      </c>
    </row>
    <row r="8184" spans="1:2" x14ac:dyDescent="0.2">
      <c r="A8184">
        <v>8178</v>
      </c>
      <c r="B8184">
        <v>0.99921139998904784</v>
      </c>
    </row>
    <row r="8185" spans="1:2" x14ac:dyDescent="0.2">
      <c r="A8185">
        <v>8179</v>
      </c>
      <c r="B8185">
        <v>0.49486433139958519</v>
      </c>
    </row>
    <row r="8186" spans="1:2" x14ac:dyDescent="0.2">
      <c r="A8186">
        <v>8180</v>
      </c>
      <c r="B8186">
        <v>0.10948182295822839</v>
      </c>
    </row>
    <row r="8187" spans="1:2" x14ac:dyDescent="0.2">
      <c r="A8187">
        <v>8181</v>
      </c>
      <c r="B8187">
        <v>0.50778248682592975</v>
      </c>
    </row>
    <row r="8188" spans="1:2" x14ac:dyDescent="0.2">
      <c r="A8188">
        <v>8182</v>
      </c>
      <c r="B8188">
        <v>0.78635932855169977</v>
      </c>
    </row>
    <row r="8189" spans="1:2" x14ac:dyDescent="0.2">
      <c r="A8189">
        <v>8183</v>
      </c>
      <c r="B8189">
        <v>0.33169607011646818</v>
      </c>
    </row>
    <row r="8190" spans="1:2" x14ac:dyDescent="0.2">
      <c r="A8190">
        <v>8184</v>
      </c>
      <c r="B8190">
        <v>0.61363374723784392</v>
      </c>
    </row>
    <row r="8191" spans="1:2" x14ac:dyDescent="0.2">
      <c r="A8191">
        <v>8185</v>
      </c>
      <c r="B8191">
        <v>0.26075447287970288</v>
      </c>
    </row>
    <row r="8192" spans="1:2" x14ac:dyDescent="0.2">
      <c r="A8192">
        <v>8186</v>
      </c>
      <c r="B8192">
        <v>4.0883315893519678E-2</v>
      </c>
    </row>
    <row r="8193" spans="1:2" x14ac:dyDescent="0.2">
      <c r="A8193">
        <v>8187</v>
      </c>
      <c r="B8193">
        <v>9.1037012058753808E-2</v>
      </c>
    </row>
    <row r="8194" spans="1:2" x14ac:dyDescent="0.2">
      <c r="A8194">
        <v>8188</v>
      </c>
      <c r="B8194">
        <v>0.81414609448334219</v>
      </c>
    </row>
    <row r="8195" spans="1:2" x14ac:dyDescent="0.2">
      <c r="A8195">
        <v>8189</v>
      </c>
      <c r="B8195">
        <v>0.65715455346936957</v>
      </c>
    </row>
    <row r="8196" spans="1:2" x14ac:dyDescent="0.2">
      <c r="A8196">
        <v>8190</v>
      </c>
      <c r="B8196">
        <v>0.90811894491965339</v>
      </c>
    </row>
    <row r="8197" spans="1:2" x14ac:dyDescent="0.2">
      <c r="A8197">
        <v>8191</v>
      </c>
      <c r="B8197">
        <v>0.53237341214131828</v>
      </c>
    </row>
    <row r="8198" spans="1:2" x14ac:dyDescent="0.2">
      <c r="A8198">
        <v>8192</v>
      </c>
      <c r="B8198">
        <v>0.10618871354163006</v>
      </c>
    </row>
    <row r="8199" spans="1:2" x14ac:dyDescent="0.2">
      <c r="A8199">
        <v>8193</v>
      </c>
      <c r="B8199">
        <v>0.82870186662140044</v>
      </c>
    </row>
    <row r="8200" spans="1:2" x14ac:dyDescent="0.2">
      <c r="A8200">
        <v>8194</v>
      </c>
      <c r="B8200">
        <v>0.61783614215865246</v>
      </c>
    </row>
    <row r="8201" spans="1:2" x14ac:dyDescent="0.2">
      <c r="A8201">
        <v>8195</v>
      </c>
      <c r="B8201">
        <v>0.72193764118197568</v>
      </c>
    </row>
    <row r="8202" spans="1:2" x14ac:dyDescent="0.2">
      <c r="A8202">
        <v>8196</v>
      </c>
      <c r="B8202">
        <v>0.63362772137204926</v>
      </c>
    </row>
    <row r="8203" spans="1:2" x14ac:dyDescent="0.2">
      <c r="A8203">
        <v>8197</v>
      </c>
      <c r="B8203">
        <v>0.99083705949663647</v>
      </c>
    </row>
    <row r="8204" spans="1:2" x14ac:dyDescent="0.2">
      <c r="A8204">
        <v>8198</v>
      </c>
      <c r="B8204">
        <v>0.89293652021497749</v>
      </c>
    </row>
    <row r="8205" spans="1:2" x14ac:dyDescent="0.2">
      <c r="A8205">
        <v>8199</v>
      </c>
      <c r="B8205">
        <v>0.87268107016087459</v>
      </c>
    </row>
    <row r="8206" spans="1:2" x14ac:dyDescent="0.2">
      <c r="A8206">
        <v>8200</v>
      </c>
      <c r="B8206">
        <v>0.82444861433274996</v>
      </c>
    </row>
    <row r="8207" spans="1:2" x14ac:dyDescent="0.2">
      <c r="A8207">
        <v>8201</v>
      </c>
      <c r="B8207">
        <v>0.84838489559485986</v>
      </c>
    </row>
    <row r="8208" spans="1:2" x14ac:dyDescent="0.2">
      <c r="A8208">
        <v>8202</v>
      </c>
      <c r="B8208">
        <v>0.99680977222203859</v>
      </c>
    </row>
    <row r="8209" spans="1:2" x14ac:dyDescent="0.2">
      <c r="A8209">
        <v>8203</v>
      </c>
      <c r="B8209">
        <v>0.1535569628364456</v>
      </c>
    </row>
    <row r="8210" spans="1:2" x14ac:dyDescent="0.2">
      <c r="A8210">
        <v>8204</v>
      </c>
      <c r="B8210">
        <v>0.88277370514807596</v>
      </c>
    </row>
    <row r="8211" spans="1:2" x14ac:dyDescent="0.2">
      <c r="A8211">
        <v>8205</v>
      </c>
      <c r="B8211">
        <v>0.17715139069813102</v>
      </c>
    </row>
    <row r="8212" spans="1:2" x14ac:dyDescent="0.2">
      <c r="A8212">
        <v>8206</v>
      </c>
      <c r="B8212">
        <v>0.9875821207697506</v>
      </c>
    </row>
    <row r="8213" spans="1:2" x14ac:dyDescent="0.2">
      <c r="A8213">
        <v>8207</v>
      </c>
      <c r="B8213">
        <v>0.21322631727834407</v>
      </c>
    </row>
    <row r="8214" spans="1:2" x14ac:dyDescent="0.2">
      <c r="A8214">
        <v>8208</v>
      </c>
      <c r="B8214">
        <v>0.29527881686126134</v>
      </c>
    </row>
    <row r="8215" spans="1:2" x14ac:dyDescent="0.2">
      <c r="A8215">
        <v>8209</v>
      </c>
      <c r="B8215">
        <v>0.57395761996632177</v>
      </c>
    </row>
    <row r="8216" spans="1:2" x14ac:dyDescent="0.2">
      <c r="A8216">
        <v>8210</v>
      </c>
      <c r="B8216">
        <v>0.15564257148781091</v>
      </c>
    </row>
    <row r="8217" spans="1:2" x14ac:dyDescent="0.2">
      <c r="A8217">
        <v>8211</v>
      </c>
      <c r="B8217">
        <v>0.20881507553507705</v>
      </c>
    </row>
    <row r="8218" spans="1:2" x14ac:dyDescent="0.2">
      <c r="A8218">
        <v>8212</v>
      </c>
      <c r="B8218">
        <v>0.27273108163810056</v>
      </c>
    </row>
    <row r="8219" spans="1:2" x14ac:dyDescent="0.2">
      <c r="A8219">
        <v>8213</v>
      </c>
      <c r="B8219">
        <v>0.36514304110978146</v>
      </c>
    </row>
    <row r="8220" spans="1:2" x14ac:dyDescent="0.2">
      <c r="A8220">
        <v>8214</v>
      </c>
      <c r="B8220">
        <v>0.78709582327781702</v>
      </c>
    </row>
    <row r="8221" spans="1:2" x14ac:dyDescent="0.2">
      <c r="A8221">
        <v>8215</v>
      </c>
      <c r="B8221">
        <v>0.76622604692384411</v>
      </c>
    </row>
    <row r="8222" spans="1:2" x14ac:dyDescent="0.2">
      <c r="A8222">
        <v>8216</v>
      </c>
      <c r="B8222">
        <v>0.45238342582886537</v>
      </c>
    </row>
    <row r="8223" spans="1:2" x14ac:dyDescent="0.2">
      <c r="A8223">
        <v>8217</v>
      </c>
      <c r="B8223">
        <v>0.96817740171753186</v>
      </c>
    </row>
    <row r="8224" spans="1:2" x14ac:dyDescent="0.2">
      <c r="A8224">
        <v>8218</v>
      </c>
      <c r="B8224">
        <v>0.52343350030919744</v>
      </c>
    </row>
    <row r="8225" spans="1:2" x14ac:dyDescent="0.2">
      <c r="A8225">
        <v>8219</v>
      </c>
      <c r="B8225">
        <v>7.6497031758292588E-2</v>
      </c>
    </row>
    <row r="8226" spans="1:2" x14ac:dyDescent="0.2">
      <c r="A8226">
        <v>8220</v>
      </c>
      <c r="B8226">
        <v>2.0097720182545187E-2</v>
      </c>
    </row>
    <row r="8227" spans="1:2" x14ac:dyDescent="0.2">
      <c r="A8227">
        <v>8221</v>
      </c>
      <c r="B8227">
        <v>0.16630075984166592</v>
      </c>
    </row>
    <row r="8228" spans="1:2" x14ac:dyDescent="0.2">
      <c r="A8228">
        <v>8222</v>
      </c>
      <c r="B8228">
        <v>0.59432382180594046</v>
      </c>
    </row>
    <row r="8229" spans="1:2" x14ac:dyDescent="0.2">
      <c r="A8229">
        <v>8223</v>
      </c>
      <c r="B8229">
        <v>0.11562220429326031</v>
      </c>
    </row>
    <row r="8230" spans="1:2" x14ac:dyDescent="0.2">
      <c r="A8230">
        <v>8224</v>
      </c>
      <c r="B8230">
        <v>0.87103009351660454</v>
      </c>
    </row>
    <row r="8231" spans="1:2" x14ac:dyDescent="0.2">
      <c r="A8231">
        <v>8225</v>
      </c>
      <c r="B8231">
        <v>0.22260313041961</v>
      </c>
    </row>
    <row r="8232" spans="1:2" x14ac:dyDescent="0.2">
      <c r="A8232">
        <v>8226</v>
      </c>
      <c r="B8232">
        <v>0.82787567236281501</v>
      </c>
    </row>
    <row r="8233" spans="1:2" x14ac:dyDescent="0.2">
      <c r="A8233">
        <v>8227</v>
      </c>
      <c r="B8233">
        <v>0.67695014154131794</v>
      </c>
    </row>
    <row r="8234" spans="1:2" x14ac:dyDescent="0.2">
      <c r="A8234">
        <v>8228</v>
      </c>
      <c r="B8234">
        <v>0.15454721366474045</v>
      </c>
    </row>
    <row r="8235" spans="1:2" x14ac:dyDescent="0.2">
      <c r="A8235">
        <v>8229</v>
      </c>
      <c r="B8235">
        <v>0.74611952454251862</v>
      </c>
    </row>
    <row r="8236" spans="1:2" x14ac:dyDescent="0.2">
      <c r="A8236">
        <v>8230</v>
      </c>
      <c r="B8236">
        <v>0.43933344729871793</v>
      </c>
    </row>
    <row r="8237" spans="1:2" x14ac:dyDescent="0.2">
      <c r="A8237">
        <v>8231</v>
      </c>
      <c r="B8237">
        <v>0.95013539728263841</v>
      </c>
    </row>
    <row r="8238" spans="1:2" x14ac:dyDescent="0.2">
      <c r="A8238">
        <v>8232</v>
      </c>
      <c r="B8238">
        <v>0.22555323818200901</v>
      </c>
    </row>
    <row r="8239" spans="1:2" x14ac:dyDescent="0.2">
      <c r="A8239">
        <v>8233</v>
      </c>
      <c r="B8239">
        <v>0.73089786720485606</v>
      </c>
    </row>
    <row r="8240" spans="1:2" x14ac:dyDescent="0.2">
      <c r="A8240">
        <v>8234</v>
      </c>
      <c r="B8240">
        <v>0.41225449054533325</v>
      </c>
    </row>
    <row r="8241" spans="1:2" x14ac:dyDescent="0.2">
      <c r="A8241">
        <v>8235</v>
      </c>
      <c r="B8241">
        <v>0.46497473036616188</v>
      </c>
    </row>
    <row r="8242" spans="1:2" x14ac:dyDescent="0.2">
      <c r="A8242">
        <v>8236</v>
      </c>
      <c r="B8242">
        <v>0.78680925625480502</v>
      </c>
    </row>
    <row r="8243" spans="1:2" x14ac:dyDescent="0.2">
      <c r="A8243">
        <v>8237</v>
      </c>
      <c r="B8243">
        <v>0.5138810455092796</v>
      </c>
    </row>
    <row r="8244" spans="1:2" x14ac:dyDescent="0.2">
      <c r="A8244">
        <v>8238</v>
      </c>
      <c r="B8244">
        <v>0.73813676700903164</v>
      </c>
    </row>
    <row r="8245" spans="1:2" x14ac:dyDescent="0.2">
      <c r="A8245">
        <v>8239</v>
      </c>
      <c r="B8245">
        <v>0.8776457507194767</v>
      </c>
    </row>
    <row r="8246" spans="1:2" x14ac:dyDescent="0.2">
      <c r="A8246">
        <v>8240</v>
      </c>
      <c r="B8246">
        <v>0.61642698774816562</v>
      </c>
    </row>
    <row r="8247" spans="1:2" x14ac:dyDescent="0.2">
      <c r="A8247">
        <v>8241</v>
      </c>
      <c r="B8247">
        <v>0.13357994605626644</v>
      </c>
    </row>
    <row r="8248" spans="1:2" x14ac:dyDescent="0.2">
      <c r="A8248">
        <v>8242</v>
      </c>
      <c r="B8248">
        <v>0.12231904083806056</v>
      </c>
    </row>
    <row r="8249" spans="1:2" x14ac:dyDescent="0.2">
      <c r="A8249">
        <v>8243</v>
      </c>
      <c r="B8249">
        <v>0.6642537906010596</v>
      </c>
    </row>
    <row r="8250" spans="1:2" x14ac:dyDescent="0.2">
      <c r="A8250">
        <v>8244</v>
      </c>
      <c r="B8250">
        <v>0.79488621006570248</v>
      </c>
    </row>
    <row r="8251" spans="1:2" x14ac:dyDescent="0.2">
      <c r="A8251">
        <v>8245</v>
      </c>
      <c r="B8251">
        <v>0.51719052958070466</v>
      </c>
    </row>
    <row r="8252" spans="1:2" x14ac:dyDescent="0.2">
      <c r="A8252">
        <v>8246</v>
      </c>
      <c r="B8252">
        <v>0.71242121412654336</v>
      </c>
    </row>
    <row r="8253" spans="1:2" x14ac:dyDescent="0.2">
      <c r="A8253">
        <v>8247</v>
      </c>
      <c r="B8253">
        <v>5.4697267495641855E-2</v>
      </c>
    </row>
    <row r="8254" spans="1:2" x14ac:dyDescent="0.2">
      <c r="A8254">
        <v>8248</v>
      </c>
      <c r="B8254">
        <v>0.91339327011449301</v>
      </c>
    </row>
    <row r="8255" spans="1:2" x14ac:dyDescent="0.2">
      <c r="A8255">
        <v>8249</v>
      </c>
      <c r="B8255">
        <v>0.53739690783781313</v>
      </c>
    </row>
    <row r="8256" spans="1:2" x14ac:dyDescent="0.2">
      <c r="A8256">
        <v>8250</v>
      </c>
      <c r="B8256">
        <v>0.64926403335819582</v>
      </c>
    </row>
    <row r="8257" spans="1:2" x14ac:dyDescent="0.2">
      <c r="A8257">
        <v>8251</v>
      </c>
      <c r="B8257">
        <v>0.24305902791815226</v>
      </c>
    </row>
    <row r="8258" spans="1:2" x14ac:dyDescent="0.2">
      <c r="A8258">
        <v>8252</v>
      </c>
      <c r="B8258">
        <v>0.40673903060364736</v>
      </c>
    </row>
    <row r="8259" spans="1:2" x14ac:dyDescent="0.2">
      <c r="A8259">
        <v>8253</v>
      </c>
      <c r="B8259">
        <v>0.33420411431943908</v>
      </c>
    </row>
    <row r="8260" spans="1:2" x14ac:dyDescent="0.2">
      <c r="A8260">
        <v>8254</v>
      </c>
      <c r="B8260">
        <v>0.21283668515059151</v>
      </c>
    </row>
    <row r="8261" spans="1:2" x14ac:dyDescent="0.2">
      <c r="A8261">
        <v>8255</v>
      </c>
      <c r="B8261">
        <v>0.65875704981965422</v>
      </c>
    </row>
    <row r="8262" spans="1:2" x14ac:dyDescent="0.2">
      <c r="A8262">
        <v>8256</v>
      </c>
      <c r="B8262">
        <v>0.84894705040595952</v>
      </c>
    </row>
    <row r="8263" spans="1:2" x14ac:dyDescent="0.2">
      <c r="A8263">
        <v>8257</v>
      </c>
      <c r="B8263">
        <v>0.15262569824893368</v>
      </c>
    </row>
    <row r="8264" spans="1:2" x14ac:dyDescent="0.2">
      <c r="A8264">
        <v>8258</v>
      </c>
      <c r="B8264">
        <v>0.60539363988678685</v>
      </c>
    </row>
    <row r="8265" spans="1:2" x14ac:dyDescent="0.2">
      <c r="A8265">
        <v>8259</v>
      </c>
      <c r="B8265">
        <v>0.24226678321095529</v>
      </c>
    </row>
    <row r="8266" spans="1:2" x14ac:dyDescent="0.2">
      <c r="A8266">
        <v>8260</v>
      </c>
      <c r="B8266">
        <v>0.22897186946365178</v>
      </c>
    </row>
    <row r="8267" spans="1:2" x14ac:dyDescent="0.2">
      <c r="A8267">
        <v>8261</v>
      </c>
      <c r="B8267">
        <v>0.63181395867488499</v>
      </c>
    </row>
    <row r="8268" spans="1:2" x14ac:dyDescent="0.2">
      <c r="A8268">
        <v>8262</v>
      </c>
      <c r="B8268">
        <v>0.8657687170230195</v>
      </c>
    </row>
    <row r="8269" spans="1:2" x14ac:dyDescent="0.2">
      <c r="A8269">
        <v>8263</v>
      </c>
      <c r="B8269">
        <v>0.82277344537239139</v>
      </c>
    </row>
    <row r="8270" spans="1:2" x14ac:dyDescent="0.2">
      <c r="A8270">
        <v>8264</v>
      </c>
      <c r="B8270">
        <v>7.4764641777480878E-2</v>
      </c>
    </row>
    <row r="8271" spans="1:2" x14ac:dyDescent="0.2">
      <c r="A8271">
        <v>8265</v>
      </c>
      <c r="B8271">
        <v>8.0612801907926079E-2</v>
      </c>
    </row>
    <row r="8272" spans="1:2" x14ac:dyDescent="0.2">
      <c r="A8272">
        <v>8266</v>
      </c>
      <c r="B8272">
        <v>0.62036629321879788</v>
      </c>
    </row>
    <row r="8273" spans="1:2" x14ac:dyDescent="0.2">
      <c r="A8273">
        <v>8267</v>
      </c>
      <c r="B8273">
        <v>0.15004209738064511</v>
      </c>
    </row>
    <row r="8274" spans="1:2" x14ac:dyDescent="0.2">
      <c r="A8274">
        <v>8268</v>
      </c>
      <c r="B8274">
        <v>6.7832396822967933E-2</v>
      </c>
    </row>
    <row r="8275" spans="1:2" x14ac:dyDescent="0.2">
      <c r="A8275">
        <v>8269</v>
      </c>
      <c r="B8275">
        <v>0.98016017905798503</v>
      </c>
    </row>
    <row r="8276" spans="1:2" x14ac:dyDescent="0.2">
      <c r="A8276">
        <v>8270</v>
      </c>
      <c r="B8276">
        <v>0.58211066548745694</v>
      </c>
    </row>
    <row r="8277" spans="1:2" x14ac:dyDescent="0.2">
      <c r="A8277">
        <v>8271</v>
      </c>
      <c r="B8277">
        <v>0.80175982401973689</v>
      </c>
    </row>
    <row r="8278" spans="1:2" x14ac:dyDescent="0.2">
      <c r="A8278">
        <v>8272</v>
      </c>
      <c r="B8278">
        <v>0.69524077242727089</v>
      </c>
    </row>
    <row r="8279" spans="1:2" x14ac:dyDescent="0.2">
      <c r="A8279">
        <v>8273</v>
      </c>
      <c r="B8279">
        <v>0.49718013567169528</v>
      </c>
    </row>
    <row r="8280" spans="1:2" x14ac:dyDescent="0.2">
      <c r="A8280">
        <v>8274</v>
      </c>
      <c r="B8280">
        <v>0.20566328073306561</v>
      </c>
    </row>
    <row r="8281" spans="1:2" x14ac:dyDescent="0.2">
      <c r="A8281">
        <v>8275</v>
      </c>
      <c r="B8281">
        <v>0.24717234706644331</v>
      </c>
    </row>
    <row r="8282" spans="1:2" x14ac:dyDescent="0.2">
      <c r="A8282">
        <v>8276</v>
      </c>
      <c r="B8282">
        <v>0.19378005752515814</v>
      </c>
    </row>
    <row r="8283" spans="1:2" x14ac:dyDescent="0.2">
      <c r="A8283">
        <v>8277</v>
      </c>
      <c r="B8283">
        <v>0.47439840336129979</v>
      </c>
    </row>
    <row r="8284" spans="1:2" x14ac:dyDescent="0.2">
      <c r="A8284">
        <v>8278</v>
      </c>
      <c r="B8284">
        <v>0.68713519481374419</v>
      </c>
    </row>
    <row r="8285" spans="1:2" x14ac:dyDescent="0.2">
      <c r="A8285">
        <v>8279</v>
      </c>
      <c r="B8285">
        <v>9.3927502829946774E-2</v>
      </c>
    </row>
    <row r="8286" spans="1:2" x14ac:dyDescent="0.2">
      <c r="A8286">
        <v>8280</v>
      </c>
      <c r="B8286">
        <v>0.62203217594820326</v>
      </c>
    </row>
    <row r="8287" spans="1:2" x14ac:dyDescent="0.2">
      <c r="A8287">
        <v>8281</v>
      </c>
      <c r="B8287">
        <v>0.60787830139183241</v>
      </c>
    </row>
    <row r="8288" spans="1:2" x14ac:dyDescent="0.2">
      <c r="A8288">
        <v>8282</v>
      </c>
      <c r="B8288">
        <v>0.30443974409821373</v>
      </c>
    </row>
    <row r="8289" spans="1:2" x14ac:dyDescent="0.2">
      <c r="A8289">
        <v>8283</v>
      </c>
      <c r="B8289">
        <v>0.83997867959343608</v>
      </c>
    </row>
    <row r="8290" spans="1:2" x14ac:dyDescent="0.2">
      <c r="A8290">
        <v>8284</v>
      </c>
      <c r="B8290">
        <v>0.84537140358347529</v>
      </c>
    </row>
    <row r="8291" spans="1:2" x14ac:dyDescent="0.2">
      <c r="A8291">
        <v>8285</v>
      </c>
      <c r="B8291">
        <v>0.14090960837480382</v>
      </c>
    </row>
    <row r="8292" spans="1:2" x14ac:dyDescent="0.2">
      <c r="A8292">
        <v>8286</v>
      </c>
      <c r="B8292">
        <v>0.83041476165994421</v>
      </c>
    </row>
    <row r="8293" spans="1:2" x14ac:dyDescent="0.2">
      <c r="A8293">
        <v>8287</v>
      </c>
      <c r="B8293">
        <v>0.91017629389265908</v>
      </c>
    </row>
    <row r="8294" spans="1:2" x14ac:dyDescent="0.2">
      <c r="A8294">
        <v>8288</v>
      </c>
      <c r="B8294">
        <v>0.43615809392013116</v>
      </c>
    </row>
    <row r="8295" spans="1:2" x14ac:dyDescent="0.2">
      <c r="A8295">
        <v>8289</v>
      </c>
      <c r="B8295">
        <v>0.43932396610276547</v>
      </c>
    </row>
    <row r="8296" spans="1:2" x14ac:dyDescent="0.2">
      <c r="A8296">
        <v>8290</v>
      </c>
      <c r="B8296">
        <v>0.48587773716897686</v>
      </c>
    </row>
    <row r="8297" spans="1:2" x14ac:dyDescent="0.2">
      <c r="A8297">
        <v>8291</v>
      </c>
      <c r="B8297">
        <v>0.29618352575403972</v>
      </c>
    </row>
    <row r="8298" spans="1:2" x14ac:dyDescent="0.2">
      <c r="A8298">
        <v>8292</v>
      </c>
      <c r="B8298">
        <v>0.4478909870402995</v>
      </c>
    </row>
    <row r="8299" spans="1:2" x14ac:dyDescent="0.2">
      <c r="A8299">
        <v>8293</v>
      </c>
      <c r="B8299">
        <v>0.99450104995158783</v>
      </c>
    </row>
    <row r="8300" spans="1:2" x14ac:dyDescent="0.2">
      <c r="A8300">
        <v>8294</v>
      </c>
      <c r="B8300">
        <v>0.30333465239692892</v>
      </c>
    </row>
    <row r="8301" spans="1:2" x14ac:dyDescent="0.2">
      <c r="A8301">
        <v>8295</v>
      </c>
      <c r="B8301">
        <v>0.46548316692785152</v>
      </c>
    </row>
    <row r="8302" spans="1:2" x14ac:dyDescent="0.2">
      <c r="A8302">
        <v>8296</v>
      </c>
      <c r="B8302">
        <v>0.4589623508407924</v>
      </c>
    </row>
    <row r="8303" spans="1:2" x14ac:dyDescent="0.2">
      <c r="A8303">
        <v>8297</v>
      </c>
      <c r="B8303">
        <v>0.82354263936408501</v>
      </c>
    </row>
    <row r="8304" spans="1:2" x14ac:dyDescent="0.2">
      <c r="A8304">
        <v>8298</v>
      </c>
      <c r="B8304">
        <v>0.59822946663632315</v>
      </c>
    </row>
    <row r="8305" spans="1:2" x14ac:dyDescent="0.2">
      <c r="A8305">
        <v>8299</v>
      </c>
      <c r="B8305">
        <v>1.2393153533545975E-2</v>
      </c>
    </row>
    <row r="8306" spans="1:2" x14ac:dyDescent="0.2">
      <c r="A8306">
        <v>8300</v>
      </c>
      <c r="B8306">
        <v>0.9295210044264024</v>
      </c>
    </row>
    <row r="8307" spans="1:2" x14ac:dyDescent="0.2">
      <c r="A8307">
        <v>8301</v>
      </c>
      <c r="B8307">
        <v>0.4875292167129669</v>
      </c>
    </row>
    <row r="8308" spans="1:2" x14ac:dyDescent="0.2">
      <c r="A8308">
        <v>8302</v>
      </c>
      <c r="B8308">
        <v>0.56515060486924207</v>
      </c>
    </row>
    <row r="8309" spans="1:2" x14ac:dyDescent="0.2">
      <c r="A8309">
        <v>8303</v>
      </c>
      <c r="B8309">
        <v>0.63932843559178487</v>
      </c>
    </row>
    <row r="8310" spans="1:2" x14ac:dyDescent="0.2">
      <c r="A8310">
        <v>8304</v>
      </c>
      <c r="B8310">
        <v>0.31030766479150051</v>
      </c>
    </row>
    <row r="8311" spans="1:2" x14ac:dyDescent="0.2">
      <c r="A8311">
        <v>8305</v>
      </c>
      <c r="B8311">
        <v>0.13937172165216616</v>
      </c>
    </row>
    <row r="8312" spans="1:2" x14ac:dyDescent="0.2">
      <c r="A8312">
        <v>8306</v>
      </c>
      <c r="B8312">
        <v>0.4614983892928971</v>
      </c>
    </row>
    <row r="8313" spans="1:2" x14ac:dyDescent="0.2">
      <c r="A8313">
        <v>8307</v>
      </c>
      <c r="B8313">
        <v>0.91620542110818681</v>
      </c>
    </row>
    <row r="8314" spans="1:2" x14ac:dyDescent="0.2">
      <c r="A8314">
        <v>8308</v>
      </c>
      <c r="B8314">
        <v>9.2793508489291909E-2</v>
      </c>
    </row>
    <row r="8315" spans="1:2" x14ac:dyDescent="0.2">
      <c r="A8315">
        <v>8309</v>
      </c>
      <c r="B8315">
        <v>0.40687243332238265</v>
      </c>
    </row>
    <row r="8316" spans="1:2" x14ac:dyDescent="0.2">
      <c r="A8316">
        <v>8310</v>
      </c>
      <c r="B8316">
        <v>9.9601762532033122E-2</v>
      </c>
    </row>
    <row r="8317" spans="1:2" x14ac:dyDescent="0.2">
      <c r="A8317">
        <v>8311</v>
      </c>
      <c r="B8317">
        <v>0.88952641144032196</v>
      </c>
    </row>
    <row r="8318" spans="1:2" x14ac:dyDescent="0.2">
      <c r="A8318">
        <v>8312</v>
      </c>
      <c r="B8318">
        <v>0.76048797019995873</v>
      </c>
    </row>
    <row r="8319" spans="1:2" x14ac:dyDescent="0.2">
      <c r="A8319">
        <v>8313</v>
      </c>
      <c r="B8319">
        <v>6.0596726852514049E-2</v>
      </c>
    </row>
    <row r="8320" spans="1:2" x14ac:dyDescent="0.2">
      <c r="A8320">
        <v>8314</v>
      </c>
      <c r="B8320">
        <v>0.98918495691468711</v>
      </c>
    </row>
    <row r="8321" spans="1:2" x14ac:dyDescent="0.2">
      <c r="A8321">
        <v>8315</v>
      </c>
      <c r="B8321">
        <v>0.28900024368902089</v>
      </c>
    </row>
    <row r="8322" spans="1:2" x14ac:dyDescent="0.2">
      <c r="A8322">
        <v>8316</v>
      </c>
      <c r="B8322">
        <v>0.59917637384424471</v>
      </c>
    </row>
    <row r="8323" spans="1:2" x14ac:dyDescent="0.2">
      <c r="A8323">
        <v>8317</v>
      </c>
      <c r="B8323">
        <v>0.84117566237377384</v>
      </c>
    </row>
    <row r="8324" spans="1:2" x14ac:dyDescent="0.2">
      <c r="A8324">
        <v>8318</v>
      </c>
      <c r="B8324">
        <v>0.21331481127876817</v>
      </c>
    </row>
    <row r="8325" spans="1:2" x14ac:dyDescent="0.2">
      <c r="A8325">
        <v>8319</v>
      </c>
      <c r="B8325">
        <v>5.2671257525159221E-2</v>
      </c>
    </row>
    <row r="8326" spans="1:2" x14ac:dyDescent="0.2">
      <c r="A8326">
        <v>8320</v>
      </c>
      <c r="B8326">
        <v>0.25249130540651921</v>
      </c>
    </row>
    <row r="8327" spans="1:2" x14ac:dyDescent="0.2">
      <c r="A8327">
        <v>8321</v>
      </c>
      <c r="B8327">
        <v>0.25784330324157723</v>
      </c>
    </row>
    <row r="8328" spans="1:2" x14ac:dyDescent="0.2">
      <c r="A8328">
        <v>8322</v>
      </c>
      <c r="B8328">
        <v>0.60257079890929632</v>
      </c>
    </row>
    <row r="8329" spans="1:2" x14ac:dyDescent="0.2">
      <c r="A8329">
        <v>8323</v>
      </c>
      <c r="B8329">
        <v>0.36221775193089822</v>
      </c>
    </row>
    <row r="8330" spans="1:2" x14ac:dyDescent="0.2">
      <c r="A8330">
        <v>8324</v>
      </c>
      <c r="B8330">
        <v>0.38556747877864728</v>
      </c>
    </row>
    <row r="8331" spans="1:2" x14ac:dyDescent="0.2">
      <c r="A8331">
        <v>8325</v>
      </c>
      <c r="B8331">
        <v>0.98850900440044054</v>
      </c>
    </row>
    <row r="8332" spans="1:2" x14ac:dyDescent="0.2">
      <c r="A8332">
        <v>8326</v>
      </c>
      <c r="B8332">
        <v>0.71020659497509753</v>
      </c>
    </row>
    <row r="8333" spans="1:2" x14ac:dyDescent="0.2">
      <c r="A8333">
        <v>8327</v>
      </c>
      <c r="B8333">
        <v>0.40506629653533632</v>
      </c>
    </row>
    <row r="8334" spans="1:2" x14ac:dyDescent="0.2">
      <c r="A8334">
        <v>8328</v>
      </c>
      <c r="B8334">
        <v>0.43063130101566072</v>
      </c>
    </row>
    <row r="8335" spans="1:2" x14ac:dyDescent="0.2">
      <c r="A8335">
        <v>8329</v>
      </c>
      <c r="B8335">
        <v>0.15208518518710545</v>
      </c>
    </row>
    <row r="8336" spans="1:2" x14ac:dyDescent="0.2">
      <c r="A8336">
        <v>8330</v>
      </c>
      <c r="B8336">
        <v>0.72753397390144903</v>
      </c>
    </row>
    <row r="8337" spans="1:2" x14ac:dyDescent="0.2">
      <c r="A8337">
        <v>8331</v>
      </c>
      <c r="B8337">
        <v>0.90628898536980129</v>
      </c>
    </row>
    <row r="8338" spans="1:2" x14ac:dyDescent="0.2">
      <c r="A8338">
        <v>8332</v>
      </c>
      <c r="B8338">
        <v>0.98427547513029667</v>
      </c>
    </row>
    <row r="8339" spans="1:2" x14ac:dyDescent="0.2">
      <c r="A8339">
        <v>8333</v>
      </c>
      <c r="B8339">
        <v>0.16918211092415558</v>
      </c>
    </row>
    <row r="8340" spans="1:2" x14ac:dyDescent="0.2">
      <c r="A8340">
        <v>8334</v>
      </c>
      <c r="B8340">
        <v>0.64598864738220441</v>
      </c>
    </row>
    <row r="8341" spans="1:2" x14ac:dyDescent="0.2">
      <c r="A8341">
        <v>8335</v>
      </c>
      <c r="B8341">
        <v>0.1155370221668367</v>
      </c>
    </row>
    <row r="8342" spans="1:2" x14ac:dyDescent="0.2">
      <c r="A8342">
        <v>8336</v>
      </c>
      <c r="B8342">
        <v>0.19577030636627824</v>
      </c>
    </row>
    <row r="8343" spans="1:2" x14ac:dyDescent="0.2">
      <c r="A8343">
        <v>8337</v>
      </c>
      <c r="B8343">
        <v>0.26652764048463617</v>
      </c>
    </row>
    <row r="8344" spans="1:2" x14ac:dyDescent="0.2">
      <c r="A8344">
        <v>8338</v>
      </c>
      <c r="B8344">
        <v>0.52804941332376731</v>
      </c>
    </row>
    <row r="8345" spans="1:2" x14ac:dyDescent="0.2">
      <c r="A8345">
        <v>8339</v>
      </c>
      <c r="B8345">
        <v>0.62624553116920845</v>
      </c>
    </row>
    <row r="8346" spans="1:2" x14ac:dyDescent="0.2">
      <c r="A8346">
        <v>8340</v>
      </c>
      <c r="B8346">
        <v>0.47676233842611992</v>
      </c>
    </row>
    <row r="8347" spans="1:2" x14ac:dyDescent="0.2">
      <c r="A8347">
        <v>8341</v>
      </c>
      <c r="B8347">
        <v>0.11369647368179958</v>
      </c>
    </row>
    <row r="8348" spans="1:2" x14ac:dyDescent="0.2">
      <c r="A8348">
        <v>8342</v>
      </c>
      <c r="B8348">
        <v>0.88599940223625395</v>
      </c>
    </row>
    <row r="8349" spans="1:2" x14ac:dyDescent="0.2">
      <c r="A8349">
        <v>8343</v>
      </c>
      <c r="B8349">
        <v>0.87178380273111711</v>
      </c>
    </row>
    <row r="8350" spans="1:2" x14ac:dyDescent="0.2">
      <c r="A8350">
        <v>8344</v>
      </c>
      <c r="B8350">
        <v>0.22581804381300619</v>
      </c>
    </row>
    <row r="8351" spans="1:2" x14ac:dyDescent="0.2">
      <c r="A8351">
        <v>8345</v>
      </c>
      <c r="B8351">
        <v>0.78841795868089259</v>
      </c>
    </row>
    <row r="8352" spans="1:2" x14ac:dyDescent="0.2">
      <c r="A8352">
        <v>8346</v>
      </c>
      <c r="B8352">
        <v>0.59219438819811487</v>
      </c>
    </row>
    <row r="8353" spans="1:2" x14ac:dyDescent="0.2">
      <c r="A8353">
        <v>8347</v>
      </c>
      <c r="B8353">
        <v>0.92504260321998899</v>
      </c>
    </row>
    <row r="8354" spans="1:2" x14ac:dyDescent="0.2">
      <c r="A8354">
        <v>8348</v>
      </c>
      <c r="B8354">
        <v>0.3875169401375389</v>
      </c>
    </row>
    <row r="8355" spans="1:2" x14ac:dyDescent="0.2">
      <c r="A8355">
        <v>8349</v>
      </c>
      <c r="B8355">
        <v>0.58579359634675632</v>
      </c>
    </row>
    <row r="8356" spans="1:2" x14ac:dyDescent="0.2">
      <c r="A8356">
        <v>8350</v>
      </c>
      <c r="B8356">
        <v>0.88675009531765769</v>
      </c>
    </row>
    <row r="8357" spans="1:2" x14ac:dyDescent="0.2">
      <c r="A8357">
        <v>8351</v>
      </c>
      <c r="B8357">
        <v>4.3452335185440449E-2</v>
      </c>
    </row>
    <row r="8358" spans="1:2" x14ac:dyDescent="0.2">
      <c r="A8358">
        <v>8352</v>
      </c>
      <c r="B8358">
        <v>0.57968744561387398</v>
      </c>
    </row>
    <row r="8359" spans="1:2" x14ac:dyDescent="0.2">
      <c r="A8359">
        <v>8353</v>
      </c>
      <c r="B8359">
        <v>5.0359790967938522E-2</v>
      </c>
    </row>
    <row r="8360" spans="1:2" x14ac:dyDescent="0.2">
      <c r="A8360">
        <v>8354</v>
      </c>
      <c r="B8360">
        <v>0.10204213866843759</v>
      </c>
    </row>
    <row r="8361" spans="1:2" x14ac:dyDescent="0.2">
      <c r="A8361">
        <v>8355</v>
      </c>
      <c r="B8361">
        <v>0.82896994569922244</v>
      </c>
    </row>
    <row r="8362" spans="1:2" x14ac:dyDescent="0.2">
      <c r="A8362">
        <v>8356</v>
      </c>
      <c r="B8362">
        <v>0.36353030830141597</v>
      </c>
    </row>
    <row r="8363" spans="1:2" x14ac:dyDescent="0.2">
      <c r="A8363">
        <v>8357</v>
      </c>
      <c r="B8363">
        <v>0.71931769055604367</v>
      </c>
    </row>
    <row r="8364" spans="1:2" x14ac:dyDescent="0.2">
      <c r="A8364">
        <v>8358</v>
      </c>
      <c r="B8364">
        <v>0.10442473992177848</v>
      </c>
    </row>
    <row r="8365" spans="1:2" x14ac:dyDescent="0.2">
      <c r="A8365">
        <v>8359</v>
      </c>
      <c r="B8365">
        <v>0.75761739192210675</v>
      </c>
    </row>
    <row r="8366" spans="1:2" x14ac:dyDescent="0.2">
      <c r="A8366">
        <v>8360</v>
      </c>
      <c r="B8366">
        <v>0.84748376412876902</v>
      </c>
    </row>
    <row r="8367" spans="1:2" x14ac:dyDescent="0.2">
      <c r="A8367">
        <v>8361</v>
      </c>
      <c r="B8367">
        <v>0.69183073617117874</v>
      </c>
    </row>
    <row r="8368" spans="1:2" x14ac:dyDescent="0.2">
      <c r="A8368">
        <v>8362</v>
      </c>
      <c r="B8368">
        <v>0.25196695284874271</v>
      </c>
    </row>
    <row r="8369" spans="1:2" x14ac:dyDescent="0.2">
      <c r="A8369">
        <v>8363</v>
      </c>
      <c r="B8369">
        <v>0.90860377661812119</v>
      </c>
    </row>
    <row r="8370" spans="1:2" x14ac:dyDescent="0.2">
      <c r="A8370">
        <v>8364</v>
      </c>
      <c r="B8370">
        <v>0.74524970170689908</v>
      </c>
    </row>
    <row r="8371" spans="1:2" x14ac:dyDescent="0.2">
      <c r="A8371">
        <v>8365</v>
      </c>
      <c r="B8371">
        <v>0.5121742734600242</v>
      </c>
    </row>
    <row r="8372" spans="1:2" x14ac:dyDescent="0.2">
      <c r="A8372">
        <v>8366</v>
      </c>
      <c r="B8372">
        <v>0.45943748758275404</v>
      </c>
    </row>
    <row r="8373" spans="1:2" x14ac:dyDescent="0.2">
      <c r="A8373">
        <v>8367</v>
      </c>
      <c r="B8373">
        <v>8.1939220052252848E-3</v>
      </c>
    </row>
    <row r="8374" spans="1:2" x14ac:dyDescent="0.2">
      <c r="A8374">
        <v>8368</v>
      </c>
      <c r="B8374">
        <v>0.56092104650668062</v>
      </c>
    </row>
    <row r="8375" spans="1:2" x14ac:dyDescent="0.2">
      <c r="A8375">
        <v>8369</v>
      </c>
      <c r="B8375">
        <v>0.31359538528069952</v>
      </c>
    </row>
    <row r="8376" spans="1:2" x14ac:dyDescent="0.2">
      <c r="A8376">
        <v>8370</v>
      </c>
      <c r="B8376">
        <v>0.47098440318162849</v>
      </c>
    </row>
    <row r="8377" spans="1:2" x14ac:dyDescent="0.2">
      <c r="A8377">
        <v>8371</v>
      </c>
      <c r="B8377">
        <v>0.36745882755232595</v>
      </c>
    </row>
    <row r="8378" spans="1:2" x14ac:dyDescent="0.2">
      <c r="A8378">
        <v>8372</v>
      </c>
      <c r="B8378">
        <v>0.69999082608059127</v>
      </c>
    </row>
    <row r="8379" spans="1:2" x14ac:dyDescent="0.2">
      <c r="A8379">
        <v>8373</v>
      </c>
      <c r="B8379">
        <v>0.52636378563441055</v>
      </c>
    </row>
    <row r="8380" spans="1:2" x14ac:dyDescent="0.2">
      <c r="A8380">
        <v>8374</v>
      </c>
      <c r="B8380">
        <v>0.60838076586916101</v>
      </c>
    </row>
    <row r="8381" spans="1:2" x14ac:dyDescent="0.2">
      <c r="A8381">
        <v>8375</v>
      </c>
      <c r="B8381">
        <v>0.53425900162348505</v>
      </c>
    </row>
    <row r="8382" spans="1:2" x14ac:dyDescent="0.2">
      <c r="A8382">
        <v>8376</v>
      </c>
      <c r="B8382">
        <v>0.94707312286517054</v>
      </c>
    </row>
    <row r="8383" spans="1:2" x14ac:dyDescent="0.2">
      <c r="A8383">
        <v>8377</v>
      </c>
      <c r="B8383">
        <v>8.4881706947576463E-2</v>
      </c>
    </row>
    <row r="8384" spans="1:2" x14ac:dyDescent="0.2">
      <c r="A8384">
        <v>8378</v>
      </c>
      <c r="B8384">
        <v>0.74482593503884553</v>
      </c>
    </row>
    <row r="8385" spans="1:2" x14ac:dyDescent="0.2">
      <c r="A8385">
        <v>8379</v>
      </c>
      <c r="B8385">
        <v>0.33415530828340234</v>
      </c>
    </row>
    <row r="8386" spans="1:2" x14ac:dyDescent="0.2">
      <c r="A8386">
        <v>8380</v>
      </c>
      <c r="B8386">
        <v>0.57884499190028937</v>
      </c>
    </row>
    <row r="8387" spans="1:2" x14ac:dyDescent="0.2">
      <c r="A8387">
        <v>8381</v>
      </c>
      <c r="B8387">
        <v>0.92200221885379874</v>
      </c>
    </row>
    <row r="8388" spans="1:2" x14ac:dyDescent="0.2">
      <c r="A8388">
        <v>8382</v>
      </c>
      <c r="B8388">
        <v>0.2768724645372429</v>
      </c>
    </row>
    <row r="8389" spans="1:2" x14ac:dyDescent="0.2">
      <c r="A8389">
        <v>8383</v>
      </c>
      <c r="B8389">
        <v>0.42511611178542519</v>
      </c>
    </row>
    <row r="8390" spans="1:2" x14ac:dyDescent="0.2">
      <c r="A8390">
        <v>8384</v>
      </c>
      <c r="B8390">
        <v>8.4201224941996E-2</v>
      </c>
    </row>
    <row r="8391" spans="1:2" x14ac:dyDescent="0.2">
      <c r="A8391">
        <v>8385</v>
      </c>
      <c r="B8391">
        <v>0.7337302081600775</v>
      </c>
    </row>
    <row r="8392" spans="1:2" x14ac:dyDescent="0.2">
      <c r="A8392">
        <v>8386</v>
      </c>
      <c r="B8392">
        <v>0.36043285906845024</v>
      </c>
    </row>
    <row r="8393" spans="1:2" x14ac:dyDescent="0.2">
      <c r="A8393">
        <v>8387</v>
      </c>
      <c r="B8393">
        <v>1.5962426522072581E-3</v>
      </c>
    </row>
    <row r="8394" spans="1:2" x14ac:dyDescent="0.2">
      <c r="A8394">
        <v>8388</v>
      </c>
      <c r="B8394">
        <v>0.99383362052404267</v>
      </c>
    </row>
    <row r="8395" spans="1:2" x14ac:dyDescent="0.2">
      <c r="A8395">
        <v>8389</v>
      </c>
      <c r="B8395">
        <v>5.419575329202786E-3</v>
      </c>
    </row>
    <row r="8396" spans="1:2" x14ac:dyDescent="0.2">
      <c r="A8396">
        <v>8390</v>
      </c>
      <c r="B8396">
        <v>0.99876515012211187</v>
      </c>
    </row>
    <row r="8397" spans="1:2" x14ac:dyDescent="0.2">
      <c r="A8397">
        <v>8391</v>
      </c>
      <c r="B8397">
        <v>0.59018926446541231</v>
      </c>
    </row>
    <row r="8398" spans="1:2" x14ac:dyDescent="0.2">
      <c r="A8398">
        <v>8392</v>
      </c>
      <c r="B8398">
        <v>0.54510796484370694</v>
      </c>
    </row>
    <row r="8399" spans="1:2" x14ac:dyDescent="0.2">
      <c r="A8399">
        <v>8393</v>
      </c>
      <c r="B8399">
        <v>0.57016101972684752</v>
      </c>
    </row>
    <row r="8400" spans="1:2" x14ac:dyDescent="0.2">
      <c r="A8400">
        <v>8394</v>
      </c>
      <c r="B8400">
        <v>0.84842454602180917</v>
      </c>
    </row>
    <row r="8401" spans="1:2" x14ac:dyDescent="0.2">
      <c r="A8401">
        <v>8395</v>
      </c>
      <c r="B8401">
        <v>0.95659471698305132</v>
      </c>
    </row>
    <row r="8402" spans="1:2" x14ac:dyDescent="0.2">
      <c r="A8402">
        <v>8396</v>
      </c>
      <c r="B8402">
        <v>0.92767899080770377</v>
      </c>
    </row>
    <row r="8403" spans="1:2" x14ac:dyDescent="0.2">
      <c r="A8403">
        <v>8397</v>
      </c>
      <c r="B8403">
        <v>0.22747423112622633</v>
      </c>
    </row>
    <row r="8404" spans="1:2" x14ac:dyDescent="0.2">
      <c r="A8404">
        <v>8398</v>
      </c>
      <c r="B8404">
        <v>0.84911912990449556</v>
      </c>
    </row>
    <row r="8405" spans="1:2" x14ac:dyDescent="0.2">
      <c r="A8405">
        <v>8399</v>
      </c>
      <c r="B8405">
        <v>0.4588945105993345</v>
      </c>
    </row>
    <row r="8406" spans="1:2" x14ac:dyDescent="0.2">
      <c r="A8406">
        <v>8400</v>
      </c>
      <c r="B8406">
        <v>0.31721396186369655</v>
      </c>
    </row>
    <row r="8407" spans="1:2" x14ac:dyDescent="0.2">
      <c r="A8407">
        <v>8401</v>
      </c>
      <c r="B8407">
        <v>7.6948197441522814E-2</v>
      </c>
    </row>
    <row r="8408" spans="1:2" x14ac:dyDescent="0.2">
      <c r="A8408">
        <v>8402</v>
      </c>
      <c r="B8408">
        <v>0.42430284959656761</v>
      </c>
    </row>
    <row r="8409" spans="1:2" x14ac:dyDescent="0.2">
      <c r="A8409">
        <v>8403</v>
      </c>
      <c r="B8409">
        <v>0.72467948301519602</v>
      </c>
    </row>
    <row r="8410" spans="1:2" x14ac:dyDescent="0.2">
      <c r="A8410">
        <v>8404</v>
      </c>
      <c r="B8410">
        <v>0.86106810113056309</v>
      </c>
    </row>
    <row r="8411" spans="1:2" x14ac:dyDescent="0.2">
      <c r="A8411">
        <v>8405</v>
      </c>
      <c r="B8411">
        <v>0.46828754566913311</v>
      </c>
    </row>
    <row r="8412" spans="1:2" x14ac:dyDescent="0.2">
      <c r="A8412">
        <v>8406</v>
      </c>
      <c r="B8412">
        <v>0.91480129119784126</v>
      </c>
    </row>
    <row r="8413" spans="1:2" x14ac:dyDescent="0.2">
      <c r="A8413">
        <v>8407</v>
      </c>
      <c r="B8413">
        <v>0.92705657407164466</v>
      </c>
    </row>
    <row r="8414" spans="1:2" x14ac:dyDescent="0.2">
      <c r="A8414">
        <v>8408</v>
      </c>
      <c r="B8414">
        <v>0.25454748209751799</v>
      </c>
    </row>
    <row r="8415" spans="1:2" x14ac:dyDescent="0.2">
      <c r="A8415">
        <v>8409</v>
      </c>
      <c r="B8415">
        <v>0.9740771429775178</v>
      </c>
    </row>
    <row r="8416" spans="1:2" x14ac:dyDescent="0.2">
      <c r="A8416">
        <v>8410</v>
      </c>
      <c r="B8416">
        <v>0.88801129428839287</v>
      </c>
    </row>
    <row r="8417" spans="1:2" x14ac:dyDescent="0.2">
      <c r="A8417">
        <v>8411</v>
      </c>
      <c r="B8417">
        <v>0.84506254858201668</v>
      </c>
    </row>
    <row r="8418" spans="1:2" x14ac:dyDescent="0.2">
      <c r="A8418">
        <v>8412</v>
      </c>
      <c r="B8418">
        <v>0.4402157139732924</v>
      </c>
    </row>
    <row r="8419" spans="1:2" x14ac:dyDescent="0.2">
      <c r="A8419">
        <v>8413</v>
      </c>
      <c r="B8419">
        <v>0.46609200558264019</v>
      </c>
    </row>
    <row r="8420" spans="1:2" x14ac:dyDescent="0.2">
      <c r="A8420">
        <v>8414</v>
      </c>
      <c r="B8420">
        <v>0.65226463934502477</v>
      </c>
    </row>
    <row r="8421" spans="1:2" x14ac:dyDescent="0.2">
      <c r="A8421">
        <v>8415</v>
      </c>
      <c r="B8421">
        <v>0.15023699997439799</v>
      </c>
    </row>
    <row r="8422" spans="1:2" x14ac:dyDescent="0.2">
      <c r="A8422">
        <v>8416</v>
      </c>
      <c r="B8422">
        <v>0.62002690532144189</v>
      </c>
    </row>
    <row r="8423" spans="1:2" x14ac:dyDescent="0.2">
      <c r="A8423">
        <v>8417</v>
      </c>
      <c r="B8423">
        <v>0.14092727783519032</v>
      </c>
    </row>
    <row r="8424" spans="1:2" x14ac:dyDescent="0.2">
      <c r="A8424">
        <v>8418</v>
      </c>
      <c r="B8424">
        <v>0.53065812181918037</v>
      </c>
    </row>
    <row r="8425" spans="1:2" x14ac:dyDescent="0.2">
      <c r="A8425">
        <v>8419</v>
      </c>
      <c r="B8425">
        <v>0.67592387653948893</v>
      </c>
    </row>
    <row r="8426" spans="1:2" x14ac:dyDescent="0.2">
      <c r="A8426">
        <v>8420</v>
      </c>
      <c r="B8426">
        <v>0.61688785840471949</v>
      </c>
    </row>
    <row r="8427" spans="1:2" x14ac:dyDescent="0.2">
      <c r="A8427">
        <v>8421</v>
      </c>
      <c r="B8427">
        <v>0.21787605668662913</v>
      </c>
    </row>
    <row r="8428" spans="1:2" x14ac:dyDescent="0.2">
      <c r="A8428">
        <v>8422</v>
      </c>
      <c r="B8428">
        <v>0.98332764469914702</v>
      </c>
    </row>
    <row r="8429" spans="1:2" x14ac:dyDescent="0.2">
      <c r="A8429">
        <v>8423</v>
      </c>
      <c r="B8429">
        <v>0.77030646055161311</v>
      </c>
    </row>
    <row r="8430" spans="1:2" x14ac:dyDescent="0.2">
      <c r="A8430">
        <v>8424</v>
      </c>
      <c r="B8430">
        <v>0.67204461036197982</v>
      </c>
    </row>
    <row r="8431" spans="1:2" x14ac:dyDescent="0.2">
      <c r="A8431">
        <v>8425</v>
      </c>
      <c r="B8431">
        <v>0.62324155077058785</v>
      </c>
    </row>
    <row r="8432" spans="1:2" x14ac:dyDescent="0.2">
      <c r="A8432">
        <v>8426</v>
      </c>
      <c r="B8432">
        <v>0.79886582677804718</v>
      </c>
    </row>
    <row r="8433" spans="1:2" x14ac:dyDescent="0.2">
      <c r="A8433">
        <v>8427</v>
      </c>
      <c r="B8433">
        <v>8.6196660973772321E-2</v>
      </c>
    </row>
    <row r="8434" spans="1:2" x14ac:dyDescent="0.2">
      <c r="A8434">
        <v>8428</v>
      </c>
      <c r="B8434">
        <v>0.67893345201862865</v>
      </c>
    </row>
    <row r="8435" spans="1:2" x14ac:dyDescent="0.2">
      <c r="A8435">
        <v>8429</v>
      </c>
      <c r="B8435">
        <v>1.5107505735447835E-2</v>
      </c>
    </row>
    <row r="8436" spans="1:2" x14ac:dyDescent="0.2">
      <c r="A8436">
        <v>8430</v>
      </c>
      <c r="B8436">
        <v>0.16607857868059739</v>
      </c>
    </row>
    <row r="8437" spans="1:2" x14ac:dyDescent="0.2">
      <c r="A8437">
        <v>8431</v>
      </c>
      <c r="B8437">
        <v>0.40602019757709906</v>
      </c>
    </row>
    <row r="8438" spans="1:2" x14ac:dyDescent="0.2">
      <c r="A8438">
        <v>8432</v>
      </c>
      <c r="B8438">
        <v>0.16750690678352187</v>
      </c>
    </row>
    <row r="8439" spans="1:2" x14ac:dyDescent="0.2">
      <c r="A8439">
        <v>8433</v>
      </c>
      <c r="B8439">
        <v>0.80880021562528448</v>
      </c>
    </row>
    <row r="8440" spans="1:2" x14ac:dyDescent="0.2">
      <c r="A8440">
        <v>8434</v>
      </c>
      <c r="B8440">
        <v>5.7715288907409179E-2</v>
      </c>
    </row>
    <row r="8441" spans="1:2" x14ac:dyDescent="0.2">
      <c r="A8441">
        <v>8435</v>
      </c>
      <c r="B8441">
        <v>0.39905751870764605</v>
      </c>
    </row>
    <row r="8442" spans="1:2" x14ac:dyDescent="0.2">
      <c r="A8442">
        <v>8436</v>
      </c>
      <c r="B8442">
        <v>0.79791948518935352</v>
      </c>
    </row>
    <row r="8443" spans="1:2" x14ac:dyDescent="0.2">
      <c r="A8443">
        <v>8437</v>
      </c>
      <c r="B8443">
        <v>0.18186156258924624</v>
      </c>
    </row>
    <row r="8444" spans="1:2" x14ac:dyDescent="0.2">
      <c r="A8444">
        <v>8438</v>
      </c>
      <c r="B8444">
        <v>0.69869872163866442</v>
      </c>
    </row>
    <row r="8445" spans="1:2" x14ac:dyDescent="0.2">
      <c r="A8445">
        <v>8439</v>
      </c>
      <c r="B8445">
        <v>0.63009431322173381</v>
      </c>
    </row>
    <row r="8446" spans="1:2" x14ac:dyDescent="0.2">
      <c r="A8446">
        <v>8440</v>
      </c>
      <c r="B8446">
        <v>0.95846363978635918</v>
      </c>
    </row>
    <row r="8447" spans="1:2" x14ac:dyDescent="0.2">
      <c r="A8447">
        <v>8441</v>
      </c>
      <c r="B8447">
        <v>0.21562220712183056</v>
      </c>
    </row>
    <row r="8448" spans="1:2" x14ac:dyDescent="0.2">
      <c r="A8448">
        <v>8442</v>
      </c>
      <c r="B8448">
        <v>0.33148522652719359</v>
      </c>
    </row>
    <row r="8449" spans="1:2" x14ac:dyDescent="0.2">
      <c r="A8449">
        <v>8443</v>
      </c>
      <c r="B8449">
        <v>0.50827616215688043</v>
      </c>
    </row>
    <row r="8450" spans="1:2" x14ac:dyDescent="0.2">
      <c r="A8450">
        <v>8444</v>
      </c>
      <c r="B8450">
        <v>0.21607623756677019</v>
      </c>
    </row>
    <row r="8451" spans="1:2" x14ac:dyDescent="0.2">
      <c r="A8451">
        <v>8445</v>
      </c>
      <c r="B8451">
        <v>0.23600539096577033</v>
      </c>
    </row>
    <row r="8452" spans="1:2" x14ac:dyDescent="0.2">
      <c r="A8452">
        <v>8446</v>
      </c>
      <c r="B8452">
        <v>0.11642995294887659</v>
      </c>
    </row>
    <row r="8453" spans="1:2" x14ac:dyDescent="0.2">
      <c r="A8453">
        <v>8447</v>
      </c>
      <c r="B8453">
        <v>0.80565435431789723</v>
      </c>
    </row>
    <row r="8454" spans="1:2" x14ac:dyDescent="0.2">
      <c r="A8454">
        <v>8448</v>
      </c>
      <c r="B8454">
        <v>0.67256571265287968</v>
      </c>
    </row>
    <row r="8455" spans="1:2" x14ac:dyDescent="0.2">
      <c r="A8455">
        <v>8449</v>
      </c>
      <c r="B8455">
        <v>1.2505496789660842E-2</v>
      </c>
    </row>
    <row r="8456" spans="1:2" x14ac:dyDescent="0.2">
      <c r="A8456">
        <v>8450</v>
      </c>
      <c r="B8456">
        <v>0.95754302608645803</v>
      </c>
    </row>
    <row r="8457" spans="1:2" x14ac:dyDescent="0.2">
      <c r="A8457">
        <v>8451</v>
      </c>
      <c r="B8457">
        <v>7.4611015597746411E-3</v>
      </c>
    </row>
    <row r="8458" spans="1:2" x14ac:dyDescent="0.2">
      <c r="A8458">
        <v>8452</v>
      </c>
      <c r="B8458">
        <v>0.72322713757845347</v>
      </c>
    </row>
    <row r="8459" spans="1:2" x14ac:dyDescent="0.2">
      <c r="A8459">
        <v>8453</v>
      </c>
      <c r="B8459">
        <v>0.53621014891560648</v>
      </c>
    </row>
    <row r="8460" spans="1:2" x14ac:dyDescent="0.2">
      <c r="A8460">
        <v>8454</v>
      </c>
      <c r="B8460">
        <v>0.16582540636374132</v>
      </c>
    </row>
    <row r="8461" spans="1:2" x14ac:dyDescent="0.2">
      <c r="A8461">
        <v>8455</v>
      </c>
      <c r="B8461">
        <v>0.36472924835391907</v>
      </c>
    </row>
    <row r="8462" spans="1:2" x14ac:dyDescent="0.2">
      <c r="A8462">
        <v>8456</v>
      </c>
      <c r="B8462">
        <v>0.48158689409088984</v>
      </c>
    </row>
    <row r="8463" spans="1:2" x14ac:dyDescent="0.2">
      <c r="A8463">
        <v>8457</v>
      </c>
      <c r="B8463">
        <v>0.79164269157482459</v>
      </c>
    </row>
    <row r="8464" spans="1:2" x14ac:dyDescent="0.2">
      <c r="A8464">
        <v>8458</v>
      </c>
      <c r="B8464">
        <v>0.81014114907080248</v>
      </c>
    </row>
    <row r="8465" spans="1:2" x14ac:dyDescent="0.2">
      <c r="A8465">
        <v>8459</v>
      </c>
      <c r="B8465">
        <v>0.76775706259169851</v>
      </c>
    </row>
    <row r="8466" spans="1:2" x14ac:dyDescent="0.2">
      <c r="A8466">
        <v>8460</v>
      </c>
      <c r="B8466">
        <v>0.52514866602537902</v>
      </c>
    </row>
    <row r="8467" spans="1:2" x14ac:dyDescent="0.2">
      <c r="A8467">
        <v>8461</v>
      </c>
      <c r="B8467">
        <v>0.94038331263441766</v>
      </c>
    </row>
    <row r="8468" spans="1:2" x14ac:dyDescent="0.2">
      <c r="A8468">
        <v>8462</v>
      </c>
      <c r="B8468">
        <v>0.71240192432689742</v>
      </c>
    </row>
    <row r="8469" spans="1:2" x14ac:dyDescent="0.2">
      <c r="A8469">
        <v>8463</v>
      </c>
      <c r="B8469">
        <v>0.91455208944401267</v>
      </c>
    </row>
    <row r="8470" spans="1:2" x14ac:dyDescent="0.2">
      <c r="A8470">
        <v>8464</v>
      </c>
      <c r="B8470">
        <v>0.25005311669683294</v>
      </c>
    </row>
    <row r="8471" spans="1:2" x14ac:dyDescent="0.2">
      <c r="A8471">
        <v>8465</v>
      </c>
      <c r="B8471">
        <v>0.71973712401213419</v>
      </c>
    </row>
    <row r="8472" spans="1:2" x14ac:dyDescent="0.2">
      <c r="A8472">
        <v>8466</v>
      </c>
      <c r="B8472">
        <v>0.35592766479797888</v>
      </c>
    </row>
    <row r="8473" spans="1:2" x14ac:dyDescent="0.2">
      <c r="A8473">
        <v>8467</v>
      </c>
      <c r="B8473">
        <v>0.9275686533206704</v>
      </c>
    </row>
    <row r="8474" spans="1:2" x14ac:dyDescent="0.2">
      <c r="A8474">
        <v>8468</v>
      </c>
      <c r="B8474">
        <v>0.17724841228974941</v>
      </c>
    </row>
    <row r="8475" spans="1:2" x14ac:dyDescent="0.2">
      <c r="A8475">
        <v>8469</v>
      </c>
      <c r="B8475">
        <v>0.10419243296369074</v>
      </c>
    </row>
    <row r="8476" spans="1:2" x14ac:dyDescent="0.2">
      <c r="A8476">
        <v>8470</v>
      </c>
      <c r="B8476">
        <v>0.30244580954253142</v>
      </c>
    </row>
    <row r="8477" spans="1:2" x14ac:dyDescent="0.2">
      <c r="A8477">
        <v>8471</v>
      </c>
      <c r="B8477">
        <v>0.11867492773087052</v>
      </c>
    </row>
    <row r="8478" spans="1:2" x14ac:dyDescent="0.2">
      <c r="A8478">
        <v>8472</v>
      </c>
      <c r="B8478">
        <v>0.28995922442885691</v>
      </c>
    </row>
    <row r="8479" spans="1:2" x14ac:dyDescent="0.2">
      <c r="A8479">
        <v>8473</v>
      </c>
      <c r="B8479">
        <v>0.73093318474521074</v>
      </c>
    </row>
    <row r="8480" spans="1:2" x14ac:dyDescent="0.2">
      <c r="A8480">
        <v>8474</v>
      </c>
      <c r="B8480">
        <v>0.97794514494818419</v>
      </c>
    </row>
    <row r="8481" spans="1:2" x14ac:dyDescent="0.2">
      <c r="A8481">
        <v>8475</v>
      </c>
      <c r="B8481">
        <v>9.1267181803267983E-2</v>
      </c>
    </row>
    <row r="8482" spans="1:2" x14ac:dyDescent="0.2">
      <c r="A8482">
        <v>8476</v>
      </c>
      <c r="B8482">
        <v>0.48710544138102463</v>
      </c>
    </row>
    <row r="8483" spans="1:2" x14ac:dyDescent="0.2">
      <c r="A8483">
        <v>8477</v>
      </c>
      <c r="B8483">
        <v>0.18071436343238723</v>
      </c>
    </row>
    <row r="8484" spans="1:2" x14ac:dyDescent="0.2">
      <c r="A8484">
        <v>8478</v>
      </c>
      <c r="B8484">
        <v>0.49686988365049745</v>
      </c>
    </row>
    <row r="8485" spans="1:2" x14ac:dyDescent="0.2">
      <c r="A8485">
        <v>8479</v>
      </c>
      <c r="B8485">
        <v>0.24784402270768824</v>
      </c>
    </row>
    <row r="8486" spans="1:2" x14ac:dyDescent="0.2">
      <c r="A8486">
        <v>8480</v>
      </c>
      <c r="B8486">
        <v>0.35056016260309197</v>
      </c>
    </row>
    <row r="8487" spans="1:2" x14ac:dyDescent="0.2">
      <c r="A8487">
        <v>8481</v>
      </c>
      <c r="B8487">
        <v>0.26100027484038069</v>
      </c>
    </row>
    <row r="8488" spans="1:2" x14ac:dyDescent="0.2">
      <c r="A8488">
        <v>8482</v>
      </c>
      <c r="B8488">
        <v>0.78600611318797786</v>
      </c>
    </row>
    <row r="8489" spans="1:2" x14ac:dyDescent="0.2">
      <c r="A8489">
        <v>8483</v>
      </c>
      <c r="B8489">
        <v>0.90095417051307325</v>
      </c>
    </row>
    <row r="8490" spans="1:2" x14ac:dyDescent="0.2">
      <c r="A8490">
        <v>8484</v>
      </c>
      <c r="B8490">
        <v>0.1936460613206894</v>
      </c>
    </row>
    <row r="8491" spans="1:2" x14ac:dyDescent="0.2">
      <c r="A8491">
        <v>8485</v>
      </c>
      <c r="B8491">
        <v>0.30936723440944913</v>
      </c>
    </row>
    <row r="8492" spans="1:2" x14ac:dyDescent="0.2">
      <c r="A8492">
        <v>8486</v>
      </c>
      <c r="B8492">
        <v>0.5572821482618473</v>
      </c>
    </row>
    <row r="8493" spans="1:2" x14ac:dyDescent="0.2">
      <c r="A8493">
        <v>8487</v>
      </c>
      <c r="B8493">
        <v>0.22864636767891733</v>
      </c>
    </row>
    <row r="8494" spans="1:2" x14ac:dyDescent="0.2">
      <c r="A8494">
        <v>8488</v>
      </c>
      <c r="B8494">
        <v>0.81662476777024118</v>
      </c>
    </row>
    <row r="8495" spans="1:2" x14ac:dyDescent="0.2">
      <c r="A8495">
        <v>8489</v>
      </c>
      <c r="B8495">
        <v>0.47997647310038094</v>
      </c>
    </row>
    <row r="8496" spans="1:2" x14ac:dyDescent="0.2">
      <c r="A8496">
        <v>8490</v>
      </c>
      <c r="B8496">
        <v>0.78855388729146325</v>
      </c>
    </row>
    <row r="8497" spans="1:2" x14ac:dyDescent="0.2">
      <c r="A8497">
        <v>8491</v>
      </c>
      <c r="B8497">
        <v>0.71196810858434167</v>
      </c>
    </row>
    <row r="8498" spans="1:2" x14ac:dyDescent="0.2">
      <c r="A8498">
        <v>8492</v>
      </c>
      <c r="B8498">
        <v>5.4053488890487889E-2</v>
      </c>
    </row>
    <row r="8499" spans="1:2" x14ac:dyDescent="0.2">
      <c r="A8499">
        <v>8493</v>
      </c>
      <c r="B8499">
        <v>0.99809976783532639</v>
      </c>
    </row>
    <row r="8500" spans="1:2" x14ac:dyDescent="0.2">
      <c r="A8500">
        <v>8494</v>
      </c>
      <c r="B8500">
        <v>0.92816605170821787</v>
      </c>
    </row>
    <row r="8501" spans="1:2" x14ac:dyDescent="0.2">
      <c r="A8501">
        <v>8495</v>
      </c>
      <c r="B8501">
        <v>0.85492633100300608</v>
      </c>
    </row>
    <row r="8502" spans="1:2" x14ac:dyDescent="0.2">
      <c r="A8502">
        <v>8496</v>
      </c>
      <c r="B8502">
        <v>0.92624969440660321</v>
      </c>
    </row>
    <row r="8503" spans="1:2" x14ac:dyDescent="0.2">
      <c r="A8503">
        <v>8497</v>
      </c>
      <c r="B8503">
        <v>0.16959318600749385</v>
      </c>
    </row>
    <row r="8504" spans="1:2" x14ac:dyDescent="0.2">
      <c r="A8504">
        <v>8498</v>
      </c>
      <c r="B8504">
        <v>0.81344784472427556</v>
      </c>
    </row>
    <row r="8505" spans="1:2" x14ac:dyDescent="0.2">
      <c r="A8505">
        <v>8499</v>
      </c>
      <c r="B8505">
        <v>0.52274459899536552</v>
      </c>
    </row>
    <row r="8506" spans="1:2" x14ac:dyDescent="0.2">
      <c r="A8506">
        <v>8500</v>
      </c>
      <c r="B8506">
        <v>0.77950007988214232</v>
      </c>
    </row>
    <row r="8507" spans="1:2" x14ac:dyDescent="0.2">
      <c r="A8507">
        <v>8501</v>
      </c>
      <c r="B8507">
        <v>0.16542499540486288</v>
      </c>
    </row>
    <row r="8508" spans="1:2" x14ac:dyDescent="0.2">
      <c r="A8508">
        <v>8502</v>
      </c>
      <c r="B8508">
        <v>0.36931425785592309</v>
      </c>
    </row>
    <row r="8509" spans="1:2" x14ac:dyDescent="0.2">
      <c r="A8509">
        <v>8503</v>
      </c>
      <c r="B8509">
        <v>0.81146810065339225</v>
      </c>
    </row>
    <row r="8510" spans="1:2" x14ac:dyDescent="0.2">
      <c r="A8510">
        <v>8504</v>
      </c>
      <c r="B8510">
        <v>0.94432176769443332</v>
      </c>
    </row>
    <row r="8511" spans="1:2" x14ac:dyDescent="0.2">
      <c r="A8511">
        <v>8505</v>
      </c>
      <c r="B8511">
        <v>0.83140532057731031</v>
      </c>
    </row>
    <row r="8512" spans="1:2" x14ac:dyDescent="0.2">
      <c r="A8512">
        <v>8506</v>
      </c>
      <c r="B8512">
        <v>0.68318645683653867</v>
      </c>
    </row>
    <row r="8513" spans="1:2" x14ac:dyDescent="0.2">
      <c r="A8513">
        <v>8507</v>
      </c>
      <c r="B8513">
        <v>0.69439440891279058</v>
      </c>
    </row>
    <row r="8514" spans="1:2" x14ac:dyDescent="0.2">
      <c r="A8514">
        <v>8508</v>
      </c>
      <c r="B8514">
        <v>0.80432341450498201</v>
      </c>
    </row>
    <row r="8515" spans="1:2" x14ac:dyDescent="0.2">
      <c r="A8515">
        <v>8509</v>
      </c>
      <c r="B8515">
        <v>0.82606037353658979</v>
      </c>
    </row>
    <row r="8516" spans="1:2" x14ac:dyDescent="0.2">
      <c r="A8516">
        <v>8510</v>
      </c>
      <c r="B8516">
        <v>0.69711610107948563</v>
      </c>
    </row>
    <row r="8517" spans="1:2" x14ac:dyDescent="0.2">
      <c r="A8517">
        <v>8511</v>
      </c>
      <c r="B8517">
        <v>0.86640963218509481</v>
      </c>
    </row>
    <row r="8518" spans="1:2" x14ac:dyDescent="0.2">
      <c r="A8518">
        <v>8512</v>
      </c>
      <c r="B8518">
        <v>0.24951069038558227</v>
      </c>
    </row>
    <row r="8519" spans="1:2" x14ac:dyDescent="0.2">
      <c r="A8519">
        <v>8513</v>
      </c>
      <c r="B8519">
        <v>4.3346845785938282E-2</v>
      </c>
    </row>
    <row r="8520" spans="1:2" x14ac:dyDescent="0.2">
      <c r="A8520">
        <v>8514</v>
      </c>
      <c r="B8520">
        <v>3.1814276936405927E-2</v>
      </c>
    </row>
    <row r="8521" spans="1:2" x14ac:dyDescent="0.2">
      <c r="A8521">
        <v>8515</v>
      </c>
      <c r="B8521">
        <v>1.558201574071727E-2</v>
      </c>
    </row>
    <row r="8522" spans="1:2" x14ac:dyDescent="0.2">
      <c r="A8522">
        <v>8516</v>
      </c>
      <c r="B8522">
        <v>0.60857934570530525</v>
      </c>
    </row>
    <row r="8523" spans="1:2" x14ac:dyDescent="0.2">
      <c r="A8523">
        <v>8517</v>
      </c>
      <c r="B8523">
        <v>0.15203086335714722</v>
      </c>
    </row>
    <row r="8524" spans="1:2" x14ac:dyDescent="0.2">
      <c r="A8524">
        <v>8518</v>
      </c>
      <c r="B8524">
        <v>0.90140987652694915</v>
      </c>
    </row>
    <row r="8525" spans="1:2" x14ac:dyDescent="0.2">
      <c r="A8525">
        <v>8519</v>
      </c>
      <c r="B8525">
        <v>0.96379075326441488</v>
      </c>
    </row>
    <row r="8526" spans="1:2" x14ac:dyDescent="0.2">
      <c r="A8526">
        <v>8520</v>
      </c>
      <c r="B8526">
        <v>4.0354567509579997E-2</v>
      </c>
    </row>
    <row r="8527" spans="1:2" x14ac:dyDescent="0.2">
      <c r="A8527">
        <v>8521</v>
      </c>
      <c r="B8527">
        <v>0.42521986759046482</v>
      </c>
    </row>
    <row r="8528" spans="1:2" x14ac:dyDescent="0.2">
      <c r="A8528">
        <v>8522</v>
      </c>
      <c r="B8528">
        <v>0.96202707228871964</v>
      </c>
    </row>
    <row r="8529" spans="1:2" x14ac:dyDescent="0.2">
      <c r="A8529">
        <v>8523</v>
      </c>
      <c r="B8529">
        <v>0.98828690669120267</v>
      </c>
    </row>
    <row r="8530" spans="1:2" x14ac:dyDescent="0.2">
      <c r="A8530">
        <v>8524</v>
      </c>
      <c r="B8530">
        <v>0.11256290553512838</v>
      </c>
    </row>
    <row r="8531" spans="1:2" x14ac:dyDescent="0.2">
      <c r="A8531">
        <v>8525</v>
      </c>
      <c r="B8531">
        <v>0.18991354657006032</v>
      </c>
    </row>
    <row r="8532" spans="1:2" x14ac:dyDescent="0.2">
      <c r="A8532">
        <v>8526</v>
      </c>
      <c r="B8532">
        <v>0.48436875578445748</v>
      </c>
    </row>
    <row r="8533" spans="1:2" x14ac:dyDescent="0.2">
      <c r="A8533">
        <v>8527</v>
      </c>
      <c r="B8533">
        <v>0.20684293251118369</v>
      </c>
    </row>
    <row r="8534" spans="1:2" x14ac:dyDescent="0.2">
      <c r="A8534">
        <v>8528</v>
      </c>
      <c r="B8534">
        <v>0.28930952728112369</v>
      </c>
    </row>
    <row r="8535" spans="1:2" x14ac:dyDescent="0.2">
      <c r="A8535">
        <v>8529</v>
      </c>
      <c r="B8535">
        <v>0.2406087578348346</v>
      </c>
    </row>
    <row r="8536" spans="1:2" x14ac:dyDescent="0.2">
      <c r="A8536">
        <v>8530</v>
      </c>
      <c r="B8536">
        <v>1.5808010805085204E-2</v>
      </c>
    </row>
    <row r="8537" spans="1:2" x14ac:dyDescent="0.2">
      <c r="A8537">
        <v>8531</v>
      </c>
      <c r="B8537">
        <v>0.12677181788253833</v>
      </c>
    </row>
    <row r="8538" spans="1:2" x14ac:dyDescent="0.2">
      <c r="A8538">
        <v>8532</v>
      </c>
      <c r="B8538">
        <v>2.4889985366146616E-2</v>
      </c>
    </row>
    <row r="8539" spans="1:2" x14ac:dyDescent="0.2">
      <c r="A8539">
        <v>8533</v>
      </c>
      <c r="B8539">
        <v>0.40250796622840623</v>
      </c>
    </row>
    <row r="8540" spans="1:2" x14ac:dyDescent="0.2">
      <c r="A8540">
        <v>8534</v>
      </c>
      <c r="B8540">
        <v>0.88742759099467272</v>
      </c>
    </row>
    <row r="8541" spans="1:2" x14ac:dyDescent="0.2">
      <c r="A8541">
        <v>8535</v>
      </c>
      <c r="B8541">
        <v>0.42845341732476594</v>
      </c>
    </row>
    <row r="8542" spans="1:2" x14ac:dyDescent="0.2">
      <c r="A8542">
        <v>8536</v>
      </c>
      <c r="B8542">
        <v>0.99793335898059388</v>
      </c>
    </row>
    <row r="8543" spans="1:2" x14ac:dyDescent="0.2">
      <c r="A8543">
        <v>8537</v>
      </c>
      <c r="B8543">
        <v>0.72460737439625078</v>
      </c>
    </row>
    <row r="8544" spans="1:2" x14ac:dyDescent="0.2">
      <c r="A8544">
        <v>8538</v>
      </c>
      <c r="B8544">
        <v>0.16054642426156163</v>
      </c>
    </row>
    <row r="8545" spans="1:2" x14ac:dyDescent="0.2">
      <c r="A8545">
        <v>8539</v>
      </c>
      <c r="B8545">
        <v>0.75862163221621615</v>
      </c>
    </row>
    <row r="8546" spans="1:2" x14ac:dyDescent="0.2">
      <c r="A8546">
        <v>8540</v>
      </c>
      <c r="B8546">
        <v>0.18651138016779223</v>
      </c>
    </row>
    <row r="8547" spans="1:2" x14ac:dyDescent="0.2">
      <c r="A8547">
        <v>8541</v>
      </c>
      <c r="B8547">
        <v>0.5546791177720154</v>
      </c>
    </row>
    <row r="8548" spans="1:2" x14ac:dyDescent="0.2">
      <c r="A8548">
        <v>8542</v>
      </c>
      <c r="B8548">
        <v>0.89944078603419819</v>
      </c>
    </row>
    <row r="8549" spans="1:2" x14ac:dyDescent="0.2">
      <c r="A8549">
        <v>8543</v>
      </c>
      <c r="B8549">
        <v>0.41822504094215696</v>
      </c>
    </row>
    <row r="8550" spans="1:2" x14ac:dyDescent="0.2">
      <c r="A8550">
        <v>8544</v>
      </c>
      <c r="B8550">
        <v>0.24729254228633424</v>
      </c>
    </row>
    <row r="8551" spans="1:2" x14ac:dyDescent="0.2">
      <c r="A8551">
        <v>8545</v>
      </c>
      <c r="B8551">
        <v>0.25080480248534764</v>
      </c>
    </row>
    <row r="8552" spans="1:2" x14ac:dyDescent="0.2">
      <c r="A8552">
        <v>8546</v>
      </c>
      <c r="B8552">
        <v>0.78386195138383064</v>
      </c>
    </row>
    <row r="8553" spans="1:2" x14ac:dyDescent="0.2">
      <c r="A8553">
        <v>8547</v>
      </c>
      <c r="B8553">
        <v>0.8872900815487369</v>
      </c>
    </row>
    <row r="8554" spans="1:2" x14ac:dyDescent="0.2">
      <c r="A8554">
        <v>8548</v>
      </c>
      <c r="B8554">
        <v>0.5590162910106774</v>
      </c>
    </row>
    <row r="8555" spans="1:2" x14ac:dyDescent="0.2">
      <c r="A8555">
        <v>8549</v>
      </c>
      <c r="B8555">
        <v>0.84370148119997435</v>
      </c>
    </row>
    <row r="8556" spans="1:2" x14ac:dyDescent="0.2">
      <c r="A8556">
        <v>8550</v>
      </c>
      <c r="B8556">
        <v>0.45308632302748764</v>
      </c>
    </row>
    <row r="8557" spans="1:2" x14ac:dyDescent="0.2">
      <c r="A8557">
        <v>8551</v>
      </c>
      <c r="B8557">
        <v>0.30146234380035886</v>
      </c>
    </row>
    <row r="8558" spans="1:2" x14ac:dyDescent="0.2">
      <c r="A8558">
        <v>8552</v>
      </c>
      <c r="B8558">
        <v>0.73985447794296255</v>
      </c>
    </row>
    <row r="8559" spans="1:2" x14ac:dyDescent="0.2">
      <c r="A8559">
        <v>8553</v>
      </c>
      <c r="B8559">
        <v>0.5527780857909621</v>
      </c>
    </row>
    <row r="8560" spans="1:2" x14ac:dyDescent="0.2">
      <c r="A8560">
        <v>8554</v>
      </c>
      <c r="B8560">
        <v>0.86292450285698319</v>
      </c>
    </row>
    <row r="8561" spans="1:2" x14ac:dyDescent="0.2">
      <c r="A8561">
        <v>8555</v>
      </c>
      <c r="B8561">
        <v>0.75439368063838452</v>
      </c>
    </row>
    <row r="8562" spans="1:2" x14ac:dyDescent="0.2">
      <c r="A8562">
        <v>8556</v>
      </c>
      <c r="B8562">
        <v>0.91832154453910153</v>
      </c>
    </row>
    <row r="8563" spans="1:2" x14ac:dyDescent="0.2">
      <c r="A8563">
        <v>8557</v>
      </c>
      <c r="B8563">
        <v>0.63652354724806393</v>
      </c>
    </row>
    <row r="8564" spans="1:2" x14ac:dyDescent="0.2">
      <c r="A8564">
        <v>8558</v>
      </c>
      <c r="B8564">
        <v>1.3766777236513983E-2</v>
      </c>
    </row>
    <row r="8565" spans="1:2" x14ac:dyDescent="0.2">
      <c r="A8565">
        <v>8559</v>
      </c>
      <c r="B8565">
        <v>0.33210242804918721</v>
      </c>
    </row>
    <row r="8566" spans="1:2" x14ac:dyDescent="0.2">
      <c r="A8566">
        <v>8560</v>
      </c>
      <c r="B8566">
        <v>0.23944861480359547</v>
      </c>
    </row>
    <row r="8567" spans="1:2" x14ac:dyDescent="0.2">
      <c r="A8567">
        <v>8561</v>
      </c>
      <c r="B8567">
        <v>0.51943850039499662</v>
      </c>
    </row>
    <row r="8568" spans="1:2" x14ac:dyDescent="0.2">
      <c r="A8568">
        <v>8562</v>
      </c>
      <c r="B8568">
        <v>0.63226458169354371</v>
      </c>
    </row>
    <row r="8569" spans="1:2" x14ac:dyDescent="0.2">
      <c r="A8569">
        <v>8563</v>
      </c>
      <c r="B8569">
        <v>0.84080812120323789</v>
      </c>
    </row>
    <row r="8570" spans="1:2" x14ac:dyDescent="0.2">
      <c r="A8570">
        <v>8564</v>
      </c>
      <c r="B8570">
        <v>0.14134866807635893</v>
      </c>
    </row>
    <row r="8571" spans="1:2" x14ac:dyDescent="0.2">
      <c r="A8571">
        <v>8565</v>
      </c>
      <c r="B8571">
        <v>2.8978208430555763E-2</v>
      </c>
    </row>
    <row r="8572" spans="1:2" x14ac:dyDescent="0.2">
      <c r="A8572">
        <v>8566</v>
      </c>
      <c r="B8572">
        <v>0.33417220003396508</v>
      </c>
    </row>
    <row r="8573" spans="1:2" x14ac:dyDescent="0.2">
      <c r="A8573">
        <v>8567</v>
      </c>
      <c r="B8573">
        <v>0.36758561637104026</v>
      </c>
    </row>
    <row r="8574" spans="1:2" x14ac:dyDescent="0.2">
      <c r="A8574">
        <v>8568</v>
      </c>
      <c r="B8574">
        <v>0.70415819100969557</v>
      </c>
    </row>
    <row r="8575" spans="1:2" x14ac:dyDescent="0.2">
      <c r="A8575">
        <v>8569</v>
      </c>
      <c r="B8575">
        <v>0.30440440295949256</v>
      </c>
    </row>
    <row r="8576" spans="1:2" x14ac:dyDescent="0.2">
      <c r="A8576">
        <v>8570</v>
      </c>
      <c r="B8576">
        <v>0.69101098201835376</v>
      </c>
    </row>
    <row r="8577" spans="1:2" x14ac:dyDescent="0.2">
      <c r="A8577">
        <v>8571</v>
      </c>
      <c r="B8577">
        <v>5.7978333429944184E-2</v>
      </c>
    </row>
    <row r="8578" spans="1:2" x14ac:dyDescent="0.2">
      <c r="A8578">
        <v>8572</v>
      </c>
      <c r="B8578">
        <v>0.68129196453936081</v>
      </c>
    </row>
    <row r="8579" spans="1:2" x14ac:dyDescent="0.2">
      <c r="A8579">
        <v>8573</v>
      </c>
      <c r="B8579">
        <v>0.97718629367661214</v>
      </c>
    </row>
    <row r="8580" spans="1:2" x14ac:dyDescent="0.2">
      <c r="A8580">
        <v>8574</v>
      </c>
      <c r="B8580">
        <v>0.52254398988396045</v>
      </c>
    </row>
    <row r="8581" spans="1:2" x14ac:dyDescent="0.2">
      <c r="A8581">
        <v>8575</v>
      </c>
      <c r="B8581">
        <v>0.76370071859479538</v>
      </c>
    </row>
    <row r="8582" spans="1:2" x14ac:dyDescent="0.2">
      <c r="A8582">
        <v>8576</v>
      </c>
      <c r="B8582">
        <v>0.35485448776531103</v>
      </c>
    </row>
    <row r="8583" spans="1:2" x14ac:dyDescent="0.2">
      <c r="A8583">
        <v>8577</v>
      </c>
      <c r="B8583">
        <v>0.87510313853048793</v>
      </c>
    </row>
    <row r="8584" spans="1:2" x14ac:dyDescent="0.2">
      <c r="A8584">
        <v>8578</v>
      </c>
      <c r="B8584">
        <v>0.84661257937247381</v>
      </c>
    </row>
    <row r="8585" spans="1:2" x14ac:dyDescent="0.2">
      <c r="A8585">
        <v>8579</v>
      </c>
      <c r="B8585">
        <v>1.6601756306081961E-2</v>
      </c>
    </row>
    <row r="8586" spans="1:2" x14ac:dyDescent="0.2">
      <c r="A8586">
        <v>8580</v>
      </c>
      <c r="B8586">
        <v>0.6502458558528339</v>
      </c>
    </row>
    <row r="8587" spans="1:2" x14ac:dyDescent="0.2">
      <c r="A8587">
        <v>8581</v>
      </c>
      <c r="B8587">
        <v>0.36826333949000523</v>
      </c>
    </row>
    <row r="8588" spans="1:2" x14ac:dyDescent="0.2">
      <c r="A8588">
        <v>8582</v>
      </c>
      <c r="B8588">
        <v>3.3200243906548299E-2</v>
      </c>
    </row>
    <row r="8589" spans="1:2" x14ac:dyDescent="0.2">
      <c r="A8589">
        <v>8583</v>
      </c>
      <c r="B8589">
        <v>0.81513425953511298</v>
      </c>
    </row>
    <row r="8590" spans="1:2" x14ac:dyDescent="0.2">
      <c r="A8590">
        <v>8584</v>
      </c>
      <c r="B8590">
        <v>0.27818331528378692</v>
      </c>
    </row>
    <row r="8591" spans="1:2" x14ac:dyDescent="0.2">
      <c r="A8591">
        <v>8585</v>
      </c>
      <c r="B8591">
        <v>0.91983779420849743</v>
      </c>
    </row>
    <row r="8592" spans="1:2" x14ac:dyDescent="0.2">
      <c r="A8592">
        <v>8586</v>
      </c>
      <c r="B8592">
        <v>0.47282148003975644</v>
      </c>
    </row>
    <row r="8593" spans="1:2" x14ac:dyDescent="0.2">
      <c r="A8593">
        <v>8587</v>
      </c>
      <c r="B8593">
        <v>0.4567029303459792</v>
      </c>
    </row>
    <row r="8594" spans="1:2" x14ac:dyDescent="0.2">
      <c r="A8594">
        <v>8588</v>
      </c>
      <c r="B8594">
        <v>0.17659943507507714</v>
      </c>
    </row>
    <row r="8595" spans="1:2" x14ac:dyDescent="0.2">
      <c r="A8595">
        <v>8589</v>
      </c>
      <c r="B8595">
        <v>0.69156803315498316</v>
      </c>
    </row>
    <row r="8596" spans="1:2" x14ac:dyDescent="0.2">
      <c r="A8596">
        <v>8590</v>
      </c>
      <c r="B8596">
        <v>0.94062033810448031</v>
      </c>
    </row>
    <row r="8597" spans="1:2" x14ac:dyDescent="0.2">
      <c r="A8597">
        <v>8591</v>
      </c>
      <c r="B8597">
        <v>0.69530824350792519</v>
      </c>
    </row>
    <row r="8598" spans="1:2" x14ac:dyDescent="0.2">
      <c r="A8598">
        <v>8592</v>
      </c>
      <c r="B8598">
        <v>0.65486172115059038</v>
      </c>
    </row>
    <row r="8599" spans="1:2" x14ac:dyDescent="0.2">
      <c r="A8599">
        <v>8593</v>
      </c>
      <c r="B8599">
        <v>0.9577519013488176</v>
      </c>
    </row>
    <row r="8600" spans="1:2" x14ac:dyDescent="0.2">
      <c r="A8600">
        <v>8594</v>
      </c>
      <c r="B8600">
        <v>0.13402197633669399</v>
      </c>
    </row>
    <row r="8601" spans="1:2" x14ac:dyDescent="0.2">
      <c r="A8601">
        <v>8595</v>
      </c>
      <c r="B8601">
        <v>0.40235804591003099</v>
      </c>
    </row>
    <row r="8602" spans="1:2" x14ac:dyDescent="0.2">
      <c r="A8602">
        <v>8596</v>
      </c>
      <c r="B8602">
        <v>0.31093669759977272</v>
      </c>
    </row>
    <row r="8603" spans="1:2" x14ac:dyDescent="0.2">
      <c r="A8603">
        <v>8597</v>
      </c>
      <c r="B8603">
        <v>0.82162093567347172</v>
      </c>
    </row>
    <row r="8604" spans="1:2" x14ac:dyDescent="0.2">
      <c r="A8604">
        <v>8598</v>
      </c>
      <c r="B8604">
        <v>0.37198358945512167</v>
      </c>
    </row>
    <row r="8605" spans="1:2" x14ac:dyDescent="0.2">
      <c r="A8605">
        <v>8599</v>
      </c>
      <c r="B8605">
        <v>0.50506768150515313</v>
      </c>
    </row>
    <row r="8606" spans="1:2" x14ac:dyDescent="0.2">
      <c r="A8606">
        <v>8600</v>
      </c>
      <c r="B8606">
        <v>0.93917050901708354</v>
      </c>
    </row>
    <row r="8607" spans="1:2" x14ac:dyDescent="0.2">
      <c r="A8607">
        <v>8601</v>
      </c>
      <c r="B8607">
        <v>0.95242774458758872</v>
      </c>
    </row>
    <row r="8608" spans="1:2" x14ac:dyDescent="0.2">
      <c r="A8608">
        <v>8602</v>
      </c>
      <c r="B8608">
        <v>0.23104197343415278</v>
      </c>
    </row>
    <row r="8609" spans="1:2" x14ac:dyDescent="0.2">
      <c r="A8609">
        <v>8603</v>
      </c>
      <c r="B8609">
        <v>0.32309681689243208</v>
      </c>
    </row>
    <row r="8610" spans="1:2" x14ac:dyDescent="0.2">
      <c r="A8610">
        <v>8604</v>
      </c>
      <c r="B8610">
        <v>0.58497774412380088</v>
      </c>
    </row>
    <row r="8611" spans="1:2" x14ac:dyDescent="0.2">
      <c r="A8611">
        <v>8605</v>
      </c>
      <c r="B8611">
        <v>0.19102668445256243</v>
      </c>
    </row>
    <row r="8612" spans="1:2" x14ac:dyDescent="0.2">
      <c r="A8612">
        <v>8606</v>
      </c>
      <c r="B8612">
        <v>0.53706712487080943</v>
      </c>
    </row>
    <row r="8613" spans="1:2" x14ac:dyDescent="0.2">
      <c r="A8613">
        <v>8607</v>
      </c>
      <c r="B8613">
        <v>0.3582583592497679</v>
      </c>
    </row>
    <row r="8614" spans="1:2" x14ac:dyDescent="0.2">
      <c r="A8614">
        <v>8608</v>
      </c>
      <c r="B8614">
        <v>0.17248748531811531</v>
      </c>
    </row>
    <row r="8615" spans="1:2" x14ac:dyDescent="0.2">
      <c r="A8615">
        <v>8609</v>
      </c>
      <c r="B8615">
        <v>0.54320269042930514</v>
      </c>
    </row>
    <row r="8616" spans="1:2" x14ac:dyDescent="0.2">
      <c r="A8616">
        <v>8610</v>
      </c>
      <c r="B8616">
        <v>0.23659606681605727</v>
      </c>
    </row>
    <row r="8617" spans="1:2" x14ac:dyDescent="0.2">
      <c r="A8617">
        <v>8611</v>
      </c>
      <c r="B8617">
        <v>0.57527127553471169</v>
      </c>
    </row>
    <row r="8618" spans="1:2" x14ac:dyDescent="0.2">
      <c r="A8618">
        <v>8612</v>
      </c>
      <c r="B8618">
        <v>0.91402766848418715</v>
      </c>
    </row>
    <row r="8619" spans="1:2" x14ac:dyDescent="0.2">
      <c r="A8619">
        <v>8613</v>
      </c>
      <c r="B8619">
        <v>5.2452252147520695E-2</v>
      </c>
    </row>
    <row r="8620" spans="1:2" x14ac:dyDescent="0.2">
      <c r="A8620">
        <v>8614</v>
      </c>
      <c r="B8620">
        <v>0.95384228454338449</v>
      </c>
    </row>
    <row r="8621" spans="1:2" x14ac:dyDescent="0.2">
      <c r="A8621">
        <v>8615</v>
      </c>
      <c r="B8621">
        <v>0.59289863619435601</v>
      </c>
    </row>
    <row r="8622" spans="1:2" x14ac:dyDescent="0.2">
      <c r="A8622">
        <v>8616</v>
      </c>
      <c r="B8622">
        <v>0.31492319099688437</v>
      </c>
    </row>
    <row r="8623" spans="1:2" x14ac:dyDescent="0.2">
      <c r="A8623">
        <v>8617</v>
      </c>
      <c r="B8623">
        <v>0.78398715854822998</v>
      </c>
    </row>
    <row r="8624" spans="1:2" x14ac:dyDescent="0.2">
      <c r="A8624">
        <v>8618</v>
      </c>
      <c r="B8624">
        <v>0.14825969754132373</v>
      </c>
    </row>
    <row r="8625" spans="1:2" x14ac:dyDescent="0.2">
      <c r="A8625">
        <v>8619</v>
      </c>
      <c r="B8625">
        <v>0.74619398000907367</v>
      </c>
    </row>
    <row r="8626" spans="1:2" x14ac:dyDescent="0.2">
      <c r="A8626">
        <v>8620</v>
      </c>
      <c r="B8626">
        <v>0.50495371055339167</v>
      </c>
    </row>
    <row r="8627" spans="1:2" x14ac:dyDescent="0.2">
      <c r="A8627">
        <v>8621</v>
      </c>
      <c r="B8627">
        <v>0.54760845225488353</v>
      </c>
    </row>
    <row r="8628" spans="1:2" x14ac:dyDescent="0.2">
      <c r="A8628">
        <v>8622</v>
      </c>
      <c r="B8628">
        <v>0.47431186726334185</v>
      </c>
    </row>
    <row r="8629" spans="1:2" x14ac:dyDescent="0.2">
      <c r="A8629">
        <v>8623</v>
      </c>
      <c r="B8629">
        <v>0.66244802260424152</v>
      </c>
    </row>
    <row r="8630" spans="1:2" x14ac:dyDescent="0.2">
      <c r="A8630">
        <v>8624</v>
      </c>
      <c r="B8630">
        <v>0.92064317904074933</v>
      </c>
    </row>
    <row r="8631" spans="1:2" x14ac:dyDescent="0.2">
      <c r="A8631">
        <v>8625</v>
      </c>
      <c r="B8631">
        <v>0.56006526474797069</v>
      </c>
    </row>
    <row r="8632" spans="1:2" x14ac:dyDescent="0.2">
      <c r="A8632">
        <v>8626</v>
      </c>
      <c r="B8632">
        <v>0.88395710961518803</v>
      </c>
    </row>
    <row r="8633" spans="1:2" x14ac:dyDescent="0.2">
      <c r="A8633">
        <v>8627</v>
      </c>
      <c r="B8633">
        <v>0.40110195618713484</v>
      </c>
    </row>
    <row r="8634" spans="1:2" x14ac:dyDescent="0.2">
      <c r="A8634">
        <v>8628</v>
      </c>
      <c r="B8634">
        <v>0.76525784181600842</v>
      </c>
    </row>
    <row r="8635" spans="1:2" x14ac:dyDescent="0.2">
      <c r="A8635">
        <v>8629</v>
      </c>
      <c r="B8635">
        <v>0.30544957385198968</v>
      </c>
    </row>
    <row r="8636" spans="1:2" x14ac:dyDescent="0.2">
      <c r="A8636">
        <v>8630</v>
      </c>
      <c r="B8636">
        <v>0.13960745709555078</v>
      </c>
    </row>
    <row r="8637" spans="1:2" x14ac:dyDescent="0.2">
      <c r="A8637">
        <v>8631</v>
      </c>
      <c r="B8637">
        <v>0.88812694318033047</v>
      </c>
    </row>
    <row r="8638" spans="1:2" x14ac:dyDescent="0.2">
      <c r="A8638">
        <v>8632</v>
      </c>
      <c r="B8638">
        <v>0.2669219394658604</v>
      </c>
    </row>
    <row r="8639" spans="1:2" x14ac:dyDescent="0.2">
      <c r="A8639">
        <v>8633</v>
      </c>
      <c r="B8639">
        <v>0.90631913748607584</v>
      </c>
    </row>
    <row r="8640" spans="1:2" x14ac:dyDescent="0.2">
      <c r="A8640">
        <v>8634</v>
      </c>
      <c r="B8640">
        <v>0.36222741457152219</v>
      </c>
    </row>
    <row r="8641" spans="1:2" x14ac:dyDescent="0.2">
      <c r="A8641">
        <v>8635</v>
      </c>
      <c r="B8641">
        <v>0.38426882746615332</v>
      </c>
    </row>
    <row r="8642" spans="1:2" x14ac:dyDescent="0.2">
      <c r="A8642">
        <v>8636</v>
      </c>
      <c r="B8642">
        <v>0.1186939809870774</v>
      </c>
    </row>
    <row r="8643" spans="1:2" x14ac:dyDescent="0.2">
      <c r="A8643">
        <v>8637</v>
      </c>
      <c r="B8643">
        <v>0.5193880639477686</v>
      </c>
    </row>
    <row r="8644" spans="1:2" x14ac:dyDescent="0.2">
      <c r="A8644">
        <v>8638</v>
      </c>
      <c r="B8644">
        <v>0.50345066372573144</v>
      </c>
    </row>
    <row r="8645" spans="1:2" x14ac:dyDescent="0.2">
      <c r="A8645">
        <v>8639</v>
      </c>
      <c r="B8645">
        <v>0.46520084607131618</v>
      </c>
    </row>
    <row r="8646" spans="1:2" x14ac:dyDescent="0.2">
      <c r="A8646">
        <v>8640</v>
      </c>
      <c r="B8646">
        <v>0.9186445144647708</v>
      </c>
    </row>
    <row r="8647" spans="1:2" x14ac:dyDescent="0.2">
      <c r="A8647">
        <v>8641</v>
      </c>
      <c r="B8647">
        <v>0.45864671901131537</v>
      </c>
    </row>
    <row r="8648" spans="1:2" x14ac:dyDescent="0.2">
      <c r="A8648">
        <v>8642</v>
      </c>
      <c r="B8648">
        <v>0.3343800095712941</v>
      </c>
    </row>
    <row r="8649" spans="1:2" x14ac:dyDescent="0.2">
      <c r="A8649">
        <v>8643</v>
      </c>
      <c r="B8649">
        <v>0.70728030199381353</v>
      </c>
    </row>
    <row r="8650" spans="1:2" x14ac:dyDescent="0.2">
      <c r="A8650">
        <v>8644</v>
      </c>
      <c r="B8650">
        <v>0.44069671680609668</v>
      </c>
    </row>
    <row r="8651" spans="1:2" x14ac:dyDescent="0.2">
      <c r="A8651">
        <v>8645</v>
      </c>
      <c r="B8651">
        <v>0.88211213324346405</v>
      </c>
    </row>
    <row r="8652" spans="1:2" x14ac:dyDescent="0.2">
      <c r="A8652">
        <v>8646</v>
      </c>
      <c r="B8652">
        <v>0.22641127667649463</v>
      </c>
    </row>
    <row r="8653" spans="1:2" x14ac:dyDescent="0.2">
      <c r="A8653">
        <v>8647</v>
      </c>
      <c r="B8653">
        <v>0.66293521035485692</v>
      </c>
    </row>
    <row r="8654" spans="1:2" x14ac:dyDescent="0.2">
      <c r="A8654">
        <v>8648</v>
      </c>
      <c r="B8654">
        <v>0.38859084914844244</v>
      </c>
    </row>
    <row r="8655" spans="1:2" x14ac:dyDescent="0.2">
      <c r="A8655">
        <v>8649</v>
      </c>
      <c r="B8655">
        <v>0.73817734568985827</v>
      </c>
    </row>
    <row r="8656" spans="1:2" x14ac:dyDescent="0.2">
      <c r="A8656">
        <v>8650</v>
      </c>
      <c r="B8656">
        <v>0.43627729360686573</v>
      </c>
    </row>
    <row r="8657" spans="1:2" x14ac:dyDescent="0.2">
      <c r="A8657">
        <v>8651</v>
      </c>
      <c r="B8657">
        <v>0.56363342178166675</v>
      </c>
    </row>
    <row r="8658" spans="1:2" x14ac:dyDescent="0.2">
      <c r="A8658">
        <v>8652</v>
      </c>
      <c r="B8658">
        <v>0.79901719878378197</v>
      </c>
    </row>
    <row r="8659" spans="1:2" x14ac:dyDescent="0.2">
      <c r="A8659">
        <v>8653</v>
      </c>
      <c r="B8659">
        <v>0.36338890476393881</v>
      </c>
    </row>
    <row r="8660" spans="1:2" x14ac:dyDescent="0.2">
      <c r="A8660">
        <v>8654</v>
      </c>
      <c r="B8660">
        <v>0.97191883954782488</v>
      </c>
    </row>
    <row r="8661" spans="1:2" x14ac:dyDescent="0.2">
      <c r="A8661">
        <v>8655</v>
      </c>
      <c r="B8661">
        <v>0.62881555968437786</v>
      </c>
    </row>
    <row r="8662" spans="1:2" x14ac:dyDescent="0.2">
      <c r="A8662">
        <v>8656</v>
      </c>
      <c r="B8662">
        <v>0.85412305246907561</v>
      </c>
    </row>
    <row r="8663" spans="1:2" x14ac:dyDescent="0.2">
      <c r="A8663">
        <v>8657</v>
      </c>
      <c r="B8663">
        <v>5.7083756556391752E-2</v>
      </c>
    </row>
    <row r="8664" spans="1:2" x14ac:dyDescent="0.2">
      <c r="A8664">
        <v>8658</v>
      </c>
      <c r="B8664">
        <v>0.79570586529029508</v>
      </c>
    </row>
    <row r="8665" spans="1:2" x14ac:dyDescent="0.2">
      <c r="A8665">
        <v>8659</v>
      </c>
      <c r="B8665">
        <v>0.87237324940650929</v>
      </c>
    </row>
    <row r="8666" spans="1:2" x14ac:dyDescent="0.2">
      <c r="A8666">
        <v>8660</v>
      </c>
      <c r="B8666">
        <v>0.44086743230564873</v>
      </c>
    </row>
    <row r="8667" spans="1:2" x14ac:dyDescent="0.2">
      <c r="A8667">
        <v>8661</v>
      </c>
      <c r="B8667">
        <v>0.19107271251036728</v>
      </c>
    </row>
    <row r="8668" spans="1:2" x14ac:dyDescent="0.2">
      <c r="A8668">
        <v>8662</v>
      </c>
      <c r="B8668">
        <v>0.76329057026677027</v>
      </c>
    </row>
    <row r="8669" spans="1:2" x14ac:dyDescent="0.2">
      <c r="A8669">
        <v>8663</v>
      </c>
      <c r="B8669">
        <v>0.19907846654031647</v>
      </c>
    </row>
    <row r="8670" spans="1:2" x14ac:dyDescent="0.2">
      <c r="A8670">
        <v>8664</v>
      </c>
      <c r="B8670">
        <v>0.66965436208745899</v>
      </c>
    </row>
    <row r="8671" spans="1:2" x14ac:dyDescent="0.2">
      <c r="A8671">
        <v>8665</v>
      </c>
      <c r="B8671">
        <v>0.51185489288452646</v>
      </c>
    </row>
    <row r="8672" spans="1:2" x14ac:dyDescent="0.2">
      <c r="A8672">
        <v>8666</v>
      </c>
      <c r="B8672">
        <v>0.66372852554501627</v>
      </c>
    </row>
    <row r="8673" spans="1:2" x14ac:dyDescent="0.2">
      <c r="A8673">
        <v>8667</v>
      </c>
      <c r="B8673">
        <v>0.65947131088774424</v>
      </c>
    </row>
    <row r="8674" spans="1:2" x14ac:dyDescent="0.2">
      <c r="A8674">
        <v>8668</v>
      </c>
      <c r="B8674">
        <v>0.20676690133146969</v>
      </c>
    </row>
    <row r="8675" spans="1:2" x14ac:dyDescent="0.2">
      <c r="A8675">
        <v>8669</v>
      </c>
      <c r="B8675">
        <v>0.6089469393839686</v>
      </c>
    </row>
    <row r="8676" spans="1:2" x14ac:dyDescent="0.2">
      <c r="A8676">
        <v>8670</v>
      </c>
      <c r="B8676">
        <v>0.97007164189958439</v>
      </c>
    </row>
    <row r="8677" spans="1:2" x14ac:dyDescent="0.2">
      <c r="A8677">
        <v>8671</v>
      </c>
      <c r="B8677">
        <v>0.42629135973504462</v>
      </c>
    </row>
    <row r="8678" spans="1:2" x14ac:dyDescent="0.2">
      <c r="A8678">
        <v>8672</v>
      </c>
      <c r="B8678">
        <v>0.72505624314961548</v>
      </c>
    </row>
    <row r="8679" spans="1:2" x14ac:dyDescent="0.2">
      <c r="A8679">
        <v>8673</v>
      </c>
      <c r="B8679">
        <v>0.46254395868193832</v>
      </c>
    </row>
    <row r="8680" spans="1:2" x14ac:dyDescent="0.2">
      <c r="A8680">
        <v>8674</v>
      </c>
      <c r="B8680">
        <v>0.77990749847132423</v>
      </c>
    </row>
    <row r="8681" spans="1:2" x14ac:dyDescent="0.2">
      <c r="A8681">
        <v>8675</v>
      </c>
      <c r="B8681">
        <v>0.22072739946404807</v>
      </c>
    </row>
    <row r="8682" spans="1:2" x14ac:dyDescent="0.2">
      <c r="A8682">
        <v>8676</v>
      </c>
      <c r="B8682">
        <v>0.64106403209131158</v>
      </c>
    </row>
    <row r="8683" spans="1:2" x14ac:dyDescent="0.2">
      <c r="A8683">
        <v>8677</v>
      </c>
      <c r="B8683">
        <v>0.59762559223219114</v>
      </c>
    </row>
    <row r="8684" spans="1:2" x14ac:dyDescent="0.2">
      <c r="A8684">
        <v>8678</v>
      </c>
      <c r="B8684">
        <v>0.39451360657843626</v>
      </c>
    </row>
    <row r="8685" spans="1:2" x14ac:dyDescent="0.2">
      <c r="A8685">
        <v>8679</v>
      </c>
      <c r="B8685">
        <v>0.70368337694137806</v>
      </c>
    </row>
    <row r="8686" spans="1:2" x14ac:dyDescent="0.2">
      <c r="A8686">
        <v>8680</v>
      </c>
      <c r="B8686">
        <v>0.90603791903751529</v>
      </c>
    </row>
    <row r="8687" spans="1:2" x14ac:dyDescent="0.2">
      <c r="A8687">
        <v>8681</v>
      </c>
      <c r="B8687">
        <v>7.9360260574149355E-2</v>
      </c>
    </row>
    <row r="8688" spans="1:2" x14ac:dyDescent="0.2">
      <c r="A8688">
        <v>8682</v>
      </c>
      <c r="B8688">
        <v>0.1953125457622007</v>
      </c>
    </row>
    <row r="8689" spans="1:2" x14ac:dyDescent="0.2">
      <c r="A8689">
        <v>8683</v>
      </c>
      <c r="B8689">
        <v>0.86611860985660083</v>
      </c>
    </row>
    <row r="8690" spans="1:2" x14ac:dyDescent="0.2">
      <c r="A8690">
        <v>8684</v>
      </c>
      <c r="B8690">
        <v>0.92142586577764785</v>
      </c>
    </row>
    <row r="8691" spans="1:2" x14ac:dyDescent="0.2">
      <c r="A8691">
        <v>8685</v>
      </c>
      <c r="B8691">
        <v>8.2286109153328235E-2</v>
      </c>
    </row>
    <row r="8692" spans="1:2" x14ac:dyDescent="0.2">
      <c r="A8692">
        <v>8686</v>
      </c>
      <c r="B8692">
        <v>0.86306861149218339</v>
      </c>
    </row>
    <row r="8693" spans="1:2" x14ac:dyDescent="0.2">
      <c r="A8693">
        <v>8687</v>
      </c>
      <c r="B8693">
        <v>0.34685366952620611</v>
      </c>
    </row>
    <row r="8694" spans="1:2" x14ac:dyDescent="0.2">
      <c r="A8694">
        <v>8688</v>
      </c>
      <c r="B8694">
        <v>0.78339099786436939</v>
      </c>
    </row>
    <row r="8695" spans="1:2" x14ac:dyDescent="0.2">
      <c r="A8695">
        <v>8689</v>
      </c>
      <c r="B8695">
        <v>0.42137216580200332</v>
      </c>
    </row>
    <row r="8696" spans="1:2" x14ac:dyDescent="0.2">
      <c r="A8696">
        <v>8690</v>
      </c>
      <c r="B8696">
        <v>0.42086399374613503</v>
      </c>
    </row>
    <row r="8697" spans="1:2" x14ac:dyDescent="0.2">
      <c r="A8697">
        <v>8691</v>
      </c>
      <c r="B8697">
        <v>0.73631089266174188</v>
      </c>
    </row>
    <row r="8698" spans="1:2" x14ac:dyDescent="0.2">
      <c r="A8698">
        <v>8692</v>
      </c>
      <c r="B8698">
        <v>0.92986618479088634</v>
      </c>
    </row>
    <row r="8699" spans="1:2" x14ac:dyDescent="0.2">
      <c r="A8699">
        <v>8693</v>
      </c>
      <c r="B8699">
        <v>0.66854935802095539</v>
      </c>
    </row>
    <row r="8700" spans="1:2" x14ac:dyDescent="0.2">
      <c r="A8700">
        <v>8694</v>
      </c>
      <c r="B8700">
        <v>0.6966795787352873</v>
      </c>
    </row>
    <row r="8701" spans="1:2" x14ac:dyDescent="0.2">
      <c r="A8701">
        <v>8695</v>
      </c>
      <c r="B8701">
        <v>0.96653994293839085</v>
      </c>
    </row>
    <row r="8702" spans="1:2" x14ac:dyDescent="0.2">
      <c r="A8702">
        <v>8696</v>
      </c>
      <c r="B8702">
        <v>8.6862641823841069E-2</v>
      </c>
    </row>
    <row r="8703" spans="1:2" x14ac:dyDescent="0.2">
      <c r="A8703">
        <v>8697</v>
      </c>
      <c r="B8703">
        <v>0.77857985996955559</v>
      </c>
    </row>
    <row r="8704" spans="1:2" x14ac:dyDescent="0.2">
      <c r="A8704">
        <v>8698</v>
      </c>
      <c r="B8704">
        <v>0.21112855789795459</v>
      </c>
    </row>
    <row r="8705" spans="1:2" x14ac:dyDescent="0.2">
      <c r="A8705">
        <v>8699</v>
      </c>
      <c r="B8705">
        <v>0.99289812844372449</v>
      </c>
    </row>
    <row r="8706" spans="1:2" x14ac:dyDescent="0.2">
      <c r="A8706">
        <v>8700</v>
      </c>
      <c r="B8706">
        <v>0.81507380098700277</v>
      </c>
    </row>
    <row r="8707" spans="1:2" x14ac:dyDescent="0.2">
      <c r="A8707">
        <v>8701</v>
      </c>
      <c r="B8707">
        <v>0.97970349304297988</v>
      </c>
    </row>
    <row r="8708" spans="1:2" x14ac:dyDescent="0.2">
      <c r="A8708">
        <v>8702</v>
      </c>
      <c r="B8708">
        <v>0.68648801383225011</v>
      </c>
    </row>
    <row r="8709" spans="1:2" x14ac:dyDescent="0.2">
      <c r="A8709">
        <v>8703</v>
      </c>
      <c r="B8709">
        <v>0.51067775062623999</v>
      </c>
    </row>
    <row r="8710" spans="1:2" x14ac:dyDescent="0.2">
      <c r="A8710">
        <v>8704</v>
      </c>
      <c r="B8710">
        <v>0.63088228168852911</v>
      </c>
    </row>
    <row r="8711" spans="1:2" x14ac:dyDescent="0.2">
      <c r="A8711">
        <v>8705</v>
      </c>
      <c r="B8711">
        <v>3.66485993695711E-2</v>
      </c>
    </row>
    <row r="8712" spans="1:2" x14ac:dyDescent="0.2">
      <c r="A8712">
        <v>8706</v>
      </c>
      <c r="B8712">
        <v>0.93884873925718026</v>
      </c>
    </row>
    <row r="8713" spans="1:2" x14ac:dyDescent="0.2">
      <c r="A8713">
        <v>8707</v>
      </c>
      <c r="B8713">
        <v>0.62455855874173172</v>
      </c>
    </row>
    <row r="8714" spans="1:2" x14ac:dyDescent="0.2">
      <c r="A8714">
        <v>8708</v>
      </c>
      <c r="B8714">
        <v>0.94133988429408344</v>
      </c>
    </row>
    <row r="8715" spans="1:2" x14ac:dyDescent="0.2">
      <c r="A8715">
        <v>8709</v>
      </c>
      <c r="B8715">
        <v>0.17910756805348271</v>
      </c>
    </row>
    <row r="8716" spans="1:2" x14ac:dyDescent="0.2">
      <c r="A8716">
        <v>8710</v>
      </c>
      <c r="B8716">
        <v>3.7553752402181395E-2</v>
      </c>
    </row>
    <row r="8717" spans="1:2" x14ac:dyDescent="0.2">
      <c r="A8717">
        <v>8711</v>
      </c>
      <c r="B8717">
        <v>0.88007173986098342</v>
      </c>
    </row>
    <row r="8718" spans="1:2" x14ac:dyDescent="0.2">
      <c r="A8718">
        <v>8712</v>
      </c>
      <c r="B8718">
        <v>0.42299402666469799</v>
      </c>
    </row>
    <row r="8719" spans="1:2" x14ac:dyDescent="0.2">
      <c r="A8719">
        <v>8713</v>
      </c>
      <c r="B8719">
        <v>0.10088361587194394</v>
      </c>
    </row>
    <row r="8720" spans="1:2" x14ac:dyDescent="0.2">
      <c r="A8720">
        <v>8714</v>
      </c>
      <c r="B8720">
        <v>0.42039134736520523</v>
      </c>
    </row>
    <row r="8721" spans="1:2" x14ac:dyDescent="0.2">
      <c r="A8721">
        <v>8715</v>
      </c>
      <c r="B8721">
        <v>0.58449207572274797</v>
      </c>
    </row>
    <row r="8722" spans="1:2" x14ac:dyDescent="0.2">
      <c r="A8722">
        <v>8716</v>
      </c>
      <c r="B8722">
        <v>0.27194475570653631</v>
      </c>
    </row>
    <row r="8723" spans="1:2" x14ac:dyDescent="0.2">
      <c r="A8723">
        <v>8717</v>
      </c>
      <c r="B8723">
        <v>0.79908371727220695</v>
      </c>
    </row>
    <row r="8724" spans="1:2" x14ac:dyDescent="0.2">
      <c r="A8724">
        <v>8718</v>
      </c>
      <c r="B8724">
        <v>8.3259734298721688E-2</v>
      </c>
    </row>
    <row r="8725" spans="1:2" x14ac:dyDescent="0.2">
      <c r="A8725">
        <v>8719</v>
      </c>
      <c r="B8725">
        <v>0.85510432190128005</v>
      </c>
    </row>
    <row r="8726" spans="1:2" x14ac:dyDescent="0.2">
      <c r="A8726">
        <v>8720</v>
      </c>
      <c r="B8726">
        <v>0.58293318696270968</v>
      </c>
    </row>
    <row r="8727" spans="1:2" x14ac:dyDescent="0.2">
      <c r="A8727">
        <v>8721</v>
      </c>
      <c r="B8727">
        <v>0.2397975305617327</v>
      </c>
    </row>
    <row r="8728" spans="1:2" x14ac:dyDescent="0.2">
      <c r="A8728">
        <v>8722</v>
      </c>
      <c r="B8728">
        <v>0.12342703760764162</v>
      </c>
    </row>
    <row r="8729" spans="1:2" x14ac:dyDescent="0.2">
      <c r="A8729">
        <v>8723</v>
      </c>
      <c r="B8729">
        <v>0.28922974366085907</v>
      </c>
    </row>
    <row r="8730" spans="1:2" x14ac:dyDescent="0.2">
      <c r="A8730">
        <v>8724</v>
      </c>
      <c r="B8730">
        <v>0.81567865381705484</v>
      </c>
    </row>
    <row r="8731" spans="1:2" x14ac:dyDescent="0.2">
      <c r="A8731">
        <v>8725</v>
      </c>
      <c r="B8731">
        <v>0.24265237932839834</v>
      </c>
    </row>
    <row r="8732" spans="1:2" x14ac:dyDescent="0.2">
      <c r="A8732">
        <v>8726</v>
      </c>
      <c r="B8732">
        <v>0.85102825902466916</v>
      </c>
    </row>
    <row r="8733" spans="1:2" x14ac:dyDescent="0.2">
      <c r="A8733">
        <v>8727</v>
      </c>
      <c r="B8733">
        <v>0.79095496051776271</v>
      </c>
    </row>
    <row r="8734" spans="1:2" x14ac:dyDescent="0.2">
      <c r="A8734">
        <v>8728</v>
      </c>
      <c r="B8734">
        <v>0.6909366223521789</v>
      </c>
    </row>
    <row r="8735" spans="1:2" x14ac:dyDescent="0.2">
      <c r="A8735">
        <v>8729</v>
      </c>
      <c r="B8735">
        <v>0.37086914949669392</v>
      </c>
    </row>
    <row r="8736" spans="1:2" x14ac:dyDescent="0.2">
      <c r="A8736">
        <v>8730</v>
      </c>
      <c r="B8736">
        <v>0.69029793202056267</v>
      </c>
    </row>
    <row r="8737" spans="1:2" x14ac:dyDescent="0.2">
      <c r="A8737">
        <v>8731</v>
      </c>
      <c r="B8737">
        <v>0.29778733445688788</v>
      </c>
    </row>
    <row r="8738" spans="1:2" x14ac:dyDescent="0.2">
      <c r="A8738">
        <v>8732</v>
      </c>
      <c r="B8738">
        <v>0.46743166846519824</v>
      </c>
    </row>
    <row r="8739" spans="1:2" x14ac:dyDescent="0.2">
      <c r="A8739">
        <v>8733</v>
      </c>
      <c r="B8739">
        <v>5.4324364303576789E-2</v>
      </c>
    </row>
    <row r="8740" spans="1:2" x14ac:dyDescent="0.2">
      <c r="A8740">
        <v>8734</v>
      </c>
      <c r="B8740">
        <v>0.79271340391351419</v>
      </c>
    </row>
    <row r="8741" spans="1:2" x14ac:dyDescent="0.2">
      <c r="A8741">
        <v>8735</v>
      </c>
      <c r="B8741">
        <v>0.21122676147343133</v>
      </c>
    </row>
    <row r="8742" spans="1:2" x14ac:dyDescent="0.2">
      <c r="A8742">
        <v>8736</v>
      </c>
      <c r="B8742">
        <v>0.43278461130152768</v>
      </c>
    </row>
    <row r="8743" spans="1:2" x14ac:dyDescent="0.2">
      <c r="A8743">
        <v>8737</v>
      </c>
      <c r="B8743">
        <v>0.73293377956410166</v>
      </c>
    </row>
    <row r="8744" spans="1:2" x14ac:dyDescent="0.2">
      <c r="A8744">
        <v>8738</v>
      </c>
      <c r="B8744">
        <v>0.39870018842294308</v>
      </c>
    </row>
    <row r="8745" spans="1:2" x14ac:dyDescent="0.2">
      <c r="A8745">
        <v>8739</v>
      </c>
      <c r="B8745">
        <v>0.84797622899845848</v>
      </c>
    </row>
    <row r="8746" spans="1:2" x14ac:dyDescent="0.2">
      <c r="A8746">
        <v>8740</v>
      </c>
      <c r="B8746">
        <v>0.10176504003490505</v>
      </c>
    </row>
    <row r="8747" spans="1:2" x14ac:dyDescent="0.2">
      <c r="A8747">
        <v>8741</v>
      </c>
      <c r="B8747">
        <v>0.60425169585328775</v>
      </c>
    </row>
    <row r="8748" spans="1:2" x14ac:dyDescent="0.2">
      <c r="A8748">
        <v>8742</v>
      </c>
      <c r="B8748">
        <v>9.7013790047680515E-2</v>
      </c>
    </row>
    <row r="8749" spans="1:2" x14ac:dyDescent="0.2">
      <c r="A8749">
        <v>8743</v>
      </c>
      <c r="B8749">
        <v>0.41800763902338556</v>
      </c>
    </row>
    <row r="8750" spans="1:2" x14ac:dyDescent="0.2">
      <c r="A8750">
        <v>8744</v>
      </c>
      <c r="B8750">
        <v>0.74933067083107929</v>
      </c>
    </row>
    <row r="8751" spans="1:2" x14ac:dyDescent="0.2">
      <c r="A8751">
        <v>8745</v>
      </c>
      <c r="B8751">
        <v>0.1420642919168954</v>
      </c>
    </row>
    <row r="8752" spans="1:2" x14ac:dyDescent="0.2">
      <c r="A8752">
        <v>8746</v>
      </c>
      <c r="B8752">
        <v>0.94501616207803596</v>
      </c>
    </row>
    <row r="8753" spans="1:2" x14ac:dyDescent="0.2">
      <c r="A8753">
        <v>8747</v>
      </c>
      <c r="B8753">
        <v>0.26007567198243053</v>
      </c>
    </row>
    <row r="8754" spans="1:2" x14ac:dyDescent="0.2">
      <c r="A8754">
        <v>8748</v>
      </c>
      <c r="B8754">
        <v>0.71247725813976526</v>
      </c>
    </row>
    <row r="8755" spans="1:2" x14ac:dyDescent="0.2">
      <c r="A8755">
        <v>8749</v>
      </c>
      <c r="B8755">
        <v>0.13080282837436863</v>
      </c>
    </row>
    <row r="8756" spans="1:2" x14ac:dyDescent="0.2">
      <c r="A8756">
        <v>8750</v>
      </c>
      <c r="B8756">
        <v>0.2924561875403926</v>
      </c>
    </row>
    <row r="8757" spans="1:2" x14ac:dyDescent="0.2">
      <c r="A8757">
        <v>8751</v>
      </c>
      <c r="B8757">
        <v>1.6362270761293707E-2</v>
      </c>
    </row>
    <row r="8758" spans="1:2" x14ac:dyDescent="0.2">
      <c r="A8758">
        <v>8752</v>
      </c>
      <c r="B8758">
        <v>0.2364422612634336</v>
      </c>
    </row>
    <row r="8759" spans="1:2" x14ac:dyDescent="0.2">
      <c r="A8759">
        <v>8753</v>
      </c>
      <c r="B8759">
        <v>1.878279868798316E-2</v>
      </c>
    </row>
    <row r="8760" spans="1:2" x14ac:dyDescent="0.2">
      <c r="A8760">
        <v>8754</v>
      </c>
      <c r="B8760">
        <v>0.47506298625301191</v>
      </c>
    </row>
    <row r="8761" spans="1:2" x14ac:dyDescent="0.2">
      <c r="A8761">
        <v>8755</v>
      </c>
      <c r="B8761">
        <v>0.49163070828645039</v>
      </c>
    </row>
    <row r="8762" spans="1:2" x14ac:dyDescent="0.2">
      <c r="A8762">
        <v>8756</v>
      </c>
      <c r="B8762">
        <v>0.43672195700256844</v>
      </c>
    </row>
    <row r="8763" spans="1:2" x14ac:dyDescent="0.2">
      <c r="A8763">
        <v>8757</v>
      </c>
      <c r="B8763">
        <v>0.72575621466593399</v>
      </c>
    </row>
    <row r="8764" spans="1:2" x14ac:dyDescent="0.2">
      <c r="A8764">
        <v>8758</v>
      </c>
      <c r="B8764">
        <v>0.94998629641590249</v>
      </c>
    </row>
    <row r="8765" spans="1:2" x14ac:dyDescent="0.2">
      <c r="A8765">
        <v>8759</v>
      </c>
      <c r="B8765">
        <v>0.72453339473274336</v>
      </c>
    </row>
    <row r="8766" spans="1:2" x14ac:dyDescent="0.2">
      <c r="A8766">
        <v>8760</v>
      </c>
      <c r="B8766">
        <v>0.74390359884480661</v>
      </c>
    </row>
    <row r="8767" spans="1:2" x14ac:dyDescent="0.2">
      <c r="A8767">
        <v>8761</v>
      </c>
      <c r="B8767">
        <v>0.40703906222178177</v>
      </c>
    </row>
    <row r="8768" spans="1:2" x14ac:dyDescent="0.2">
      <c r="A8768">
        <v>8762</v>
      </c>
      <c r="B8768">
        <v>0.59133639584345843</v>
      </c>
    </row>
    <row r="8769" spans="1:2" x14ac:dyDescent="0.2">
      <c r="A8769">
        <v>8763</v>
      </c>
      <c r="B8769">
        <v>0.94639408422293592</v>
      </c>
    </row>
    <row r="8770" spans="1:2" x14ac:dyDescent="0.2">
      <c r="A8770">
        <v>8764</v>
      </c>
      <c r="B8770">
        <v>0.99834330806146243</v>
      </c>
    </row>
    <row r="8771" spans="1:2" x14ac:dyDescent="0.2">
      <c r="A8771">
        <v>8765</v>
      </c>
      <c r="B8771">
        <v>0.96461959828293742</v>
      </c>
    </row>
    <row r="8772" spans="1:2" x14ac:dyDescent="0.2">
      <c r="A8772">
        <v>8766</v>
      </c>
      <c r="B8772">
        <v>0.44193633150876599</v>
      </c>
    </row>
    <row r="8773" spans="1:2" x14ac:dyDescent="0.2">
      <c r="A8773">
        <v>8767</v>
      </c>
      <c r="B8773">
        <v>0.48174689502906642</v>
      </c>
    </row>
    <row r="8774" spans="1:2" x14ac:dyDescent="0.2">
      <c r="A8774">
        <v>8768</v>
      </c>
      <c r="B8774">
        <v>0.41334028217281527</v>
      </c>
    </row>
    <row r="8775" spans="1:2" x14ac:dyDescent="0.2">
      <c r="A8775">
        <v>8769</v>
      </c>
      <c r="B8775">
        <v>0.7742193628087457</v>
      </c>
    </row>
    <row r="8776" spans="1:2" x14ac:dyDescent="0.2">
      <c r="A8776">
        <v>8770</v>
      </c>
      <c r="B8776">
        <v>0.82383196328976038</v>
      </c>
    </row>
    <row r="8777" spans="1:2" x14ac:dyDescent="0.2">
      <c r="A8777">
        <v>8771</v>
      </c>
      <c r="B8777">
        <v>0.11462395332801822</v>
      </c>
    </row>
    <row r="8778" spans="1:2" x14ac:dyDescent="0.2">
      <c r="A8778">
        <v>8772</v>
      </c>
      <c r="B8778">
        <v>0.68928574911445717</v>
      </c>
    </row>
    <row r="8779" spans="1:2" x14ac:dyDescent="0.2">
      <c r="A8779">
        <v>8773</v>
      </c>
      <c r="B8779">
        <v>0.65440857441554623</v>
      </c>
    </row>
    <row r="8780" spans="1:2" x14ac:dyDescent="0.2">
      <c r="A8780">
        <v>8774</v>
      </c>
      <c r="B8780">
        <v>0.97896936490935571</v>
      </c>
    </row>
    <row r="8781" spans="1:2" x14ac:dyDescent="0.2">
      <c r="A8781">
        <v>8775</v>
      </c>
      <c r="B8781">
        <v>0.77279805146718417</v>
      </c>
    </row>
    <row r="8782" spans="1:2" x14ac:dyDescent="0.2">
      <c r="A8782">
        <v>8776</v>
      </c>
      <c r="B8782">
        <v>0.36196782357148283</v>
      </c>
    </row>
    <row r="8783" spans="1:2" x14ac:dyDescent="0.2">
      <c r="A8783">
        <v>8777</v>
      </c>
      <c r="B8783">
        <v>0.41259117529875999</v>
      </c>
    </row>
    <row r="8784" spans="1:2" x14ac:dyDescent="0.2">
      <c r="A8784">
        <v>8778</v>
      </c>
      <c r="B8784">
        <v>0.6669282319930202</v>
      </c>
    </row>
    <row r="8785" spans="1:2" x14ac:dyDescent="0.2">
      <c r="A8785">
        <v>8779</v>
      </c>
      <c r="B8785">
        <v>0.41621789813029386</v>
      </c>
    </row>
    <row r="8786" spans="1:2" x14ac:dyDescent="0.2">
      <c r="A8786">
        <v>8780</v>
      </c>
      <c r="B8786">
        <v>0.17584274750356943</v>
      </c>
    </row>
    <row r="8787" spans="1:2" x14ac:dyDescent="0.2">
      <c r="A8787">
        <v>8781</v>
      </c>
      <c r="B8787">
        <v>0.70109708056795761</v>
      </c>
    </row>
    <row r="8788" spans="1:2" x14ac:dyDescent="0.2">
      <c r="A8788">
        <v>8782</v>
      </c>
      <c r="B8788">
        <v>0.63661979348511821</v>
      </c>
    </row>
    <row r="8789" spans="1:2" x14ac:dyDescent="0.2">
      <c r="A8789">
        <v>8783</v>
      </c>
      <c r="B8789">
        <v>0.32916322430007083</v>
      </c>
    </row>
    <row r="8790" spans="1:2" x14ac:dyDescent="0.2">
      <c r="A8790">
        <v>8784</v>
      </c>
      <c r="B8790">
        <v>0.63129223653596633</v>
      </c>
    </row>
    <row r="8791" spans="1:2" x14ac:dyDescent="0.2">
      <c r="A8791">
        <v>8785</v>
      </c>
      <c r="B8791">
        <v>0.373829018581463</v>
      </c>
    </row>
    <row r="8792" spans="1:2" x14ac:dyDescent="0.2">
      <c r="A8792">
        <v>8786</v>
      </c>
      <c r="B8792">
        <v>0.45234124236624262</v>
      </c>
    </row>
    <row r="8793" spans="1:2" x14ac:dyDescent="0.2">
      <c r="A8793">
        <v>8787</v>
      </c>
      <c r="B8793">
        <v>0.2751315751270208</v>
      </c>
    </row>
    <row r="8794" spans="1:2" x14ac:dyDescent="0.2">
      <c r="A8794">
        <v>8788</v>
      </c>
      <c r="B8794">
        <v>7.0373026275663664E-2</v>
      </c>
    </row>
    <row r="8795" spans="1:2" x14ac:dyDescent="0.2">
      <c r="A8795">
        <v>8789</v>
      </c>
      <c r="B8795">
        <v>0.31770488797012031</v>
      </c>
    </row>
    <row r="8796" spans="1:2" x14ac:dyDescent="0.2">
      <c r="A8796">
        <v>8790</v>
      </c>
      <c r="B8796">
        <v>0.20102374499882747</v>
      </c>
    </row>
    <row r="8797" spans="1:2" x14ac:dyDescent="0.2">
      <c r="A8797">
        <v>8791</v>
      </c>
      <c r="B8797">
        <v>0.28282908662040729</v>
      </c>
    </row>
    <row r="8798" spans="1:2" x14ac:dyDescent="0.2">
      <c r="A8798">
        <v>8792</v>
      </c>
      <c r="B8798">
        <v>0.72846708167017693</v>
      </c>
    </row>
    <row r="8799" spans="1:2" x14ac:dyDescent="0.2">
      <c r="A8799">
        <v>8793</v>
      </c>
      <c r="B8799">
        <v>0.94314618177006815</v>
      </c>
    </row>
    <row r="8800" spans="1:2" x14ac:dyDescent="0.2">
      <c r="A8800">
        <v>8794</v>
      </c>
      <c r="B8800">
        <v>0.9159664890791146</v>
      </c>
    </row>
    <row r="8801" spans="1:2" x14ac:dyDescent="0.2">
      <c r="A8801">
        <v>8795</v>
      </c>
      <c r="B8801">
        <v>0.64032043614550993</v>
      </c>
    </row>
    <row r="8802" spans="1:2" x14ac:dyDescent="0.2">
      <c r="A8802">
        <v>8796</v>
      </c>
      <c r="B8802">
        <v>0.19942227152127789</v>
      </c>
    </row>
    <row r="8803" spans="1:2" x14ac:dyDescent="0.2">
      <c r="A8803">
        <v>8797</v>
      </c>
      <c r="B8803">
        <v>0.79593504511792934</v>
      </c>
    </row>
    <row r="8804" spans="1:2" x14ac:dyDescent="0.2">
      <c r="A8804">
        <v>8798</v>
      </c>
      <c r="B8804">
        <v>0.52329103496804918</v>
      </c>
    </row>
    <row r="8805" spans="1:2" x14ac:dyDescent="0.2">
      <c r="A8805">
        <v>8799</v>
      </c>
      <c r="B8805">
        <v>0.76236121184024364</v>
      </c>
    </row>
    <row r="8806" spans="1:2" x14ac:dyDescent="0.2">
      <c r="A8806">
        <v>8800</v>
      </c>
      <c r="B8806">
        <v>6.7024152004290349E-2</v>
      </c>
    </row>
    <row r="8807" spans="1:2" x14ac:dyDescent="0.2">
      <c r="A8807">
        <v>8801</v>
      </c>
      <c r="B8807">
        <v>0.40728514387370485</v>
      </c>
    </row>
    <row r="8808" spans="1:2" x14ac:dyDescent="0.2">
      <c r="A8808">
        <v>8802</v>
      </c>
      <c r="B8808">
        <v>0.72179005552612985</v>
      </c>
    </row>
    <row r="8809" spans="1:2" x14ac:dyDescent="0.2">
      <c r="A8809">
        <v>8803</v>
      </c>
      <c r="B8809">
        <v>0.60164791228493542</v>
      </c>
    </row>
    <row r="8810" spans="1:2" x14ac:dyDescent="0.2">
      <c r="A8810">
        <v>8804</v>
      </c>
      <c r="B8810">
        <v>0.36404929043163381</v>
      </c>
    </row>
    <row r="8811" spans="1:2" x14ac:dyDescent="0.2">
      <c r="A8811">
        <v>8805</v>
      </c>
      <c r="B8811">
        <v>0.18637945068298611</v>
      </c>
    </row>
    <row r="8812" spans="1:2" x14ac:dyDescent="0.2">
      <c r="A8812">
        <v>8806</v>
      </c>
      <c r="B8812">
        <v>0.89129677600983337</v>
      </c>
    </row>
    <row r="8813" spans="1:2" x14ac:dyDescent="0.2">
      <c r="A8813">
        <v>8807</v>
      </c>
      <c r="B8813">
        <v>0.74886422862131574</v>
      </c>
    </row>
    <row r="8814" spans="1:2" x14ac:dyDescent="0.2">
      <c r="A8814">
        <v>8808</v>
      </c>
      <c r="B8814">
        <v>3.7910787160872039E-2</v>
      </c>
    </row>
    <row r="8815" spans="1:2" x14ac:dyDescent="0.2">
      <c r="A8815">
        <v>8809</v>
      </c>
      <c r="B8815">
        <v>0.75826997622972714</v>
      </c>
    </row>
    <row r="8816" spans="1:2" x14ac:dyDescent="0.2">
      <c r="A8816">
        <v>8810</v>
      </c>
      <c r="B8816">
        <v>0.57510126127163574</v>
      </c>
    </row>
    <row r="8817" spans="1:2" x14ac:dyDescent="0.2">
      <c r="A8817">
        <v>8811</v>
      </c>
      <c r="B8817">
        <v>2.094036079120043E-2</v>
      </c>
    </row>
    <row r="8818" spans="1:2" x14ac:dyDescent="0.2">
      <c r="A8818">
        <v>8812</v>
      </c>
      <c r="B8818">
        <v>0.67572140244124412</v>
      </c>
    </row>
    <row r="8819" spans="1:2" x14ac:dyDescent="0.2">
      <c r="A8819">
        <v>8813</v>
      </c>
      <c r="B8819">
        <v>0.54325085569538567</v>
      </c>
    </row>
    <row r="8820" spans="1:2" x14ac:dyDescent="0.2">
      <c r="A8820">
        <v>8814</v>
      </c>
      <c r="B8820">
        <v>0.2297734274859492</v>
      </c>
    </row>
    <row r="8821" spans="1:2" x14ac:dyDescent="0.2">
      <c r="A8821">
        <v>8815</v>
      </c>
      <c r="B8821">
        <v>0.33489316406169201</v>
      </c>
    </row>
    <row r="8822" spans="1:2" x14ac:dyDescent="0.2">
      <c r="A8822">
        <v>8816</v>
      </c>
      <c r="B8822">
        <v>0.29963899271268268</v>
      </c>
    </row>
    <row r="8823" spans="1:2" x14ac:dyDescent="0.2">
      <c r="A8823">
        <v>8817</v>
      </c>
      <c r="B8823">
        <v>0.74314480510415293</v>
      </c>
    </row>
    <row r="8824" spans="1:2" x14ac:dyDescent="0.2">
      <c r="A8824">
        <v>8818</v>
      </c>
      <c r="B8824">
        <v>0.69215213418677501</v>
      </c>
    </row>
    <row r="8825" spans="1:2" x14ac:dyDescent="0.2">
      <c r="A8825">
        <v>8819</v>
      </c>
      <c r="B8825">
        <v>0.79333940627329014</v>
      </c>
    </row>
    <row r="8826" spans="1:2" x14ac:dyDescent="0.2">
      <c r="A8826">
        <v>8820</v>
      </c>
      <c r="B8826">
        <v>0.44742774783801897</v>
      </c>
    </row>
    <row r="8827" spans="1:2" x14ac:dyDescent="0.2">
      <c r="A8827">
        <v>8821</v>
      </c>
      <c r="B8827">
        <v>0.81603060279886652</v>
      </c>
    </row>
    <row r="8828" spans="1:2" x14ac:dyDescent="0.2">
      <c r="A8828">
        <v>8822</v>
      </c>
      <c r="B8828">
        <v>0.22916861750773743</v>
      </c>
    </row>
    <row r="8829" spans="1:2" x14ac:dyDescent="0.2">
      <c r="A8829">
        <v>8823</v>
      </c>
      <c r="B8829">
        <v>0.89882993095770136</v>
      </c>
    </row>
    <row r="8830" spans="1:2" x14ac:dyDescent="0.2">
      <c r="A8830">
        <v>8824</v>
      </c>
      <c r="B8830">
        <v>0.92529146888646074</v>
      </c>
    </row>
    <row r="8831" spans="1:2" x14ac:dyDescent="0.2">
      <c r="A8831">
        <v>8825</v>
      </c>
      <c r="B8831">
        <v>0.82552583155568016</v>
      </c>
    </row>
    <row r="8832" spans="1:2" x14ac:dyDescent="0.2">
      <c r="A8832">
        <v>8826</v>
      </c>
      <c r="B8832">
        <v>0.17705088204496877</v>
      </c>
    </row>
    <row r="8833" spans="1:2" x14ac:dyDescent="0.2">
      <c r="A8833">
        <v>8827</v>
      </c>
      <c r="B8833">
        <v>7.3428549445557323E-2</v>
      </c>
    </row>
    <row r="8834" spans="1:2" x14ac:dyDescent="0.2">
      <c r="A8834">
        <v>8828</v>
      </c>
      <c r="B8834">
        <v>0.34867160936538477</v>
      </c>
    </row>
    <row r="8835" spans="1:2" x14ac:dyDescent="0.2">
      <c r="A8835">
        <v>8829</v>
      </c>
      <c r="B8835">
        <v>0.92428187584751287</v>
      </c>
    </row>
    <row r="8836" spans="1:2" x14ac:dyDescent="0.2">
      <c r="A8836">
        <v>8830</v>
      </c>
      <c r="B8836">
        <v>0.45353547646475301</v>
      </c>
    </row>
    <row r="8837" spans="1:2" x14ac:dyDescent="0.2">
      <c r="A8837">
        <v>8831</v>
      </c>
      <c r="B8837">
        <v>0.85238864614621712</v>
      </c>
    </row>
    <row r="8838" spans="1:2" x14ac:dyDescent="0.2">
      <c r="A8838">
        <v>8832</v>
      </c>
      <c r="B8838">
        <v>0.36040881375283118</v>
      </c>
    </row>
    <row r="8839" spans="1:2" x14ac:dyDescent="0.2">
      <c r="A8839">
        <v>8833</v>
      </c>
      <c r="B8839">
        <v>0.50631181630296296</v>
      </c>
    </row>
    <row r="8840" spans="1:2" x14ac:dyDescent="0.2">
      <c r="A8840">
        <v>8834</v>
      </c>
      <c r="B8840">
        <v>0.57287953937784175</v>
      </c>
    </row>
    <row r="8841" spans="1:2" x14ac:dyDescent="0.2">
      <c r="A8841">
        <v>8835</v>
      </c>
      <c r="B8841">
        <v>0.13377051363781001</v>
      </c>
    </row>
    <row r="8842" spans="1:2" x14ac:dyDescent="0.2">
      <c r="A8842">
        <v>8836</v>
      </c>
      <c r="B8842">
        <v>0.33528231220896176</v>
      </c>
    </row>
    <row r="8843" spans="1:2" x14ac:dyDescent="0.2">
      <c r="A8843">
        <v>8837</v>
      </c>
      <c r="B8843">
        <v>0.90058550480706268</v>
      </c>
    </row>
    <row r="8844" spans="1:2" x14ac:dyDescent="0.2">
      <c r="A8844">
        <v>8838</v>
      </c>
      <c r="B8844">
        <v>0.52093408712412537</v>
      </c>
    </row>
    <row r="8845" spans="1:2" x14ac:dyDescent="0.2">
      <c r="A8845">
        <v>8839</v>
      </c>
      <c r="B8845">
        <v>0.47463179643652753</v>
      </c>
    </row>
    <row r="8846" spans="1:2" x14ac:dyDescent="0.2">
      <c r="A8846">
        <v>8840</v>
      </c>
      <c r="B8846">
        <v>0.73591539947700857</v>
      </c>
    </row>
    <row r="8847" spans="1:2" x14ac:dyDescent="0.2">
      <c r="A8847">
        <v>8841</v>
      </c>
      <c r="B8847">
        <v>0.89078158407666364</v>
      </c>
    </row>
    <row r="8848" spans="1:2" x14ac:dyDescent="0.2">
      <c r="A8848">
        <v>8842</v>
      </c>
      <c r="B8848">
        <v>2.5954859153181076E-2</v>
      </c>
    </row>
    <row r="8849" spans="1:2" x14ac:dyDescent="0.2">
      <c r="A8849">
        <v>8843</v>
      </c>
      <c r="B8849">
        <v>0.68733924751072373</v>
      </c>
    </row>
    <row r="8850" spans="1:2" x14ac:dyDescent="0.2">
      <c r="A8850">
        <v>8844</v>
      </c>
      <c r="B8850">
        <v>0.80941111462768456</v>
      </c>
    </row>
    <row r="8851" spans="1:2" x14ac:dyDescent="0.2">
      <c r="A8851">
        <v>8845</v>
      </c>
      <c r="B8851">
        <v>0.64607201881664911</v>
      </c>
    </row>
    <row r="8852" spans="1:2" x14ac:dyDescent="0.2">
      <c r="A8852">
        <v>8846</v>
      </c>
      <c r="B8852">
        <v>0.42133703849245374</v>
      </c>
    </row>
    <row r="8853" spans="1:2" x14ac:dyDescent="0.2">
      <c r="A8853">
        <v>8847</v>
      </c>
      <c r="B8853">
        <v>0.30185988944020126</v>
      </c>
    </row>
    <row r="8854" spans="1:2" x14ac:dyDescent="0.2">
      <c r="A8854">
        <v>8848</v>
      </c>
      <c r="B8854">
        <v>0.50215239280696211</v>
      </c>
    </row>
    <row r="8855" spans="1:2" x14ac:dyDescent="0.2">
      <c r="A8855">
        <v>8849</v>
      </c>
      <c r="B8855">
        <v>0.96762704601967986</v>
      </c>
    </row>
    <row r="8856" spans="1:2" x14ac:dyDescent="0.2">
      <c r="A8856">
        <v>8850</v>
      </c>
      <c r="B8856">
        <v>0.94036545706408003</v>
      </c>
    </row>
    <row r="8857" spans="1:2" x14ac:dyDescent="0.2">
      <c r="A8857">
        <v>8851</v>
      </c>
      <c r="B8857">
        <v>0.51259456502394507</v>
      </c>
    </row>
    <row r="8858" spans="1:2" x14ac:dyDescent="0.2">
      <c r="A8858">
        <v>8852</v>
      </c>
      <c r="B8858">
        <v>0.89524787231232916</v>
      </c>
    </row>
    <row r="8859" spans="1:2" x14ac:dyDescent="0.2">
      <c r="A8859">
        <v>8853</v>
      </c>
      <c r="B8859">
        <v>0.65229734733565314</v>
      </c>
    </row>
    <row r="8860" spans="1:2" x14ac:dyDescent="0.2">
      <c r="A8860">
        <v>8854</v>
      </c>
      <c r="B8860">
        <v>0.2470310743154529</v>
      </c>
    </row>
    <row r="8861" spans="1:2" x14ac:dyDescent="0.2">
      <c r="A8861">
        <v>8855</v>
      </c>
      <c r="B8861">
        <v>0.4800099963709501</v>
      </c>
    </row>
    <row r="8862" spans="1:2" x14ac:dyDescent="0.2">
      <c r="A8862">
        <v>8856</v>
      </c>
      <c r="B8862">
        <v>2.1670878146118233E-2</v>
      </c>
    </row>
    <row r="8863" spans="1:2" x14ac:dyDescent="0.2">
      <c r="A8863">
        <v>8857</v>
      </c>
      <c r="B8863">
        <v>0.38618490202168998</v>
      </c>
    </row>
    <row r="8864" spans="1:2" x14ac:dyDescent="0.2">
      <c r="A8864">
        <v>8858</v>
      </c>
      <c r="B8864">
        <v>0.41426652520788043</v>
      </c>
    </row>
    <row r="8865" spans="1:2" x14ac:dyDescent="0.2">
      <c r="A8865">
        <v>8859</v>
      </c>
      <c r="B8865">
        <v>8.3584792416607434E-2</v>
      </c>
    </row>
    <row r="8866" spans="1:2" x14ac:dyDescent="0.2">
      <c r="A8866">
        <v>8860</v>
      </c>
      <c r="B8866">
        <v>0.29323530915209395</v>
      </c>
    </row>
    <row r="8867" spans="1:2" x14ac:dyDescent="0.2">
      <c r="A8867">
        <v>8861</v>
      </c>
      <c r="B8867">
        <v>0.47359288662883992</v>
      </c>
    </row>
    <row r="8868" spans="1:2" x14ac:dyDescent="0.2">
      <c r="A8868">
        <v>8862</v>
      </c>
      <c r="B8868">
        <v>0.61124608146115966</v>
      </c>
    </row>
    <row r="8869" spans="1:2" x14ac:dyDescent="0.2">
      <c r="A8869">
        <v>8863</v>
      </c>
      <c r="B8869">
        <v>0.65244671448847302</v>
      </c>
    </row>
    <row r="8870" spans="1:2" x14ac:dyDescent="0.2">
      <c r="A8870">
        <v>8864</v>
      </c>
      <c r="B8870">
        <v>0.27717283724376041</v>
      </c>
    </row>
    <row r="8871" spans="1:2" x14ac:dyDescent="0.2">
      <c r="A8871">
        <v>8865</v>
      </c>
      <c r="B8871">
        <v>4.7391954568084871E-2</v>
      </c>
    </row>
    <row r="8872" spans="1:2" x14ac:dyDescent="0.2">
      <c r="A8872">
        <v>8866</v>
      </c>
      <c r="B8872">
        <v>0.7225227414497063</v>
      </c>
    </row>
    <row r="8873" spans="1:2" x14ac:dyDescent="0.2">
      <c r="A8873">
        <v>8867</v>
      </c>
      <c r="B8873">
        <v>0.74526773471231911</v>
      </c>
    </row>
    <row r="8874" spans="1:2" x14ac:dyDescent="0.2">
      <c r="A8874">
        <v>8868</v>
      </c>
      <c r="B8874">
        <v>6.5605325094466038E-2</v>
      </c>
    </row>
    <row r="8875" spans="1:2" x14ac:dyDescent="0.2">
      <c r="A8875">
        <v>8869</v>
      </c>
      <c r="B8875">
        <v>0.12117556572408705</v>
      </c>
    </row>
    <row r="8876" spans="1:2" x14ac:dyDescent="0.2">
      <c r="A8876">
        <v>8870</v>
      </c>
      <c r="B8876">
        <v>0.93766878083859162</v>
      </c>
    </row>
    <row r="8877" spans="1:2" x14ac:dyDescent="0.2">
      <c r="A8877">
        <v>8871</v>
      </c>
      <c r="B8877">
        <v>0.25112217629016831</v>
      </c>
    </row>
    <row r="8878" spans="1:2" x14ac:dyDescent="0.2">
      <c r="A8878">
        <v>8872</v>
      </c>
      <c r="B8878">
        <v>0.21504620236470318</v>
      </c>
    </row>
    <row r="8879" spans="1:2" x14ac:dyDescent="0.2">
      <c r="A8879">
        <v>8873</v>
      </c>
      <c r="B8879">
        <v>0.22366173764276742</v>
      </c>
    </row>
    <row r="8880" spans="1:2" x14ac:dyDescent="0.2">
      <c r="A8880">
        <v>8874</v>
      </c>
      <c r="B8880">
        <v>0.80383128715898255</v>
      </c>
    </row>
    <row r="8881" spans="1:2" x14ac:dyDescent="0.2">
      <c r="A8881">
        <v>8875</v>
      </c>
      <c r="B8881">
        <v>0.15367539005816855</v>
      </c>
    </row>
    <row r="8882" spans="1:2" x14ac:dyDescent="0.2">
      <c r="A8882">
        <v>8876</v>
      </c>
      <c r="B8882">
        <v>6.9167016930439251E-2</v>
      </c>
    </row>
    <row r="8883" spans="1:2" x14ac:dyDescent="0.2">
      <c r="A8883">
        <v>8877</v>
      </c>
      <c r="B8883">
        <v>0.51858402866807063</v>
      </c>
    </row>
    <row r="8884" spans="1:2" x14ac:dyDescent="0.2">
      <c r="A8884">
        <v>8878</v>
      </c>
      <c r="B8884">
        <v>0.43835287915095811</v>
      </c>
    </row>
    <row r="8885" spans="1:2" x14ac:dyDescent="0.2">
      <c r="A8885">
        <v>8879</v>
      </c>
      <c r="B8885">
        <v>6.5006994467503132E-2</v>
      </c>
    </row>
    <row r="8886" spans="1:2" x14ac:dyDescent="0.2">
      <c r="A8886">
        <v>8880</v>
      </c>
      <c r="B8886">
        <v>4.7652473096988501E-3</v>
      </c>
    </row>
    <row r="8887" spans="1:2" x14ac:dyDescent="0.2">
      <c r="A8887">
        <v>8881</v>
      </c>
      <c r="B8887">
        <v>0.76769449428397829</v>
      </c>
    </row>
    <row r="8888" spans="1:2" x14ac:dyDescent="0.2">
      <c r="A8888">
        <v>8882</v>
      </c>
      <c r="B8888">
        <v>4.1727987149853818E-2</v>
      </c>
    </row>
    <row r="8889" spans="1:2" x14ac:dyDescent="0.2">
      <c r="A8889">
        <v>8883</v>
      </c>
      <c r="B8889">
        <v>0.38003188348403405</v>
      </c>
    </row>
    <row r="8890" spans="1:2" x14ac:dyDescent="0.2">
      <c r="A8890">
        <v>8884</v>
      </c>
      <c r="B8890">
        <v>0.84670058777437174</v>
      </c>
    </row>
    <row r="8891" spans="1:2" x14ac:dyDescent="0.2">
      <c r="A8891">
        <v>8885</v>
      </c>
      <c r="B8891">
        <v>0.21117370687792647</v>
      </c>
    </row>
    <row r="8892" spans="1:2" x14ac:dyDescent="0.2">
      <c r="A8892">
        <v>8886</v>
      </c>
      <c r="B8892">
        <v>0.76586609093142854</v>
      </c>
    </row>
    <row r="8893" spans="1:2" x14ac:dyDescent="0.2">
      <c r="A8893">
        <v>8887</v>
      </c>
      <c r="B8893">
        <v>0.65437261002324187</v>
      </c>
    </row>
    <row r="8894" spans="1:2" x14ac:dyDescent="0.2">
      <c r="A8894">
        <v>8888</v>
      </c>
      <c r="B8894">
        <v>0.83881612711788578</v>
      </c>
    </row>
    <row r="8895" spans="1:2" x14ac:dyDescent="0.2">
      <c r="A8895">
        <v>8889</v>
      </c>
      <c r="B8895">
        <v>0.49883306735331234</v>
      </c>
    </row>
    <row r="8896" spans="1:2" x14ac:dyDescent="0.2">
      <c r="A8896">
        <v>8890</v>
      </c>
      <c r="B8896">
        <v>0.28791801945449824</v>
      </c>
    </row>
    <row r="8897" spans="1:2" x14ac:dyDescent="0.2">
      <c r="A8897">
        <v>8891</v>
      </c>
      <c r="B8897">
        <v>0.56965382037446066</v>
      </c>
    </row>
    <row r="8898" spans="1:2" x14ac:dyDescent="0.2">
      <c r="A8898">
        <v>8892</v>
      </c>
      <c r="B8898">
        <v>7.6594423164444869E-2</v>
      </c>
    </row>
    <row r="8899" spans="1:2" x14ac:dyDescent="0.2">
      <c r="A8899">
        <v>8893</v>
      </c>
      <c r="B8899">
        <v>0.23371586512832609</v>
      </c>
    </row>
    <row r="8900" spans="1:2" x14ac:dyDescent="0.2">
      <c r="A8900">
        <v>8894</v>
      </c>
      <c r="B8900">
        <v>0.17582215205793861</v>
      </c>
    </row>
    <row r="8901" spans="1:2" x14ac:dyDescent="0.2">
      <c r="A8901">
        <v>8895</v>
      </c>
      <c r="B8901">
        <v>0.48019985869186099</v>
      </c>
    </row>
    <row r="8902" spans="1:2" x14ac:dyDescent="0.2">
      <c r="A8902">
        <v>8896</v>
      </c>
      <c r="B8902">
        <v>0.59490819010902052</v>
      </c>
    </row>
    <row r="8903" spans="1:2" x14ac:dyDescent="0.2">
      <c r="A8903">
        <v>8897</v>
      </c>
      <c r="B8903">
        <v>0.57108645757580523</v>
      </c>
    </row>
    <row r="8904" spans="1:2" x14ac:dyDescent="0.2">
      <c r="A8904">
        <v>8898</v>
      </c>
      <c r="B8904">
        <v>0.50040521230486346</v>
      </c>
    </row>
    <row r="8905" spans="1:2" x14ac:dyDescent="0.2">
      <c r="A8905">
        <v>8899</v>
      </c>
      <c r="B8905">
        <v>2.6785060424375118E-2</v>
      </c>
    </row>
    <row r="8906" spans="1:2" x14ac:dyDescent="0.2">
      <c r="A8906">
        <v>8900</v>
      </c>
      <c r="B8906">
        <v>0.82336805881055497</v>
      </c>
    </row>
    <row r="8907" spans="1:2" x14ac:dyDescent="0.2">
      <c r="A8907">
        <v>8901</v>
      </c>
      <c r="B8907">
        <v>0.27109671251495571</v>
      </c>
    </row>
    <row r="8908" spans="1:2" x14ac:dyDescent="0.2">
      <c r="A8908">
        <v>8902</v>
      </c>
      <c r="B8908">
        <v>0.42943486067869008</v>
      </c>
    </row>
    <row r="8909" spans="1:2" x14ac:dyDescent="0.2">
      <c r="A8909">
        <v>8903</v>
      </c>
      <c r="B8909">
        <v>0.97464473410594521</v>
      </c>
    </row>
    <row r="8910" spans="1:2" x14ac:dyDescent="0.2">
      <c r="A8910">
        <v>8904</v>
      </c>
      <c r="B8910">
        <v>0.29181633338284718</v>
      </c>
    </row>
    <row r="8911" spans="1:2" x14ac:dyDescent="0.2">
      <c r="A8911">
        <v>8905</v>
      </c>
      <c r="B8911">
        <v>0.71482079984269187</v>
      </c>
    </row>
    <row r="8912" spans="1:2" x14ac:dyDescent="0.2">
      <c r="A8912">
        <v>8906</v>
      </c>
      <c r="B8912">
        <v>0.91903593472947143</v>
      </c>
    </row>
    <row r="8913" spans="1:2" x14ac:dyDescent="0.2">
      <c r="A8913">
        <v>8907</v>
      </c>
      <c r="B8913">
        <v>0.60666679220720199</v>
      </c>
    </row>
    <row r="8914" spans="1:2" x14ac:dyDescent="0.2">
      <c r="A8914">
        <v>8908</v>
      </c>
      <c r="B8914">
        <v>0.74052115863214263</v>
      </c>
    </row>
    <row r="8915" spans="1:2" x14ac:dyDescent="0.2">
      <c r="A8915">
        <v>8909</v>
      </c>
      <c r="B8915">
        <v>0.50746764591792215</v>
      </c>
    </row>
    <row r="8916" spans="1:2" x14ac:dyDescent="0.2">
      <c r="A8916">
        <v>8910</v>
      </c>
      <c r="B8916">
        <v>0.4433726885799818</v>
      </c>
    </row>
    <row r="8917" spans="1:2" x14ac:dyDescent="0.2">
      <c r="A8917">
        <v>8911</v>
      </c>
      <c r="B8917">
        <v>0.16685555592630741</v>
      </c>
    </row>
    <row r="8918" spans="1:2" x14ac:dyDescent="0.2">
      <c r="A8918">
        <v>8912</v>
      </c>
      <c r="B8918">
        <v>7.8595667852048079E-2</v>
      </c>
    </row>
    <row r="8919" spans="1:2" x14ac:dyDescent="0.2">
      <c r="A8919">
        <v>8913</v>
      </c>
      <c r="B8919">
        <v>0.43276523102253028</v>
      </c>
    </row>
    <row r="8920" spans="1:2" x14ac:dyDescent="0.2">
      <c r="A8920">
        <v>8914</v>
      </c>
      <c r="B8920">
        <v>0.22387148211700136</v>
      </c>
    </row>
    <row r="8921" spans="1:2" x14ac:dyDescent="0.2">
      <c r="A8921">
        <v>8915</v>
      </c>
      <c r="B8921">
        <v>8.787434809478667E-2</v>
      </c>
    </row>
    <row r="8922" spans="1:2" x14ac:dyDescent="0.2">
      <c r="A8922">
        <v>8916</v>
      </c>
      <c r="B8922">
        <v>0.19776650062235679</v>
      </c>
    </row>
    <row r="8923" spans="1:2" x14ac:dyDescent="0.2">
      <c r="A8923">
        <v>8917</v>
      </c>
      <c r="B8923">
        <v>0.90653880145535326</v>
      </c>
    </row>
    <row r="8924" spans="1:2" x14ac:dyDescent="0.2">
      <c r="A8924">
        <v>8918</v>
      </c>
      <c r="B8924">
        <v>0.41223425073740616</v>
      </c>
    </row>
    <row r="8925" spans="1:2" x14ac:dyDescent="0.2">
      <c r="A8925">
        <v>8919</v>
      </c>
      <c r="B8925">
        <v>0.18713914111093122</v>
      </c>
    </row>
    <row r="8926" spans="1:2" x14ac:dyDescent="0.2">
      <c r="A8926">
        <v>8920</v>
      </c>
      <c r="B8926">
        <v>0.98032507303405636</v>
      </c>
    </row>
    <row r="8927" spans="1:2" x14ac:dyDescent="0.2">
      <c r="A8927">
        <v>8921</v>
      </c>
      <c r="B8927">
        <v>9.5989924364235257E-2</v>
      </c>
    </row>
    <row r="8928" spans="1:2" x14ac:dyDescent="0.2">
      <c r="A8928">
        <v>8922</v>
      </c>
      <c r="B8928">
        <v>8.451279739502171E-2</v>
      </c>
    </row>
    <row r="8929" spans="1:2" x14ac:dyDescent="0.2">
      <c r="A8929">
        <v>8923</v>
      </c>
      <c r="B8929">
        <v>0.65027977709849361</v>
      </c>
    </row>
    <row r="8930" spans="1:2" x14ac:dyDescent="0.2">
      <c r="A8930">
        <v>8924</v>
      </c>
      <c r="B8930">
        <v>0.19283029253876083</v>
      </c>
    </row>
    <row r="8931" spans="1:2" x14ac:dyDescent="0.2">
      <c r="A8931">
        <v>8925</v>
      </c>
      <c r="B8931">
        <v>0.64484701356474738</v>
      </c>
    </row>
    <row r="8932" spans="1:2" x14ac:dyDescent="0.2">
      <c r="A8932">
        <v>8926</v>
      </c>
      <c r="B8932">
        <v>0.96601636220252562</v>
      </c>
    </row>
    <row r="8933" spans="1:2" x14ac:dyDescent="0.2">
      <c r="A8933">
        <v>8927</v>
      </c>
      <c r="B8933">
        <v>0.22054595037461389</v>
      </c>
    </row>
    <row r="8934" spans="1:2" x14ac:dyDescent="0.2">
      <c r="A8934">
        <v>8928</v>
      </c>
      <c r="B8934">
        <v>0.54304497740660229</v>
      </c>
    </row>
    <row r="8935" spans="1:2" x14ac:dyDescent="0.2">
      <c r="A8935">
        <v>8929</v>
      </c>
      <c r="B8935">
        <v>0.74275316654056633</v>
      </c>
    </row>
    <row r="8936" spans="1:2" x14ac:dyDescent="0.2">
      <c r="A8936">
        <v>8930</v>
      </c>
      <c r="B8936">
        <v>0.9148821251314041</v>
      </c>
    </row>
    <row r="8937" spans="1:2" x14ac:dyDescent="0.2">
      <c r="A8937">
        <v>8931</v>
      </c>
      <c r="B8937">
        <v>0.79532363394130168</v>
      </c>
    </row>
    <row r="8938" spans="1:2" x14ac:dyDescent="0.2">
      <c r="A8938">
        <v>8932</v>
      </c>
      <c r="B8938">
        <v>0.56131408372510405</v>
      </c>
    </row>
    <row r="8939" spans="1:2" x14ac:dyDescent="0.2">
      <c r="A8939">
        <v>8933</v>
      </c>
      <c r="B8939">
        <v>0.47247420627138204</v>
      </c>
    </row>
    <row r="8940" spans="1:2" x14ac:dyDescent="0.2">
      <c r="A8940">
        <v>8934</v>
      </c>
      <c r="B8940">
        <v>0.7611251844997744</v>
      </c>
    </row>
    <row r="8941" spans="1:2" x14ac:dyDescent="0.2">
      <c r="A8941">
        <v>8935</v>
      </c>
      <c r="B8941">
        <v>0.95796561874670716</v>
      </c>
    </row>
    <row r="8942" spans="1:2" x14ac:dyDescent="0.2">
      <c r="A8942">
        <v>8936</v>
      </c>
      <c r="B8942">
        <v>0.72962990551595108</v>
      </c>
    </row>
    <row r="8943" spans="1:2" x14ac:dyDescent="0.2">
      <c r="A8943">
        <v>8937</v>
      </c>
      <c r="B8943">
        <v>0.29760889846000937</v>
      </c>
    </row>
    <row r="8944" spans="1:2" x14ac:dyDescent="0.2">
      <c r="A8944">
        <v>8938</v>
      </c>
      <c r="B8944">
        <v>0.86113307886445822</v>
      </c>
    </row>
    <row r="8945" spans="1:2" x14ac:dyDescent="0.2">
      <c r="A8945">
        <v>8939</v>
      </c>
      <c r="B8945">
        <v>0.4840532510471649</v>
      </c>
    </row>
    <row r="8946" spans="1:2" x14ac:dyDescent="0.2">
      <c r="A8946">
        <v>8940</v>
      </c>
      <c r="B8946">
        <v>0.36623047272102904</v>
      </c>
    </row>
    <row r="8947" spans="1:2" x14ac:dyDescent="0.2">
      <c r="A8947">
        <v>8941</v>
      </c>
      <c r="B8947">
        <v>0.70981060689761211</v>
      </c>
    </row>
    <row r="8948" spans="1:2" x14ac:dyDescent="0.2">
      <c r="A8948">
        <v>8942</v>
      </c>
      <c r="B8948">
        <v>0.63140401244491751</v>
      </c>
    </row>
    <row r="8949" spans="1:2" x14ac:dyDescent="0.2">
      <c r="A8949">
        <v>8943</v>
      </c>
      <c r="B8949">
        <v>0.50745065824859625</v>
      </c>
    </row>
    <row r="8950" spans="1:2" x14ac:dyDescent="0.2">
      <c r="A8950">
        <v>8944</v>
      </c>
      <c r="B8950">
        <v>0.71522378214993154</v>
      </c>
    </row>
    <row r="8951" spans="1:2" x14ac:dyDescent="0.2">
      <c r="A8951">
        <v>8945</v>
      </c>
      <c r="B8951">
        <v>0.9025167751074219</v>
      </c>
    </row>
    <row r="8952" spans="1:2" x14ac:dyDescent="0.2">
      <c r="A8952">
        <v>8946</v>
      </c>
      <c r="B8952">
        <v>0.20196548340606313</v>
      </c>
    </row>
    <row r="8953" spans="1:2" x14ac:dyDescent="0.2">
      <c r="A8953">
        <v>8947</v>
      </c>
      <c r="B8953">
        <v>0.25050959138887519</v>
      </c>
    </row>
    <row r="8954" spans="1:2" x14ac:dyDescent="0.2">
      <c r="A8954">
        <v>8948</v>
      </c>
      <c r="B8954">
        <v>0.50811974119300352</v>
      </c>
    </row>
    <row r="8955" spans="1:2" x14ac:dyDescent="0.2">
      <c r="A8955">
        <v>8949</v>
      </c>
      <c r="B8955">
        <v>0.93156105583197302</v>
      </c>
    </row>
    <row r="8956" spans="1:2" x14ac:dyDescent="0.2">
      <c r="A8956">
        <v>8950</v>
      </c>
      <c r="B8956">
        <v>0.90771928391615553</v>
      </c>
    </row>
    <row r="8957" spans="1:2" x14ac:dyDescent="0.2">
      <c r="A8957">
        <v>8951</v>
      </c>
      <c r="B8957">
        <v>0.54363810235381727</v>
      </c>
    </row>
    <row r="8958" spans="1:2" x14ac:dyDescent="0.2">
      <c r="A8958">
        <v>8952</v>
      </c>
      <c r="B8958">
        <v>0.78664366255625218</v>
      </c>
    </row>
    <row r="8959" spans="1:2" x14ac:dyDescent="0.2">
      <c r="A8959">
        <v>8953</v>
      </c>
      <c r="B8959">
        <v>0.68018771281903379</v>
      </c>
    </row>
    <row r="8960" spans="1:2" x14ac:dyDescent="0.2">
      <c r="A8960">
        <v>8954</v>
      </c>
      <c r="B8960">
        <v>0.65403268837631978</v>
      </c>
    </row>
    <row r="8961" spans="1:2" x14ac:dyDescent="0.2">
      <c r="A8961">
        <v>8955</v>
      </c>
      <c r="B8961">
        <v>3.6238088704085847E-3</v>
      </c>
    </row>
    <row r="8962" spans="1:2" x14ac:dyDescent="0.2">
      <c r="A8962">
        <v>8956</v>
      </c>
      <c r="B8962">
        <v>0.234023491376671</v>
      </c>
    </row>
    <row r="8963" spans="1:2" x14ac:dyDescent="0.2">
      <c r="A8963">
        <v>8957</v>
      </c>
      <c r="B8963">
        <v>0.52914250176901056</v>
      </c>
    </row>
    <row r="8964" spans="1:2" x14ac:dyDescent="0.2">
      <c r="A8964">
        <v>8958</v>
      </c>
      <c r="B8964">
        <v>0.31540127795137018</v>
      </c>
    </row>
    <row r="8965" spans="1:2" x14ac:dyDescent="0.2">
      <c r="A8965">
        <v>8959</v>
      </c>
      <c r="B8965">
        <v>0.19811402335543282</v>
      </c>
    </row>
    <row r="8966" spans="1:2" x14ac:dyDescent="0.2">
      <c r="A8966">
        <v>8960</v>
      </c>
      <c r="B8966">
        <v>0.35026330041460008</v>
      </c>
    </row>
    <row r="8967" spans="1:2" x14ac:dyDescent="0.2">
      <c r="A8967">
        <v>8961</v>
      </c>
      <c r="B8967">
        <v>0.72386882584941969</v>
      </c>
    </row>
    <row r="8968" spans="1:2" x14ac:dyDescent="0.2">
      <c r="A8968">
        <v>8962</v>
      </c>
      <c r="B8968">
        <v>5.7188718677251282E-2</v>
      </c>
    </row>
    <row r="8969" spans="1:2" x14ac:dyDescent="0.2">
      <c r="A8969">
        <v>8963</v>
      </c>
      <c r="B8969">
        <v>0.41188946792508652</v>
      </c>
    </row>
    <row r="8970" spans="1:2" x14ac:dyDescent="0.2">
      <c r="A8970">
        <v>8964</v>
      </c>
      <c r="B8970">
        <v>7.9385939092409097E-2</v>
      </c>
    </row>
    <row r="8971" spans="1:2" x14ac:dyDescent="0.2">
      <c r="A8971">
        <v>8965</v>
      </c>
      <c r="B8971">
        <v>0.28036271557990189</v>
      </c>
    </row>
    <row r="8972" spans="1:2" x14ac:dyDescent="0.2">
      <c r="A8972">
        <v>8966</v>
      </c>
      <c r="B8972">
        <v>0.82860374131298842</v>
      </c>
    </row>
    <row r="8973" spans="1:2" x14ac:dyDescent="0.2">
      <c r="A8973">
        <v>8967</v>
      </c>
      <c r="B8973">
        <v>0.66852778251650735</v>
      </c>
    </row>
    <row r="8974" spans="1:2" x14ac:dyDescent="0.2">
      <c r="A8974">
        <v>8968</v>
      </c>
      <c r="B8974">
        <v>0.38025405689887914</v>
      </c>
    </row>
    <row r="8975" spans="1:2" x14ac:dyDescent="0.2">
      <c r="A8975">
        <v>8969</v>
      </c>
      <c r="B8975">
        <v>0.51402887468342318</v>
      </c>
    </row>
    <row r="8976" spans="1:2" x14ac:dyDescent="0.2">
      <c r="A8976">
        <v>8970</v>
      </c>
      <c r="B8976">
        <v>0.35559211379863864</v>
      </c>
    </row>
    <row r="8977" spans="1:2" x14ac:dyDescent="0.2">
      <c r="A8977">
        <v>8971</v>
      </c>
      <c r="B8977">
        <v>0.38731329596671027</v>
      </c>
    </row>
    <row r="8978" spans="1:2" x14ac:dyDescent="0.2">
      <c r="A8978">
        <v>8972</v>
      </c>
      <c r="B8978">
        <v>0.11985398759891697</v>
      </c>
    </row>
    <row r="8979" spans="1:2" x14ac:dyDescent="0.2">
      <c r="A8979">
        <v>8973</v>
      </c>
      <c r="B8979">
        <v>0.293901641541504</v>
      </c>
    </row>
    <row r="8980" spans="1:2" x14ac:dyDescent="0.2">
      <c r="A8980">
        <v>8974</v>
      </c>
      <c r="B8980">
        <v>0.81980155565282009</v>
      </c>
    </row>
    <row r="8981" spans="1:2" x14ac:dyDescent="0.2">
      <c r="A8981">
        <v>8975</v>
      </c>
      <c r="B8981">
        <v>3.2437406146689773E-2</v>
      </c>
    </row>
    <row r="8982" spans="1:2" x14ac:dyDescent="0.2">
      <c r="A8982">
        <v>8976</v>
      </c>
      <c r="B8982">
        <v>0.41196549562022977</v>
      </c>
    </row>
    <row r="8983" spans="1:2" x14ac:dyDescent="0.2">
      <c r="A8983">
        <v>8977</v>
      </c>
      <c r="B8983">
        <v>0.60256039184888643</v>
      </c>
    </row>
    <row r="8984" spans="1:2" x14ac:dyDescent="0.2">
      <c r="A8984">
        <v>8978</v>
      </c>
      <c r="B8984">
        <v>0.87144853457543747</v>
      </c>
    </row>
    <row r="8985" spans="1:2" x14ac:dyDescent="0.2">
      <c r="A8985">
        <v>8979</v>
      </c>
      <c r="B8985">
        <v>0.53459055521170584</v>
      </c>
    </row>
    <row r="8986" spans="1:2" x14ac:dyDescent="0.2">
      <c r="A8986">
        <v>8980</v>
      </c>
      <c r="B8986">
        <v>0.86411939099064405</v>
      </c>
    </row>
    <row r="8987" spans="1:2" x14ac:dyDescent="0.2">
      <c r="A8987">
        <v>8981</v>
      </c>
      <c r="B8987">
        <v>0.58903688992595382</v>
      </c>
    </row>
    <row r="8988" spans="1:2" x14ac:dyDescent="0.2">
      <c r="A8988">
        <v>8982</v>
      </c>
      <c r="B8988">
        <v>0.2667818293487586</v>
      </c>
    </row>
    <row r="8989" spans="1:2" x14ac:dyDescent="0.2">
      <c r="A8989">
        <v>8983</v>
      </c>
      <c r="B8989">
        <v>0.61384114139673451</v>
      </c>
    </row>
    <row r="8990" spans="1:2" x14ac:dyDescent="0.2">
      <c r="A8990">
        <v>8984</v>
      </c>
      <c r="B8990">
        <v>0.18167993361115842</v>
      </c>
    </row>
    <row r="8991" spans="1:2" x14ac:dyDescent="0.2">
      <c r="A8991">
        <v>8985</v>
      </c>
      <c r="B8991">
        <v>0.43632586275824414</v>
      </c>
    </row>
    <row r="8992" spans="1:2" x14ac:dyDescent="0.2">
      <c r="A8992">
        <v>8986</v>
      </c>
      <c r="B8992">
        <v>8.0237380607660835E-2</v>
      </c>
    </row>
    <row r="8993" spans="1:2" x14ac:dyDescent="0.2">
      <c r="A8993">
        <v>8987</v>
      </c>
      <c r="B8993">
        <v>0.30566725797101246</v>
      </c>
    </row>
    <row r="8994" spans="1:2" x14ac:dyDescent="0.2">
      <c r="A8994">
        <v>8988</v>
      </c>
      <c r="B8994">
        <v>0.27859143458535574</v>
      </c>
    </row>
    <row r="8995" spans="1:2" x14ac:dyDescent="0.2">
      <c r="A8995">
        <v>8989</v>
      </c>
      <c r="B8995">
        <v>0.60651389263843836</v>
      </c>
    </row>
    <row r="8996" spans="1:2" x14ac:dyDescent="0.2">
      <c r="A8996">
        <v>8990</v>
      </c>
      <c r="B8996">
        <v>0.19853617658053901</v>
      </c>
    </row>
    <row r="8997" spans="1:2" x14ac:dyDescent="0.2">
      <c r="A8997">
        <v>8991</v>
      </c>
      <c r="B8997">
        <v>0.52335365510481469</v>
      </c>
    </row>
    <row r="8998" spans="1:2" x14ac:dyDescent="0.2">
      <c r="A8998">
        <v>8992</v>
      </c>
      <c r="B8998">
        <v>0.29144857406831814</v>
      </c>
    </row>
    <row r="8999" spans="1:2" x14ac:dyDescent="0.2">
      <c r="A8999">
        <v>8993</v>
      </c>
      <c r="B8999">
        <v>0.81678372536893029</v>
      </c>
    </row>
    <row r="9000" spans="1:2" x14ac:dyDescent="0.2">
      <c r="A9000">
        <v>8994</v>
      </c>
      <c r="B9000">
        <v>0.38445449066590665</v>
      </c>
    </row>
    <row r="9001" spans="1:2" x14ac:dyDescent="0.2">
      <c r="A9001">
        <v>8995</v>
      </c>
      <c r="B9001">
        <v>0.4291816355691449</v>
      </c>
    </row>
    <row r="9002" spans="1:2" x14ac:dyDescent="0.2">
      <c r="A9002">
        <v>8996</v>
      </c>
      <c r="B9002">
        <v>0.86250788585704274</v>
      </c>
    </row>
    <row r="9003" spans="1:2" x14ac:dyDescent="0.2">
      <c r="A9003">
        <v>8997</v>
      </c>
      <c r="B9003">
        <v>0.79325458024685558</v>
      </c>
    </row>
    <row r="9004" spans="1:2" x14ac:dyDescent="0.2">
      <c r="A9004">
        <v>8998</v>
      </c>
      <c r="B9004">
        <v>0.59752827871989089</v>
      </c>
    </row>
    <row r="9005" spans="1:2" x14ac:dyDescent="0.2">
      <c r="A9005">
        <v>8999</v>
      </c>
      <c r="B9005">
        <v>0.44284406343099003</v>
      </c>
    </row>
    <row r="9006" spans="1:2" x14ac:dyDescent="0.2">
      <c r="A9006">
        <v>9000</v>
      </c>
      <c r="B9006">
        <v>6.4676589902997739E-2</v>
      </c>
    </row>
    <row r="9007" spans="1:2" x14ac:dyDescent="0.2">
      <c r="A9007">
        <v>9001</v>
      </c>
      <c r="B9007">
        <v>0.68653819649118131</v>
      </c>
    </row>
    <row r="9008" spans="1:2" x14ac:dyDescent="0.2">
      <c r="A9008">
        <v>9002</v>
      </c>
      <c r="B9008">
        <v>0.92720956011390021</v>
      </c>
    </row>
    <row r="9009" spans="1:2" x14ac:dyDescent="0.2">
      <c r="A9009">
        <v>9003</v>
      </c>
      <c r="B9009">
        <v>0.26040908957648923</v>
      </c>
    </row>
    <row r="9010" spans="1:2" x14ac:dyDescent="0.2">
      <c r="A9010">
        <v>9004</v>
      </c>
      <c r="B9010">
        <v>0.79572659367991383</v>
      </c>
    </row>
    <row r="9011" spans="1:2" x14ac:dyDescent="0.2">
      <c r="A9011">
        <v>9005</v>
      </c>
      <c r="B9011">
        <v>0.81823337997310497</v>
      </c>
    </row>
    <row r="9012" spans="1:2" x14ac:dyDescent="0.2">
      <c r="A9012">
        <v>9006</v>
      </c>
      <c r="B9012">
        <v>0.63137218452841459</v>
      </c>
    </row>
    <row r="9013" spans="1:2" x14ac:dyDescent="0.2">
      <c r="A9013">
        <v>9007</v>
      </c>
      <c r="B9013">
        <v>0.2158671614428721</v>
      </c>
    </row>
    <row r="9014" spans="1:2" x14ac:dyDescent="0.2">
      <c r="A9014">
        <v>9008</v>
      </c>
      <c r="B9014">
        <v>0.83299251381954997</v>
      </c>
    </row>
    <row r="9015" spans="1:2" x14ac:dyDescent="0.2">
      <c r="A9015">
        <v>9009</v>
      </c>
      <c r="B9015">
        <v>0.85462785895941873</v>
      </c>
    </row>
    <row r="9016" spans="1:2" x14ac:dyDescent="0.2">
      <c r="A9016">
        <v>9010</v>
      </c>
      <c r="B9016">
        <v>0.63661593453082244</v>
      </c>
    </row>
    <row r="9017" spans="1:2" x14ac:dyDescent="0.2">
      <c r="A9017">
        <v>9011</v>
      </c>
      <c r="B9017">
        <v>0.97803326784908451</v>
      </c>
    </row>
    <row r="9018" spans="1:2" x14ac:dyDescent="0.2">
      <c r="A9018">
        <v>9012</v>
      </c>
      <c r="B9018">
        <v>0.26948635519866981</v>
      </c>
    </row>
    <row r="9019" spans="1:2" x14ac:dyDescent="0.2">
      <c r="A9019">
        <v>9013</v>
      </c>
      <c r="B9019">
        <v>0.97121301739336208</v>
      </c>
    </row>
    <row r="9020" spans="1:2" x14ac:dyDescent="0.2">
      <c r="A9020">
        <v>9014</v>
      </c>
      <c r="B9020">
        <v>0.8345399223810831</v>
      </c>
    </row>
    <row r="9021" spans="1:2" x14ac:dyDescent="0.2">
      <c r="A9021">
        <v>9015</v>
      </c>
      <c r="B9021">
        <v>0.39653583041017537</v>
      </c>
    </row>
    <row r="9022" spans="1:2" x14ac:dyDescent="0.2">
      <c r="A9022">
        <v>9016</v>
      </c>
      <c r="B9022">
        <v>4.080239883996184E-2</v>
      </c>
    </row>
    <row r="9023" spans="1:2" x14ac:dyDescent="0.2">
      <c r="A9023">
        <v>9017</v>
      </c>
      <c r="B9023">
        <v>0.36098802269732988</v>
      </c>
    </row>
    <row r="9024" spans="1:2" x14ac:dyDescent="0.2">
      <c r="A9024">
        <v>9018</v>
      </c>
      <c r="B9024">
        <v>0.37450782766910085</v>
      </c>
    </row>
    <row r="9025" spans="1:2" x14ac:dyDescent="0.2">
      <c r="A9025">
        <v>9019</v>
      </c>
      <c r="B9025">
        <v>0.74242686799666668</v>
      </c>
    </row>
    <row r="9026" spans="1:2" x14ac:dyDescent="0.2">
      <c r="A9026">
        <v>9020</v>
      </c>
      <c r="B9026">
        <v>0.1064825319848739</v>
      </c>
    </row>
    <row r="9027" spans="1:2" x14ac:dyDescent="0.2">
      <c r="A9027">
        <v>9021</v>
      </c>
      <c r="B9027">
        <v>0.76781779844964915</v>
      </c>
    </row>
    <row r="9028" spans="1:2" x14ac:dyDescent="0.2">
      <c r="A9028">
        <v>9022</v>
      </c>
      <c r="B9028">
        <v>0.7939080877755974</v>
      </c>
    </row>
    <row r="9029" spans="1:2" x14ac:dyDescent="0.2">
      <c r="A9029">
        <v>9023</v>
      </c>
      <c r="B9029">
        <v>0.59629067373159272</v>
      </c>
    </row>
    <row r="9030" spans="1:2" x14ac:dyDescent="0.2">
      <c r="A9030">
        <v>9024</v>
      </c>
      <c r="B9030">
        <v>0.19616615481714395</v>
      </c>
    </row>
    <row r="9031" spans="1:2" x14ac:dyDescent="0.2">
      <c r="A9031">
        <v>9025</v>
      </c>
      <c r="B9031">
        <v>0.51430638726703515</v>
      </c>
    </row>
    <row r="9032" spans="1:2" x14ac:dyDescent="0.2">
      <c r="A9032">
        <v>9026</v>
      </c>
      <c r="B9032">
        <v>0.42647449538486693</v>
      </c>
    </row>
    <row r="9033" spans="1:2" x14ac:dyDescent="0.2">
      <c r="A9033">
        <v>9027</v>
      </c>
      <c r="B9033">
        <v>0.2544577517416412</v>
      </c>
    </row>
    <row r="9034" spans="1:2" x14ac:dyDescent="0.2">
      <c r="A9034">
        <v>9028</v>
      </c>
      <c r="B9034">
        <v>0.95895535294711454</v>
      </c>
    </row>
    <row r="9035" spans="1:2" x14ac:dyDescent="0.2">
      <c r="A9035">
        <v>9029</v>
      </c>
      <c r="B9035">
        <v>0.285886009152998</v>
      </c>
    </row>
    <row r="9036" spans="1:2" x14ac:dyDescent="0.2">
      <c r="A9036">
        <v>9030</v>
      </c>
      <c r="B9036">
        <v>0.34281959285167862</v>
      </c>
    </row>
    <row r="9037" spans="1:2" x14ac:dyDescent="0.2">
      <c r="A9037">
        <v>9031</v>
      </c>
      <c r="B9037">
        <v>0.13574362346786983</v>
      </c>
    </row>
    <row r="9038" spans="1:2" x14ac:dyDescent="0.2">
      <c r="A9038">
        <v>9032</v>
      </c>
      <c r="B9038">
        <v>0.96245597967012975</v>
      </c>
    </row>
    <row r="9039" spans="1:2" x14ac:dyDescent="0.2">
      <c r="A9039">
        <v>9033</v>
      </c>
      <c r="B9039">
        <v>0.10866661750452133</v>
      </c>
    </row>
    <row r="9040" spans="1:2" x14ac:dyDescent="0.2">
      <c r="A9040">
        <v>9034</v>
      </c>
      <c r="B9040">
        <v>0.36547084626116677</v>
      </c>
    </row>
    <row r="9041" spans="1:2" x14ac:dyDescent="0.2">
      <c r="A9041">
        <v>9035</v>
      </c>
      <c r="B9041">
        <v>0.47239425847967031</v>
      </c>
    </row>
    <row r="9042" spans="1:2" x14ac:dyDescent="0.2">
      <c r="A9042">
        <v>9036</v>
      </c>
      <c r="B9042">
        <v>0.47365905323890511</v>
      </c>
    </row>
    <row r="9043" spans="1:2" x14ac:dyDescent="0.2">
      <c r="A9043">
        <v>9037</v>
      </c>
      <c r="B9043">
        <v>0.4932889004938974</v>
      </c>
    </row>
    <row r="9044" spans="1:2" x14ac:dyDescent="0.2">
      <c r="A9044">
        <v>9038</v>
      </c>
      <c r="B9044">
        <v>0.34612945386459126</v>
      </c>
    </row>
    <row r="9045" spans="1:2" x14ac:dyDescent="0.2">
      <c r="A9045">
        <v>9039</v>
      </c>
      <c r="B9045">
        <v>0.97360093628287392</v>
      </c>
    </row>
    <row r="9046" spans="1:2" x14ac:dyDescent="0.2">
      <c r="A9046">
        <v>9040</v>
      </c>
      <c r="B9046">
        <v>0.81048844311822754</v>
      </c>
    </row>
    <row r="9047" spans="1:2" x14ac:dyDescent="0.2">
      <c r="A9047">
        <v>9041</v>
      </c>
      <c r="B9047">
        <v>0.96497125409297968</v>
      </c>
    </row>
    <row r="9048" spans="1:2" x14ac:dyDescent="0.2">
      <c r="A9048">
        <v>9042</v>
      </c>
      <c r="B9048">
        <v>0.70581564497762828</v>
      </c>
    </row>
    <row r="9049" spans="1:2" x14ac:dyDescent="0.2">
      <c r="A9049">
        <v>9043</v>
      </c>
      <c r="B9049">
        <v>0.80923988098358324</v>
      </c>
    </row>
    <row r="9050" spans="1:2" x14ac:dyDescent="0.2">
      <c r="A9050">
        <v>9044</v>
      </c>
      <c r="B9050">
        <v>0.50117862927520251</v>
      </c>
    </row>
    <row r="9051" spans="1:2" x14ac:dyDescent="0.2">
      <c r="A9051">
        <v>9045</v>
      </c>
      <c r="B9051">
        <v>0.88900956834048905</v>
      </c>
    </row>
    <row r="9052" spans="1:2" x14ac:dyDescent="0.2">
      <c r="A9052">
        <v>9046</v>
      </c>
      <c r="B9052">
        <v>0.93356344753247456</v>
      </c>
    </row>
    <row r="9053" spans="1:2" x14ac:dyDescent="0.2">
      <c r="A9053">
        <v>9047</v>
      </c>
      <c r="B9053">
        <v>0.5602290899081781</v>
      </c>
    </row>
    <row r="9054" spans="1:2" x14ac:dyDescent="0.2">
      <c r="A9054">
        <v>9048</v>
      </c>
      <c r="B9054">
        <v>0.70951219721212277</v>
      </c>
    </row>
    <row r="9055" spans="1:2" x14ac:dyDescent="0.2">
      <c r="A9055">
        <v>9049</v>
      </c>
      <c r="B9055">
        <v>0.86542199551669707</v>
      </c>
    </row>
    <row r="9056" spans="1:2" x14ac:dyDescent="0.2">
      <c r="A9056">
        <v>9050</v>
      </c>
      <c r="B9056">
        <v>0.79330935013521209</v>
      </c>
    </row>
    <row r="9057" spans="1:2" x14ac:dyDescent="0.2">
      <c r="A9057">
        <v>9051</v>
      </c>
      <c r="B9057">
        <v>1.6790232638477232E-2</v>
      </c>
    </row>
    <row r="9058" spans="1:2" x14ac:dyDescent="0.2">
      <c r="A9058">
        <v>9052</v>
      </c>
      <c r="B9058">
        <v>0.44805896365224207</v>
      </c>
    </row>
    <row r="9059" spans="1:2" x14ac:dyDescent="0.2">
      <c r="A9059">
        <v>9053</v>
      </c>
      <c r="B9059">
        <v>0.80556744160332605</v>
      </c>
    </row>
    <row r="9060" spans="1:2" x14ac:dyDescent="0.2">
      <c r="A9060">
        <v>9054</v>
      </c>
      <c r="B9060">
        <v>0.21018714386323745</v>
      </c>
    </row>
    <row r="9061" spans="1:2" x14ac:dyDescent="0.2">
      <c r="A9061">
        <v>9055</v>
      </c>
      <c r="B9061">
        <v>0.81049099005325598</v>
      </c>
    </row>
    <row r="9062" spans="1:2" x14ac:dyDescent="0.2">
      <c r="A9062">
        <v>9056</v>
      </c>
      <c r="B9062">
        <v>0.31534909004353195</v>
      </c>
    </row>
    <row r="9063" spans="1:2" x14ac:dyDescent="0.2">
      <c r="A9063">
        <v>9057</v>
      </c>
      <c r="B9063">
        <v>0.73256732057055984</v>
      </c>
    </row>
    <row r="9064" spans="1:2" x14ac:dyDescent="0.2">
      <c r="A9064">
        <v>9058</v>
      </c>
      <c r="B9064">
        <v>4.0918682977224341E-2</v>
      </c>
    </row>
    <row r="9065" spans="1:2" x14ac:dyDescent="0.2">
      <c r="A9065">
        <v>9059</v>
      </c>
      <c r="B9065">
        <v>0.24044089984472228</v>
      </c>
    </row>
    <row r="9066" spans="1:2" x14ac:dyDescent="0.2">
      <c r="A9066">
        <v>9060</v>
      </c>
      <c r="B9066">
        <v>0.28451892577946103</v>
      </c>
    </row>
    <row r="9067" spans="1:2" x14ac:dyDescent="0.2">
      <c r="A9067">
        <v>9061</v>
      </c>
      <c r="B9067">
        <v>0.22223669986012284</v>
      </c>
    </row>
    <row r="9068" spans="1:2" x14ac:dyDescent="0.2">
      <c r="A9068">
        <v>9062</v>
      </c>
      <c r="B9068">
        <v>0.45160461466538726</v>
      </c>
    </row>
    <row r="9069" spans="1:2" x14ac:dyDescent="0.2">
      <c r="A9069">
        <v>9063</v>
      </c>
      <c r="B9069">
        <v>9.2101162514191093E-2</v>
      </c>
    </row>
    <row r="9070" spans="1:2" x14ac:dyDescent="0.2">
      <c r="A9070">
        <v>9064</v>
      </c>
      <c r="B9070">
        <v>0.72551160099365064</v>
      </c>
    </row>
    <row r="9071" spans="1:2" x14ac:dyDescent="0.2">
      <c r="A9071">
        <v>9065</v>
      </c>
      <c r="B9071">
        <v>0.9822327457830623</v>
      </c>
    </row>
    <row r="9072" spans="1:2" x14ac:dyDescent="0.2">
      <c r="A9072">
        <v>9066</v>
      </c>
      <c r="B9072">
        <v>0.47054602667320133</v>
      </c>
    </row>
    <row r="9073" spans="1:2" x14ac:dyDescent="0.2">
      <c r="A9073">
        <v>9067</v>
      </c>
      <c r="B9073">
        <v>0.66894093890369299</v>
      </c>
    </row>
    <row r="9074" spans="1:2" x14ac:dyDescent="0.2">
      <c r="A9074">
        <v>9068</v>
      </c>
      <c r="B9074">
        <v>0.88330862614526096</v>
      </c>
    </row>
    <row r="9075" spans="1:2" x14ac:dyDescent="0.2">
      <c r="A9075">
        <v>9069</v>
      </c>
      <c r="B9075">
        <v>0.41805938126350328</v>
      </c>
    </row>
    <row r="9076" spans="1:2" x14ac:dyDescent="0.2">
      <c r="A9076">
        <v>9070</v>
      </c>
      <c r="B9076">
        <v>3.4123321258261674E-2</v>
      </c>
    </row>
    <row r="9077" spans="1:2" x14ac:dyDescent="0.2">
      <c r="A9077">
        <v>9071</v>
      </c>
      <c r="B9077">
        <v>0.7054384000854752</v>
      </c>
    </row>
    <row r="9078" spans="1:2" x14ac:dyDescent="0.2">
      <c r="A9078">
        <v>9072</v>
      </c>
      <c r="B9078">
        <v>0.17427548108944446</v>
      </c>
    </row>
    <row r="9079" spans="1:2" x14ac:dyDescent="0.2">
      <c r="A9079">
        <v>9073</v>
      </c>
      <c r="B9079">
        <v>0.16383384079581698</v>
      </c>
    </row>
    <row r="9080" spans="1:2" x14ac:dyDescent="0.2">
      <c r="A9080">
        <v>9074</v>
      </c>
      <c r="B9080">
        <v>0.78959962940139883</v>
      </c>
    </row>
    <row r="9081" spans="1:2" x14ac:dyDescent="0.2">
      <c r="A9081">
        <v>9075</v>
      </c>
      <c r="B9081">
        <v>0.14928273346421816</v>
      </c>
    </row>
    <row r="9082" spans="1:2" x14ac:dyDescent="0.2">
      <c r="A9082">
        <v>9076</v>
      </c>
      <c r="B9082">
        <v>0.87491171916866717</v>
      </c>
    </row>
    <row r="9083" spans="1:2" x14ac:dyDescent="0.2">
      <c r="A9083">
        <v>9077</v>
      </c>
      <c r="B9083">
        <v>0.51962659981668169</v>
      </c>
    </row>
    <row r="9084" spans="1:2" x14ac:dyDescent="0.2">
      <c r="A9084">
        <v>9078</v>
      </c>
      <c r="B9084">
        <v>0.39304687911611258</v>
      </c>
    </row>
    <row r="9085" spans="1:2" x14ac:dyDescent="0.2">
      <c r="A9085">
        <v>9079</v>
      </c>
      <c r="B9085">
        <v>0.90722527331447389</v>
      </c>
    </row>
    <row r="9086" spans="1:2" x14ac:dyDescent="0.2">
      <c r="A9086">
        <v>9080</v>
      </c>
      <c r="B9086">
        <v>0.44699348860891985</v>
      </c>
    </row>
    <row r="9087" spans="1:2" x14ac:dyDescent="0.2">
      <c r="A9087">
        <v>9081</v>
      </c>
      <c r="B9087">
        <v>0.15173850034625103</v>
      </c>
    </row>
    <row r="9088" spans="1:2" x14ac:dyDescent="0.2">
      <c r="A9088">
        <v>9082</v>
      </c>
      <c r="B9088">
        <v>0.65977348390928903</v>
      </c>
    </row>
    <row r="9089" spans="1:2" x14ac:dyDescent="0.2">
      <c r="A9089">
        <v>9083</v>
      </c>
      <c r="B9089">
        <v>0.66546490815317061</v>
      </c>
    </row>
    <row r="9090" spans="1:2" x14ac:dyDescent="0.2">
      <c r="A9090">
        <v>9084</v>
      </c>
      <c r="B9090">
        <v>0.25046448221012341</v>
      </c>
    </row>
    <row r="9091" spans="1:2" x14ac:dyDescent="0.2">
      <c r="A9091">
        <v>9085</v>
      </c>
      <c r="B9091">
        <v>0.36149165938250161</v>
      </c>
    </row>
    <row r="9092" spans="1:2" x14ac:dyDescent="0.2">
      <c r="A9092">
        <v>9086</v>
      </c>
      <c r="B9092">
        <v>0.37583007804228619</v>
      </c>
    </row>
    <row r="9093" spans="1:2" x14ac:dyDescent="0.2">
      <c r="A9093">
        <v>9087</v>
      </c>
      <c r="B9093">
        <v>4.6183870456885656E-2</v>
      </c>
    </row>
    <row r="9094" spans="1:2" x14ac:dyDescent="0.2">
      <c r="A9094">
        <v>9088</v>
      </c>
      <c r="B9094">
        <v>0.49440812418804125</v>
      </c>
    </row>
    <row r="9095" spans="1:2" x14ac:dyDescent="0.2">
      <c r="A9095">
        <v>9089</v>
      </c>
      <c r="B9095">
        <v>0.22615287459774591</v>
      </c>
    </row>
    <row r="9096" spans="1:2" x14ac:dyDescent="0.2">
      <c r="A9096">
        <v>9090</v>
      </c>
      <c r="B9096">
        <v>0.33067878335545486</v>
      </c>
    </row>
    <row r="9097" spans="1:2" x14ac:dyDescent="0.2">
      <c r="A9097">
        <v>9091</v>
      </c>
      <c r="B9097">
        <v>0.24604715233526975</v>
      </c>
    </row>
    <row r="9098" spans="1:2" x14ac:dyDescent="0.2">
      <c r="A9098">
        <v>9092</v>
      </c>
      <c r="B9098">
        <v>0.88587982224354878</v>
      </c>
    </row>
    <row r="9099" spans="1:2" x14ac:dyDescent="0.2">
      <c r="A9099">
        <v>9093</v>
      </c>
      <c r="B9099">
        <v>0.1500627546696679</v>
      </c>
    </row>
    <row r="9100" spans="1:2" x14ac:dyDescent="0.2">
      <c r="A9100">
        <v>9094</v>
      </c>
      <c r="B9100">
        <v>0.51149043553192564</v>
      </c>
    </row>
    <row r="9101" spans="1:2" x14ac:dyDescent="0.2">
      <c r="A9101">
        <v>9095</v>
      </c>
      <c r="B9101">
        <v>0.97612592907101681</v>
      </c>
    </row>
    <row r="9102" spans="1:2" x14ac:dyDescent="0.2">
      <c r="A9102">
        <v>9096</v>
      </c>
      <c r="B9102">
        <v>0.20233004382656228</v>
      </c>
    </row>
    <row r="9103" spans="1:2" x14ac:dyDescent="0.2">
      <c r="A9103">
        <v>9097</v>
      </c>
      <c r="B9103">
        <v>0.23099744001219469</v>
      </c>
    </row>
    <row r="9104" spans="1:2" x14ac:dyDescent="0.2">
      <c r="A9104">
        <v>9098</v>
      </c>
      <c r="B9104">
        <v>0.89566822871768681</v>
      </c>
    </row>
    <row r="9105" spans="1:2" x14ac:dyDescent="0.2">
      <c r="A9105">
        <v>9099</v>
      </c>
      <c r="B9105">
        <v>0.15498890976934787</v>
      </c>
    </row>
    <row r="9106" spans="1:2" x14ac:dyDescent="0.2">
      <c r="A9106">
        <v>9100</v>
      </c>
      <c r="B9106">
        <v>9.7154465800448842E-2</v>
      </c>
    </row>
    <row r="9107" spans="1:2" x14ac:dyDescent="0.2">
      <c r="A9107">
        <v>9101</v>
      </c>
      <c r="B9107">
        <v>0.27465221847921817</v>
      </c>
    </row>
    <row r="9108" spans="1:2" x14ac:dyDescent="0.2">
      <c r="A9108">
        <v>9102</v>
      </c>
      <c r="B9108">
        <v>6.0883124672218569E-2</v>
      </c>
    </row>
    <row r="9109" spans="1:2" x14ac:dyDescent="0.2">
      <c r="A9109">
        <v>9103</v>
      </c>
      <c r="B9109">
        <v>0.7861510110574782</v>
      </c>
    </row>
    <row r="9110" spans="1:2" x14ac:dyDescent="0.2">
      <c r="A9110">
        <v>9104</v>
      </c>
      <c r="B9110">
        <v>0.26154034979785157</v>
      </c>
    </row>
    <row r="9111" spans="1:2" x14ac:dyDescent="0.2">
      <c r="A9111">
        <v>9105</v>
      </c>
      <c r="B9111">
        <v>0.75835157126335084</v>
      </c>
    </row>
    <row r="9112" spans="1:2" x14ac:dyDescent="0.2">
      <c r="A9112">
        <v>9106</v>
      </c>
      <c r="B9112">
        <v>0.81408487617454117</v>
      </c>
    </row>
    <row r="9113" spans="1:2" x14ac:dyDescent="0.2">
      <c r="A9113">
        <v>9107</v>
      </c>
      <c r="B9113">
        <v>0.76234516780505435</v>
      </c>
    </row>
    <row r="9114" spans="1:2" x14ac:dyDescent="0.2">
      <c r="A9114">
        <v>9108</v>
      </c>
      <c r="B9114">
        <v>0.49336668776920678</v>
      </c>
    </row>
    <row r="9115" spans="1:2" x14ac:dyDescent="0.2">
      <c r="A9115">
        <v>9109</v>
      </c>
      <c r="B9115">
        <v>0.27432820774115318</v>
      </c>
    </row>
    <row r="9116" spans="1:2" x14ac:dyDescent="0.2">
      <c r="A9116">
        <v>9110</v>
      </c>
      <c r="B9116">
        <v>0.20098326101731001</v>
      </c>
    </row>
    <row r="9117" spans="1:2" x14ac:dyDescent="0.2">
      <c r="A9117">
        <v>9111</v>
      </c>
      <c r="B9117">
        <v>0.78689626075180952</v>
      </c>
    </row>
    <row r="9118" spans="1:2" x14ac:dyDescent="0.2">
      <c r="A9118">
        <v>9112</v>
      </c>
      <c r="B9118">
        <v>0.38245685775296934</v>
      </c>
    </row>
    <row r="9119" spans="1:2" x14ac:dyDescent="0.2">
      <c r="A9119">
        <v>9113</v>
      </c>
      <c r="B9119">
        <v>0.79188830717484515</v>
      </c>
    </row>
    <row r="9120" spans="1:2" x14ac:dyDescent="0.2">
      <c r="A9120">
        <v>9114</v>
      </c>
      <c r="B9120">
        <v>0.91432155022345196</v>
      </c>
    </row>
    <row r="9121" spans="1:2" x14ac:dyDescent="0.2">
      <c r="A9121">
        <v>9115</v>
      </c>
      <c r="B9121">
        <v>0.52002159515011925</v>
      </c>
    </row>
    <row r="9122" spans="1:2" x14ac:dyDescent="0.2">
      <c r="A9122">
        <v>9116</v>
      </c>
      <c r="B9122">
        <v>0.76523995289191227</v>
      </c>
    </row>
    <row r="9123" spans="1:2" x14ac:dyDescent="0.2">
      <c r="A9123">
        <v>9117</v>
      </c>
      <c r="B9123">
        <v>0.4147600061191572</v>
      </c>
    </row>
    <row r="9124" spans="1:2" x14ac:dyDescent="0.2">
      <c r="A9124">
        <v>9118</v>
      </c>
      <c r="B9124">
        <v>0.7821002507654975</v>
      </c>
    </row>
    <row r="9125" spans="1:2" x14ac:dyDescent="0.2">
      <c r="A9125">
        <v>9119</v>
      </c>
      <c r="B9125">
        <v>0.54765975176394055</v>
      </c>
    </row>
    <row r="9126" spans="1:2" x14ac:dyDescent="0.2">
      <c r="A9126">
        <v>9120</v>
      </c>
      <c r="B9126">
        <v>0.9261263706898728</v>
      </c>
    </row>
    <row r="9127" spans="1:2" x14ac:dyDescent="0.2">
      <c r="A9127">
        <v>9121</v>
      </c>
      <c r="B9127">
        <v>0.98756620250589755</v>
      </c>
    </row>
    <row r="9128" spans="1:2" x14ac:dyDescent="0.2">
      <c r="A9128">
        <v>9122</v>
      </c>
      <c r="B9128">
        <v>0.39910703253687119</v>
      </c>
    </row>
    <row r="9129" spans="1:2" x14ac:dyDescent="0.2">
      <c r="A9129">
        <v>9123</v>
      </c>
      <c r="B9129">
        <v>0.26861030166978617</v>
      </c>
    </row>
    <row r="9130" spans="1:2" x14ac:dyDescent="0.2">
      <c r="A9130">
        <v>9124</v>
      </c>
      <c r="B9130">
        <v>0.77640569678367755</v>
      </c>
    </row>
    <row r="9131" spans="1:2" x14ac:dyDescent="0.2">
      <c r="A9131">
        <v>9125</v>
      </c>
      <c r="B9131">
        <v>0.54709665185530443</v>
      </c>
    </row>
    <row r="9132" spans="1:2" x14ac:dyDescent="0.2">
      <c r="A9132">
        <v>9126</v>
      </c>
      <c r="B9132">
        <v>0.9506149053851578</v>
      </c>
    </row>
    <row r="9133" spans="1:2" x14ac:dyDescent="0.2">
      <c r="A9133">
        <v>9127</v>
      </c>
      <c r="B9133">
        <v>0.27998446525655374</v>
      </c>
    </row>
    <row r="9134" spans="1:2" x14ac:dyDescent="0.2">
      <c r="A9134">
        <v>9128</v>
      </c>
      <c r="B9134">
        <v>0.78049784007491174</v>
      </c>
    </row>
    <row r="9135" spans="1:2" x14ac:dyDescent="0.2">
      <c r="A9135">
        <v>9129</v>
      </c>
      <c r="B9135">
        <v>0.17442038338747867</v>
      </c>
    </row>
    <row r="9136" spans="1:2" x14ac:dyDescent="0.2">
      <c r="A9136">
        <v>9130</v>
      </c>
      <c r="B9136">
        <v>3.0789520871154163E-2</v>
      </c>
    </row>
    <row r="9137" spans="1:2" x14ac:dyDescent="0.2">
      <c r="A9137">
        <v>9131</v>
      </c>
      <c r="B9137">
        <v>0.6656978650646308</v>
      </c>
    </row>
    <row r="9138" spans="1:2" x14ac:dyDescent="0.2">
      <c r="A9138">
        <v>9132</v>
      </c>
      <c r="B9138">
        <v>0.84125764460276797</v>
      </c>
    </row>
    <row r="9139" spans="1:2" x14ac:dyDescent="0.2">
      <c r="A9139">
        <v>9133</v>
      </c>
      <c r="B9139">
        <v>0.71871947739710051</v>
      </c>
    </row>
    <row r="9140" spans="1:2" x14ac:dyDescent="0.2">
      <c r="A9140">
        <v>9134</v>
      </c>
      <c r="B9140">
        <v>0.50646689711676529</v>
      </c>
    </row>
    <row r="9141" spans="1:2" x14ac:dyDescent="0.2">
      <c r="A9141">
        <v>9135</v>
      </c>
      <c r="B9141">
        <v>0.89350174175043684</v>
      </c>
    </row>
    <row r="9142" spans="1:2" x14ac:dyDescent="0.2">
      <c r="A9142">
        <v>9136</v>
      </c>
      <c r="B9142">
        <v>0.39220996832118893</v>
      </c>
    </row>
    <row r="9143" spans="1:2" x14ac:dyDescent="0.2">
      <c r="A9143">
        <v>9137</v>
      </c>
      <c r="B9143">
        <v>7.0225545773602738E-2</v>
      </c>
    </row>
    <row r="9144" spans="1:2" x14ac:dyDescent="0.2">
      <c r="A9144">
        <v>9138</v>
      </c>
      <c r="B9144">
        <v>0.67549886340160936</v>
      </c>
    </row>
    <row r="9145" spans="1:2" x14ac:dyDescent="0.2">
      <c r="A9145">
        <v>9139</v>
      </c>
      <c r="B9145">
        <v>0.38675918391293174</v>
      </c>
    </row>
    <row r="9146" spans="1:2" x14ac:dyDescent="0.2">
      <c r="A9146">
        <v>9140</v>
      </c>
      <c r="B9146">
        <v>0.57052266236493987</v>
      </c>
    </row>
    <row r="9147" spans="1:2" x14ac:dyDescent="0.2">
      <c r="A9147">
        <v>9141</v>
      </c>
      <c r="B9147">
        <v>0.31900699529858378</v>
      </c>
    </row>
    <row r="9148" spans="1:2" x14ac:dyDescent="0.2">
      <c r="A9148">
        <v>9142</v>
      </c>
      <c r="B9148">
        <v>0.67875489234794784</v>
      </c>
    </row>
    <row r="9149" spans="1:2" x14ac:dyDescent="0.2">
      <c r="A9149">
        <v>9143</v>
      </c>
      <c r="B9149">
        <v>0.20618107101828664</v>
      </c>
    </row>
    <row r="9150" spans="1:2" x14ac:dyDescent="0.2">
      <c r="A9150">
        <v>9144</v>
      </c>
      <c r="B9150">
        <v>0.15893769988806139</v>
      </c>
    </row>
    <row r="9151" spans="1:2" x14ac:dyDescent="0.2">
      <c r="A9151">
        <v>9145</v>
      </c>
      <c r="B9151">
        <v>0.8055237696183114</v>
      </c>
    </row>
    <row r="9152" spans="1:2" x14ac:dyDescent="0.2">
      <c r="A9152">
        <v>9146</v>
      </c>
      <c r="B9152">
        <v>0.24121502582440335</v>
      </c>
    </row>
    <row r="9153" spans="1:2" x14ac:dyDescent="0.2">
      <c r="A9153">
        <v>9147</v>
      </c>
      <c r="B9153">
        <v>0.17095306348794792</v>
      </c>
    </row>
    <row r="9154" spans="1:2" x14ac:dyDescent="0.2">
      <c r="A9154">
        <v>9148</v>
      </c>
      <c r="B9154">
        <v>0.91764453483713182</v>
      </c>
    </row>
    <row r="9155" spans="1:2" x14ac:dyDescent="0.2">
      <c r="A9155">
        <v>9149</v>
      </c>
      <c r="B9155">
        <v>0.24666707047623437</v>
      </c>
    </row>
    <row r="9156" spans="1:2" x14ac:dyDescent="0.2">
      <c r="A9156">
        <v>9150</v>
      </c>
      <c r="B9156">
        <v>0.31115487926618968</v>
      </c>
    </row>
    <row r="9157" spans="1:2" x14ac:dyDescent="0.2">
      <c r="A9157">
        <v>9151</v>
      </c>
      <c r="B9157">
        <v>0.49688495108895347</v>
      </c>
    </row>
    <row r="9158" spans="1:2" x14ac:dyDescent="0.2">
      <c r="A9158">
        <v>9152</v>
      </c>
      <c r="B9158">
        <v>0.5670552258912962</v>
      </c>
    </row>
    <row r="9159" spans="1:2" x14ac:dyDescent="0.2">
      <c r="A9159">
        <v>9153</v>
      </c>
      <c r="B9159">
        <v>0.70158137204749438</v>
      </c>
    </row>
    <row r="9160" spans="1:2" x14ac:dyDescent="0.2">
      <c r="A9160">
        <v>9154</v>
      </c>
      <c r="B9160">
        <v>0.6339307796217214</v>
      </c>
    </row>
    <row r="9161" spans="1:2" x14ac:dyDescent="0.2">
      <c r="A9161">
        <v>9155</v>
      </c>
      <c r="B9161">
        <v>0.21700593654757339</v>
      </c>
    </row>
    <row r="9162" spans="1:2" x14ac:dyDescent="0.2">
      <c r="A9162">
        <v>9156</v>
      </c>
      <c r="B9162">
        <v>0.34642118764659247</v>
      </c>
    </row>
    <row r="9163" spans="1:2" x14ac:dyDescent="0.2">
      <c r="A9163">
        <v>9157</v>
      </c>
      <c r="B9163">
        <v>0.11167250374983828</v>
      </c>
    </row>
    <row r="9164" spans="1:2" x14ac:dyDescent="0.2">
      <c r="A9164">
        <v>9158</v>
      </c>
      <c r="B9164">
        <v>0.57927585038106544</v>
      </c>
    </row>
    <row r="9165" spans="1:2" x14ac:dyDescent="0.2">
      <c r="A9165">
        <v>9159</v>
      </c>
      <c r="B9165">
        <v>0.60420641156184685</v>
      </c>
    </row>
    <row r="9166" spans="1:2" x14ac:dyDescent="0.2">
      <c r="A9166">
        <v>9160</v>
      </c>
      <c r="B9166">
        <v>0.75697881068283979</v>
      </c>
    </row>
    <row r="9167" spans="1:2" x14ac:dyDescent="0.2">
      <c r="A9167">
        <v>9161</v>
      </c>
      <c r="B9167">
        <v>3.7812997734762988E-3</v>
      </c>
    </row>
    <row r="9168" spans="1:2" x14ac:dyDescent="0.2">
      <c r="A9168">
        <v>9162</v>
      </c>
      <c r="B9168">
        <v>0.8520154701543331</v>
      </c>
    </row>
    <row r="9169" spans="1:2" x14ac:dyDescent="0.2">
      <c r="A9169">
        <v>9163</v>
      </c>
      <c r="B9169">
        <v>0.15271061074062975</v>
      </c>
    </row>
    <row r="9170" spans="1:2" x14ac:dyDescent="0.2">
      <c r="A9170">
        <v>9164</v>
      </c>
      <c r="B9170">
        <v>0.86815836469788288</v>
      </c>
    </row>
    <row r="9171" spans="1:2" x14ac:dyDescent="0.2">
      <c r="A9171">
        <v>9165</v>
      </c>
      <c r="B9171">
        <v>0.54907558068537943</v>
      </c>
    </row>
    <row r="9172" spans="1:2" x14ac:dyDescent="0.2">
      <c r="A9172">
        <v>9166</v>
      </c>
      <c r="B9172">
        <v>0.36217115044526382</v>
      </c>
    </row>
    <row r="9173" spans="1:2" x14ac:dyDescent="0.2">
      <c r="A9173">
        <v>9167</v>
      </c>
      <c r="B9173">
        <v>3.0823604072766519E-2</v>
      </c>
    </row>
    <row r="9174" spans="1:2" x14ac:dyDescent="0.2">
      <c r="A9174">
        <v>9168</v>
      </c>
      <c r="B9174">
        <v>0.61626161611260322</v>
      </c>
    </row>
    <row r="9175" spans="1:2" x14ac:dyDescent="0.2">
      <c r="A9175">
        <v>9169</v>
      </c>
      <c r="B9175">
        <v>0.8789406538376584</v>
      </c>
    </row>
    <row r="9176" spans="1:2" x14ac:dyDescent="0.2">
      <c r="A9176">
        <v>9170</v>
      </c>
      <c r="B9176">
        <v>0.69548918414836325</v>
      </c>
    </row>
    <row r="9177" spans="1:2" x14ac:dyDescent="0.2">
      <c r="A9177">
        <v>9171</v>
      </c>
      <c r="B9177">
        <v>0.99087384287788838</v>
      </c>
    </row>
    <row r="9178" spans="1:2" x14ac:dyDescent="0.2">
      <c r="A9178">
        <v>9172</v>
      </c>
      <c r="B9178">
        <v>0.55785641008349518</v>
      </c>
    </row>
    <row r="9179" spans="1:2" x14ac:dyDescent="0.2">
      <c r="A9179">
        <v>9173</v>
      </c>
      <c r="B9179">
        <v>0.65241440809078877</v>
      </c>
    </row>
    <row r="9180" spans="1:2" x14ac:dyDescent="0.2">
      <c r="A9180">
        <v>9174</v>
      </c>
      <c r="B9180">
        <v>0.65757055671023579</v>
      </c>
    </row>
    <row r="9181" spans="1:2" x14ac:dyDescent="0.2">
      <c r="A9181">
        <v>9175</v>
      </c>
      <c r="B9181">
        <v>0.11291989949076153</v>
      </c>
    </row>
    <row r="9182" spans="1:2" x14ac:dyDescent="0.2">
      <c r="A9182">
        <v>9176</v>
      </c>
      <c r="B9182">
        <v>0.13173300702681834</v>
      </c>
    </row>
    <row r="9183" spans="1:2" x14ac:dyDescent="0.2">
      <c r="A9183">
        <v>9177</v>
      </c>
      <c r="B9183">
        <v>0.84958060856485451</v>
      </c>
    </row>
    <row r="9184" spans="1:2" x14ac:dyDescent="0.2">
      <c r="A9184">
        <v>9178</v>
      </c>
      <c r="B9184">
        <v>0.68855591922530957</v>
      </c>
    </row>
    <row r="9185" spans="1:2" x14ac:dyDescent="0.2">
      <c r="A9185">
        <v>9179</v>
      </c>
      <c r="B9185">
        <v>0.26127186904437738</v>
      </c>
    </row>
    <row r="9186" spans="1:2" x14ac:dyDescent="0.2">
      <c r="A9186">
        <v>9180</v>
      </c>
      <c r="B9186">
        <v>0.2124596260436028</v>
      </c>
    </row>
    <row r="9187" spans="1:2" x14ac:dyDescent="0.2">
      <c r="A9187">
        <v>9181</v>
      </c>
      <c r="B9187">
        <v>0.5245983807766057</v>
      </c>
    </row>
    <row r="9188" spans="1:2" x14ac:dyDescent="0.2">
      <c r="A9188">
        <v>9182</v>
      </c>
      <c r="B9188">
        <v>0.32930797304214177</v>
      </c>
    </row>
    <row r="9189" spans="1:2" x14ac:dyDescent="0.2">
      <c r="A9189">
        <v>9183</v>
      </c>
      <c r="B9189">
        <v>0.49967428240994982</v>
      </c>
    </row>
    <row r="9190" spans="1:2" x14ac:dyDescent="0.2">
      <c r="A9190">
        <v>9184</v>
      </c>
      <c r="B9190">
        <v>0.73346597403120073</v>
      </c>
    </row>
    <row r="9191" spans="1:2" x14ac:dyDescent="0.2">
      <c r="A9191">
        <v>9185</v>
      </c>
      <c r="B9191">
        <v>0.90851548109692981</v>
      </c>
    </row>
    <row r="9192" spans="1:2" x14ac:dyDescent="0.2">
      <c r="A9192">
        <v>9186</v>
      </c>
      <c r="B9192">
        <v>0.47871315588673691</v>
      </c>
    </row>
    <row r="9193" spans="1:2" x14ac:dyDescent="0.2">
      <c r="A9193">
        <v>9187</v>
      </c>
      <c r="B9193">
        <v>0.30330624327304512</v>
      </c>
    </row>
    <row r="9194" spans="1:2" x14ac:dyDescent="0.2">
      <c r="A9194">
        <v>9188</v>
      </c>
      <c r="B9194">
        <v>0.89052903301414243</v>
      </c>
    </row>
    <row r="9195" spans="1:2" x14ac:dyDescent="0.2">
      <c r="A9195">
        <v>9189</v>
      </c>
      <c r="B9195">
        <v>0.15638070796188308</v>
      </c>
    </row>
    <row r="9196" spans="1:2" x14ac:dyDescent="0.2">
      <c r="A9196">
        <v>9190</v>
      </c>
      <c r="B9196">
        <v>0.37115487037893968</v>
      </c>
    </row>
    <row r="9197" spans="1:2" x14ac:dyDescent="0.2">
      <c r="A9197">
        <v>9191</v>
      </c>
      <c r="B9197">
        <v>0.17019551612746942</v>
      </c>
    </row>
    <row r="9198" spans="1:2" x14ac:dyDescent="0.2">
      <c r="A9198">
        <v>9192</v>
      </c>
      <c r="B9198">
        <v>8.1246886101963844E-2</v>
      </c>
    </row>
    <row r="9199" spans="1:2" x14ac:dyDescent="0.2">
      <c r="A9199">
        <v>9193</v>
      </c>
      <c r="B9199">
        <v>0.53143258759492373</v>
      </c>
    </row>
    <row r="9200" spans="1:2" x14ac:dyDescent="0.2">
      <c r="A9200">
        <v>9194</v>
      </c>
      <c r="B9200">
        <v>0.24233361507771256</v>
      </c>
    </row>
    <row r="9201" spans="1:2" x14ac:dyDescent="0.2">
      <c r="A9201">
        <v>9195</v>
      </c>
      <c r="B9201">
        <v>0.31020997854570087</v>
      </c>
    </row>
    <row r="9202" spans="1:2" x14ac:dyDescent="0.2">
      <c r="A9202">
        <v>9196</v>
      </c>
      <c r="B9202">
        <v>0.62142601320482971</v>
      </c>
    </row>
    <row r="9203" spans="1:2" x14ac:dyDescent="0.2">
      <c r="A9203">
        <v>9197</v>
      </c>
      <c r="B9203">
        <v>0.47102517202044636</v>
      </c>
    </row>
    <row r="9204" spans="1:2" x14ac:dyDescent="0.2">
      <c r="A9204">
        <v>9198</v>
      </c>
      <c r="B9204">
        <v>0.93987884648825715</v>
      </c>
    </row>
    <row r="9205" spans="1:2" x14ac:dyDescent="0.2">
      <c r="A9205">
        <v>9199</v>
      </c>
      <c r="B9205">
        <v>0.85131661954402504</v>
      </c>
    </row>
    <row r="9206" spans="1:2" x14ac:dyDescent="0.2">
      <c r="A9206">
        <v>9200</v>
      </c>
      <c r="B9206">
        <v>0.71522280963553309</v>
      </c>
    </row>
    <row r="9207" spans="1:2" x14ac:dyDescent="0.2">
      <c r="A9207">
        <v>9201</v>
      </c>
      <c r="B9207">
        <v>0.59993939257205076</v>
      </c>
    </row>
    <row r="9208" spans="1:2" x14ac:dyDescent="0.2">
      <c r="A9208">
        <v>9202</v>
      </c>
      <c r="B9208">
        <v>0.77145602883710895</v>
      </c>
    </row>
    <row r="9209" spans="1:2" x14ac:dyDescent="0.2">
      <c r="A9209">
        <v>9203</v>
      </c>
      <c r="B9209">
        <v>2.4890760672154233E-2</v>
      </c>
    </row>
    <row r="9210" spans="1:2" x14ac:dyDescent="0.2">
      <c r="A9210">
        <v>9204</v>
      </c>
      <c r="B9210">
        <v>0.6692987897829743</v>
      </c>
    </row>
    <row r="9211" spans="1:2" x14ac:dyDescent="0.2">
      <c r="A9211">
        <v>9205</v>
      </c>
      <c r="B9211">
        <v>0.27787731536421334</v>
      </c>
    </row>
    <row r="9212" spans="1:2" x14ac:dyDescent="0.2">
      <c r="A9212">
        <v>9206</v>
      </c>
      <c r="B9212">
        <v>0.91243295117820611</v>
      </c>
    </row>
    <row r="9213" spans="1:2" x14ac:dyDescent="0.2">
      <c r="A9213">
        <v>9207</v>
      </c>
      <c r="B9213">
        <v>0.10596653949692392</v>
      </c>
    </row>
    <row r="9214" spans="1:2" x14ac:dyDescent="0.2">
      <c r="A9214">
        <v>9208</v>
      </c>
      <c r="B9214">
        <v>0.90591734224989828</v>
      </c>
    </row>
    <row r="9215" spans="1:2" x14ac:dyDescent="0.2">
      <c r="A9215">
        <v>9209</v>
      </c>
      <c r="B9215">
        <v>0.67654906817041316</v>
      </c>
    </row>
    <row r="9216" spans="1:2" x14ac:dyDescent="0.2">
      <c r="A9216">
        <v>9210</v>
      </c>
      <c r="B9216">
        <v>0.82910981314540499</v>
      </c>
    </row>
    <row r="9217" spans="1:2" x14ac:dyDescent="0.2">
      <c r="A9217">
        <v>9211</v>
      </c>
      <c r="B9217">
        <v>0.91586349588350047</v>
      </c>
    </row>
    <row r="9218" spans="1:2" x14ac:dyDescent="0.2">
      <c r="A9218">
        <v>9212</v>
      </c>
      <c r="B9218">
        <v>0.6049577656885432</v>
      </c>
    </row>
    <row r="9219" spans="1:2" x14ac:dyDescent="0.2">
      <c r="A9219">
        <v>9213</v>
      </c>
      <c r="B9219">
        <v>0.14875938189330051</v>
      </c>
    </row>
    <row r="9220" spans="1:2" x14ac:dyDescent="0.2">
      <c r="A9220">
        <v>9214</v>
      </c>
      <c r="B9220">
        <v>0.3171650948915985</v>
      </c>
    </row>
    <row r="9221" spans="1:2" x14ac:dyDescent="0.2">
      <c r="A9221">
        <v>9215</v>
      </c>
      <c r="B9221">
        <v>0.84648306564890341</v>
      </c>
    </row>
    <row r="9222" spans="1:2" x14ac:dyDescent="0.2">
      <c r="A9222">
        <v>9216</v>
      </c>
      <c r="B9222">
        <v>0.91746074636318364</v>
      </c>
    </row>
    <row r="9223" spans="1:2" x14ac:dyDescent="0.2">
      <c r="A9223">
        <v>9217</v>
      </c>
      <c r="B9223">
        <v>0.95452970071409926</v>
      </c>
    </row>
    <row r="9224" spans="1:2" x14ac:dyDescent="0.2">
      <c r="A9224">
        <v>9218</v>
      </c>
      <c r="B9224">
        <v>0.18938917475177486</v>
      </c>
    </row>
    <row r="9225" spans="1:2" x14ac:dyDescent="0.2">
      <c r="A9225">
        <v>9219</v>
      </c>
      <c r="B9225">
        <v>0.17308158347378577</v>
      </c>
    </row>
    <row r="9226" spans="1:2" x14ac:dyDescent="0.2">
      <c r="A9226">
        <v>9220</v>
      </c>
      <c r="B9226">
        <v>8.0333038171325866E-2</v>
      </c>
    </row>
    <row r="9227" spans="1:2" x14ac:dyDescent="0.2">
      <c r="A9227">
        <v>9221</v>
      </c>
      <c r="B9227">
        <v>0.80713842355686016</v>
      </c>
    </row>
    <row r="9228" spans="1:2" x14ac:dyDescent="0.2">
      <c r="A9228">
        <v>9222</v>
      </c>
      <c r="B9228">
        <v>0.87810997188309092</v>
      </c>
    </row>
    <row r="9229" spans="1:2" x14ac:dyDescent="0.2">
      <c r="A9229">
        <v>9223</v>
      </c>
      <c r="B9229">
        <v>0.49587371469432395</v>
      </c>
    </row>
    <row r="9230" spans="1:2" x14ac:dyDescent="0.2">
      <c r="A9230">
        <v>9224</v>
      </c>
      <c r="B9230">
        <v>5.2840742918500494E-2</v>
      </c>
    </row>
    <row r="9231" spans="1:2" x14ac:dyDescent="0.2">
      <c r="A9231">
        <v>9225</v>
      </c>
      <c r="B9231">
        <v>0.90671037335972671</v>
      </c>
    </row>
    <row r="9232" spans="1:2" x14ac:dyDescent="0.2">
      <c r="A9232">
        <v>9226</v>
      </c>
      <c r="B9232">
        <v>0.63585117067388863</v>
      </c>
    </row>
    <row r="9233" spans="1:2" x14ac:dyDescent="0.2">
      <c r="A9233">
        <v>9227</v>
      </c>
      <c r="B9233">
        <v>0.52508692340936813</v>
      </c>
    </row>
    <row r="9234" spans="1:2" x14ac:dyDescent="0.2">
      <c r="A9234">
        <v>9228</v>
      </c>
      <c r="B9234">
        <v>0.55913398784825807</v>
      </c>
    </row>
    <row r="9235" spans="1:2" x14ac:dyDescent="0.2">
      <c r="A9235">
        <v>9229</v>
      </c>
      <c r="B9235">
        <v>0.12569836225493214</v>
      </c>
    </row>
    <row r="9236" spans="1:2" x14ac:dyDescent="0.2">
      <c r="A9236">
        <v>9230</v>
      </c>
      <c r="B9236">
        <v>0.82720669000176916</v>
      </c>
    </row>
    <row r="9237" spans="1:2" x14ac:dyDescent="0.2">
      <c r="A9237">
        <v>9231</v>
      </c>
      <c r="B9237">
        <v>0.48016842916954294</v>
      </c>
    </row>
    <row r="9238" spans="1:2" x14ac:dyDescent="0.2">
      <c r="A9238">
        <v>9232</v>
      </c>
      <c r="B9238">
        <v>0.929659850472625</v>
      </c>
    </row>
    <row r="9239" spans="1:2" x14ac:dyDescent="0.2">
      <c r="A9239">
        <v>9233</v>
      </c>
      <c r="B9239">
        <v>0.83599515174324401</v>
      </c>
    </row>
    <row r="9240" spans="1:2" x14ac:dyDescent="0.2">
      <c r="A9240">
        <v>9234</v>
      </c>
      <c r="B9240">
        <v>0.38933209608946318</v>
      </c>
    </row>
    <row r="9241" spans="1:2" x14ac:dyDescent="0.2">
      <c r="A9241">
        <v>9235</v>
      </c>
      <c r="B9241">
        <v>0.93520084113977764</v>
      </c>
    </row>
    <row r="9242" spans="1:2" x14ac:dyDescent="0.2">
      <c r="A9242">
        <v>9236</v>
      </c>
      <c r="B9242">
        <v>0.10480615202119115</v>
      </c>
    </row>
    <row r="9243" spans="1:2" x14ac:dyDescent="0.2">
      <c r="A9243">
        <v>9237</v>
      </c>
      <c r="B9243">
        <v>0.3796107486091731</v>
      </c>
    </row>
    <row r="9244" spans="1:2" x14ac:dyDescent="0.2">
      <c r="A9244">
        <v>9238</v>
      </c>
      <c r="B9244">
        <v>0.51075341943227126</v>
      </c>
    </row>
    <row r="9245" spans="1:2" x14ac:dyDescent="0.2">
      <c r="A9245">
        <v>9239</v>
      </c>
      <c r="B9245">
        <v>0.81705012145299016</v>
      </c>
    </row>
    <row r="9246" spans="1:2" x14ac:dyDescent="0.2">
      <c r="A9246">
        <v>9240</v>
      </c>
      <c r="B9246">
        <v>0.14679933217602126</v>
      </c>
    </row>
    <row r="9247" spans="1:2" x14ac:dyDescent="0.2">
      <c r="A9247">
        <v>9241</v>
      </c>
      <c r="B9247">
        <v>0.65790502550329155</v>
      </c>
    </row>
    <row r="9248" spans="1:2" x14ac:dyDescent="0.2">
      <c r="A9248">
        <v>9242</v>
      </c>
      <c r="B9248">
        <v>0.16561624306683886</v>
      </c>
    </row>
    <row r="9249" spans="1:2" x14ac:dyDescent="0.2">
      <c r="A9249">
        <v>9243</v>
      </c>
      <c r="B9249">
        <v>0.86224388527663842</v>
      </c>
    </row>
    <row r="9250" spans="1:2" x14ac:dyDescent="0.2">
      <c r="A9250">
        <v>9244</v>
      </c>
      <c r="B9250">
        <v>0.58606627219261009</v>
      </c>
    </row>
    <row r="9251" spans="1:2" x14ac:dyDescent="0.2">
      <c r="A9251">
        <v>9245</v>
      </c>
      <c r="B9251">
        <v>0.4419360049790696</v>
      </c>
    </row>
    <row r="9252" spans="1:2" x14ac:dyDescent="0.2">
      <c r="A9252">
        <v>9246</v>
      </c>
      <c r="B9252">
        <v>0.9105819475382928</v>
      </c>
    </row>
    <row r="9253" spans="1:2" x14ac:dyDescent="0.2">
      <c r="A9253">
        <v>9247</v>
      </c>
      <c r="B9253">
        <v>0.11625551057998995</v>
      </c>
    </row>
    <row r="9254" spans="1:2" x14ac:dyDescent="0.2">
      <c r="A9254">
        <v>9248</v>
      </c>
      <c r="B9254">
        <v>5.0125938453224883E-3</v>
      </c>
    </row>
    <row r="9255" spans="1:2" x14ac:dyDescent="0.2">
      <c r="A9255">
        <v>9249</v>
      </c>
      <c r="B9255">
        <v>0.49014167530034924</v>
      </c>
    </row>
    <row r="9256" spans="1:2" x14ac:dyDescent="0.2">
      <c r="A9256">
        <v>9250</v>
      </c>
      <c r="B9256">
        <v>0.22302130475881587</v>
      </c>
    </row>
    <row r="9257" spans="1:2" x14ac:dyDescent="0.2">
      <c r="A9257">
        <v>9251</v>
      </c>
      <c r="B9257">
        <v>0.18156339690165435</v>
      </c>
    </row>
    <row r="9258" spans="1:2" x14ac:dyDescent="0.2">
      <c r="A9258">
        <v>9252</v>
      </c>
      <c r="B9258">
        <v>0.66712791661872706</v>
      </c>
    </row>
    <row r="9259" spans="1:2" x14ac:dyDescent="0.2">
      <c r="A9259">
        <v>9253</v>
      </c>
      <c r="B9259">
        <v>0.15758538262149091</v>
      </c>
    </row>
    <row r="9260" spans="1:2" x14ac:dyDescent="0.2">
      <c r="A9260">
        <v>9254</v>
      </c>
      <c r="B9260">
        <v>0.86731438773642278</v>
      </c>
    </row>
    <row r="9261" spans="1:2" x14ac:dyDescent="0.2">
      <c r="A9261">
        <v>9255</v>
      </c>
      <c r="B9261">
        <v>0.41467950857294067</v>
      </c>
    </row>
    <row r="9262" spans="1:2" x14ac:dyDescent="0.2">
      <c r="A9262">
        <v>9256</v>
      </c>
      <c r="B9262">
        <v>0.7810225956511051</v>
      </c>
    </row>
    <row r="9263" spans="1:2" x14ac:dyDescent="0.2">
      <c r="A9263">
        <v>9257</v>
      </c>
      <c r="B9263">
        <v>0.93949155851071864</v>
      </c>
    </row>
    <row r="9264" spans="1:2" x14ac:dyDescent="0.2">
      <c r="A9264">
        <v>9258</v>
      </c>
      <c r="B9264">
        <v>0.15130606460331364</v>
      </c>
    </row>
    <row r="9265" spans="1:2" x14ac:dyDescent="0.2">
      <c r="A9265">
        <v>9259</v>
      </c>
      <c r="B9265">
        <v>0.89124462693831497</v>
      </c>
    </row>
    <row r="9266" spans="1:2" x14ac:dyDescent="0.2">
      <c r="A9266">
        <v>9260</v>
      </c>
      <c r="B9266">
        <v>0.40195204711600607</v>
      </c>
    </row>
    <row r="9267" spans="1:2" x14ac:dyDescent="0.2">
      <c r="A9267">
        <v>9261</v>
      </c>
      <c r="B9267">
        <v>0.70029307462996093</v>
      </c>
    </row>
    <row r="9268" spans="1:2" x14ac:dyDescent="0.2">
      <c r="A9268">
        <v>9262</v>
      </c>
      <c r="B9268">
        <v>0.55954050224450724</v>
      </c>
    </row>
    <row r="9269" spans="1:2" x14ac:dyDescent="0.2">
      <c r="A9269">
        <v>9263</v>
      </c>
      <c r="B9269">
        <v>0.20512562219761343</v>
      </c>
    </row>
    <row r="9270" spans="1:2" x14ac:dyDescent="0.2">
      <c r="A9270">
        <v>9264</v>
      </c>
      <c r="B9270">
        <v>0.49178603771536056</v>
      </c>
    </row>
    <row r="9271" spans="1:2" x14ac:dyDescent="0.2">
      <c r="A9271">
        <v>9265</v>
      </c>
      <c r="B9271">
        <v>0.82482289444143653</v>
      </c>
    </row>
    <row r="9272" spans="1:2" x14ac:dyDescent="0.2">
      <c r="A9272">
        <v>9266</v>
      </c>
      <c r="B9272">
        <v>0.36845614737721577</v>
      </c>
    </row>
    <row r="9273" spans="1:2" x14ac:dyDescent="0.2">
      <c r="A9273">
        <v>9267</v>
      </c>
      <c r="B9273">
        <v>0.43184232965371128</v>
      </c>
    </row>
    <row r="9274" spans="1:2" x14ac:dyDescent="0.2">
      <c r="A9274">
        <v>9268</v>
      </c>
      <c r="B9274">
        <v>0.6467551585613317</v>
      </c>
    </row>
    <row r="9275" spans="1:2" x14ac:dyDescent="0.2">
      <c r="A9275">
        <v>9269</v>
      </c>
      <c r="B9275">
        <v>0.62215677185661467</v>
      </c>
    </row>
    <row r="9276" spans="1:2" x14ac:dyDescent="0.2">
      <c r="A9276">
        <v>9270</v>
      </c>
      <c r="B9276">
        <v>0.92605314279823414</v>
      </c>
    </row>
    <row r="9277" spans="1:2" x14ac:dyDescent="0.2">
      <c r="A9277">
        <v>9271</v>
      </c>
      <c r="B9277">
        <v>0.43901074815368413</v>
      </c>
    </row>
    <row r="9278" spans="1:2" x14ac:dyDescent="0.2">
      <c r="A9278">
        <v>9272</v>
      </c>
      <c r="B9278">
        <v>5.8095140546619239E-2</v>
      </c>
    </row>
    <row r="9279" spans="1:2" x14ac:dyDescent="0.2">
      <c r="A9279">
        <v>9273</v>
      </c>
      <c r="B9279">
        <v>0.23263984713720387</v>
      </c>
    </row>
    <row r="9280" spans="1:2" x14ac:dyDescent="0.2">
      <c r="A9280">
        <v>9274</v>
      </c>
      <c r="B9280">
        <v>0.23652829895843686</v>
      </c>
    </row>
    <row r="9281" spans="1:2" x14ac:dyDescent="0.2">
      <c r="A9281">
        <v>9275</v>
      </c>
      <c r="B9281">
        <v>0.99517990716878868</v>
      </c>
    </row>
    <row r="9282" spans="1:2" x14ac:dyDescent="0.2">
      <c r="A9282">
        <v>9276</v>
      </c>
      <c r="B9282">
        <v>0.30908215635964786</v>
      </c>
    </row>
    <row r="9283" spans="1:2" x14ac:dyDescent="0.2">
      <c r="A9283">
        <v>9277</v>
      </c>
      <c r="B9283">
        <v>0.72443641214258381</v>
      </c>
    </row>
    <row r="9284" spans="1:2" x14ac:dyDescent="0.2">
      <c r="A9284">
        <v>9278</v>
      </c>
      <c r="B9284">
        <v>0.16363661874738811</v>
      </c>
    </row>
    <row r="9285" spans="1:2" x14ac:dyDescent="0.2">
      <c r="A9285">
        <v>9279</v>
      </c>
      <c r="B9285">
        <v>0.6110631106968144</v>
      </c>
    </row>
    <row r="9286" spans="1:2" x14ac:dyDescent="0.2">
      <c r="A9286">
        <v>9280</v>
      </c>
      <c r="B9286">
        <v>0.50215168773797869</v>
      </c>
    </row>
    <row r="9287" spans="1:2" x14ac:dyDescent="0.2">
      <c r="A9287">
        <v>9281</v>
      </c>
      <c r="B9287">
        <v>0.69252443040894873</v>
      </c>
    </row>
    <row r="9288" spans="1:2" x14ac:dyDescent="0.2">
      <c r="A9288">
        <v>9282</v>
      </c>
      <c r="B9288">
        <v>1.6225134846061362E-2</v>
      </c>
    </row>
    <row r="9289" spans="1:2" x14ac:dyDescent="0.2">
      <c r="A9289">
        <v>9283</v>
      </c>
      <c r="B9289">
        <v>0.78835796267279867</v>
      </c>
    </row>
    <row r="9290" spans="1:2" x14ac:dyDescent="0.2">
      <c r="A9290">
        <v>9284</v>
      </c>
      <c r="B9290">
        <v>0.12205242258531346</v>
      </c>
    </row>
    <row r="9291" spans="1:2" x14ac:dyDescent="0.2">
      <c r="A9291">
        <v>9285</v>
      </c>
      <c r="B9291">
        <v>0.94206891094472134</v>
      </c>
    </row>
    <row r="9292" spans="1:2" x14ac:dyDescent="0.2">
      <c r="A9292">
        <v>9286</v>
      </c>
      <c r="B9292">
        <v>0.11555220516211195</v>
      </c>
    </row>
    <row r="9293" spans="1:2" x14ac:dyDescent="0.2">
      <c r="A9293">
        <v>9287</v>
      </c>
      <c r="B9293">
        <v>0.82348542910348677</v>
      </c>
    </row>
    <row r="9294" spans="1:2" x14ac:dyDescent="0.2">
      <c r="A9294">
        <v>9288</v>
      </c>
      <c r="B9294">
        <v>0.99497375120366638</v>
      </c>
    </row>
    <row r="9295" spans="1:2" x14ac:dyDescent="0.2">
      <c r="A9295">
        <v>9289</v>
      </c>
      <c r="B9295">
        <v>0.25037751072944292</v>
      </c>
    </row>
    <row r="9296" spans="1:2" x14ac:dyDescent="0.2">
      <c r="A9296">
        <v>9290</v>
      </c>
      <c r="B9296">
        <v>0.64431806611511766</v>
      </c>
    </row>
    <row r="9297" spans="1:2" x14ac:dyDescent="0.2">
      <c r="A9297">
        <v>9291</v>
      </c>
      <c r="B9297">
        <v>0.59911056680847052</v>
      </c>
    </row>
    <row r="9298" spans="1:2" x14ac:dyDescent="0.2">
      <c r="A9298">
        <v>9292</v>
      </c>
      <c r="B9298">
        <v>0.65942824443872228</v>
      </c>
    </row>
    <row r="9299" spans="1:2" x14ac:dyDescent="0.2">
      <c r="A9299">
        <v>9293</v>
      </c>
      <c r="B9299">
        <v>1.6940543107918038E-2</v>
      </c>
    </row>
    <row r="9300" spans="1:2" x14ac:dyDescent="0.2">
      <c r="A9300">
        <v>9294</v>
      </c>
      <c r="B9300">
        <v>0.95869423697225242</v>
      </c>
    </row>
    <row r="9301" spans="1:2" x14ac:dyDescent="0.2">
      <c r="A9301">
        <v>9295</v>
      </c>
      <c r="B9301">
        <v>0.95906070262884691</v>
      </c>
    </row>
    <row r="9302" spans="1:2" x14ac:dyDescent="0.2">
      <c r="A9302">
        <v>9296</v>
      </c>
      <c r="B9302">
        <v>0.90601937708483005</v>
      </c>
    </row>
    <row r="9303" spans="1:2" x14ac:dyDescent="0.2">
      <c r="A9303">
        <v>9297</v>
      </c>
      <c r="B9303">
        <v>0.58521970972295401</v>
      </c>
    </row>
    <row r="9304" spans="1:2" x14ac:dyDescent="0.2">
      <c r="A9304">
        <v>9298</v>
      </c>
      <c r="B9304">
        <v>0.44594256221903106</v>
      </c>
    </row>
    <row r="9305" spans="1:2" x14ac:dyDescent="0.2">
      <c r="A9305">
        <v>9299</v>
      </c>
      <c r="B9305">
        <v>0.45024043733345087</v>
      </c>
    </row>
    <row r="9306" spans="1:2" x14ac:dyDescent="0.2">
      <c r="A9306">
        <v>9300</v>
      </c>
      <c r="B9306">
        <v>0.51964443048898179</v>
      </c>
    </row>
    <row r="9307" spans="1:2" x14ac:dyDescent="0.2">
      <c r="A9307">
        <v>9301</v>
      </c>
      <c r="B9307">
        <v>0.93531165999692656</v>
      </c>
    </row>
    <row r="9308" spans="1:2" x14ac:dyDescent="0.2">
      <c r="A9308">
        <v>9302</v>
      </c>
      <c r="B9308">
        <v>0.24324417663661013</v>
      </c>
    </row>
    <row r="9309" spans="1:2" x14ac:dyDescent="0.2">
      <c r="A9309">
        <v>9303</v>
      </c>
      <c r="B9309">
        <v>0.68179669122925357</v>
      </c>
    </row>
    <row r="9310" spans="1:2" x14ac:dyDescent="0.2">
      <c r="A9310">
        <v>9304</v>
      </c>
      <c r="B9310">
        <v>0.57926845685914019</v>
      </c>
    </row>
    <row r="9311" spans="1:2" x14ac:dyDescent="0.2">
      <c r="A9311">
        <v>9305</v>
      </c>
      <c r="B9311">
        <v>0.85463801823482921</v>
      </c>
    </row>
    <row r="9312" spans="1:2" x14ac:dyDescent="0.2">
      <c r="A9312">
        <v>9306</v>
      </c>
      <c r="B9312">
        <v>4.7188108013429098E-2</v>
      </c>
    </row>
    <row r="9313" spans="1:2" x14ac:dyDescent="0.2">
      <c r="A9313">
        <v>9307</v>
      </c>
      <c r="B9313">
        <v>0.98670879764956243</v>
      </c>
    </row>
    <row r="9314" spans="1:2" x14ac:dyDescent="0.2">
      <c r="A9314">
        <v>9308</v>
      </c>
      <c r="B9314">
        <v>0.92614383381114795</v>
      </c>
    </row>
    <row r="9315" spans="1:2" x14ac:dyDescent="0.2">
      <c r="A9315">
        <v>9309</v>
      </c>
      <c r="B9315">
        <v>0.63253519200240038</v>
      </c>
    </row>
    <row r="9316" spans="1:2" x14ac:dyDescent="0.2">
      <c r="A9316">
        <v>9310</v>
      </c>
      <c r="B9316">
        <v>0.85325200918268918</v>
      </c>
    </row>
    <row r="9317" spans="1:2" x14ac:dyDescent="0.2">
      <c r="A9317">
        <v>9311</v>
      </c>
      <c r="B9317">
        <v>0.3314409652709116</v>
      </c>
    </row>
    <row r="9318" spans="1:2" x14ac:dyDescent="0.2">
      <c r="A9318">
        <v>9312</v>
      </c>
      <c r="B9318">
        <v>0.25308210047136781</v>
      </c>
    </row>
    <row r="9319" spans="1:2" x14ac:dyDescent="0.2">
      <c r="A9319">
        <v>9313</v>
      </c>
      <c r="B9319">
        <v>1.1157478936313137E-2</v>
      </c>
    </row>
    <row r="9320" spans="1:2" x14ac:dyDescent="0.2">
      <c r="A9320">
        <v>9314</v>
      </c>
      <c r="B9320">
        <v>0.9963469212727577</v>
      </c>
    </row>
    <row r="9321" spans="1:2" x14ac:dyDescent="0.2">
      <c r="A9321">
        <v>9315</v>
      </c>
      <c r="B9321">
        <v>0.65926617007440558</v>
      </c>
    </row>
    <row r="9322" spans="1:2" x14ac:dyDescent="0.2">
      <c r="A9322">
        <v>9316</v>
      </c>
      <c r="B9322">
        <v>0.7686040955239406</v>
      </c>
    </row>
    <row r="9323" spans="1:2" x14ac:dyDescent="0.2">
      <c r="A9323">
        <v>9317</v>
      </c>
      <c r="B9323">
        <v>0.36839615613935206</v>
      </c>
    </row>
    <row r="9324" spans="1:2" x14ac:dyDescent="0.2">
      <c r="A9324">
        <v>9318</v>
      </c>
      <c r="B9324">
        <v>0.17460039763554136</v>
      </c>
    </row>
    <row r="9325" spans="1:2" x14ac:dyDescent="0.2">
      <c r="A9325">
        <v>9319</v>
      </c>
      <c r="B9325">
        <v>0.6999997012174537</v>
      </c>
    </row>
    <row r="9326" spans="1:2" x14ac:dyDescent="0.2">
      <c r="A9326">
        <v>9320</v>
      </c>
      <c r="B9326">
        <v>0.30728682564839727</v>
      </c>
    </row>
    <row r="9327" spans="1:2" x14ac:dyDescent="0.2">
      <c r="A9327">
        <v>9321</v>
      </c>
      <c r="B9327">
        <v>0.61292691529816168</v>
      </c>
    </row>
    <row r="9328" spans="1:2" x14ac:dyDescent="0.2">
      <c r="A9328">
        <v>9322</v>
      </c>
      <c r="B9328">
        <v>0.86486560516784838</v>
      </c>
    </row>
    <row r="9329" spans="1:2" x14ac:dyDescent="0.2">
      <c r="A9329">
        <v>9323</v>
      </c>
      <c r="B9329">
        <v>0.23613358341983504</v>
      </c>
    </row>
    <row r="9330" spans="1:2" x14ac:dyDescent="0.2">
      <c r="A9330">
        <v>9324</v>
      </c>
      <c r="B9330">
        <v>0.3463196602741313</v>
      </c>
    </row>
    <row r="9331" spans="1:2" x14ac:dyDescent="0.2">
      <c r="A9331">
        <v>9325</v>
      </c>
      <c r="B9331">
        <v>0.32740548609268627</v>
      </c>
    </row>
    <row r="9332" spans="1:2" x14ac:dyDescent="0.2">
      <c r="A9332">
        <v>9326</v>
      </c>
      <c r="B9332">
        <v>0.88522276079186557</v>
      </c>
    </row>
    <row r="9333" spans="1:2" x14ac:dyDescent="0.2">
      <c r="A9333">
        <v>9327</v>
      </c>
      <c r="B9333">
        <v>0.73484646128668663</v>
      </c>
    </row>
    <row r="9334" spans="1:2" x14ac:dyDescent="0.2">
      <c r="A9334">
        <v>9328</v>
      </c>
      <c r="B9334">
        <v>0.97176727456484957</v>
      </c>
    </row>
    <row r="9335" spans="1:2" x14ac:dyDescent="0.2">
      <c r="A9335">
        <v>9329</v>
      </c>
      <c r="B9335">
        <v>0.50699048974242111</v>
      </c>
    </row>
    <row r="9336" spans="1:2" x14ac:dyDescent="0.2">
      <c r="A9336">
        <v>9330</v>
      </c>
      <c r="B9336">
        <v>0.87971659543813452</v>
      </c>
    </row>
    <row r="9337" spans="1:2" x14ac:dyDescent="0.2">
      <c r="A9337">
        <v>9331</v>
      </c>
      <c r="B9337">
        <v>0.3556647520658055</v>
      </c>
    </row>
    <row r="9338" spans="1:2" x14ac:dyDescent="0.2">
      <c r="A9338">
        <v>9332</v>
      </c>
      <c r="B9338">
        <v>0.56137666526808416</v>
      </c>
    </row>
    <row r="9339" spans="1:2" x14ac:dyDescent="0.2">
      <c r="A9339">
        <v>9333</v>
      </c>
      <c r="B9339">
        <v>0.74301793027167651</v>
      </c>
    </row>
    <row r="9340" spans="1:2" x14ac:dyDescent="0.2">
      <c r="A9340">
        <v>9334</v>
      </c>
      <c r="B9340">
        <v>0.97274548997797616</v>
      </c>
    </row>
    <row r="9341" spans="1:2" x14ac:dyDescent="0.2">
      <c r="A9341">
        <v>9335</v>
      </c>
      <c r="B9341">
        <v>0.30066381165680445</v>
      </c>
    </row>
    <row r="9342" spans="1:2" x14ac:dyDescent="0.2">
      <c r="A9342">
        <v>9336</v>
      </c>
      <c r="B9342">
        <v>0.36085779070301882</v>
      </c>
    </row>
    <row r="9343" spans="1:2" x14ac:dyDescent="0.2">
      <c r="A9343">
        <v>9337</v>
      </c>
      <c r="B9343">
        <v>0.17870465253170109</v>
      </c>
    </row>
    <row r="9344" spans="1:2" x14ac:dyDescent="0.2">
      <c r="A9344">
        <v>9338</v>
      </c>
      <c r="B9344">
        <v>0.11944566956879621</v>
      </c>
    </row>
    <row r="9345" spans="1:2" x14ac:dyDescent="0.2">
      <c r="A9345">
        <v>9339</v>
      </c>
      <c r="B9345">
        <v>0.51361586158936468</v>
      </c>
    </row>
    <row r="9346" spans="1:2" x14ac:dyDescent="0.2">
      <c r="A9346">
        <v>9340</v>
      </c>
      <c r="B9346">
        <v>0.21779886485401567</v>
      </c>
    </row>
    <row r="9347" spans="1:2" x14ac:dyDescent="0.2">
      <c r="A9347">
        <v>9341</v>
      </c>
      <c r="B9347">
        <v>0.43504742829920351</v>
      </c>
    </row>
    <row r="9348" spans="1:2" x14ac:dyDescent="0.2">
      <c r="A9348">
        <v>9342</v>
      </c>
      <c r="B9348">
        <v>0.17093242688724886</v>
      </c>
    </row>
    <row r="9349" spans="1:2" x14ac:dyDescent="0.2">
      <c r="A9349">
        <v>9343</v>
      </c>
      <c r="B9349">
        <v>0.60089970759683797</v>
      </c>
    </row>
    <row r="9350" spans="1:2" x14ac:dyDescent="0.2">
      <c r="A9350">
        <v>9344</v>
      </c>
      <c r="B9350">
        <v>0.52308056422546156</v>
      </c>
    </row>
    <row r="9351" spans="1:2" x14ac:dyDescent="0.2">
      <c r="A9351">
        <v>9345</v>
      </c>
      <c r="B9351">
        <v>0.33598613881337158</v>
      </c>
    </row>
    <row r="9352" spans="1:2" x14ac:dyDescent="0.2">
      <c r="A9352">
        <v>9346</v>
      </c>
      <c r="B9352">
        <v>0.60860945115694154</v>
      </c>
    </row>
    <row r="9353" spans="1:2" x14ac:dyDescent="0.2">
      <c r="A9353">
        <v>9347</v>
      </c>
      <c r="B9353">
        <v>0.59402679998146646</v>
      </c>
    </row>
    <row r="9354" spans="1:2" x14ac:dyDescent="0.2">
      <c r="A9354">
        <v>9348</v>
      </c>
      <c r="B9354">
        <v>0.12115347365239271</v>
      </c>
    </row>
    <row r="9355" spans="1:2" x14ac:dyDescent="0.2">
      <c r="A9355">
        <v>9349</v>
      </c>
      <c r="B9355">
        <v>0.65127789700290273</v>
      </c>
    </row>
    <row r="9356" spans="1:2" x14ac:dyDescent="0.2">
      <c r="A9356">
        <v>9350</v>
      </c>
      <c r="B9356">
        <v>0.56835960384220652</v>
      </c>
    </row>
    <row r="9357" spans="1:2" x14ac:dyDescent="0.2">
      <c r="A9357">
        <v>9351</v>
      </c>
      <c r="B9357">
        <v>0.32542684081653206</v>
      </c>
    </row>
    <row r="9358" spans="1:2" x14ac:dyDescent="0.2">
      <c r="A9358">
        <v>9352</v>
      </c>
      <c r="B9358">
        <v>0.798440953793636</v>
      </c>
    </row>
    <row r="9359" spans="1:2" x14ac:dyDescent="0.2">
      <c r="A9359">
        <v>9353</v>
      </c>
      <c r="B9359">
        <v>0.62441079155897239</v>
      </c>
    </row>
    <row r="9360" spans="1:2" x14ac:dyDescent="0.2">
      <c r="A9360">
        <v>9354</v>
      </c>
      <c r="B9360">
        <v>0.19244471362726501</v>
      </c>
    </row>
    <row r="9361" spans="1:2" x14ac:dyDescent="0.2">
      <c r="A9361">
        <v>9355</v>
      </c>
      <c r="B9361">
        <v>0.62377944575726074</v>
      </c>
    </row>
    <row r="9362" spans="1:2" x14ac:dyDescent="0.2">
      <c r="A9362">
        <v>9356</v>
      </c>
      <c r="B9362">
        <v>0.4982468342212012</v>
      </c>
    </row>
    <row r="9363" spans="1:2" x14ac:dyDescent="0.2">
      <c r="A9363">
        <v>9357</v>
      </c>
      <c r="B9363">
        <v>8.3485309648811512E-2</v>
      </c>
    </row>
    <row r="9364" spans="1:2" x14ac:dyDescent="0.2">
      <c r="A9364">
        <v>9358</v>
      </c>
      <c r="B9364">
        <v>0.33216206077978316</v>
      </c>
    </row>
    <row r="9365" spans="1:2" x14ac:dyDescent="0.2">
      <c r="A9365">
        <v>9359</v>
      </c>
      <c r="B9365">
        <v>0.85499169186153712</v>
      </c>
    </row>
    <row r="9366" spans="1:2" x14ac:dyDescent="0.2">
      <c r="A9366">
        <v>9360</v>
      </c>
      <c r="B9366">
        <v>0.3964991932292361</v>
      </c>
    </row>
    <row r="9367" spans="1:2" x14ac:dyDescent="0.2">
      <c r="A9367">
        <v>9361</v>
      </c>
      <c r="B9367">
        <v>0.18464178932760678</v>
      </c>
    </row>
    <row r="9368" spans="1:2" x14ac:dyDescent="0.2">
      <c r="A9368">
        <v>9362</v>
      </c>
      <c r="B9368">
        <v>0.74758387229366219</v>
      </c>
    </row>
    <row r="9369" spans="1:2" x14ac:dyDescent="0.2">
      <c r="A9369">
        <v>9363</v>
      </c>
      <c r="B9369">
        <v>0.62393206812238988</v>
      </c>
    </row>
    <row r="9370" spans="1:2" x14ac:dyDescent="0.2">
      <c r="A9370">
        <v>9364</v>
      </c>
      <c r="B9370">
        <v>0.92201348545734751</v>
      </c>
    </row>
    <row r="9371" spans="1:2" x14ac:dyDescent="0.2">
      <c r="A9371">
        <v>9365</v>
      </c>
      <c r="B9371">
        <v>0.11717989012514585</v>
      </c>
    </row>
    <row r="9372" spans="1:2" x14ac:dyDescent="0.2">
      <c r="A9372">
        <v>9366</v>
      </c>
      <c r="B9372">
        <v>1.5736110829104977E-2</v>
      </c>
    </row>
    <row r="9373" spans="1:2" x14ac:dyDescent="0.2">
      <c r="A9373">
        <v>9367</v>
      </c>
      <c r="B9373">
        <v>0.42863749310623112</v>
      </c>
    </row>
    <row r="9374" spans="1:2" x14ac:dyDescent="0.2">
      <c r="A9374">
        <v>9368</v>
      </c>
      <c r="B9374">
        <v>9.5802484256252818E-2</v>
      </c>
    </row>
    <row r="9375" spans="1:2" x14ac:dyDescent="0.2">
      <c r="A9375">
        <v>9369</v>
      </c>
      <c r="B9375">
        <v>0.65319790985993798</v>
      </c>
    </row>
    <row r="9376" spans="1:2" x14ac:dyDescent="0.2">
      <c r="A9376">
        <v>9370</v>
      </c>
      <c r="B9376">
        <v>0.42220573653389748</v>
      </c>
    </row>
    <row r="9377" spans="1:2" x14ac:dyDescent="0.2">
      <c r="A9377">
        <v>9371</v>
      </c>
      <c r="B9377">
        <v>0.34765475659469292</v>
      </c>
    </row>
    <row r="9378" spans="1:2" x14ac:dyDescent="0.2">
      <c r="A9378">
        <v>9372</v>
      </c>
      <c r="B9378">
        <v>0.32777913204770892</v>
      </c>
    </row>
    <row r="9379" spans="1:2" x14ac:dyDescent="0.2">
      <c r="A9379">
        <v>9373</v>
      </c>
      <c r="B9379">
        <v>8.0236684490988752E-2</v>
      </c>
    </row>
    <row r="9380" spans="1:2" x14ac:dyDescent="0.2">
      <c r="A9380">
        <v>9374</v>
      </c>
      <c r="B9380">
        <v>4.8737926921225361E-2</v>
      </c>
    </row>
    <row r="9381" spans="1:2" x14ac:dyDescent="0.2">
      <c r="A9381">
        <v>9375</v>
      </c>
      <c r="B9381">
        <v>0.42636717153521397</v>
      </c>
    </row>
    <row r="9382" spans="1:2" x14ac:dyDescent="0.2">
      <c r="A9382">
        <v>9376</v>
      </c>
      <c r="B9382">
        <v>0.15521908679705032</v>
      </c>
    </row>
    <row r="9383" spans="1:2" x14ac:dyDescent="0.2">
      <c r="A9383">
        <v>9377</v>
      </c>
      <c r="B9383">
        <v>0.15148419227254084</v>
      </c>
    </row>
    <row r="9384" spans="1:2" x14ac:dyDescent="0.2">
      <c r="A9384">
        <v>9378</v>
      </c>
      <c r="B9384">
        <v>0.55369394774557346</v>
      </c>
    </row>
    <row r="9385" spans="1:2" x14ac:dyDescent="0.2">
      <c r="A9385">
        <v>9379</v>
      </c>
      <c r="B9385">
        <v>0.54519684032135152</v>
      </c>
    </row>
    <row r="9386" spans="1:2" x14ac:dyDescent="0.2">
      <c r="A9386">
        <v>9380</v>
      </c>
      <c r="B9386">
        <v>8.487554713961809E-2</v>
      </c>
    </row>
    <row r="9387" spans="1:2" x14ac:dyDescent="0.2">
      <c r="A9387">
        <v>9381</v>
      </c>
      <c r="B9387">
        <v>3.9815566627177001E-2</v>
      </c>
    </row>
    <row r="9388" spans="1:2" x14ac:dyDescent="0.2">
      <c r="A9388">
        <v>9382</v>
      </c>
      <c r="B9388">
        <v>0.36477746633832642</v>
      </c>
    </row>
    <row r="9389" spans="1:2" x14ac:dyDescent="0.2">
      <c r="A9389">
        <v>9383</v>
      </c>
      <c r="B9389">
        <v>0.79506042303267865</v>
      </c>
    </row>
    <row r="9390" spans="1:2" x14ac:dyDescent="0.2">
      <c r="A9390">
        <v>9384</v>
      </c>
      <c r="B9390">
        <v>0.18807947281928095</v>
      </c>
    </row>
    <row r="9391" spans="1:2" x14ac:dyDescent="0.2">
      <c r="A9391">
        <v>9385</v>
      </c>
      <c r="B9391">
        <v>0.57583866553744967</v>
      </c>
    </row>
    <row r="9392" spans="1:2" x14ac:dyDescent="0.2">
      <c r="A9392">
        <v>9386</v>
      </c>
      <c r="B9392">
        <v>0.87288678846293477</v>
      </c>
    </row>
    <row r="9393" spans="1:2" x14ac:dyDescent="0.2">
      <c r="A9393">
        <v>9387</v>
      </c>
      <c r="B9393">
        <v>0.66618827772368916</v>
      </c>
    </row>
    <row r="9394" spans="1:2" x14ac:dyDescent="0.2">
      <c r="A9394">
        <v>9388</v>
      </c>
      <c r="B9394">
        <v>1.028900347289452E-2</v>
      </c>
    </row>
    <row r="9395" spans="1:2" x14ac:dyDescent="0.2">
      <c r="A9395">
        <v>9389</v>
      </c>
      <c r="B9395">
        <v>0.60769126028286835</v>
      </c>
    </row>
    <row r="9396" spans="1:2" x14ac:dyDescent="0.2">
      <c r="A9396">
        <v>9390</v>
      </c>
      <c r="B9396">
        <v>0.50956800834966942</v>
      </c>
    </row>
    <row r="9397" spans="1:2" x14ac:dyDescent="0.2">
      <c r="A9397">
        <v>9391</v>
      </c>
      <c r="B9397">
        <v>1.0507504775300602E-2</v>
      </c>
    </row>
    <row r="9398" spans="1:2" x14ac:dyDescent="0.2">
      <c r="A9398">
        <v>9392</v>
      </c>
      <c r="B9398">
        <v>0.55539119271890258</v>
      </c>
    </row>
    <row r="9399" spans="1:2" x14ac:dyDescent="0.2">
      <c r="A9399">
        <v>9393</v>
      </c>
      <c r="B9399">
        <v>0.84957817760097332</v>
      </c>
    </row>
    <row r="9400" spans="1:2" x14ac:dyDescent="0.2">
      <c r="A9400">
        <v>9394</v>
      </c>
      <c r="B9400">
        <v>0.28158168930844985</v>
      </c>
    </row>
    <row r="9401" spans="1:2" x14ac:dyDescent="0.2">
      <c r="A9401">
        <v>9395</v>
      </c>
      <c r="B9401">
        <v>0.24725034446504568</v>
      </c>
    </row>
    <row r="9402" spans="1:2" x14ac:dyDescent="0.2">
      <c r="A9402">
        <v>9396</v>
      </c>
      <c r="B9402">
        <v>0.70337196988729933</v>
      </c>
    </row>
    <row r="9403" spans="1:2" x14ac:dyDescent="0.2">
      <c r="A9403">
        <v>9397</v>
      </c>
      <c r="B9403">
        <v>0.13194462358733172</v>
      </c>
    </row>
    <row r="9404" spans="1:2" x14ac:dyDescent="0.2">
      <c r="A9404">
        <v>9398</v>
      </c>
      <c r="B9404">
        <v>0.577977134880717</v>
      </c>
    </row>
    <row r="9405" spans="1:2" x14ac:dyDescent="0.2">
      <c r="A9405">
        <v>9399</v>
      </c>
      <c r="B9405">
        <v>0.19617307241129711</v>
      </c>
    </row>
    <row r="9406" spans="1:2" x14ac:dyDescent="0.2">
      <c r="A9406">
        <v>9400</v>
      </c>
      <c r="B9406">
        <v>0.25928336890319414</v>
      </c>
    </row>
    <row r="9407" spans="1:2" x14ac:dyDescent="0.2">
      <c r="A9407">
        <v>9401</v>
      </c>
      <c r="B9407">
        <v>0.83618466842854244</v>
      </c>
    </row>
    <row r="9408" spans="1:2" x14ac:dyDescent="0.2">
      <c r="A9408">
        <v>9402</v>
      </c>
      <c r="B9408">
        <v>0.99643121950858304</v>
      </c>
    </row>
    <row r="9409" spans="1:2" x14ac:dyDescent="0.2">
      <c r="A9409">
        <v>9403</v>
      </c>
      <c r="B9409">
        <v>0.64439487707710053</v>
      </c>
    </row>
    <row r="9410" spans="1:2" x14ac:dyDescent="0.2">
      <c r="A9410">
        <v>9404</v>
      </c>
      <c r="B9410">
        <v>1.0938438869382838E-2</v>
      </c>
    </row>
    <row r="9411" spans="1:2" x14ac:dyDescent="0.2">
      <c r="A9411">
        <v>9405</v>
      </c>
      <c r="B9411">
        <v>0.68075092598119591</v>
      </c>
    </row>
    <row r="9412" spans="1:2" x14ac:dyDescent="0.2">
      <c r="A9412">
        <v>9406</v>
      </c>
      <c r="B9412">
        <v>0.54385239613075742</v>
      </c>
    </row>
    <row r="9413" spans="1:2" x14ac:dyDescent="0.2">
      <c r="A9413">
        <v>9407</v>
      </c>
      <c r="B9413">
        <v>0.3825354612734615</v>
      </c>
    </row>
    <row r="9414" spans="1:2" x14ac:dyDescent="0.2">
      <c r="A9414">
        <v>9408</v>
      </c>
      <c r="B9414">
        <v>0.316272734982876</v>
      </c>
    </row>
    <row r="9415" spans="1:2" x14ac:dyDescent="0.2">
      <c r="A9415">
        <v>9409</v>
      </c>
      <c r="B9415">
        <v>0.54368704454582639</v>
      </c>
    </row>
    <row r="9416" spans="1:2" x14ac:dyDescent="0.2">
      <c r="A9416">
        <v>9410</v>
      </c>
      <c r="B9416">
        <v>0.65123718457155089</v>
      </c>
    </row>
    <row r="9417" spans="1:2" x14ac:dyDescent="0.2">
      <c r="A9417">
        <v>9411</v>
      </c>
      <c r="B9417">
        <v>0.21297658672273478</v>
      </c>
    </row>
    <row r="9418" spans="1:2" x14ac:dyDescent="0.2">
      <c r="A9418">
        <v>9412</v>
      </c>
      <c r="B9418">
        <v>0.7003948200078407</v>
      </c>
    </row>
    <row r="9419" spans="1:2" x14ac:dyDescent="0.2">
      <c r="A9419">
        <v>9413</v>
      </c>
      <c r="B9419">
        <v>9.5847019187429439E-3</v>
      </c>
    </row>
    <row r="9420" spans="1:2" x14ac:dyDescent="0.2">
      <c r="A9420">
        <v>9414</v>
      </c>
      <c r="B9420">
        <v>0.78881145132315189</v>
      </c>
    </row>
    <row r="9421" spans="1:2" x14ac:dyDescent="0.2">
      <c r="A9421">
        <v>9415</v>
      </c>
      <c r="B9421">
        <v>9.8856281673375568E-2</v>
      </c>
    </row>
    <row r="9422" spans="1:2" x14ac:dyDescent="0.2">
      <c r="A9422">
        <v>9416</v>
      </c>
      <c r="B9422">
        <v>2.225947581498533E-2</v>
      </c>
    </row>
    <row r="9423" spans="1:2" x14ac:dyDescent="0.2">
      <c r="A9423">
        <v>9417</v>
      </c>
      <c r="B9423">
        <v>0.84018133734172296</v>
      </c>
    </row>
    <row r="9424" spans="1:2" x14ac:dyDescent="0.2">
      <c r="A9424">
        <v>9418</v>
      </c>
      <c r="B9424">
        <v>0.96956611390298497</v>
      </c>
    </row>
    <row r="9425" spans="1:2" x14ac:dyDescent="0.2">
      <c r="A9425">
        <v>9419</v>
      </c>
      <c r="B9425">
        <v>0.54852552046061087</v>
      </c>
    </row>
    <row r="9426" spans="1:2" x14ac:dyDescent="0.2">
      <c r="A9426">
        <v>9420</v>
      </c>
      <c r="B9426">
        <v>0.31673002076003298</v>
      </c>
    </row>
    <row r="9427" spans="1:2" x14ac:dyDescent="0.2">
      <c r="A9427">
        <v>9421</v>
      </c>
      <c r="B9427">
        <v>0.51185291345508277</v>
      </c>
    </row>
    <row r="9428" spans="1:2" x14ac:dyDescent="0.2">
      <c r="A9428">
        <v>9422</v>
      </c>
      <c r="B9428">
        <v>0.72292119649389663</v>
      </c>
    </row>
    <row r="9429" spans="1:2" x14ac:dyDescent="0.2">
      <c r="A9429">
        <v>9423</v>
      </c>
      <c r="B9429">
        <v>0.82096425124695671</v>
      </c>
    </row>
    <row r="9430" spans="1:2" x14ac:dyDescent="0.2">
      <c r="A9430">
        <v>9424</v>
      </c>
      <c r="B9430">
        <v>6.0866729297245681E-2</v>
      </c>
    </row>
    <row r="9431" spans="1:2" x14ac:dyDescent="0.2">
      <c r="A9431">
        <v>9425</v>
      </c>
      <c r="B9431">
        <v>0.38778366391710162</v>
      </c>
    </row>
    <row r="9432" spans="1:2" x14ac:dyDescent="0.2">
      <c r="A9432">
        <v>9426</v>
      </c>
      <c r="B9432">
        <v>0.91607915755400349</v>
      </c>
    </row>
    <row r="9433" spans="1:2" x14ac:dyDescent="0.2">
      <c r="A9433">
        <v>9427</v>
      </c>
      <c r="B9433">
        <v>0.18068044297664321</v>
      </c>
    </row>
    <row r="9434" spans="1:2" x14ac:dyDescent="0.2">
      <c r="A9434">
        <v>9428</v>
      </c>
      <c r="B9434">
        <v>0.68046292030715105</v>
      </c>
    </row>
    <row r="9435" spans="1:2" x14ac:dyDescent="0.2">
      <c r="A9435">
        <v>9429</v>
      </c>
      <c r="B9435">
        <v>0.3515797228393186</v>
      </c>
    </row>
    <row r="9436" spans="1:2" x14ac:dyDescent="0.2">
      <c r="A9436">
        <v>9430</v>
      </c>
      <c r="B9436">
        <v>0.52233031617932646</v>
      </c>
    </row>
    <row r="9437" spans="1:2" x14ac:dyDescent="0.2">
      <c r="A9437">
        <v>9431</v>
      </c>
      <c r="B9437">
        <v>0.12160797894825315</v>
      </c>
    </row>
    <row r="9438" spans="1:2" x14ac:dyDescent="0.2">
      <c r="A9438">
        <v>9432</v>
      </c>
      <c r="B9438">
        <v>2.9964915605341647E-3</v>
      </c>
    </row>
    <row r="9439" spans="1:2" x14ac:dyDescent="0.2">
      <c r="A9439">
        <v>9433</v>
      </c>
      <c r="B9439">
        <v>0.93266861721031757</v>
      </c>
    </row>
    <row r="9440" spans="1:2" x14ac:dyDescent="0.2">
      <c r="A9440">
        <v>9434</v>
      </c>
      <c r="B9440">
        <v>3.999082307786872E-2</v>
      </c>
    </row>
    <row r="9441" spans="1:2" x14ac:dyDescent="0.2">
      <c r="A9441">
        <v>9435</v>
      </c>
      <c r="B9441">
        <v>0.72573796867270535</v>
      </c>
    </row>
    <row r="9442" spans="1:2" x14ac:dyDescent="0.2">
      <c r="A9442">
        <v>9436</v>
      </c>
      <c r="B9442">
        <v>0.95469070385261401</v>
      </c>
    </row>
    <row r="9443" spans="1:2" x14ac:dyDescent="0.2">
      <c r="A9443">
        <v>9437</v>
      </c>
      <c r="B9443">
        <v>0.27336763428276833</v>
      </c>
    </row>
    <row r="9444" spans="1:2" x14ac:dyDescent="0.2">
      <c r="A9444">
        <v>9438</v>
      </c>
      <c r="B9444">
        <v>0.89325565162527554</v>
      </c>
    </row>
    <row r="9445" spans="1:2" x14ac:dyDescent="0.2">
      <c r="A9445">
        <v>9439</v>
      </c>
      <c r="B9445">
        <v>0.51384206745678407</v>
      </c>
    </row>
    <row r="9446" spans="1:2" x14ac:dyDescent="0.2">
      <c r="A9446">
        <v>9440</v>
      </c>
      <c r="B9446">
        <v>0.36813042508533789</v>
      </c>
    </row>
    <row r="9447" spans="1:2" x14ac:dyDescent="0.2">
      <c r="A9447">
        <v>9441</v>
      </c>
      <c r="B9447">
        <v>0.57503027315649013</v>
      </c>
    </row>
    <row r="9448" spans="1:2" x14ac:dyDescent="0.2">
      <c r="A9448">
        <v>9442</v>
      </c>
      <c r="B9448">
        <v>0.50147097394735407</v>
      </c>
    </row>
    <row r="9449" spans="1:2" x14ac:dyDescent="0.2">
      <c r="A9449">
        <v>9443</v>
      </c>
      <c r="B9449">
        <v>0.31302565608401911</v>
      </c>
    </row>
    <row r="9450" spans="1:2" x14ac:dyDescent="0.2">
      <c r="A9450">
        <v>9444</v>
      </c>
      <c r="B9450">
        <v>0.26096491271458089</v>
      </c>
    </row>
    <row r="9451" spans="1:2" x14ac:dyDescent="0.2">
      <c r="A9451">
        <v>9445</v>
      </c>
      <c r="B9451">
        <v>0.6070616487495053</v>
      </c>
    </row>
    <row r="9452" spans="1:2" x14ac:dyDescent="0.2">
      <c r="A9452">
        <v>9446</v>
      </c>
      <c r="B9452">
        <v>0.59490261357464447</v>
      </c>
    </row>
    <row r="9453" spans="1:2" x14ac:dyDescent="0.2">
      <c r="A9453">
        <v>9447</v>
      </c>
      <c r="B9453">
        <v>0.20527876686222446</v>
      </c>
    </row>
    <row r="9454" spans="1:2" x14ac:dyDescent="0.2">
      <c r="A9454">
        <v>9448</v>
      </c>
      <c r="B9454">
        <v>0.81546398068457149</v>
      </c>
    </row>
    <row r="9455" spans="1:2" x14ac:dyDescent="0.2">
      <c r="A9455">
        <v>9449</v>
      </c>
      <c r="B9455">
        <v>0.84361960959893356</v>
      </c>
    </row>
    <row r="9456" spans="1:2" x14ac:dyDescent="0.2">
      <c r="A9456">
        <v>9450</v>
      </c>
      <c r="B9456">
        <v>0.84598567751316545</v>
      </c>
    </row>
    <row r="9457" spans="1:2" x14ac:dyDescent="0.2">
      <c r="A9457">
        <v>9451</v>
      </c>
      <c r="B9457">
        <v>0.81066281998281975</v>
      </c>
    </row>
    <row r="9458" spans="1:2" x14ac:dyDescent="0.2">
      <c r="A9458">
        <v>9452</v>
      </c>
      <c r="B9458">
        <v>0.30300104004562745</v>
      </c>
    </row>
    <row r="9459" spans="1:2" x14ac:dyDescent="0.2">
      <c r="A9459">
        <v>9453</v>
      </c>
      <c r="B9459">
        <v>0.68745124214191899</v>
      </c>
    </row>
    <row r="9460" spans="1:2" x14ac:dyDescent="0.2">
      <c r="A9460">
        <v>9454</v>
      </c>
      <c r="B9460">
        <v>0.18941429844819724</v>
      </c>
    </row>
    <row r="9461" spans="1:2" x14ac:dyDescent="0.2">
      <c r="A9461">
        <v>9455</v>
      </c>
      <c r="B9461">
        <v>0.89637271170171484</v>
      </c>
    </row>
    <row r="9462" spans="1:2" x14ac:dyDescent="0.2">
      <c r="A9462">
        <v>9456</v>
      </c>
      <c r="B9462">
        <v>0.33885832550879469</v>
      </c>
    </row>
    <row r="9463" spans="1:2" x14ac:dyDescent="0.2">
      <c r="A9463">
        <v>9457</v>
      </c>
      <c r="B9463">
        <v>0.15627552045155957</v>
      </c>
    </row>
    <row r="9464" spans="1:2" x14ac:dyDescent="0.2">
      <c r="A9464">
        <v>9458</v>
      </c>
      <c r="B9464">
        <v>0.36412058833880778</v>
      </c>
    </row>
    <row r="9465" spans="1:2" x14ac:dyDescent="0.2">
      <c r="A9465">
        <v>9459</v>
      </c>
      <c r="B9465">
        <v>0.18290443476522766</v>
      </c>
    </row>
    <row r="9466" spans="1:2" x14ac:dyDescent="0.2">
      <c r="A9466">
        <v>9460</v>
      </c>
      <c r="B9466">
        <v>7.5740120461950111E-2</v>
      </c>
    </row>
    <row r="9467" spans="1:2" x14ac:dyDescent="0.2">
      <c r="A9467">
        <v>9461</v>
      </c>
      <c r="B9467">
        <v>0.23180638511580742</v>
      </c>
    </row>
    <row r="9468" spans="1:2" x14ac:dyDescent="0.2">
      <c r="A9468">
        <v>9462</v>
      </c>
      <c r="B9468">
        <v>0.13825725522912835</v>
      </c>
    </row>
    <row r="9469" spans="1:2" x14ac:dyDescent="0.2">
      <c r="A9469">
        <v>9463</v>
      </c>
      <c r="B9469">
        <v>0.51439349504889142</v>
      </c>
    </row>
    <row r="9470" spans="1:2" x14ac:dyDescent="0.2">
      <c r="A9470">
        <v>9464</v>
      </c>
      <c r="B9470">
        <v>4.9314180415679698E-2</v>
      </c>
    </row>
    <row r="9471" spans="1:2" x14ac:dyDescent="0.2">
      <c r="A9471">
        <v>9465</v>
      </c>
      <c r="B9471">
        <v>0.87113837163418661</v>
      </c>
    </row>
    <row r="9472" spans="1:2" x14ac:dyDescent="0.2">
      <c r="A9472">
        <v>9466</v>
      </c>
      <c r="B9472">
        <v>0.10241538828151897</v>
      </c>
    </row>
    <row r="9473" spans="1:2" x14ac:dyDescent="0.2">
      <c r="A9473">
        <v>9467</v>
      </c>
      <c r="B9473">
        <v>0.74885590232602595</v>
      </c>
    </row>
    <row r="9474" spans="1:2" x14ac:dyDescent="0.2">
      <c r="A9474">
        <v>9468</v>
      </c>
      <c r="B9474">
        <v>0.98806171978684232</v>
      </c>
    </row>
    <row r="9475" spans="1:2" x14ac:dyDescent="0.2">
      <c r="A9475">
        <v>9469</v>
      </c>
      <c r="B9475">
        <v>0.68955866106329711</v>
      </c>
    </row>
    <row r="9476" spans="1:2" x14ac:dyDescent="0.2">
      <c r="A9476">
        <v>9470</v>
      </c>
      <c r="B9476">
        <v>0.72269668518048258</v>
      </c>
    </row>
    <row r="9477" spans="1:2" x14ac:dyDescent="0.2">
      <c r="A9477">
        <v>9471</v>
      </c>
      <c r="B9477">
        <v>0.22084332544030538</v>
      </c>
    </row>
    <row r="9478" spans="1:2" x14ac:dyDescent="0.2">
      <c r="A9478">
        <v>9472</v>
      </c>
      <c r="B9478">
        <v>0.50283193553626138</v>
      </c>
    </row>
    <row r="9479" spans="1:2" x14ac:dyDescent="0.2">
      <c r="A9479">
        <v>9473</v>
      </c>
      <c r="B9479">
        <v>0.92013768947494046</v>
      </c>
    </row>
    <row r="9480" spans="1:2" x14ac:dyDescent="0.2">
      <c r="A9480">
        <v>9474</v>
      </c>
      <c r="B9480">
        <v>0.89938285485086189</v>
      </c>
    </row>
    <row r="9481" spans="1:2" x14ac:dyDescent="0.2">
      <c r="A9481">
        <v>9475</v>
      </c>
      <c r="B9481">
        <v>0.60518444965534979</v>
      </c>
    </row>
    <row r="9482" spans="1:2" x14ac:dyDescent="0.2">
      <c r="A9482">
        <v>9476</v>
      </c>
      <c r="B9482">
        <v>0.60295854954808092</v>
      </c>
    </row>
    <row r="9483" spans="1:2" x14ac:dyDescent="0.2">
      <c r="A9483">
        <v>9477</v>
      </c>
      <c r="B9483">
        <v>0.69063908502460392</v>
      </c>
    </row>
    <row r="9484" spans="1:2" x14ac:dyDescent="0.2">
      <c r="A9484">
        <v>9478</v>
      </c>
      <c r="B9484">
        <v>0.59941081026423226</v>
      </c>
    </row>
    <row r="9485" spans="1:2" x14ac:dyDescent="0.2">
      <c r="A9485">
        <v>9479</v>
      </c>
      <c r="B9485">
        <v>0.43487841044741005</v>
      </c>
    </row>
    <row r="9486" spans="1:2" x14ac:dyDescent="0.2">
      <c r="A9486">
        <v>9480</v>
      </c>
      <c r="B9486">
        <v>0.81783745636340233</v>
      </c>
    </row>
    <row r="9487" spans="1:2" x14ac:dyDescent="0.2">
      <c r="A9487">
        <v>9481</v>
      </c>
      <c r="B9487">
        <v>4.1401900103526623E-2</v>
      </c>
    </row>
    <row r="9488" spans="1:2" x14ac:dyDescent="0.2">
      <c r="A9488">
        <v>9482</v>
      </c>
      <c r="B9488">
        <v>0.85537441843897921</v>
      </c>
    </row>
    <row r="9489" spans="1:2" x14ac:dyDescent="0.2">
      <c r="A9489">
        <v>9483</v>
      </c>
      <c r="B9489">
        <v>0.90618097235306672</v>
      </c>
    </row>
    <row r="9490" spans="1:2" x14ac:dyDescent="0.2">
      <c r="A9490">
        <v>9484</v>
      </c>
      <c r="B9490">
        <v>0.25774681209578532</v>
      </c>
    </row>
    <row r="9491" spans="1:2" x14ac:dyDescent="0.2">
      <c r="A9491">
        <v>9485</v>
      </c>
      <c r="B9491">
        <v>0.36884017469130248</v>
      </c>
    </row>
    <row r="9492" spans="1:2" x14ac:dyDescent="0.2">
      <c r="A9492">
        <v>9486</v>
      </c>
      <c r="B9492">
        <v>0.99031400366459921</v>
      </c>
    </row>
    <row r="9493" spans="1:2" x14ac:dyDescent="0.2">
      <c r="A9493">
        <v>9487</v>
      </c>
      <c r="B9493">
        <v>0.37540621172369415</v>
      </c>
    </row>
    <row r="9494" spans="1:2" x14ac:dyDescent="0.2">
      <c r="A9494">
        <v>9488</v>
      </c>
      <c r="B9494">
        <v>0.4920692208368046</v>
      </c>
    </row>
    <row r="9495" spans="1:2" x14ac:dyDescent="0.2">
      <c r="A9495">
        <v>9489</v>
      </c>
      <c r="B9495">
        <v>0.36219643026853354</v>
      </c>
    </row>
    <row r="9496" spans="1:2" x14ac:dyDescent="0.2">
      <c r="A9496">
        <v>9490</v>
      </c>
      <c r="B9496">
        <v>0.1267148105777518</v>
      </c>
    </row>
    <row r="9497" spans="1:2" x14ac:dyDescent="0.2">
      <c r="A9497">
        <v>9491</v>
      </c>
      <c r="B9497">
        <v>0.20568241166991474</v>
      </c>
    </row>
    <row r="9498" spans="1:2" x14ac:dyDescent="0.2">
      <c r="A9498">
        <v>9492</v>
      </c>
      <c r="B9498">
        <v>0.41019149099213459</v>
      </c>
    </row>
    <row r="9499" spans="1:2" x14ac:dyDescent="0.2">
      <c r="A9499">
        <v>9493</v>
      </c>
      <c r="B9499">
        <v>0.85470645439135162</v>
      </c>
    </row>
    <row r="9500" spans="1:2" x14ac:dyDescent="0.2">
      <c r="A9500">
        <v>9494</v>
      </c>
      <c r="B9500">
        <v>0.94159673609215078</v>
      </c>
    </row>
    <row r="9501" spans="1:2" x14ac:dyDescent="0.2">
      <c r="A9501">
        <v>9495</v>
      </c>
      <c r="B9501">
        <v>5.1053479017862058E-2</v>
      </c>
    </row>
    <row r="9502" spans="1:2" x14ac:dyDescent="0.2">
      <c r="A9502">
        <v>9496</v>
      </c>
      <c r="B9502">
        <v>0.1501963964497337</v>
      </c>
    </row>
    <row r="9503" spans="1:2" x14ac:dyDescent="0.2">
      <c r="A9503">
        <v>9497</v>
      </c>
      <c r="B9503">
        <v>0.66132645796801925</v>
      </c>
    </row>
    <row r="9504" spans="1:2" x14ac:dyDescent="0.2">
      <c r="A9504">
        <v>9498</v>
      </c>
      <c r="B9504">
        <v>0.91873385972906352</v>
      </c>
    </row>
    <row r="9505" spans="1:2" x14ac:dyDescent="0.2">
      <c r="A9505">
        <v>9499</v>
      </c>
      <c r="B9505">
        <v>0.98009632595900309</v>
      </c>
    </row>
    <row r="9506" spans="1:2" x14ac:dyDescent="0.2">
      <c r="A9506">
        <v>9500</v>
      </c>
      <c r="B9506">
        <v>0.40015603148403156</v>
      </c>
    </row>
    <row r="9507" spans="1:2" x14ac:dyDescent="0.2">
      <c r="A9507">
        <v>9501</v>
      </c>
      <c r="B9507">
        <v>0.9205230185264569</v>
      </c>
    </row>
    <row r="9508" spans="1:2" x14ac:dyDescent="0.2">
      <c r="A9508">
        <v>9502</v>
      </c>
      <c r="B9508">
        <v>0.7536130401277249</v>
      </c>
    </row>
    <row r="9509" spans="1:2" x14ac:dyDescent="0.2">
      <c r="A9509">
        <v>9503</v>
      </c>
      <c r="B9509">
        <v>0.37239371039388469</v>
      </c>
    </row>
    <row r="9510" spans="1:2" x14ac:dyDescent="0.2">
      <c r="A9510">
        <v>9504</v>
      </c>
      <c r="B9510">
        <v>0.75293174018219855</v>
      </c>
    </row>
    <row r="9511" spans="1:2" x14ac:dyDescent="0.2">
      <c r="A9511">
        <v>9505</v>
      </c>
      <c r="B9511">
        <v>0.85962160716994762</v>
      </c>
    </row>
    <row r="9512" spans="1:2" x14ac:dyDescent="0.2">
      <c r="A9512">
        <v>9506</v>
      </c>
      <c r="B9512">
        <v>0.45852513292723041</v>
      </c>
    </row>
    <row r="9513" spans="1:2" x14ac:dyDescent="0.2">
      <c r="A9513">
        <v>9507</v>
      </c>
      <c r="B9513">
        <v>0.66224000601683175</v>
      </c>
    </row>
    <row r="9514" spans="1:2" x14ac:dyDescent="0.2">
      <c r="A9514">
        <v>9508</v>
      </c>
      <c r="B9514">
        <v>0.48250587823020863</v>
      </c>
    </row>
    <row r="9515" spans="1:2" x14ac:dyDescent="0.2">
      <c r="A9515">
        <v>9509</v>
      </c>
      <c r="B9515">
        <v>3.0295811414925544E-2</v>
      </c>
    </row>
    <row r="9516" spans="1:2" x14ac:dyDescent="0.2">
      <c r="A9516">
        <v>9510</v>
      </c>
      <c r="B9516">
        <v>0.40042576633817217</v>
      </c>
    </row>
    <row r="9517" spans="1:2" x14ac:dyDescent="0.2">
      <c r="A9517">
        <v>9511</v>
      </c>
      <c r="B9517">
        <v>0.70333320497801088</v>
      </c>
    </row>
    <row r="9518" spans="1:2" x14ac:dyDescent="0.2">
      <c r="A9518">
        <v>9512</v>
      </c>
      <c r="B9518">
        <v>5.2996758189463367E-2</v>
      </c>
    </row>
    <row r="9519" spans="1:2" x14ac:dyDescent="0.2">
      <c r="A9519">
        <v>9513</v>
      </c>
      <c r="B9519">
        <v>0.16848879960283392</v>
      </c>
    </row>
    <row r="9520" spans="1:2" x14ac:dyDescent="0.2">
      <c r="A9520">
        <v>9514</v>
      </c>
      <c r="B9520">
        <v>0.59189580303789535</v>
      </c>
    </row>
    <row r="9521" spans="1:2" x14ac:dyDescent="0.2">
      <c r="A9521">
        <v>9515</v>
      </c>
      <c r="B9521">
        <v>0.51915460366060917</v>
      </c>
    </row>
    <row r="9522" spans="1:2" x14ac:dyDescent="0.2">
      <c r="A9522">
        <v>9516</v>
      </c>
      <c r="B9522">
        <v>0.25779412714286432</v>
      </c>
    </row>
    <row r="9523" spans="1:2" x14ac:dyDescent="0.2">
      <c r="A9523">
        <v>9517</v>
      </c>
      <c r="B9523">
        <v>0.95944682391000202</v>
      </c>
    </row>
    <row r="9524" spans="1:2" x14ac:dyDescent="0.2">
      <c r="A9524">
        <v>9518</v>
      </c>
      <c r="B9524">
        <v>0.48910563572524213</v>
      </c>
    </row>
    <row r="9525" spans="1:2" x14ac:dyDescent="0.2">
      <c r="A9525">
        <v>9519</v>
      </c>
      <c r="B9525">
        <v>6.6030778429728931E-2</v>
      </c>
    </row>
    <row r="9526" spans="1:2" x14ac:dyDescent="0.2">
      <c r="A9526">
        <v>9520</v>
      </c>
      <c r="B9526">
        <v>0.97338771539239666</v>
      </c>
    </row>
    <row r="9527" spans="1:2" x14ac:dyDescent="0.2">
      <c r="A9527">
        <v>9521</v>
      </c>
      <c r="B9527">
        <v>0.78458411435663156</v>
      </c>
    </row>
    <row r="9528" spans="1:2" x14ac:dyDescent="0.2">
      <c r="A9528">
        <v>9522</v>
      </c>
      <c r="B9528">
        <v>0.19125766051069215</v>
      </c>
    </row>
    <row r="9529" spans="1:2" x14ac:dyDescent="0.2">
      <c r="A9529">
        <v>9523</v>
      </c>
      <c r="B9529">
        <v>0.28924137291518126</v>
      </c>
    </row>
    <row r="9530" spans="1:2" x14ac:dyDescent="0.2">
      <c r="A9530">
        <v>9524</v>
      </c>
      <c r="B9530">
        <v>0.6011920169567756</v>
      </c>
    </row>
    <row r="9531" spans="1:2" x14ac:dyDescent="0.2">
      <c r="A9531">
        <v>9525</v>
      </c>
      <c r="B9531">
        <v>0.80417020925324545</v>
      </c>
    </row>
    <row r="9532" spans="1:2" x14ac:dyDescent="0.2">
      <c r="A9532">
        <v>9526</v>
      </c>
      <c r="B9532">
        <v>0.18561376174567801</v>
      </c>
    </row>
    <row r="9533" spans="1:2" x14ac:dyDescent="0.2">
      <c r="A9533">
        <v>9527</v>
      </c>
      <c r="B9533">
        <v>0.42440246257220315</v>
      </c>
    </row>
    <row r="9534" spans="1:2" x14ac:dyDescent="0.2">
      <c r="A9534">
        <v>9528</v>
      </c>
      <c r="B9534">
        <v>0.95918775550661695</v>
      </c>
    </row>
    <row r="9535" spans="1:2" x14ac:dyDescent="0.2">
      <c r="A9535">
        <v>9529</v>
      </c>
      <c r="B9535">
        <v>0.71335464826677408</v>
      </c>
    </row>
    <row r="9536" spans="1:2" x14ac:dyDescent="0.2">
      <c r="A9536">
        <v>9530</v>
      </c>
      <c r="B9536">
        <v>0.16389279253506506</v>
      </c>
    </row>
    <row r="9537" spans="1:2" x14ac:dyDescent="0.2">
      <c r="A9537">
        <v>9531</v>
      </c>
      <c r="B9537">
        <v>0.71365358518519584</v>
      </c>
    </row>
    <row r="9538" spans="1:2" x14ac:dyDescent="0.2">
      <c r="A9538">
        <v>9532</v>
      </c>
      <c r="B9538">
        <v>0.81222289061140096</v>
      </c>
    </row>
    <row r="9539" spans="1:2" x14ac:dyDescent="0.2">
      <c r="A9539">
        <v>9533</v>
      </c>
      <c r="B9539">
        <v>0.24580364671312904</v>
      </c>
    </row>
    <row r="9540" spans="1:2" x14ac:dyDescent="0.2">
      <c r="A9540">
        <v>9534</v>
      </c>
      <c r="B9540">
        <v>0.77190518528094798</v>
      </c>
    </row>
    <row r="9541" spans="1:2" x14ac:dyDescent="0.2">
      <c r="A9541">
        <v>9535</v>
      </c>
      <c r="B9541">
        <v>0.80938494062114796</v>
      </c>
    </row>
    <row r="9542" spans="1:2" x14ac:dyDescent="0.2">
      <c r="A9542">
        <v>9536</v>
      </c>
      <c r="B9542">
        <v>0.43385706695825166</v>
      </c>
    </row>
    <row r="9543" spans="1:2" x14ac:dyDescent="0.2">
      <c r="A9543">
        <v>9537</v>
      </c>
      <c r="B9543">
        <v>0.66114092848769668</v>
      </c>
    </row>
    <row r="9544" spans="1:2" x14ac:dyDescent="0.2">
      <c r="A9544">
        <v>9538</v>
      </c>
      <c r="B9544">
        <v>0.82382264508553427</v>
      </c>
    </row>
    <row r="9545" spans="1:2" x14ac:dyDescent="0.2">
      <c r="A9545">
        <v>9539</v>
      </c>
      <c r="B9545">
        <v>0.80893698774796052</v>
      </c>
    </row>
    <row r="9546" spans="1:2" x14ac:dyDescent="0.2">
      <c r="A9546">
        <v>9540</v>
      </c>
      <c r="B9546">
        <v>0.25758674955236749</v>
      </c>
    </row>
    <row r="9547" spans="1:2" x14ac:dyDescent="0.2">
      <c r="A9547">
        <v>9541</v>
      </c>
      <c r="B9547">
        <v>0.51730195010838231</v>
      </c>
    </row>
    <row r="9548" spans="1:2" x14ac:dyDescent="0.2">
      <c r="A9548">
        <v>9542</v>
      </c>
      <c r="B9548">
        <v>0.84881939637402193</v>
      </c>
    </row>
    <row r="9549" spans="1:2" x14ac:dyDescent="0.2">
      <c r="A9549">
        <v>9543</v>
      </c>
      <c r="B9549">
        <v>0.36217695846779863</v>
      </c>
    </row>
    <row r="9550" spans="1:2" x14ac:dyDescent="0.2">
      <c r="A9550">
        <v>9544</v>
      </c>
      <c r="B9550">
        <v>0.72073738560442724</v>
      </c>
    </row>
    <row r="9551" spans="1:2" x14ac:dyDescent="0.2">
      <c r="A9551">
        <v>9545</v>
      </c>
      <c r="B9551">
        <v>0.3945296965277072</v>
      </c>
    </row>
    <row r="9552" spans="1:2" x14ac:dyDescent="0.2">
      <c r="A9552">
        <v>9546</v>
      </c>
      <c r="B9552">
        <v>0.71596232123415715</v>
      </c>
    </row>
    <row r="9553" spans="1:2" x14ac:dyDescent="0.2">
      <c r="A9553">
        <v>9547</v>
      </c>
      <c r="B9553">
        <v>0.21641068322372325</v>
      </c>
    </row>
    <row r="9554" spans="1:2" x14ac:dyDescent="0.2">
      <c r="A9554">
        <v>9548</v>
      </c>
      <c r="B9554">
        <v>0.96249927510193889</v>
      </c>
    </row>
    <row r="9555" spans="1:2" x14ac:dyDescent="0.2">
      <c r="A9555">
        <v>9549</v>
      </c>
      <c r="B9555">
        <v>0.76372124991528045</v>
      </c>
    </row>
    <row r="9556" spans="1:2" x14ac:dyDescent="0.2">
      <c r="A9556">
        <v>9550</v>
      </c>
      <c r="B9556">
        <v>0.79620118752175117</v>
      </c>
    </row>
    <row r="9557" spans="1:2" x14ac:dyDescent="0.2">
      <c r="A9557">
        <v>9551</v>
      </c>
      <c r="B9557">
        <v>6.4177735165025229E-3</v>
      </c>
    </row>
    <row r="9558" spans="1:2" x14ac:dyDescent="0.2">
      <c r="A9558">
        <v>9552</v>
      </c>
      <c r="B9558">
        <v>7.4842673453898945E-2</v>
      </c>
    </row>
    <row r="9559" spans="1:2" x14ac:dyDescent="0.2">
      <c r="A9559">
        <v>9553</v>
      </c>
      <c r="B9559">
        <v>0.91490839330208795</v>
      </c>
    </row>
    <row r="9560" spans="1:2" x14ac:dyDescent="0.2">
      <c r="A9560">
        <v>9554</v>
      </c>
      <c r="B9560">
        <v>0.44848229497458736</v>
      </c>
    </row>
    <row r="9561" spans="1:2" x14ac:dyDescent="0.2">
      <c r="A9561">
        <v>9555</v>
      </c>
      <c r="B9561">
        <v>0.88951386916719</v>
      </c>
    </row>
    <row r="9562" spans="1:2" x14ac:dyDescent="0.2">
      <c r="A9562">
        <v>9556</v>
      </c>
      <c r="B9562">
        <v>0.41599473534511744</v>
      </c>
    </row>
    <row r="9563" spans="1:2" x14ac:dyDescent="0.2">
      <c r="A9563">
        <v>9557</v>
      </c>
      <c r="B9563">
        <v>0.90022087066082013</v>
      </c>
    </row>
    <row r="9564" spans="1:2" x14ac:dyDescent="0.2">
      <c r="A9564">
        <v>9558</v>
      </c>
      <c r="B9564">
        <v>0.25121445034463497</v>
      </c>
    </row>
    <row r="9565" spans="1:2" x14ac:dyDescent="0.2">
      <c r="A9565">
        <v>9559</v>
      </c>
      <c r="B9565">
        <v>0.27566806264765698</v>
      </c>
    </row>
    <row r="9566" spans="1:2" x14ac:dyDescent="0.2">
      <c r="A9566">
        <v>9560</v>
      </c>
      <c r="B9566">
        <v>0.93928941346979067</v>
      </c>
    </row>
    <row r="9567" spans="1:2" x14ac:dyDescent="0.2">
      <c r="A9567">
        <v>9561</v>
      </c>
      <c r="B9567">
        <v>0.55698142256387329</v>
      </c>
    </row>
    <row r="9568" spans="1:2" x14ac:dyDescent="0.2">
      <c r="A9568">
        <v>9562</v>
      </c>
      <c r="B9568">
        <v>0.11181622113302703</v>
      </c>
    </row>
    <row r="9569" spans="1:2" x14ac:dyDescent="0.2">
      <c r="A9569">
        <v>9563</v>
      </c>
      <c r="B9569">
        <v>0.1233864860269076</v>
      </c>
    </row>
    <row r="9570" spans="1:2" x14ac:dyDescent="0.2">
      <c r="A9570">
        <v>9564</v>
      </c>
      <c r="B9570">
        <v>0.23754452383111746</v>
      </c>
    </row>
    <row r="9571" spans="1:2" x14ac:dyDescent="0.2">
      <c r="A9571">
        <v>9565</v>
      </c>
      <c r="B9571">
        <v>0.20938401725634115</v>
      </c>
    </row>
    <row r="9572" spans="1:2" x14ac:dyDescent="0.2">
      <c r="A9572">
        <v>9566</v>
      </c>
      <c r="B9572">
        <v>0.27746895970434138</v>
      </c>
    </row>
    <row r="9573" spans="1:2" x14ac:dyDescent="0.2">
      <c r="A9573">
        <v>9567</v>
      </c>
      <c r="B9573">
        <v>0.12352128309022437</v>
      </c>
    </row>
    <row r="9574" spans="1:2" x14ac:dyDescent="0.2">
      <c r="A9574">
        <v>9568</v>
      </c>
      <c r="B9574">
        <v>0.49234899950821398</v>
      </c>
    </row>
    <row r="9575" spans="1:2" x14ac:dyDescent="0.2">
      <c r="A9575">
        <v>9569</v>
      </c>
      <c r="B9575">
        <v>0.75359627360801884</v>
      </c>
    </row>
    <row r="9576" spans="1:2" x14ac:dyDescent="0.2">
      <c r="A9576">
        <v>9570</v>
      </c>
      <c r="B9576">
        <v>0.5655597755955728</v>
      </c>
    </row>
    <row r="9577" spans="1:2" x14ac:dyDescent="0.2">
      <c r="A9577">
        <v>9571</v>
      </c>
      <c r="B9577">
        <v>0.72933479761190412</v>
      </c>
    </row>
    <row r="9578" spans="1:2" x14ac:dyDescent="0.2">
      <c r="A9578">
        <v>9572</v>
      </c>
      <c r="B9578">
        <v>0.97841199616238939</v>
      </c>
    </row>
    <row r="9579" spans="1:2" x14ac:dyDescent="0.2">
      <c r="A9579">
        <v>9573</v>
      </c>
      <c r="B9579">
        <v>0.11784974379152424</v>
      </c>
    </row>
    <row r="9580" spans="1:2" x14ac:dyDescent="0.2">
      <c r="A9580">
        <v>9574</v>
      </c>
      <c r="B9580">
        <v>0.51469722239881732</v>
      </c>
    </row>
    <row r="9581" spans="1:2" x14ac:dyDescent="0.2">
      <c r="A9581">
        <v>9575</v>
      </c>
      <c r="B9581">
        <v>0.52738218417459659</v>
      </c>
    </row>
    <row r="9582" spans="1:2" x14ac:dyDescent="0.2">
      <c r="A9582">
        <v>9576</v>
      </c>
      <c r="B9582">
        <v>0.16046039809196389</v>
      </c>
    </row>
    <row r="9583" spans="1:2" x14ac:dyDescent="0.2">
      <c r="A9583">
        <v>9577</v>
      </c>
      <c r="B9583">
        <v>0.43700729206760858</v>
      </c>
    </row>
    <row r="9584" spans="1:2" x14ac:dyDescent="0.2">
      <c r="A9584">
        <v>9578</v>
      </c>
      <c r="B9584">
        <v>0.84625237016705934</v>
      </c>
    </row>
    <row r="9585" spans="1:2" x14ac:dyDescent="0.2">
      <c r="A9585">
        <v>9579</v>
      </c>
      <c r="B9585">
        <v>9.3541810746987863E-2</v>
      </c>
    </row>
    <row r="9586" spans="1:2" x14ac:dyDescent="0.2">
      <c r="A9586">
        <v>9580</v>
      </c>
      <c r="B9586">
        <v>0.69509794714660944</v>
      </c>
    </row>
    <row r="9587" spans="1:2" x14ac:dyDescent="0.2">
      <c r="A9587">
        <v>9581</v>
      </c>
      <c r="B9587">
        <v>0.46768446356499593</v>
      </c>
    </row>
    <row r="9588" spans="1:2" x14ac:dyDescent="0.2">
      <c r="A9588">
        <v>9582</v>
      </c>
      <c r="B9588">
        <v>0.98096598807683189</v>
      </c>
    </row>
    <row r="9589" spans="1:2" x14ac:dyDescent="0.2">
      <c r="A9589">
        <v>9583</v>
      </c>
      <c r="B9589">
        <v>8.7062948459992184E-2</v>
      </c>
    </row>
    <row r="9590" spans="1:2" x14ac:dyDescent="0.2">
      <c r="A9590">
        <v>9584</v>
      </c>
      <c r="B9590">
        <v>0.97894401515190188</v>
      </c>
    </row>
    <row r="9591" spans="1:2" x14ac:dyDescent="0.2">
      <c r="A9591">
        <v>9585</v>
      </c>
      <c r="B9591">
        <v>0.71793741776467135</v>
      </c>
    </row>
    <row r="9592" spans="1:2" x14ac:dyDescent="0.2">
      <c r="A9592">
        <v>9586</v>
      </c>
      <c r="B9592">
        <v>0.98528483887612683</v>
      </c>
    </row>
    <row r="9593" spans="1:2" x14ac:dyDescent="0.2">
      <c r="A9593">
        <v>9587</v>
      </c>
      <c r="B9593">
        <v>0.7752307933899244</v>
      </c>
    </row>
    <row r="9594" spans="1:2" x14ac:dyDescent="0.2">
      <c r="A9594">
        <v>9588</v>
      </c>
      <c r="B9594">
        <v>0.58021356604944696</v>
      </c>
    </row>
    <row r="9595" spans="1:2" x14ac:dyDescent="0.2">
      <c r="A9595">
        <v>9589</v>
      </c>
      <c r="B9595">
        <v>0.96666762919356419</v>
      </c>
    </row>
    <row r="9596" spans="1:2" x14ac:dyDescent="0.2">
      <c r="A9596">
        <v>9590</v>
      </c>
      <c r="B9596">
        <v>0.66236150456284926</v>
      </c>
    </row>
    <row r="9597" spans="1:2" x14ac:dyDescent="0.2">
      <c r="A9597">
        <v>9591</v>
      </c>
      <c r="B9597">
        <v>0.17544647989096596</v>
      </c>
    </row>
    <row r="9598" spans="1:2" x14ac:dyDescent="0.2">
      <c r="A9598">
        <v>9592</v>
      </c>
      <c r="B9598">
        <v>0.48777031541227722</v>
      </c>
    </row>
    <row r="9599" spans="1:2" x14ac:dyDescent="0.2">
      <c r="A9599">
        <v>9593</v>
      </c>
      <c r="B9599">
        <v>2.1672398205761834E-2</v>
      </c>
    </row>
    <row r="9600" spans="1:2" x14ac:dyDescent="0.2">
      <c r="A9600">
        <v>9594</v>
      </c>
      <c r="B9600">
        <v>0.79967966217587871</v>
      </c>
    </row>
    <row r="9601" spans="1:2" x14ac:dyDescent="0.2">
      <c r="A9601">
        <v>9595</v>
      </c>
      <c r="B9601">
        <v>0.52018918332290209</v>
      </c>
    </row>
    <row r="9602" spans="1:2" x14ac:dyDescent="0.2">
      <c r="A9602">
        <v>9596</v>
      </c>
      <c r="B9602">
        <v>0.56966221318387045</v>
      </c>
    </row>
    <row r="9603" spans="1:2" x14ac:dyDescent="0.2">
      <c r="A9603">
        <v>9597</v>
      </c>
      <c r="B9603">
        <v>0.47747696577685494</v>
      </c>
    </row>
    <row r="9604" spans="1:2" x14ac:dyDescent="0.2">
      <c r="A9604">
        <v>9598</v>
      </c>
      <c r="B9604">
        <v>0.75533321408591758</v>
      </c>
    </row>
    <row r="9605" spans="1:2" x14ac:dyDescent="0.2">
      <c r="A9605">
        <v>9599</v>
      </c>
      <c r="B9605">
        <v>0.83801772626867144</v>
      </c>
    </row>
    <row r="9606" spans="1:2" x14ac:dyDescent="0.2">
      <c r="A9606">
        <v>9600</v>
      </c>
      <c r="B9606">
        <v>0.60212676077261162</v>
      </c>
    </row>
    <row r="9607" spans="1:2" x14ac:dyDescent="0.2">
      <c r="A9607">
        <v>9601</v>
      </c>
      <c r="B9607">
        <v>0.24917005583952256</v>
      </c>
    </row>
    <row r="9608" spans="1:2" x14ac:dyDescent="0.2">
      <c r="A9608">
        <v>9602</v>
      </c>
      <c r="B9608">
        <v>0.4958344333345287</v>
      </c>
    </row>
    <row r="9609" spans="1:2" x14ac:dyDescent="0.2">
      <c r="A9609">
        <v>9603</v>
      </c>
      <c r="B9609">
        <v>0.54304918653746126</v>
      </c>
    </row>
    <row r="9610" spans="1:2" x14ac:dyDescent="0.2">
      <c r="A9610">
        <v>9604</v>
      </c>
      <c r="B9610">
        <v>0.25530514723435282</v>
      </c>
    </row>
    <row r="9611" spans="1:2" x14ac:dyDescent="0.2">
      <c r="A9611">
        <v>9605</v>
      </c>
      <c r="B9611">
        <v>0.85826246142652884</v>
      </c>
    </row>
    <row r="9612" spans="1:2" x14ac:dyDescent="0.2">
      <c r="A9612">
        <v>9606</v>
      </c>
      <c r="B9612">
        <v>0.36496902866099723</v>
      </c>
    </row>
    <row r="9613" spans="1:2" x14ac:dyDescent="0.2">
      <c r="A9613">
        <v>9607</v>
      </c>
      <c r="B9613">
        <v>0.3475326717696603</v>
      </c>
    </row>
    <row r="9614" spans="1:2" x14ac:dyDescent="0.2">
      <c r="A9614">
        <v>9608</v>
      </c>
      <c r="B9614">
        <v>0.61069232778646265</v>
      </c>
    </row>
    <row r="9615" spans="1:2" x14ac:dyDescent="0.2">
      <c r="A9615">
        <v>9609</v>
      </c>
      <c r="B9615">
        <v>0.22943504974680851</v>
      </c>
    </row>
    <row r="9616" spans="1:2" x14ac:dyDescent="0.2">
      <c r="A9616">
        <v>9610</v>
      </c>
      <c r="B9616">
        <v>0.50368535895611255</v>
      </c>
    </row>
    <row r="9617" spans="1:2" x14ac:dyDescent="0.2">
      <c r="A9617">
        <v>9611</v>
      </c>
      <c r="B9617">
        <v>0.24287480399529993</v>
      </c>
    </row>
    <row r="9618" spans="1:2" x14ac:dyDescent="0.2">
      <c r="A9618">
        <v>9612</v>
      </c>
      <c r="B9618">
        <v>3.5753847019153184E-3</v>
      </c>
    </row>
    <row r="9619" spans="1:2" x14ac:dyDescent="0.2">
      <c r="A9619">
        <v>9613</v>
      </c>
      <c r="B9619">
        <v>0.98161535838770209</v>
      </c>
    </row>
    <row r="9620" spans="1:2" x14ac:dyDescent="0.2">
      <c r="A9620">
        <v>9614</v>
      </c>
      <c r="B9620">
        <v>1.9665027464081386E-2</v>
      </c>
    </row>
    <row r="9621" spans="1:2" x14ac:dyDescent="0.2">
      <c r="A9621">
        <v>9615</v>
      </c>
      <c r="B9621">
        <v>0.9757079585894094</v>
      </c>
    </row>
    <row r="9622" spans="1:2" x14ac:dyDescent="0.2">
      <c r="A9622">
        <v>9616</v>
      </c>
      <c r="B9622">
        <v>0.33829477280195774</v>
      </c>
    </row>
    <row r="9623" spans="1:2" x14ac:dyDescent="0.2">
      <c r="A9623">
        <v>9617</v>
      </c>
      <c r="B9623">
        <v>0.86249648350892616</v>
      </c>
    </row>
    <row r="9624" spans="1:2" x14ac:dyDescent="0.2">
      <c r="A9624">
        <v>9618</v>
      </c>
      <c r="B9624">
        <v>0.14490763554026986</v>
      </c>
    </row>
    <row r="9625" spans="1:2" x14ac:dyDescent="0.2">
      <c r="A9625">
        <v>9619</v>
      </c>
      <c r="B9625">
        <v>0.73085295542387407</v>
      </c>
    </row>
    <row r="9626" spans="1:2" x14ac:dyDescent="0.2">
      <c r="A9626">
        <v>9620</v>
      </c>
      <c r="B9626">
        <v>0.20212277885787688</v>
      </c>
    </row>
    <row r="9627" spans="1:2" x14ac:dyDescent="0.2">
      <c r="A9627">
        <v>9621</v>
      </c>
      <c r="B9627">
        <v>0.1035253216457741</v>
      </c>
    </row>
    <row r="9628" spans="1:2" x14ac:dyDescent="0.2">
      <c r="A9628">
        <v>9622</v>
      </c>
      <c r="B9628">
        <v>0.90514942340957805</v>
      </c>
    </row>
    <row r="9629" spans="1:2" x14ac:dyDescent="0.2">
      <c r="A9629">
        <v>9623</v>
      </c>
      <c r="B9629">
        <v>0.21018003571187138</v>
      </c>
    </row>
    <row r="9630" spans="1:2" x14ac:dyDescent="0.2">
      <c r="A9630">
        <v>9624</v>
      </c>
      <c r="B9630">
        <v>0.24949816956983295</v>
      </c>
    </row>
    <row r="9631" spans="1:2" x14ac:dyDescent="0.2">
      <c r="A9631">
        <v>9625</v>
      </c>
      <c r="B9631">
        <v>0.66987914077627497</v>
      </c>
    </row>
    <row r="9632" spans="1:2" x14ac:dyDescent="0.2">
      <c r="A9632">
        <v>9626</v>
      </c>
      <c r="B9632">
        <v>0.70851241081458927</v>
      </c>
    </row>
    <row r="9633" spans="1:2" x14ac:dyDescent="0.2">
      <c r="A9633">
        <v>9627</v>
      </c>
      <c r="B9633">
        <v>0.68102764413796191</v>
      </c>
    </row>
    <row r="9634" spans="1:2" x14ac:dyDescent="0.2">
      <c r="A9634">
        <v>9628</v>
      </c>
      <c r="B9634">
        <v>0.53017466542609482</v>
      </c>
    </row>
    <row r="9635" spans="1:2" x14ac:dyDescent="0.2">
      <c r="A9635">
        <v>9629</v>
      </c>
      <c r="B9635">
        <v>0.24755514190585237</v>
      </c>
    </row>
    <row r="9636" spans="1:2" x14ac:dyDescent="0.2">
      <c r="A9636">
        <v>9630</v>
      </c>
      <c r="B9636">
        <v>0.41123495593416559</v>
      </c>
    </row>
    <row r="9637" spans="1:2" x14ac:dyDescent="0.2">
      <c r="A9637">
        <v>9631</v>
      </c>
      <c r="B9637">
        <v>0.4432965741609014</v>
      </c>
    </row>
    <row r="9638" spans="1:2" x14ac:dyDescent="0.2">
      <c r="A9638">
        <v>9632</v>
      </c>
      <c r="B9638">
        <v>0.30039807352101688</v>
      </c>
    </row>
    <row r="9639" spans="1:2" x14ac:dyDescent="0.2">
      <c r="A9639">
        <v>9633</v>
      </c>
      <c r="B9639">
        <v>0.3917068803763567</v>
      </c>
    </row>
    <row r="9640" spans="1:2" x14ac:dyDescent="0.2">
      <c r="A9640">
        <v>9634</v>
      </c>
      <c r="B9640">
        <v>0.31248990261314968</v>
      </c>
    </row>
    <row r="9641" spans="1:2" x14ac:dyDescent="0.2">
      <c r="A9641">
        <v>9635</v>
      </c>
      <c r="B9641">
        <v>3.2538258771925177E-2</v>
      </c>
    </row>
    <row r="9642" spans="1:2" x14ac:dyDescent="0.2">
      <c r="A9642">
        <v>9636</v>
      </c>
      <c r="B9642">
        <v>0.51265236099898948</v>
      </c>
    </row>
    <row r="9643" spans="1:2" x14ac:dyDescent="0.2">
      <c r="A9643">
        <v>9637</v>
      </c>
      <c r="B9643">
        <v>3.3373086986305145E-2</v>
      </c>
    </row>
    <row r="9644" spans="1:2" x14ac:dyDescent="0.2">
      <c r="A9644">
        <v>9638</v>
      </c>
      <c r="B9644">
        <v>4.0569852228764192E-2</v>
      </c>
    </row>
    <row r="9645" spans="1:2" x14ac:dyDescent="0.2">
      <c r="A9645">
        <v>9639</v>
      </c>
      <c r="B9645">
        <v>2.4947485760361987E-2</v>
      </c>
    </row>
    <row r="9646" spans="1:2" x14ac:dyDescent="0.2">
      <c r="A9646">
        <v>9640</v>
      </c>
      <c r="B9646">
        <v>0.67191066230682128</v>
      </c>
    </row>
    <row r="9647" spans="1:2" x14ac:dyDescent="0.2">
      <c r="A9647">
        <v>9641</v>
      </c>
      <c r="B9647">
        <v>0.99861493374423593</v>
      </c>
    </row>
    <row r="9648" spans="1:2" x14ac:dyDescent="0.2">
      <c r="A9648">
        <v>9642</v>
      </c>
      <c r="B9648">
        <v>0.93595361843737868</v>
      </c>
    </row>
    <row r="9649" spans="1:2" x14ac:dyDescent="0.2">
      <c r="A9649">
        <v>9643</v>
      </c>
      <c r="B9649">
        <v>0.57230690865711142</v>
      </c>
    </row>
    <row r="9650" spans="1:2" x14ac:dyDescent="0.2">
      <c r="A9650">
        <v>9644</v>
      </c>
      <c r="B9650">
        <v>0.93586064418343018</v>
      </c>
    </row>
    <row r="9651" spans="1:2" x14ac:dyDescent="0.2">
      <c r="A9651">
        <v>9645</v>
      </c>
      <c r="B9651">
        <v>0.7281172470231132</v>
      </c>
    </row>
    <row r="9652" spans="1:2" x14ac:dyDescent="0.2">
      <c r="A9652">
        <v>9646</v>
      </c>
      <c r="B9652">
        <v>0.15309005669732312</v>
      </c>
    </row>
    <row r="9653" spans="1:2" x14ac:dyDescent="0.2">
      <c r="A9653">
        <v>9647</v>
      </c>
      <c r="B9653">
        <v>0.934174671102598</v>
      </c>
    </row>
    <row r="9654" spans="1:2" x14ac:dyDescent="0.2">
      <c r="A9654">
        <v>9648</v>
      </c>
      <c r="B9654">
        <v>0.65915000448625094</v>
      </c>
    </row>
    <row r="9655" spans="1:2" x14ac:dyDescent="0.2">
      <c r="A9655">
        <v>9649</v>
      </c>
      <c r="B9655">
        <v>0.97436427532446035</v>
      </c>
    </row>
    <row r="9656" spans="1:2" x14ac:dyDescent="0.2">
      <c r="A9656">
        <v>9650</v>
      </c>
      <c r="B9656">
        <v>0.294025811666629</v>
      </c>
    </row>
    <row r="9657" spans="1:2" x14ac:dyDescent="0.2">
      <c r="A9657">
        <v>9651</v>
      </c>
      <c r="B9657">
        <v>0.25997922248080496</v>
      </c>
    </row>
    <row r="9658" spans="1:2" x14ac:dyDescent="0.2">
      <c r="A9658">
        <v>9652</v>
      </c>
      <c r="B9658">
        <v>0.36151718900268615</v>
      </c>
    </row>
    <row r="9659" spans="1:2" x14ac:dyDescent="0.2">
      <c r="A9659">
        <v>9653</v>
      </c>
      <c r="B9659">
        <v>0.46523115175576857</v>
      </c>
    </row>
    <row r="9660" spans="1:2" x14ac:dyDescent="0.2">
      <c r="A9660">
        <v>9654</v>
      </c>
      <c r="B9660">
        <v>0.45597734933438394</v>
      </c>
    </row>
    <row r="9661" spans="1:2" x14ac:dyDescent="0.2">
      <c r="A9661">
        <v>9655</v>
      </c>
      <c r="B9661">
        <v>0.64455022966182451</v>
      </c>
    </row>
    <row r="9662" spans="1:2" x14ac:dyDescent="0.2">
      <c r="A9662">
        <v>9656</v>
      </c>
      <c r="B9662">
        <v>0.63098472887140977</v>
      </c>
    </row>
    <row r="9663" spans="1:2" x14ac:dyDescent="0.2">
      <c r="A9663">
        <v>9657</v>
      </c>
      <c r="B9663">
        <v>0.38144686787311499</v>
      </c>
    </row>
    <row r="9664" spans="1:2" x14ac:dyDescent="0.2">
      <c r="A9664">
        <v>9658</v>
      </c>
      <c r="B9664">
        <v>0.27297694902456759</v>
      </c>
    </row>
    <row r="9665" spans="1:2" x14ac:dyDescent="0.2">
      <c r="A9665">
        <v>9659</v>
      </c>
      <c r="B9665">
        <v>0.42180308907775066</v>
      </c>
    </row>
    <row r="9666" spans="1:2" x14ac:dyDescent="0.2">
      <c r="A9666">
        <v>9660</v>
      </c>
      <c r="B9666">
        <v>0.65486555976833238</v>
      </c>
    </row>
    <row r="9667" spans="1:2" x14ac:dyDescent="0.2">
      <c r="A9667">
        <v>9661</v>
      </c>
      <c r="B9667">
        <v>0.3416712120857287</v>
      </c>
    </row>
    <row r="9668" spans="1:2" x14ac:dyDescent="0.2">
      <c r="A9668">
        <v>9662</v>
      </c>
      <c r="B9668">
        <v>0.68042103329655546</v>
      </c>
    </row>
    <row r="9669" spans="1:2" x14ac:dyDescent="0.2">
      <c r="A9669">
        <v>9663</v>
      </c>
      <c r="B9669">
        <v>2.6949065936993533E-2</v>
      </c>
    </row>
    <row r="9670" spans="1:2" x14ac:dyDescent="0.2">
      <c r="A9670">
        <v>9664</v>
      </c>
      <c r="B9670">
        <v>0.24382856066089953</v>
      </c>
    </row>
    <row r="9671" spans="1:2" x14ac:dyDescent="0.2">
      <c r="A9671">
        <v>9665</v>
      </c>
      <c r="B9671">
        <v>0.63865634178574127</v>
      </c>
    </row>
    <row r="9672" spans="1:2" x14ac:dyDescent="0.2">
      <c r="A9672">
        <v>9666</v>
      </c>
      <c r="B9672">
        <v>0.72712555534334944</v>
      </c>
    </row>
    <row r="9673" spans="1:2" x14ac:dyDescent="0.2">
      <c r="A9673">
        <v>9667</v>
      </c>
      <c r="B9673">
        <v>0.65127167675122499</v>
      </c>
    </row>
    <row r="9674" spans="1:2" x14ac:dyDescent="0.2">
      <c r="A9674">
        <v>9668</v>
      </c>
      <c r="B9674">
        <v>0.39004079239716571</v>
      </c>
    </row>
    <row r="9675" spans="1:2" x14ac:dyDescent="0.2">
      <c r="A9675">
        <v>9669</v>
      </c>
      <c r="B9675">
        <v>0.38526020280605877</v>
      </c>
    </row>
    <row r="9676" spans="1:2" x14ac:dyDescent="0.2">
      <c r="A9676">
        <v>9670</v>
      </c>
      <c r="B9676">
        <v>0.48318772140823341</v>
      </c>
    </row>
    <row r="9677" spans="1:2" x14ac:dyDescent="0.2">
      <c r="A9677">
        <v>9671</v>
      </c>
      <c r="B9677">
        <v>0.64647680017398179</v>
      </c>
    </row>
    <row r="9678" spans="1:2" x14ac:dyDescent="0.2">
      <c r="A9678">
        <v>9672</v>
      </c>
      <c r="B9678">
        <v>0.33320518194053483</v>
      </c>
    </row>
    <row r="9679" spans="1:2" x14ac:dyDescent="0.2">
      <c r="A9679">
        <v>9673</v>
      </c>
      <c r="B9679">
        <v>0.4855859084130133</v>
      </c>
    </row>
    <row r="9680" spans="1:2" x14ac:dyDescent="0.2">
      <c r="A9680">
        <v>9674</v>
      </c>
      <c r="B9680">
        <v>0.3286720601222094</v>
      </c>
    </row>
    <row r="9681" spans="1:2" x14ac:dyDescent="0.2">
      <c r="A9681">
        <v>9675</v>
      </c>
      <c r="B9681">
        <v>9.589338508660139E-2</v>
      </c>
    </row>
    <row r="9682" spans="1:2" x14ac:dyDescent="0.2">
      <c r="A9682">
        <v>9676</v>
      </c>
      <c r="B9682">
        <v>0.43950802435582137</v>
      </c>
    </row>
    <row r="9683" spans="1:2" x14ac:dyDescent="0.2">
      <c r="A9683">
        <v>9677</v>
      </c>
      <c r="B9683">
        <v>0.26577777208460551</v>
      </c>
    </row>
    <row r="9684" spans="1:2" x14ac:dyDescent="0.2">
      <c r="A9684">
        <v>9678</v>
      </c>
      <c r="B9684">
        <v>0.35972856195368474</v>
      </c>
    </row>
    <row r="9685" spans="1:2" x14ac:dyDescent="0.2">
      <c r="A9685">
        <v>9679</v>
      </c>
      <c r="B9685">
        <v>0.88354553514426215</v>
      </c>
    </row>
    <row r="9686" spans="1:2" x14ac:dyDescent="0.2">
      <c r="A9686">
        <v>9680</v>
      </c>
      <c r="B9686">
        <v>0.28742915852077899</v>
      </c>
    </row>
    <row r="9687" spans="1:2" x14ac:dyDescent="0.2">
      <c r="A9687">
        <v>9681</v>
      </c>
      <c r="B9687">
        <v>0.87378696327257488</v>
      </c>
    </row>
    <row r="9688" spans="1:2" x14ac:dyDescent="0.2">
      <c r="A9688">
        <v>9682</v>
      </c>
      <c r="B9688">
        <v>0.55785370109052346</v>
      </c>
    </row>
    <row r="9689" spans="1:2" x14ac:dyDescent="0.2">
      <c r="A9689">
        <v>9683</v>
      </c>
      <c r="B9689">
        <v>0.88887453623448731</v>
      </c>
    </row>
    <row r="9690" spans="1:2" x14ac:dyDescent="0.2">
      <c r="A9690">
        <v>9684</v>
      </c>
      <c r="B9690">
        <v>0.35451075633171236</v>
      </c>
    </row>
    <row r="9691" spans="1:2" x14ac:dyDescent="0.2">
      <c r="A9691">
        <v>9685</v>
      </c>
      <c r="B9691">
        <v>0.65352658853256362</v>
      </c>
    </row>
    <row r="9692" spans="1:2" x14ac:dyDescent="0.2">
      <c r="A9692">
        <v>9686</v>
      </c>
      <c r="B9692">
        <v>0.24136829042158237</v>
      </c>
    </row>
    <row r="9693" spans="1:2" x14ac:dyDescent="0.2">
      <c r="A9693">
        <v>9687</v>
      </c>
      <c r="B9693">
        <v>0.15200299317520805</v>
      </c>
    </row>
    <row r="9694" spans="1:2" x14ac:dyDescent="0.2">
      <c r="A9694">
        <v>9688</v>
      </c>
      <c r="B9694">
        <v>0.67761735369083109</v>
      </c>
    </row>
    <row r="9695" spans="1:2" x14ac:dyDescent="0.2">
      <c r="A9695">
        <v>9689</v>
      </c>
      <c r="B9695">
        <v>9.4019881156886753E-2</v>
      </c>
    </row>
    <row r="9696" spans="1:2" x14ac:dyDescent="0.2">
      <c r="A9696">
        <v>9690</v>
      </c>
      <c r="B9696">
        <v>0.53148190261961847</v>
      </c>
    </row>
    <row r="9697" spans="1:2" x14ac:dyDescent="0.2">
      <c r="A9697">
        <v>9691</v>
      </c>
      <c r="B9697">
        <v>0.71848993896580482</v>
      </c>
    </row>
    <row r="9698" spans="1:2" x14ac:dyDescent="0.2">
      <c r="A9698">
        <v>9692</v>
      </c>
      <c r="B9698">
        <v>0.95893905654979117</v>
      </c>
    </row>
    <row r="9699" spans="1:2" x14ac:dyDescent="0.2">
      <c r="A9699">
        <v>9693</v>
      </c>
      <c r="B9699">
        <v>0.51961926491949961</v>
      </c>
    </row>
    <row r="9700" spans="1:2" x14ac:dyDescent="0.2">
      <c r="A9700">
        <v>9694</v>
      </c>
      <c r="B9700">
        <v>0.95287365078922526</v>
      </c>
    </row>
    <row r="9701" spans="1:2" x14ac:dyDescent="0.2">
      <c r="A9701">
        <v>9695</v>
      </c>
      <c r="B9701">
        <v>0.6861625690214832</v>
      </c>
    </row>
    <row r="9702" spans="1:2" x14ac:dyDescent="0.2">
      <c r="A9702">
        <v>9696</v>
      </c>
      <c r="B9702">
        <v>0.21509366991159073</v>
      </c>
    </row>
    <row r="9703" spans="1:2" x14ac:dyDescent="0.2">
      <c r="A9703">
        <v>9697</v>
      </c>
      <c r="B9703">
        <v>0.79203971425914621</v>
      </c>
    </row>
    <row r="9704" spans="1:2" x14ac:dyDescent="0.2">
      <c r="A9704">
        <v>9698</v>
      </c>
      <c r="B9704">
        <v>0.72978483682346429</v>
      </c>
    </row>
    <row r="9705" spans="1:2" x14ac:dyDescent="0.2">
      <c r="A9705">
        <v>9699</v>
      </c>
      <c r="B9705">
        <v>0.95900989858135866</v>
      </c>
    </row>
    <row r="9706" spans="1:2" x14ac:dyDescent="0.2">
      <c r="A9706">
        <v>9700</v>
      </c>
      <c r="B9706">
        <v>0.60331388498546612</v>
      </c>
    </row>
    <row r="9707" spans="1:2" x14ac:dyDescent="0.2">
      <c r="A9707">
        <v>9701</v>
      </c>
      <c r="B9707">
        <v>0.87881989339204847</v>
      </c>
    </row>
    <row r="9708" spans="1:2" x14ac:dyDescent="0.2">
      <c r="A9708">
        <v>9702</v>
      </c>
      <c r="B9708">
        <v>0.53023077222059001</v>
      </c>
    </row>
    <row r="9709" spans="1:2" x14ac:dyDescent="0.2">
      <c r="A9709">
        <v>9703</v>
      </c>
      <c r="B9709">
        <v>0.99295298511174479</v>
      </c>
    </row>
    <row r="9710" spans="1:2" x14ac:dyDescent="0.2">
      <c r="A9710">
        <v>9704</v>
      </c>
      <c r="B9710">
        <v>0.20678537611529257</v>
      </c>
    </row>
    <row r="9711" spans="1:2" x14ac:dyDescent="0.2">
      <c r="A9711">
        <v>9705</v>
      </c>
      <c r="B9711">
        <v>0.81893686569599022</v>
      </c>
    </row>
    <row r="9712" spans="1:2" x14ac:dyDescent="0.2">
      <c r="A9712">
        <v>9706</v>
      </c>
      <c r="B9712">
        <v>0.46710141905806002</v>
      </c>
    </row>
    <row r="9713" spans="1:2" x14ac:dyDescent="0.2">
      <c r="A9713">
        <v>9707</v>
      </c>
      <c r="B9713">
        <v>0.18742844047114615</v>
      </c>
    </row>
    <row r="9714" spans="1:2" x14ac:dyDescent="0.2">
      <c r="A9714">
        <v>9708</v>
      </c>
      <c r="B9714">
        <v>0.95294232425058489</v>
      </c>
    </row>
    <row r="9715" spans="1:2" x14ac:dyDescent="0.2">
      <c r="A9715">
        <v>9709</v>
      </c>
      <c r="B9715">
        <v>0.92057523621979442</v>
      </c>
    </row>
    <row r="9716" spans="1:2" x14ac:dyDescent="0.2">
      <c r="A9716">
        <v>9710</v>
      </c>
      <c r="B9716">
        <v>0.57374859807885237</v>
      </c>
    </row>
    <row r="9717" spans="1:2" x14ac:dyDescent="0.2">
      <c r="A9717">
        <v>9711</v>
      </c>
      <c r="B9717">
        <v>0.9384143555014739</v>
      </c>
    </row>
    <row r="9718" spans="1:2" x14ac:dyDescent="0.2">
      <c r="A9718">
        <v>9712</v>
      </c>
      <c r="B9718">
        <v>0.31763508138064578</v>
      </c>
    </row>
    <row r="9719" spans="1:2" x14ac:dyDescent="0.2">
      <c r="A9719">
        <v>9713</v>
      </c>
      <c r="B9719">
        <v>0.8040093920997381</v>
      </c>
    </row>
    <row r="9720" spans="1:2" x14ac:dyDescent="0.2">
      <c r="A9720">
        <v>9714</v>
      </c>
      <c r="B9720">
        <v>9.1243707226376869E-2</v>
      </c>
    </row>
    <row r="9721" spans="1:2" x14ac:dyDescent="0.2">
      <c r="A9721">
        <v>9715</v>
      </c>
      <c r="B9721">
        <v>0.21676437908959656</v>
      </c>
    </row>
    <row r="9722" spans="1:2" x14ac:dyDescent="0.2">
      <c r="A9722">
        <v>9716</v>
      </c>
      <c r="B9722">
        <v>0.95710908473624245</v>
      </c>
    </row>
    <row r="9723" spans="1:2" x14ac:dyDescent="0.2">
      <c r="A9723">
        <v>9717</v>
      </c>
      <c r="B9723">
        <v>0.15606156732941934</v>
      </c>
    </row>
    <row r="9724" spans="1:2" x14ac:dyDescent="0.2">
      <c r="A9724">
        <v>9718</v>
      </c>
      <c r="B9724">
        <v>0.54010892651079034</v>
      </c>
    </row>
    <row r="9725" spans="1:2" x14ac:dyDescent="0.2">
      <c r="A9725">
        <v>9719</v>
      </c>
      <c r="B9725">
        <v>0.28814655252348076</v>
      </c>
    </row>
    <row r="9726" spans="1:2" x14ac:dyDescent="0.2">
      <c r="A9726">
        <v>9720</v>
      </c>
      <c r="B9726">
        <v>0.25855142096397787</v>
      </c>
    </row>
    <row r="9727" spans="1:2" x14ac:dyDescent="0.2">
      <c r="A9727">
        <v>9721</v>
      </c>
      <c r="B9727">
        <v>0.11054641256444253</v>
      </c>
    </row>
    <row r="9728" spans="1:2" x14ac:dyDescent="0.2">
      <c r="A9728">
        <v>9722</v>
      </c>
      <c r="B9728">
        <v>0.27244592779149523</v>
      </c>
    </row>
    <row r="9729" spans="1:2" x14ac:dyDescent="0.2">
      <c r="A9729">
        <v>9723</v>
      </c>
      <c r="B9729">
        <v>0.39497733949203284</v>
      </c>
    </row>
    <row r="9730" spans="1:2" x14ac:dyDescent="0.2">
      <c r="A9730">
        <v>9724</v>
      </c>
      <c r="B9730">
        <v>0.65320068551356769</v>
      </c>
    </row>
    <row r="9731" spans="1:2" x14ac:dyDescent="0.2">
      <c r="A9731">
        <v>9725</v>
      </c>
      <c r="B9731">
        <v>5.8592322823650678E-2</v>
      </c>
    </row>
    <row r="9732" spans="1:2" x14ac:dyDescent="0.2">
      <c r="A9732">
        <v>9726</v>
      </c>
      <c r="B9732">
        <v>0.50769896816299731</v>
      </c>
    </row>
    <row r="9733" spans="1:2" x14ac:dyDescent="0.2">
      <c r="A9733">
        <v>9727</v>
      </c>
      <c r="B9733">
        <v>0.22095809639403641</v>
      </c>
    </row>
    <row r="9734" spans="1:2" x14ac:dyDescent="0.2">
      <c r="A9734">
        <v>9728</v>
      </c>
      <c r="B9734">
        <v>0.46901874441242142</v>
      </c>
    </row>
    <row r="9735" spans="1:2" x14ac:dyDescent="0.2">
      <c r="A9735">
        <v>9729</v>
      </c>
      <c r="B9735">
        <v>0.61198727176383316</v>
      </c>
    </row>
    <row r="9736" spans="1:2" x14ac:dyDescent="0.2">
      <c r="A9736">
        <v>9730</v>
      </c>
      <c r="B9736">
        <v>0.30712384212976329</v>
      </c>
    </row>
    <row r="9737" spans="1:2" x14ac:dyDescent="0.2">
      <c r="A9737">
        <v>9731</v>
      </c>
      <c r="B9737">
        <v>0.95033570092171549</v>
      </c>
    </row>
    <row r="9738" spans="1:2" x14ac:dyDescent="0.2">
      <c r="A9738">
        <v>9732</v>
      </c>
      <c r="B9738">
        <v>0.99539916513299542</v>
      </c>
    </row>
    <row r="9739" spans="1:2" x14ac:dyDescent="0.2">
      <c r="A9739">
        <v>9733</v>
      </c>
      <c r="B9739">
        <v>0.69614182419767279</v>
      </c>
    </row>
    <row r="9740" spans="1:2" x14ac:dyDescent="0.2">
      <c r="A9740">
        <v>9734</v>
      </c>
      <c r="B9740">
        <v>0.76578428459285941</v>
      </c>
    </row>
    <row r="9741" spans="1:2" x14ac:dyDescent="0.2">
      <c r="A9741">
        <v>9735</v>
      </c>
      <c r="B9741">
        <v>0.98151658712486844</v>
      </c>
    </row>
    <row r="9742" spans="1:2" x14ac:dyDescent="0.2">
      <c r="A9742">
        <v>9736</v>
      </c>
      <c r="B9742">
        <v>0.46503418277908082</v>
      </c>
    </row>
    <row r="9743" spans="1:2" x14ac:dyDescent="0.2">
      <c r="A9743">
        <v>9737</v>
      </c>
      <c r="B9743">
        <v>0.6407057950866285</v>
      </c>
    </row>
    <row r="9744" spans="1:2" x14ac:dyDescent="0.2">
      <c r="A9744">
        <v>9738</v>
      </c>
      <c r="B9744">
        <v>0.38506577138133535</v>
      </c>
    </row>
    <row r="9745" spans="1:2" x14ac:dyDescent="0.2">
      <c r="A9745">
        <v>9739</v>
      </c>
      <c r="B9745">
        <v>0.23651534538219865</v>
      </c>
    </row>
    <row r="9746" spans="1:2" x14ac:dyDescent="0.2">
      <c r="A9746">
        <v>9740</v>
      </c>
      <c r="B9746">
        <v>0.43774028530694364</v>
      </c>
    </row>
    <row r="9747" spans="1:2" x14ac:dyDescent="0.2">
      <c r="A9747">
        <v>9741</v>
      </c>
      <c r="B9747">
        <v>0.61828196303930749</v>
      </c>
    </row>
    <row r="9748" spans="1:2" x14ac:dyDescent="0.2">
      <c r="A9748">
        <v>9742</v>
      </c>
      <c r="B9748">
        <v>0.43302972014583052</v>
      </c>
    </row>
    <row r="9749" spans="1:2" x14ac:dyDescent="0.2">
      <c r="A9749">
        <v>9743</v>
      </c>
      <c r="B9749">
        <v>0.31473163100676094</v>
      </c>
    </row>
    <row r="9750" spans="1:2" x14ac:dyDescent="0.2">
      <c r="A9750">
        <v>9744</v>
      </c>
      <c r="B9750">
        <v>0.94045863679842345</v>
      </c>
    </row>
    <row r="9751" spans="1:2" x14ac:dyDescent="0.2">
      <c r="A9751">
        <v>9745</v>
      </c>
      <c r="B9751">
        <v>0.70232115368667958</v>
      </c>
    </row>
    <row r="9752" spans="1:2" x14ac:dyDescent="0.2">
      <c r="A9752">
        <v>9746</v>
      </c>
      <c r="B9752">
        <v>0.74353976517734865</v>
      </c>
    </row>
    <row r="9753" spans="1:2" x14ac:dyDescent="0.2">
      <c r="A9753">
        <v>9747</v>
      </c>
      <c r="B9753">
        <v>0.73785471774946565</v>
      </c>
    </row>
    <row r="9754" spans="1:2" x14ac:dyDescent="0.2">
      <c r="A9754">
        <v>9748</v>
      </c>
      <c r="B9754">
        <v>8.1322284809948964E-2</v>
      </c>
    </row>
    <row r="9755" spans="1:2" x14ac:dyDescent="0.2">
      <c r="A9755">
        <v>9749</v>
      </c>
      <c r="B9755">
        <v>0.82874797889532237</v>
      </c>
    </row>
    <row r="9756" spans="1:2" x14ac:dyDescent="0.2">
      <c r="A9756">
        <v>9750</v>
      </c>
      <c r="B9756">
        <v>0.65278024114736566</v>
      </c>
    </row>
    <row r="9757" spans="1:2" x14ac:dyDescent="0.2">
      <c r="A9757">
        <v>9751</v>
      </c>
      <c r="B9757">
        <v>0.24356705637214959</v>
      </c>
    </row>
    <row r="9758" spans="1:2" x14ac:dyDescent="0.2">
      <c r="A9758">
        <v>9752</v>
      </c>
      <c r="B9758">
        <v>0.73489095250988246</v>
      </c>
    </row>
    <row r="9759" spans="1:2" x14ac:dyDescent="0.2">
      <c r="A9759">
        <v>9753</v>
      </c>
      <c r="B9759">
        <v>0.37205880303227779</v>
      </c>
    </row>
    <row r="9760" spans="1:2" x14ac:dyDescent="0.2">
      <c r="A9760">
        <v>9754</v>
      </c>
      <c r="B9760">
        <v>0.88448449186024958</v>
      </c>
    </row>
    <row r="9761" spans="1:2" x14ac:dyDescent="0.2">
      <c r="A9761">
        <v>9755</v>
      </c>
      <c r="B9761">
        <v>0.88458058393372219</v>
      </c>
    </row>
    <row r="9762" spans="1:2" x14ac:dyDescent="0.2">
      <c r="A9762">
        <v>9756</v>
      </c>
      <c r="B9762">
        <v>0.33389316345248909</v>
      </c>
    </row>
    <row r="9763" spans="1:2" x14ac:dyDescent="0.2">
      <c r="A9763">
        <v>9757</v>
      </c>
      <c r="B9763">
        <v>7.0519359208798149E-2</v>
      </c>
    </row>
    <row r="9764" spans="1:2" x14ac:dyDescent="0.2">
      <c r="A9764">
        <v>9758</v>
      </c>
      <c r="B9764">
        <v>0.89502860247873628</v>
      </c>
    </row>
    <row r="9765" spans="1:2" x14ac:dyDescent="0.2">
      <c r="A9765">
        <v>9759</v>
      </c>
      <c r="B9765">
        <v>0.2026165509881297</v>
      </c>
    </row>
    <row r="9766" spans="1:2" x14ac:dyDescent="0.2">
      <c r="A9766">
        <v>9760</v>
      </c>
      <c r="B9766">
        <v>0.40413325453228377</v>
      </c>
    </row>
    <row r="9767" spans="1:2" x14ac:dyDescent="0.2">
      <c r="A9767">
        <v>9761</v>
      </c>
      <c r="B9767">
        <v>0.75055130957465854</v>
      </c>
    </row>
    <row r="9768" spans="1:2" x14ac:dyDescent="0.2">
      <c r="A9768">
        <v>9762</v>
      </c>
      <c r="B9768">
        <v>0.72765895233308642</v>
      </c>
    </row>
    <row r="9769" spans="1:2" x14ac:dyDescent="0.2">
      <c r="A9769">
        <v>9763</v>
      </c>
      <c r="B9769">
        <v>0.38868194555056512</v>
      </c>
    </row>
    <row r="9770" spans="1:2" x14ac:dyDescent="0.2">
      <c r="A9770">
        <v>9764</v>
      </c>
      <c r="B9770">
        <v>7.4348325248174696E-2</v>
      </c>
    </row>
    <row r="9771" spans="1:2" x14ac:dyDescent="0.2">
      <c r="A9771">
        <v>9765</v>
      </c>
      <c r="B9771">
        <v>0.1345322489546712</v>
      </c>
    </row>
    <row r="9772" spans="1:2" x14ac:dyDescent="0.2">
      <c r="A9772">
        <v>9766</v>
      </c>
      <c r="B9772">
        <v>0.90220415146699129</v>
      </c>
    </row>
    <row r="9773" spans="1:2" x14ac:dyDescent="0.2">
      <c r="A9773">
        <v>9767</v>
      </c>
      <c r="B9773">
        <v>0.18936289337082512</v>
      </c>
    </row>
    <row r="9774" spans="1:2" x14ac:dyDescent="0.2">
      <c r="A9774">
        <v>9768</v>
      </c>
      <c r="B9774">
        <v>0.40183826802161859</v>
      </c>
    </row>
    <row r="9775" spans="1:2" x14ac:dyDescent="0.2">
      <c r="A9775">
        <v>9769</v>
      </c>
      <c r="B9775">
        <v>2.0350746148731114E-2</v>
      </c>
    </row>
    <row r="9776" spans="1:2" x14ac:dyDescent="0.2">
      <c r="A9776">
        <v>9770</v>
      </c>
      <c r="B9776">
        <v>0.67467164671521818</v>
      </c>
    </row>
    <row r="9777" spans="1:2" x14ac:dyDescent="0.2">
      <c r="A9777">
        <v>9771</v>
      </c>
      <c r="B9777">
        <v>0.54430566552612791</v>
      </c>
    </row>
    <row r="9778" spans="1:2" x14ac:dyDescent="0.2">
      <c r="A9778">
        <v>9772</v>
      </c>
      <c r="B9778">
        <v>0.53538784289637087</v>
      </c>
    </row>
    <row r="9779" spans="1:2" x14ac:dyDescent="0.2">
      <c r="A9779">
        <v>9773</v>
      </c>
      <c r="B9779">
        <v>0.33440181789628165</v>
      </c>
    </row>
    <row r="9780" spans="1:2" x14ac:dyDescent="0.2">
      <c r="A9780">
        <v>9774</v>
      </c>
      <c r="B9780">
        <v>0.25172397505148714</v>
      </c>
    </row>
    <row r="9781" spans="1:2" x14ac:dyDescent="0.2">
      <c r="A9781">
        <v>9775</v>
      </c>
      <c r="B9781">
        <v>0.62180477124795164</v>
      </c>
    </row>
    <row r="9782" spans="1:2" x14ac:dyDescent="0.2">
      <c r="A9782">
        <v>9776</v>
      </c>
      <c r="B9782">
        <v>6.242536012658717E-2</v>
      </c>
    </row>
    <row r="9783" spans="1:2" x14ac:dyDescent="0.2">
      <c r="A9783">
        <v>9777</v>
      </c>
      <c r="B9783">
        <v>0.16465431048593093</v>
      </c>
    </row>
    <row r="9784" spans="1:2" x14ac:dyDescent="0.2">
      <c r="A9784">
        <v>9778</v>
      </c>
      <c r="B9784">
        <v>0.20931053124061039</v>
      </c>
    </row>
    <row r="9785" spans="1:2" x14ac:dyDescent="0.2">
      <c r="A9785">
        <v>9779</v>
      </c>
      <c r="B9785">
        <v>0.9570859353397666</v>
      </c>
    </row>
    <row r="9786" spans="1:2" x14ac:dyDescent="0.2">
      <c r="A9786">
        <v>9780</v>
      </c>
      <c r="B9786">
        <v>1.2471067306988659E-2</v>
      </c>
    </row>
    <row r="9787" spans="1:2" x14ac:dyDescent="0.2">
      <c r="A9787">
        <v>9781</v>
      </c>
      <c r="B9787">
        <v>0.61319552368948271</v>
      </c>
    </row>
    <row r="9788" spans="1:2" x14ac:dyDescent="0.2">
      <c r="A9788">
        <v>9782</v>
      </c>
      <c r="B9788">
        <v>0.34662635215981541</v>
      </c>
    </row>
    <row r="9789" spans="1:2" x14ac:dyDescent="0.2">
      <c r="A9789">
        <v>9783</v>
      </c>
      <c r="B9789">
        <v>0.74599519768515521</v>
      </c>
    </row>
    <row r="9790" spans="1:2" x14ac:dyDescent="0.2">
      <c r="A9790">
        <v>9784</v>
      </c>
      <c r="B9790">
        <v>0.87329398973636685</v>
      </c>
    </row>
    <row r="9791" spans="1:2" x14ac:dyDescent="0.2">
      <c r="A9791">
        <v>9785</v>
      </c>
      <c r="B9791">
        <v>0.20528601038922056</v>
      </c>
    </row>
    <row r="9792" spans="1:2" x14ac:dyDescent="0.2">
      <c r="A9792">
        <v>9786</v>
      </c>
      <c r="B9792">
        <v>0.60680995265087967</v>
      </c>
    </row>
    <row r="9793" spans="1:2" x14ac:dyDescent="0.2">
      <c r="A9793">
        <v>9787</v>
      </c>
      <c r="B9793">
        <v>0.34287549345998147</v>
      </c>
    </row>
    <row r="9794" spans="1:2" x14ac:dyDescent="0.2">
      <c r="A9794">
        <v>9788</v>
      </c>
      <c r="B9794">
        <v>0.19472599178375383</v>
      </c>
    </row>
    <row r="9795" spans="1:2" x14ac:dyDescent="0.2">
      <c r="A9795">
        <v>9789</v>
      </c>
      <c r="B9795">
        <v>0.55353641645994123</v>
      </c>
    </row>
    <row r="9796" spans="1:2" x14ac:dyDescent="0.2">
      <c r="A9796">
        <v>9790</v>
      </c>
      <c r="B9796">
        <v>0.23992106088987897</v>
      </c>
    </row>
    <row r="9797" spans="1:2" x14ac:dyDescent="0.2">
      <c r="A9797">
        <v>9791</v>
      </c>
      <c r="B9797">
        <v>0.67588611479365623</v>
      </c>
    </row>
    <row r="9798" spans="1:2" x14ac:dyDescent="0.2">
      <c r="A9798">
        <v>9792</v>
      </c>
      <c r="B9798">
        <v>0.18799034715819918</v>
      </c>
    </row>
    <row r="9799" spans="1:2" x14ac:dyDescent="0.2">
      <c r="A9799">
        <v>9793</v>
      </c>
      <c r="B9799">
        <v>0.59118831737354682</v>
      </c>
    </row>
    <row r="9800" spans="1:2" x14ac:dyDescent="0.2">
      <c r="A9800">
        <v>9794</v>
      </c>
      <c r="B9800">
        <v>4.3034837861111841E-2</v>
      </c>
    </row>
    <row r="9801" spans="1:2" x14ac:dyDescent="0.2">
      <c r="A9801">
        <v>9795</v>
      </c>
      <c r="B9801">
        <v>0.39117605347829776</v>
      </c>
    </row>
    <row r="9802" spans="1:2" x14ac:dyDescent="0.2">
      <c r="A9802">
        <v>9796</v>
      </c>
      <c r="B9802">
        <v>0.10121049642150581</v>
      </c>
    </row>
    <row r="9803" spans="1:2" x14ac:dyDescent="0.2">
      <c r="A9803">
        <v>9797</v>
      </c>
      <c r="B9803">
        <v>0.80469892615246086</v>
      </c>
    </row>
    <row r="9804" spans="1:2" x14ac:dyDescent="0.2">
      <c r="A9804">
        <v>9798</v>
      </c>
      <c r="B9804">
        <v>0.30211103266066353</v>
      </c>
    </row>
    <row r="9805" spans="1:2" x14ac:dyDescent="0.2">
      <c r="A9805">
        <v>9799</v>
      </c>
      <c r="B9805">
        <v>0.87383385720688622</v>
      </c>
    </row>
    <row r="9806" spans="1:2" x14ac:dyDescent="0.2">
      <c r="A9806">
        <v>9800</v>
      </c>
      <c r="B9806">
        <v>0.69208197116876413</v>
      </c>
    </row>
    <row r="9807" spans="1:2" x14ac:dyDescent="0.2">
      <c r="A9807">
        <v>9801</v>
      </c>
      <c r="B9807">
        <v>0.46421644882796587</v>
      </c>
    </row>
    <row r="9808" spans="1:2" x14ac:dyDescent="0.2">
      <c r="A9808">
        <v>9802</v>
      </c>
      <c r="B9808">
        <v>0.19262770788857086</v>
      </c>
    </row>
    <row r="9809" spans="1:2" x14ac:dyDescent="0.2">
      <c r="A9809">
        <v>9803</v>
      </c>
      <c r="B9809">
        <v>0.55096662688663123</v>
      </c>
    </row>
    <row r="9810" spans="1:2" x14ac:dyDescent="0.2">
      <c r="A9810">
        <v>9804</v>
      </c>
      <c r="B9810">
        <v>5.1395486609933316E-2</v>
      </c>
    </row>
    <row r="9811" spans="1:2" x14ac:dyDescent="0.2">
      <c r="A9811">
        <v>9805</v>
      </c>
      <c r="B9811">
        <v>0.11207461371265237</v>
      </c>
    </row>
    <row r="9812" spans="1:2" x14ac:dyDescent="0.2">
      <c r="A9812">
        <v>9806</v>
      </c>
      <c r="B9812">
        <v>0.6912441002421893</v>
      </c>
    </row>
    <row r="9813" spans="1:2" x14ac:dyDescent="0.2">
      <c r="A9813">
        <v>9807</v>
      </c>
      <c r="B9813">
        <v>0.68344154918947231</v>
      </c>
    </row>
    <row r="9814" spans="1:2" x14ac:dyDescent="0.2">
      <c r="A9814">
        <v>9808</v>
      </c>
      <c r="B9814">
        <v>0.18227766940334589</v>
      </c>
    </row>
    <row r="9815" spans="1:2" x14ac:dyDescent="0.2">
      <c r="A9815">
        <v>9809</v>
      </c>
      <c r="B9815">
        <v>0.56153494612682886</v>
      </c>
    </row>
    <row r="9816" spans="1:2" x14ac:dyDescent="0.2">
      <c r="A9816">
        <v>9810</v>
      </c>
      <c r="B9816">
        <v>0.83816692353429123</v>
      </c>
    </row>
    <row r="9817" spans="1:2" x14ac:dyDescent="0.2">
      <c r="A9817">
        <v>9811</v>
      </c>
      <c r="B9817">
        <v>0.3614424481262537</v>
      </c>
    </row>
    <row r="9818" spans="1:2" x14ac:dyDescent="0.2">
      <c r="A9818">
        <v>9812</v>
      </c>
      <c r="B9818">
        <v>0.76883556536623221</v>
      </c>
    </row>
    <row r="9819" spans="1:2" x14ac:dyDescent="0.2">
      <c r="A9819">
        <v>9813</v>
      </c>
      <c r="B9819">
        <v>0.13646305351933152</v>
      </c>
    </row>
    <row r="9820" spans="1:2" x14ac:dyDescent="0.2">
      <c r="A9820">
        <v>9814</v>
      </c>
      <c r="B9820">
        <v>0.40604951140776813</v>
      </c>
    </row>
    <row r="9821" spans="1:2" x14ac:dyDescent="0.2">
      <c r="A9821">
        <v>9815</v>
      </c>
      <c r="B9821">
        <v>0.51966547101774763</v>
      </c>
    </row>
    <row r="9822" spans="1:2" x14ac:dyDescent="0.2">
      <c r="A9822">
        <v>9816</v>
      </c>
      <c r="B9822">
        <v>0.43326386888115653</v>
      </c>
    </row>
    <row r="9823" spans="1:2" x14ac:dyDescent="0.2">
      <c r="A9823">
        <v>9817</v>
      </c>
      <c r="B9823">
        <v>0.96916106721580653</v>
      </c>
    </row>
    <row r="9824" spans="1:2" x14ac:dyDescent="0.2">
      <c r="A9824">
        <v>9818</v>
      </c>
      <c r="B9824">
        <v>0.7370289231510444</v>
      </c>
    </row>
    <row r="9825" spans="1:2" x14ac:dyDescent="0.2">
      <c r="A9825">
        <v>9819</v>
      </c>
      <c r="B9825">
        <v>0.75374690362715313</v>
      </c>
    </row>
    <row r="9826" spans="1:2" x14ac:dyDescent="0.2">
      <c r="A9826">
        <v>9820</v>
      </c>
      <c r="B9826">
        <v>0.89420964014877402</v>
      </c>
    </row>
    <row r="9827" spans="1:2" x14ac:dyDescent="0.2">
      <c r="A9827">
        <v>9821</v>
      </c>
      <c r="B9827">
        <v>0.18902643469396518</v>
      </c>
    </row>
    <row r="9828" spans="1:2" x14ac:dyDescent="0.2">
      <c r="A9828">
        <v>9822</v>
      </c>
      <c r="B9828">
        <v>0.4088189956447511</v>
      </c>
    </row>
    <row r="9829" spans="1:2" x14ac:dyDescent="0.2">
      <c r="A9829">
        <v>9823</v>
      </c>
      <c r="B9829">
        <v>0.15015546433972393</v>
      </c>
    </row>
    <row r="9830" spans="1:2" x14ac:dyDescent="0.2">
      <c r="A9830">
        <v>9824</v>
      </c>
      <c r="B9830">
        <v>0.51872395350259548</v>
      </c>
    </row>
    <row r="9831" spans="1:2" x14ac:dyDescent="0.2">
      <c r="A9831">
        <v>9825</v>
      </c>
      <c r="B9831">
        <v>0.64936499373337953</v>
      </c>
    </row>
    <row r="9832" spans="1:2" x14ac:dyDescent="0.2">
      <c r="A9832">
        <v>9826</v>
      </c>
      <c r="B9832">
        <v>0.41757110322822</v>
      </c>
    </row>
    <row r="9833" spans="1:2" x14ac:dyDescent="0.2">
      <c r="A9833">
        <v>9827</v>
      </c>
      <c r="B9833">
        <v>0.36293507928917934</v>
      </c>
    </row>
    <row r="9834" spans="1:2" x14ac:dyDescent="0.2">
      <c r="A9834">
        <v>9828</v>
      </c>
      <c r="B9834">
        <v>0.32603096497910422</v>
      </c>
    </row>
    <row r="9835" spans="1:2" x14ac:dyDescent="0.2">
      <c r="A9835">
        <v>9829</v>
      </c>
      <c r="B9835">
        <v>0.8995546313173034</v>
      </c>
    </row>
    <row r="9836" spans="1:2" x14ac:dyDescent="0.2">
      <c r="A9836">
        <v>9830</v>
      </c>
      <c r="B9836">
        <v>0.44399994791916153</v>
      </c>
    </row>
    <row r="9837" spans="1:2" x14ac:dyDescent="0.2">
      <c r="A9837">
        <v>9831</v>
      </c>
      <c r="B9837">
        <v>0.42979114394506479</v>
      </c>
    </row>
    <row r="9838" spans="1:2" x14ac:dyDescent="0.2">
      <c r="A9838">
        <v>9832</v>
      </c>
      <c r="B9838">
        <v>0.82558428168167564</v>
      </c>
    </row>
    <row r="9839" spans="1:2" x14ac:dyDescent="0.2">
      <c r="A9839">
        <v>9833</v>
      </c>
      <c r="B9839">
        <v>0.10515423751674247</v>
      </c>
    </row>
    <row r="9840" spans="1:2" x14ac:dyDescent="0.2">
      <c r="A9840">
        <v>9834</v>
      </c>
      <c r="B9840">
        <v>0.50979300948907891</v>
      </c>
    </row>
    <row r="9841" spans="1:2" x14ac:dyDescent="0.2">
      <c r="A9841">
        <v>9835</v>
      </c>
      <c r="B9841">
        <v>0.1560965383187074</v>
      </c>
    </row>
    <row r="9842" spans="1:2" x14ac:dyDescent="0.2">
      <c r="A9842">
        <v>9836</v>
      </c>
      <c r="B9842">
        <v>0.84031780435823478</v>
      </c>
    </row>
    <row r="9843" spans="1:2" x14ac:dyDescent="0.2">
      <c r="A9843">
        <v>9837</v>
      </c>
      <c r="B9843">
        <v>0.22223688105281714</v>
      </c>
    </row>
    <row r="9844" spans="1:2" x14ac:dyDescent="0.2">
      <c r="A9844">
        <v>9838</v>
      </c>
      <c r="B9844">
        <v>0.32202905465694387</v>
      </c>
    </row>
    <row r="9845" spans="1:2" x14ac:dyDescent="0.2">
      <c r="A9845">
        <v>9839</v>
      </c>
      <c r="B9845">
        <v>0.42114165848605845</v>
      </c>
    </row>
    <row r="9846" spans="1:2" x14ac:dyDescent="0.2">
      <c r="A9846">
        <v>9840</v>
      </c>
      <c r="B9846">
        <v>0.39515309113223063</v>
      </c>
    </row>
    <row r="9847" spans="1:2" x14ac:dyDescent="0.2">
      <c r="A9847">
        <v>9841</v>
      </c>
      <c r="B9847">
        <v>6.5822787636336644E-2</v>
      </c>
    </row>
    <row r="9848" spans="1:2" x14ac:dyDescent="0.2">
      <c r="A9848">
        <v>9842</v>
      </c>
      <c r="B9848">
        <v>6.5250553678075196E-2</v>
      </c>
    </row>
    <row r="9849" spans="1:2" x14ac:dyDescent="0.2">
      <c r="A9849">
        <v>9843</v>
      </c>
      <c r="B9849">
        <v>0.27401986325371863</v>
      </c>
    </row>
    <row r="9850" spans="1:2" x14ac:dyDescent="0.2">
      <c r="A9850">
        <v>9844</v>
      </c>
      <c r="B9850">
        <v>0.66311979131196508</v>
      </c>
    </row>
    <row r="9851" spans="1:2" x14ac:dyDescent="0.2">
      <c r="A9851">
        <v>9845</v>
      </c>
      <c r="B9851">
        <v>0.6893685578213109</v>
      </c>
    </row>
    <row r="9852" spans="1:2" x14ac:dyDescent="0.2">
      <c r="A9852">
        <v>9846</v>
      </c>
      <c r="B9852">
        <v>0.2566554296082949</v>
      </c>
    </row>
    <row r="9853" spans="1:2" x14ac:dyDescent="0.2">
      <c r="A9853">
        <v>9847</v>
      </c>
      <c r="B9853">
        <v>0.39909524071903535</v>
      </c>
    </row>
    <row r="9854" spans="1:2" x14ac:dyDescent="0.2">
      <c r="A9854">
        <v>9848</v>
      </c>
      <c r="B9854">
        <v>0.60165890761276686</v>
      </c>
    </row>
    <row r="9855" spans="1:2" x14ac:dyDescent="0.2">
      <c r="A9855">
        <v>9849</v>
      </c>
      <c r="B9855">
        <v>0.88859187058119815</v>
      </c>
    </row>
    <row r="9856" spans="1:2" x14ac:dyDescent="0.2">
      <c r="A9856">
        <v>9850</v>
      </c>
      <c r="B9856">
        <v>0.73358270014950211</v>
      </c>
    </row>
    <row r="9857" spans="1:2" x14ac:dyDescent="0.2">
      <c r="A9857">
        <v>9851</v>
      </c>
      <c r="B9857">
        <v>0.61541557567144811</v>
      </c>
    </row>
    <row r="9858" spans="1:2" x14ac:dyDescent="0.2">
      <c r="A9858">
        <v>9852</v>
      </c>
      <c r="B9858">
        <v>0.41699139859300038</v>
      </c>
    </row>
    <row r="9859" spans="1:2" x14ac:dyDescent="0.2">
      <c r="A9859">
        <v>9853</v>
      </c>
      <c r="B9859">
        <v>0.63967083787893209</v>
      </c>
    </row>
    <row r="9860" spans="1:2" x14ac:dyDescent="0.2">
      <c r="A9860">
        <v>9854</v>
      </c>
      <c r="B9860">
        <v>4.4393397616404262E-2</v>
      </c>
    </row>
    <row r="9861" spans="1:2" x14ac:dyDescent="0.2">
      <c r="A9861">
        <v>9855</v>
      </c>
      <c r="B9861">
        <v>0.82085651940007265</v>
      </c>
    </row>
    <row r="9862" spans="1:2" x14ac:dyDescent="0.2">
      <c r="A9862">
        <v>9856</v>
      </c>
      <c r="B9862">
        <v>0.32223763334403799</v>
      </c>
    </row>
    <row r="9863" spans="1:2" x14ac:dyDescent="0.2">
      <c r="A9863">
        <v>9857</v>
      </c>
      <c r="B9863">
        <v>4.9389975050030843E-2</v>
      </c>
    </row>
    <row r="9864" spans="1:2" x14ac:dyDescent="0.2">
      <c r="A9864">
        <v>9858</v>
      </c>
      <c r="B9864">
        <v>0.73519541289864232</v>
      </c>
    </row>
    <row r="9865" spans="1:2" x14ac:dyDescent="0.2">
      <c r="A9865">
        <v>9859</v>
      </c>
      <c r="B9865">
        <v>0.49732740224278216</v>
      </c>
    </row>
    <row r="9866" spans="1:2" x14ac:dyDescent="0.2">
      <c r="A9866">
        <v>9860</v>
      </c>
      <c r="B9866">
        <v>0.18019017927044689</v>
      </c>
    </row>
    <row r="9867" spans="1:2" x14ac:dyDescent="0.2">
      <c r="A9867">
        <v>9861</v>
      </c>
      <c r="B9867">
        <v>0.16416601211345005</v>
      </c>
    </row>
    <row r="9868" spans="1:2" x14ac:dyDescent="0.2">
      <c r="A9868">
        <v>9862</v>
      </c>
      <c r="B9868">
        <v>0.72321399070069425</v>
      </c>
    </row>
    <row r="9869" spans="1:2" x14ac:dyDescent="0.2">
      <c r="A9869">
        <v>9863</v>
      </c>
      <c r="B9869">
        <v>0.84242387007338548</v>
      </c>
    </row>
    <row r="9870" spans="1:2" x14ac:dyDescent="0.2">
      <c r="A9870">
        <v>9864</v>
      </c>
      <c r="B9870">
        <v>0.48552122395688391</v>
      </c>
    </row>
    <row r="9871" spans="1:2" x14ac:dyDescent="0.2">
      <c r="A9871">
        <v>9865</v>
      </c>
      <c r="B9871">
        <v>0.61034579391028654</v>
      </c>
    </row>
    <row r="9872" spans="1:2" x14ac:dyDescent="0.2">
      <c r="A9872">
        <v>9866</v>
      </c>
      <c r="B9872">
        <v>1.5640867375357081E-2</v>
      </c>
    </row>
    <row r="9873" spans="1:2" x14ac:dyDescent="0.2">
      <c r="A9873">
        <v>9867</v>
      </c>
      <c r="B9873">
        <v>0.44913436953897945</v>
      </c>
    </row>
    <row r="9874" spans="1:2" x14ac:dyDescent="0.2">
      <c r="A9874">
        <v>9868</v>
      </c>
      <c r="B9874">
        <v>0.92443833577178802</v>
      </c>
    </row>
    <row r="9875" spans="1:2" x14ac:dyDescent="0.2">
      <c r="A9875">
        <v>9869</v>
      </c>
      <c r="B9875">
        <v>0.11768165846332301</v>
      </c>
    </row>
    <row r="9876" spans="1:2" x14ac:dyDescent="0.2">
      <c r="A9876">
        <v>9870</v>
      </c>
      <c r="B9876">
        <v>0.70263499724100853</v>
      </c>
    </row>
    <row r="9877" spans="1:2" x14ac:dyDescent="0.2">
      <c r="A9877">
        <v>9871</v>
      </c>
      <c r="B9877">
        <v>0.86918928015972563</v>
      </c>
    </row>
    <row r="9878" spans="1:2" x14ac:dyDescent="0.2">
      <c r="A9878">
        <v>9872</v>
      </c>
      <c r="B9878">
        <v>0.68430408131864995</v>
      </c>
    </row>
    <row r="9879" spans="1:2" x14ac:dyDescent="0.2">
      <c r="A9879">
        <v>9873</v>
      </c>
      <c r="B9879">
        <v>0.48509656050327044</v>
      </c>
    </row>
    <row r="9880" spans="1:2" x14ac:dyDescent="0.2">
      <c r="A9880">
        <v>9874</v>
      </c>
      <c r="B9880">
        <v>0.33884405159936803</v>
      </c>
    </row>
    <row r="9881" spans="1:2" x14ac:dyDescent="0.2">
      <c r="A9881">
        <v>9875</v>
      </c>
      <c r="B9881">
        <v>0.7067830261847744</v>
      </c>
    </row>
    <row r="9882" spans="1:2" x14ac:dyDescent="0.2">
      <c r="A9882">
        <v>9876</v>
      </c>
      <c r="B9882">
        <v>0.8397755225211132</v>
      </c>
    </row>
    <row r="9883" spans="1:2" x14ac:dyDescent="0.2">
      <c r="A9883">
        <v>9877</v>
      </c>
      <c r="B9883">
        <v>0.28832493161562567</v>
      </c>
    </row>
    <row r="9884" spans="1:2" x14ac:dyDescent="0.2">
      <c r="A9884">
        <v>9878</v>
      </c>
      <c r="B9884">
        <v>0.78048109242844221</v>
      </c>
    </row>
    <row r="9885" spans="1:2" x14ac:dyDescent="0.2">
      <c r="A9885">
        <v>9879</v>
      </c>
      <c r="B9885">
        <v>0.25364535465835203</v>
      </c>
    </row>
    <row r="9886" spans="1:2" x14ac:dyDescent="0.2">
      <c r="A9886">
        <v>9880</v>
      </c>
      <c r="B9886">
        <v>0.96256462877666793</v>
      </c>
    </row>
    <row r="9887" spans="1:2" x14ac:dyDescent="0.2">
      <c r="A9887">
        <v>9881</v>
      </c>
      <c r="B9887">
        <v>7.790449147010936E-2</v>
      </c>
    </row>
    <row r="9888" spans="1:2" x14ac:dyDescent="0.2">
      <c r="A9888">
        <v>9882</v>
      </c>
      <c r="B9888">
        <v>0.57278333615384514</v>
      </c>
    </row>
    <row r="9889" spans="1:2" x14ac:dyDescent="0.2">
      <c r="A9889">
        <v>9883</v>
      </c>
      <c r="B9889">
        <v>0.75177241678720264</v>
      </c>
    </row>
    <row r="9890" spans="1:2" x14ac:dyDescent="0.2">
      <c r="A9890">
        <v>9884</v>
      </c>
      <c r="B9890">
        <v>0.29733760768107198</v>
      </c>
    </row>
    <row r="9891" spans="1:2" x14ac:dyDescent="0.2">
      <c r="A9891">
        <v>9885</v>
      </c>
      <c r="B9891">
        <v>0.18089096007132599</v>
      </c>
    </row>
    <row r="9892" spans="1:2" x14ac:dyDescent="0.2">
      <c r="A9892">
        <v>9886</v>
      </c>
      <c r="B9892">
        <v>0.86343754534571426</v>
      </c>
    </row>
    <row r="9893" spans="1:2" x14ac:dyDescent="0.2">
      <c r="A9893">
        <v>9887</v>
      </c>
      <c r="B9893">
        <v>0.5955584739490285</v>
      </c>
    </row>
    <row r="9894" spans="1:2" x14ac:dyDescent="0.2">
      <c r="A9894">
        <v>9888</v>
      </c>
      <c r="B9894">
        <v>0.48944849221209419</v>
      </c>
    </row>
    <row r="9895" spans="1:2" x14ac:dyDescent="0.2">
      <c r="A9895">
        <v>9889</v>
      </c>
      <c r="B9895">
        <v>0.4618893325768777</v>
      </c>
    </row>
    <row r="9896" spans="1:2" x14ac:dyDescent="0.2">
      <c r="A9896">
        <v>9890</v>
      </c>
      <c r="B9896">
        <v>0.85699455813069381</v>
      </c>
    </row>
    <row r="9897" spans="1:2" x14ac:dyDescent="0.2">
      <c r="A9897">
        <v>9891</v>
      </c>
      <c r="B9897">
        <v>0.21654560601934048</v>
      </c>
    </row>
    <row r="9898" spans="1:2" x14ac:dyDescent="0.2">
      <c r="A9898">
        <v>9892</v>
      </c>
      <c r="B9898">
        <v>1.6628863526979676E-2</v>
      </c>
    </row>
    <row r="9899" spans="1:2" x14ac:dyDescent="0.2">
      <c r="A9899">
        <v>9893</v>
      </c>
      <c r="B9899">
        <v>0.99145071898911219</v>
      </c>
    </row>
    <row r="9900" spans="1:2" x14ac:dyDescent="0.2">
      <c r="A9900">
        <v>9894</v>
      </c>
      <c r="B9900">
        <v>0.92314125296038674</v>
      </c>
    </row>
    <row r="9901" spans="1:2" x14ac:dyDescent="0.2">
      <c r="A9901">
        <v>9895</v>
      </c>
      <c r="B9901">
        <v>0.53647906699765602</v>
      </c>
    </row>
    <row r="9902" spans="1:2" x14ac:dyDescent="0.2">
      <c r="A9902">
        <v>9896</v>
      </c>
      <c r="B9902">
        <v>0.65453762636087653</v>
      </c>
    </row>
    <row r="9903" spans="1:2" x14ac:dyDescent="0.2">
      <c r="A9903">
        <v>9897</v>
      </c>
      <c r="B9903">
        <v>3.7441851276746152E-2</v>
      </c>
    </row>
    <row r="9904" spans="1:2" x14ac:dyDescent="0.2">
      <c r="A9904">
        <v>9898</v>
      </c>
      <c r="B9904">
        <v>0.17734470118323253</v>
      </c>
    </row>
    <row r="9905" spans="1:2" x14ac:dyDescent="0.2">
      <c r="A9905">
        <v>9899</v>
      </c>
      <c r="B9905">
        <v>4.2636660947184768E-2</v>
      </c>
    </row>
    <row r="9906" spans="1:2" x14ac:dyDescent="0.2">
      <c r="A9906">
        <v>9900</v>
      </c>
      <c r="B9906">
        <v>0.46023901839177994</v>
      </c>
    </row>
    <row r="9907" spans="1:2" x14ac:dyDescent="0.2">
      <c r="A9907">
        <v>9901</v>
      </c>
      <c r="B9907">
        <v>0.57778333398970438</v>
      </c>
    </row>
    <row r="9908" spans="1:2" x14ac:dyDescent="0.2">
      <c r="A9908">
        <v>9902</v>
      </c>
      <c r="B9908">
        <v>0.4034778865510813</v>
      </c>
    </row>
    <row r="9909" spans="1:2" x14ac:dyDescent="0.2">
      <c r="A9909">
        <v>9903</v>
      </c>
      <c r="B9909">
        <v>0.49276283577847591</v>
      </c>
    </row>
    <row r="9910" spans="1:2" x14ac:dyDescent="0.2">
      <c r="A9910">
        <v>9904</v>
      </c>
      <c r="B9910">
        <v>0.12873750877032819</v>
      </c>
    </row>
    <row r="9911" spans="1:2" x14ac:dyDescent="0.2">
      <c r="A9911">
        <v>9905</v>
      </c>
      <c r="B9911">
        <v>0.27991169682220585</v>
      </c>
    </row>
    <row r="9912" spans="1:2" x14ac:dyDescent="0.2">
      <c r="A9912">
        <v>9906</v>
      </c>
      <c r="B9912">
        <v>0.35679685866514033</v>
      </c>
    </row>
    <row r="9913" spans="1:2" x14ac:dyDescent="0.2">
      <c r="A9913">
        <v>9907</v>
      </c>
      <c r="B9913">
        <v>2.1272494483500548E-2</v>
      </c>
    </row>
    <row r="9914" spans="1:2" x14ac:dyDescent="0.2">
      <c r="A9914">
        <v>9908</v>
      </c>
      <c r="B9914">
        <v>0.88470130657234025</v>
      </c>
    </row>
    <row r="9915" spans="1:2" x14ac:dyDescent="0.2">
      <c r="A9915">
        <v>9909</v>
      </c>
      <c r="B9915">
        <v>0.49441160552884011</v>
      </c>
    </row>
    <row r="9916" spans="1:2" x14ac:dyDescent="0.2">
      <c r="A9916">
        <v>9910</v>
      </c>
      <c r="B9916">
        <v>0.97314040204421104</v>
      </c>
    </row>
    <row r="9917" spans="1:2" x14ac:dyDescent="0.2">
      <c r="A9917">
        <v>9911</v>
      </c>
      <c r="B9917">
        <v>0.44685837971025633</v>
      </c>
    </row>
    <row r="9918" spans="1:2" x14ac:dyDescent="0.2">
      <c r="A9918">
        <v>9912</v>
      </c>
      <c r="B9918">
        <v>0.45416703865867269</v>
      </c>
    </row>
    <row r="9919" spans="1:2" x14ac:dyDescent="0.2">
      <c r="A9919">
        <v>9913</v>
      </c>
      <c r="B9919">
        <v>8.9748768625095288E-3</v>
      </c>
    </row>
    <row r="9920" spans="1:2" x14ac:dyDescent="0.2">
      <c r="A9920">
        <v>9914</v>
      </c>
      <c r="B9920">
        <v>0.25625642187184039</v>
      </c>
    </row>
    <row r="9921" spans="1:2" x14ac:dyDescent="0.2">
      <c r="A9921">
        <v>9915</v>
      </c>
      <c r="B9921">
        <v>4.2564341459041533E-3</v>
      </c>
    </row>
    <row r="9922" spans="1:2" x14ac:dyDescent="0.2">
      <c r="A9922">
        <v>9916</v>
      </c>
      <c r="B9922">
        <v>0.41640361428083228</v>
      </c>
    </row>
    <row r="9923" spans="1:2" x14ac:dyDescent="0.2">
      <c r="A9923">
        <v>9917</v>
      </c>
      <c r="B9923">
        <v>0.96391107518935693</v>
      </c>
    </row>
    <row r="9924" spans="1:2" x14ac:dyDescent="0.2">
      <c r="A9924">
        <v>9918</v>
      </c>
      <c r="B9924">
        <v>0.87897998393545662</v>
      </c>
    </row>
    <row r="9925" spans="1:2" x14ac:dyDescent="0.2">
      <c r="A9925">
        <v>9919</v>
      </c>
      <c r="B9925">
        <v>0.7526511888384243</v>
      </c>
    </row>
    <row r="9926" spans="1:2" x14ac:dyDescent="0.2">
      <c r="A9926">
        <v>9920</v>
      </c>
      <c r="B9926">
        <v>0.97188860770955476</v>
      </c>
    </row>
    <row r="9927" spans="1:2" x14ac:dyDescent="0.2">
      <c r="A9927">
        <v>9921</v>
      </c>
      <c r="B9927">
        <v>0.50349460129873524</v>
      </c>
    </row>
    <row r="9928" spans="1:2" x14ac:dyDescent="0.2">
      <c r="A9928">
        <v>9922</v>
      </c>
      <c r="B9928">
        <v>0.15365605645083213</v>
      </c>
    </row>
    <row r="9929" spans="1:2" x14ac:dyDescent="0.2">
      <c r="A9929">
        <v>9923</v>
      </c>
      <c r="B9929">
        <v>0.40531528533355976</v>
      </c>
    </row>
    <row r="9930" spans="1:2" x14ac:dyDescent="0.2">
      <c r="A9930">
        <v>9924</v>
      </c>
      <c r="B9930">
        <v>0.34177917874482311</v>
      </c>
    </row>
    <row r="9931" spans="1:2" x14ac:dyDescent="0.2">
      <c r="A9931">
        <v>9925</v>
      </c>
      <c r="B9931">
        <v>6.8606702906590655E-3</v>
      </c>
    </row>
    <row r="9932" spans="1:2" x14ac:dyDescent="0.2">
      <c r="A9932">
        <v>9926</v>
      </c>
      <c r="B9932">
        <v>0.61222097642717443</v>
      </c>
    </row>
    <row r="9933" spans="1:2" x14ac:dyDescent="0.2">
      <c r="A9933">
        <v>9927</v>
      </c>
      <c r="B9933">
        <v>0.25275714313647568</v>
      </c>
    </row>
    <row r="9934" spans="1:2" x14ac:dyDescent="0.2">
      <c r="A9934">
        <v>9928</v>
      </c>
      <c r="B9934">
        <v>0.44272239149147596</v>
      </c>
    </row>
    <row r="9935" spans="1:2" x14ac:dyDescent="0.2">
      <c r="A9935">
        <v>9929</v>
      </c>
      <c r="B9935">
        <v>0.74493819993926091</v>
      </c>
    </row>
    <row r="9936" spans="1:2" x14ac:dyDescent="0.2">
      <c r="A9936">
        <v>9930</v>
      </c>
      <c r="B9936">
        <v>0.49537951923623613</v>
      </c>
    </row>
    <row r="9937" spans="1:2" x14ac:dyDescent="0.2">
      <c r="A9937">
        <v>9931</v>
      </c>
      <c r="B9937">
        <v>0.5359158244294121</v>
      </c>
    </row>
    <row r="9938" spans="1:2" x14ac:dyDescent="0.2">
      <c r="A9938">
        <v>9932</v>
      </c>
      <c r="B9938">
        <v>0.12007951235249226</v>
      </c>
    </row>
    <row r="9939" spans="1:2" x14ac:dyDescent="0.2">
      <c r="A9939">
        <v>9933</v>
      </c>
      <c r="B9939">
        <v>0.45354610867277678</v>
      </c>
    </row>
    <row r="9940" spans="1:2" x14ac:dyDescent="0.2">
      <c r="A9940">
        <v>9934</v>
      </c>
      <c r="B9940">
        <v>0.46494296281608283</v>
      </c>
    </row>
    <row r="9941" spans="1:2" x14ac:dyDescent="0.2">
      <c r="A9941">
        <v>9935</v>
      </c>
      <c r="B9941">
        <v>0.84048824562733915</v>
      </c>
    </row>
    <row r="9942" spans="1:2" x14ac:dyDescent="0.2">
      <c r="A9942">
        <v>9936</v>
      </c>
      <c r="B9942">
        <v>0.94599281098947763</v>
      </c>
    </row>
    <row r="9943" spans="1:2" x14ac:dyDescent="0.2">
      <c r="A9943">
        <v>9937</v>
      </c>
      <c r="B9943">
        <v>2.1762656072388809E-2</v>
      </c>
    </row>
    <row r="9944" spans="1:2" x14ac:dyDescent="0.2">
      <c r="A9944">
        <v>9938</v>
      </c>
      <c r="B9944">
        <v>0.59825643435153841</v>
      </c>
    </row>
    <row r="9945" spans="1:2" x14ac:dyDescent="0.2">
      <c r="A9945">
        <v>9939</v>
      </c>
      <c r="B9945">
        <v>0.52118109055491713</v>
      </c>
    </row>
    <row r="9946" spans="1:2" x14ac:dyDescent="0.2">
      <c r="A9946">
        <v>9940</v>
      </c>
      <c r="B9946">
        <v>0.79626284643312695</v>
      </c>
    </row>
    <row r="9947" spans="1:2" x14ac:dyDescent="0.2">
      <c r="A9947">
        <v>9941</v>
      </c>
      <c r="B9947">
        <v>0.16179884213810447</v>
      </c>
    </row>
    <row r="9948" spans="1:2" x14ac:dyDescent="0.2">
      <c r="A9948">
        <v>9942</v>
      </c>
      <c r="B9948">
        <v>3.8912990992067686E-2</v>
      </c>
    </row>
    <row r="9949" spans="1:2" x14ac:dyDescent="0.2">
      <c r="A9949">
        <v>9943</v>
      </c>
      <c r="B9949">
        <v>0.91252042412306344</v>
      </c>
    </row>
    <row r="9950" spans="1:2" x14ac:dyDescent="0.2">
      <c r="A9950">
        <v>9944</v>
      </c>
      <c r="B9950">
        <v>0.51639414870965961</v>
      </c>
    </row>
    <row r="9951" spans="1:2" x14ac:dyDescent="0.2">
      <c r="A9951">
        <v>9945</v>
      </c>
      <c r="B9951">
        <v>0.65878414140974617</v>
      </c>
    </row>
    <row r="9952" spans="1:2" x14ac:dyDescent="0.2">
      <c r="A9952">
        <v>9946</v>
      </c>
      <c r="B9952">
        <v>0.51477305274285079</v>
      </c>
    </row>
    <row r="9953" spans="1:2" x14ac:dyDescent="0.2">
      <c r="A9953">
        <v>9947</v>
      </c>
      <c r="B9953">
        <v>0.93027694392275273</v>
      </c>
    </row>
    <row r="9954" spans="1:2" x14ac:dyDescent="0.2">
      <c r="A9954">
        <v>9948</v>
      </c>
      <c r="B9954">
        <v>0.93536109961721237</v>
      </c>
    </row>
    <row r="9955" spans="1:2" x14ac:dyDescent="0.2">
      <c r="A9955">
        <v>9949</v>
      </c>
      <c r="B9955">
        <v>0.14809593919625308</v>
      </c>
    </row>
    <row r="9956" spans="1:2" x14ac:dyDescent="0.2">
      <c r="A9956">
        <v>9950</v>
      </c>
      <c r="B9956">
        <v>0.32236885944723792</v>
      </c>
    </row>
    <row r="9957" spans="1:2" x14ac:dyDescent="0.2">
      <c r="A9957">
        <v>9951</v>
      </c>
      <c r="B9957">
        <v>0.15137771066579142</v>
      </c>
    </row>
    <row r="9958" spans="1:2" x14ac:dyDescent="0.2">
      <c r="A9958">
        <v>9952</v>
      </c>
      <c r="B9958">
        <v>0.60475046502333907</v>
      </c>
    </row>
    <row r="9959" spans="1:2" x14ac:dyDescent="0.2">
      <c r="A9959">
        <v>9953</v>
      </c>
      <c r="B9959">
        <v>0.65940485070327748</v>
      </c>
    </row>
    <row r="9960" spans="1:2" x14ac:dyDescent="0.2">
      <c r="A9960">
        <v>9954</v>
      </c>
      <c r="B9960">
        <v>0.4926137066977585</v>
      </c>
    </row>
    <row r="9961" spans="1:2" x14ac:dyDescent="0.2">
      <c r="A9961">
        <v>9955</v>
      </c>
      <c r="B9961">
        <v>0.87633127156547086</v>
      </c>
    </row>
    <row r="9962" spans="1:2" x14ac:dyDescent="0.2">
      <c r="A9962">
        <v>9956</v>
      </c>
      <c r="B9962">
        <v>0.59607023213250909</v>
      </c>
    </row>
    <row r="9963" spans="1:2" x14ac:dyDescent="0.2">
      <c r="A9963">
        <v>9957</v>
      </c>
      <c r="B9963">
        <v>0.89168475088559851</v>
      </c>
    </row>
    <row r="9964" spans="1:2" x14ac:dyDescent="0.2">
      <c r="A9964">
        <v>9958</v>
      </c>
      <c r="B9964">
        <v>0.52016669931763659</v>
      </c>
    </row>
    <row r="9965" spans="1:2" x14ac:dyDescent="0.2">
      <c r="A9965">
        <v>9959</v>
      </c>
      <c r="B9965">
        <v>0.55503689695054004</v>
      </c>
    </row>
    <row r="9966" spans="1:2" x14ac:dyDescent="0.2">
      <c r="A9966">
        <v>9960</v>
      </c>
      <c r="B9966">
        <v>0.51208921994462342</v>
      </c>
    </row>
    <row r="9967" spans="1:2" x14ac:dyDescent="0.2">
      <c r="A9967">
        <v>9961</v>
      </c>
      <c r="B9967">
        <v>0.88519492512722342</v>
      </c>
    </row>
    <row r="9968" spans="1:2" x14ac:dyDescent="0.2">
      <c r="A9968">
        <v>9962</v>
      </c>
      <c r="B9968">
        <v>0.30258621435219757</v>
      </c>
    </row>
    <row r="9969" spans="1:2" x14ac:dyDescent="0.2">
      <c r="A9969">
        <v>9963</v>
      </c>
      <c r="B9969">
        <v>0.15659224621265255</v>
      </c>
    </row>
    <row r="9970" spans="1:2" x14ac:dyDescent="0.2">
      <c r="A9970">
        <v>9964</v>
      </c>
      <c r="B9970">
        <v>0.44667254213237273</v>
      </c>
    </row>
    <row r="9971" spans="1:2" x14ac:dyDescent="0.2">
      <c r="A9971">
        <v>9965</v>
      </c>
      <c r="B9971">
        <v>0.64818693270937566</v>
      </c>
    </row>
    <row r="9972" spans="1:2" x14ac:dyDescent="0.2">
      <c r="A9972">
        <v>9966</v>
      </c>
      <c r="B9972">
        <v>0.42189849095369991</v>
      </c>
    </row>
    <row r="9973" spans="1:2" x14ac:dyDescent="0.2">
      <c r="A9973">
        <v>9967</v>
      </c>
      <c r="B9973">
        <v>0.40709792006743795</v>
      </c>
    </row>
    <row r="9974" spans="1:2" x14ac:dyDescent="0.2">
      <c r="A9974">
        <v>9968</v>
      </c>
      <c r="B9974">
        <v>4.4767822049958106E-3</v>
      </c>
    </row>
    <row r="9975" spans="1:2" x14ac:dyDescent="0.2">
      <c r="A9975">
        <v>9969</v>
      </c>
      <c r="B9975">
        <v>0.54636420232247507</v>
      </c>
    </row>
    <row r="9976" spans="1:2" x14ac:dyDescent="0.2">
      <c r="A9976">
        <v>9970</v>
      </c>
      <c r="B9976">
        <v>0.59683136442918983</v>
      </c>
    </row>
    <row r="9977" spans="1:2" x14ac:dyDescent="0.2">
      <c r="A9977">
        <v>9971</v>
      </c>
      <c r="B9977">
        <v>0.74370511353097302</v>
      </c>
    </row>
    <row r="9978" spans="1:2" x14ac:dyDescent="0.2">
      <c r="A9978">
        <v>9972</v>
      </c>
      <c r="B9978">
        <v>0.31409308972541405</v>
      </c>
    </row>
    <row r="9979" spans="1:2" x14ac:dyDescent="0.2">
      <c r="A9979">
        <v>9973</v>
      </c>
      <c r="B9979">
        <v>0.18560171052596064</v>
      </c>
    </row>
    <row r="9980" spans="1:2" x14ac:dyDescent="0.2">
      <c r="A9980">
        <v>9974</v>
      </c>
      <c r="B9980">
        <v>0.91675962006434175</v>
      </c>
    </row>
    <row r="9981" spans="1:2" x14ac:dyDescent="0.2">
      <c r="A9981">
        <v>9975</v>
      </c>
      <c r="B9981">
        <v>0.13127893901221377</v>
      </c>
    </row>
    <row r="9982" spans="1:2" x14ac:dyDescent="0.2">
      <c r="A9982">
        <v>9976</v>
      </c>
      <c r="B9982">
        <v>0.29642576454761582</v>
      </c>
    </row>
    <row r="9983" spans="1:2" x14ac:dyDescent="0.2">
      <c r="A9983">
        <v>9977</v>
      </c>
      <c r="B9983">
        <v>0.53231851213442227</v>
      </c>
    </row>
    <row r="9984" spans="1:2" x14ac:dyDescent="0.2">
      <c r="A9984">
        <v>9978</v>
      </c>
      <c r="B9984">
        <v>0.17087934116456305</v>
      </c>
    </row>
    <row r="9985" spans="1:2" x14ac:dyDescent="0.2">
      <c r="A9985">
        <v>9979</v>
      </c>
      <c r="B9985">
        <v>9.1606383056348939E-2</v>
      </c>
    </row>
    <row r="9986" spans="1:2" x14ac:dyDescent="0.2">
      <c r="A9986">
        <v>9980</v>
      </c>
      <c r="B9986">
        <v>8.2703823429908674E-2</v>
      </c>
    </row>
    <row r="9987" spans="1:2" x14ac:dyDescent="0.2">
      <c r="A9987">
        <v>9981</v>
      </c>
      <c r="B9987">
        <v>5.7312323089244055E-2</v>
      </c>
    </row>
    <row r="9988" spans="1:2" x14ac:dyDescent="0.2">
      <c r="A9988">
        <v>9982</v>
      </c>
      <c r="B9988">
        <v>7.5796692108198171E-2</v>
      </c>
    </row>
    <row r="9989" spans="1:2" x14ac:dyDescent="0.2">
      <c r="A9989">
        <v>9983</v>
      </c>
      <c r="B9989">
        <v>0.49706341464398285</v>
      </c>
    </row>
    <row r="9990" spans="1:2" x14ac:dyDescent="0.2">
      <c r="A9990">
        <v>9984</v>
      </c>
      <c r="B9990">
        <v>0.15224004452995765</v>
      </c>
    </row>
    <row r="9991" spans="1:2" x14ac:dyDescent="0.2">
      <c r="A9991">
        <v>9985</v>
      </c>
      <c r="B9991">
        <v>0.47628384774853216</v>
      </c>
    </row>
    <row r="9992" spans="1:2" x14ac:dyDescent="0.2">
      <c r="A9992">
        <v>9986</v>
      </c>
      <c r="B9992">
        <v>0.36813453374941696</v>
      </c>
    </row>
    <row r="9993" spans="1:2" x14ac:dyDescent="0.2">
      <c r="A9993">
        <v>9987</v>
      </c>
      <c r="B9993">
        <v>0.84245428386998766</v>
      </c>
    </row>
    <row r="9994" spans="1:2" x14ac:dyDescent="0.2">
      <c r="A9994">
        <v>9988</v>
      </c>
      <c r="B9994">
        <v>3.2466423532656719E-2</v>
      </c>
    </row>
    <row r="9995" spans="1:2" x14ac:dyDescent="0.2">
      <c r="A9995">
        <v>9989</v>
      </c>
      <c r="B9995">
        <v>0.61405692307108106</v>
      </c>
    </row>
    <row r="9996" spans="1:2" x14ac:dyDescent="0.2">
      <c r="A9996">
        <v>9990</v>
      </c>
      <c r="B9996">
        <v>0.96124942361908883</v>
      </c>
    </row>
    <row r="9997" spans="1:2" x14ac:dyDescent="0.2">
      <c r="A9997">
        <v>9991</v>
      </c>
      <c r="B9997">
        <v>2.388725752929699E-3</v>
      </c>
    </row>
    <row r="9998" spans="1:2" x14ac:dyDescent="0.2">
      <c r="A9998">
        <v>9992</v>
      </c>
      <c r="B9998">
        <v>0.27130580162896412</v>
      </c>
    </row>
    <row r="9999" spans="1:2" x14ac:dyDescent="0.2">
      <c r="A9999">
        <v>9993</v>
      </c>
      <c r="B9999">
        <v>0.18080703245500462</v>
      </c>
    </row>
    <row r="10000" spans="1:2" x14ac:dyDescent="0.2">
      <c r="A10000">
        <v>9994</v>
      </c>
      <c r="B10000">
        <v>0.67152599634358434</v>
      </c>
    </row>
    <row r="10001" spans="1:2" x14ac:dyDescent="0.2">
      <c r="A10001">
        <v>9995</v>
      </c>
      <c r="B10001">
        <v>0.61338264046376634</v>
      </c>
    </row>
    <row r="10002" spans="1:2" x14ac:dyDescent="0.2">
      <c r="A10002">
        <v>9996</v>
      </c>
      <c r="B10002">
        <v>0.41380730743629757</v>
      </c>
    </row>
    <row r="10003" spans="1:2" x14ac:dyDescent="0.2">
      <c r="A10003">
        <v>9997</v>
      </c>
      <c r="B10003">
        <v>0.94919843112650404</v>
      </c>
    </row>
    <row r="10004" spans="1:2" x14ac:dyDescent="0.2">
      <c r="A10004">
        <v>9998</v>
      </c>
      <c r="B10004">
        <v>0.58734963557888697</v>
      </c>
    </row>
    <row r="10005" spans="1:2" x14ac:dyDescent="0.2">
      <c r="A10005">
        <v>9999</v>
      </c>
      <c r="B10005">
        <v>0.50808090829073149</v>
      </c>
    </row>
    <row r="10006" spans="1:2" x14ac:dyDescent="0.2">
      <c r="A10006">
        <v>10000</v>
      </c>
      <c r="B10006">
        <v>0.54679800004776113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Question 1</vt:lpstr>
      <vt:lpstr>Question 2</vt:lpstr>
      <vt:lpstr>Question 3 Case 1</vt:lpstr>
      <vt:lpstr>Question 3 Case 2</vt:lpstr>
      <vt:lpstr>Question 3 Case 3</vt:lpstr>
      <vt:lpstr>VBA Extension</vt:lpstr>
      <vt:lpstr>'Question 3 Case 1'!_ftn1</vt:lpstr>
      <vt:lpstr>'Question 3 Case 1'!_ftnref1</vt:lpstr>
      <vt:lpstr>'Question 3 Case 1'!_Hlk524632987</vt:lpstr>
      <vt:lpstr>'Question 3 Case 1'!OLE_LINK1</vt:lpstr>
      <vt:lpstr>'Question 3 Case 1'!OLE_LINK2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2021-10-25T19:35:46Z</dcterms:created>
  <dcterms:modified xsi:type="dcterms:W3CDTF">2021-11-01T20:37:59Z</dcterms:modified>
</cp:coreProperties>
</file>